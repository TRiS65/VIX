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80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Sheet1!$A$2:$S$2494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<sst xmlns="http://schemas.openxmlformats.org/spreadsheetml/2006/main" count="6042" uniqueCount="1092">
  <si>
    <t>Growth</t>
  </si>
  <si>
    <t>Momentum</t>
  </si>
  <si>
    <t>Value</t>
  </si>
  <si>
    <t>Qualiy</t>
  </si>
  <si>
    <t>Size</t>
  </si>
  <si>
    <t>Date</t>
  </si>
  <si>
    <t>VX1_Ticker</t>
  </si>
  <si>
    <t>VX2_Ticker</t>
  </si>
  <si>
    <t>VX1</t>
  </si>
  <si>
    <t>VX2</t>
  </si>
  <si>
    <t>Slope</t>
  </si>
  <si>
    <t>Slope_z</t>
  </si>
  <si>
    <t>Signal</t>
  </si>
  <si>
    <t>Signal'</t>
  </si>
  <si>
    <t>MSCBSGRU Index</t>
  </si>
  <si>
    <t>MSCBSMOU Index</t>
  </si>
  <si>
    <t>MSCBSVAU Index</t>
  </si>
  <si>
    <t>MSCBSQUU Index</t>
  </si>
  <si>
    <t>MSCBSSZU Index</t>
  </si>
  <si>
    <t>VXF6 Comdty</t>
  </si>
  <si>
    <t>VXG6 Comdty</t>
  </si>
  <si>
    <t>N/A</t>
  </si>
  <si>
    <t>VXH6 Comdty</t>
  </si>
  <si>
    <t>VXJ6 Comdty</t>
  </si>
  <si>
    <t>0.017563117453348064</t>
  </si>
  <si>
    <t>0.028537455410225992</t>
  </si>
  <si>
    <t>0.015783540022547816</t>
  </si>
  <si>
    <t>0.028811524609844007</t>
  </si>
  <si>
    <t>0.018369690011481154</t>
  </si>
  <si>
    <t>0.058124174372523006</t>
  </si>
  <si>
    <t>0.055045871559633065</t>
  </si>
  <si>
    <t>0.12869822485207105</t>
  </si>
  <si>
    <t>0.12669543773119604</t>
  </si>
  <si>
    <t>VXK6 Comdty</t>
  </si>
  <si>
    <t>0.1088646967340591</t>
  </si>
  <si>
    <t>0.1025236593059938</t>
  </si>
  <si>
    <t>0.10675039246467813</t>
  </si>
  <si>
    <t>0.11345218800648298</t>
  </si>
  <si>
    <t>0.11520000000000005</t>
  </si>
  <si>
    <t>0.1109445277361318</t>
  </si>
  <si>
    <t>0.11420204978038064</t>
  </si>
  <si>
    <t>0.14756671899529028</t>
  </si>
  <si>
    <t>0.17875210792580115</t>
  </si>
  <si>
    <t>0.1771720613287903</t>
  </si>
  <si>
    <t>0.1595925297113752</t>
  </si>
  <si>
    <t>0.17359855334538896</t>
  </si>
  <si>
    <t>0.22452830188679257</t>
  </si>
  <si>
    <t>0.32673667205169626</t>
  </si>
  <si>
    <t>VXM6 Comdty</t>
  </si>
  <si>
    <t>0.1013412816691507</t>
  </si>
  <si>
    <t>0.11437403400309105</t>
  </si>
  <si>
    <t>0.12018489984591674</t>
  </si>
  <si>
    <t>0.13186813186813173</t>
  </si>
  <si>
    <t>0.13893376413570277</t>
  </si>
  <si>
    <t>0.12139605462822457</t>
  </si>
  <si>
    <t>0.12444444444444452</t>
  </si>
  <si>
    <t>0.15213946117274169</t>
  </si>
  <si>
    <t>0.1383458646616542</t>
  </si>
  <si>
    <t>0.13037037037037033</t>
  </si>
  <si>
    <t>0.14050822122570988</t>
  </si>
  <si>
    <t>0.16534181240063592</t>
  </si>
  <si>
    <t>0.1647819063004846</t>
  </si>
  <si>
    <t>0.17900172117039584</t>
  </si>
  <si>
    <t>0.1504000000000001</t>
  </si>
  <si>
    <t>0.14778325123152722</t>
  </si>
  <si>
    <t>0.13858267716535427</t>
  </si>
  <si>
    <t>0.15206611570247938</t>
  </si>
  <si>
    <t>0.1669367909238249</t>
  </si>
  <si>
    <t>0.13750786658275638</t>
  </si>
  <si>
    <t>VXN6 Comdty</t>
  </si>
  <si>
    <t>0.1062215477996965</t>
  </si>
  <si>
    <t>0.12638230647709323</t>
  </si>
  <si>
    <t>0.14634146341463414</t>
  </si>
  <si>
    <t>0.14402618657937813</t>
  </si>
  <si>
    <t>0.14729950900163655</t>
  </si>
  <si>
    <t>0.1585160202360878</t>
  </si>
  <si>
    <t>0.16298811544991515</t>
  </si>
  <si>
    <t>0.1658031088082902</t>
  </si>
  <si>
    <t>0.14601018675721564</t>
  </si>
  <si>
    <t>0.1268781302170284</t>
  </si>
  <si>
    <t>0.10985460420032317</t>
  </si>
  <si>
    <t>0.051355206847361036</t>
  </si>
  <si>
    <t>VXQ6 Comdty</t>
  </si>
  <si>
    <t>0.019975031210986375</t>
  </si>
  <si>
    <t>0.034805890227576894</t>
  </si>
  <si>
    <t>0.026490066225165563</t>
  </si>
  <si>
    <t>0.10200927357032448</t>
  </si>
  <si>
    <t>0.10989010989010989</t>
  </si>
  <si>
    <t>0.1353637901861251</t>
  </si>
  <si>
    <t>0.1435897435897437</t>
  </si>
  <si>
    <t>0.13660245183887923</t>
  </si>
  <si>
    <t>0.14973262032085558</t>
  </si>
  <si>
    <t>0.18083182640144665</t>
  </si>
  <si>
    <t>0.2026768642447419</t>
  </si>
  <si>
    <t>0.2822085889570553</t>
  </si>
  <si>
    <t>0.3317555938037866</t>
  </si>
  <si>
    <t>VXU6 Comdty</t>
  </si>
  <si>
    <t>0.12322274881516583</t>
  </si>
  <si>
    <t>0.13983739837398365</t>
  </si>
  <si>
    <t>0.1468189233278956</t>
  </si>
  <si>
    <t>0.15156507413509065</t>
  </si>
  <si>
    <t>0.1692047377326564</t>
  </si>
  <si>
    <t>0.17739130434782613</t>
  </si>
  <si>
    <t>0.18806509945750463</t>
  </si>
  <si>
    <t>0.1908256880733946</t>
  </si>
  <si>
    <t>0.16871704745166963</t>
  </si>
  <si>
    <t>0.17721518987341767</t>
  </si>
  <si>
    <t>0.18249534450651764</t>
  </si>
  <si>
    <t>0.19029126213592226</t>
  </si>
  <si>
    <t>0.21242484969939884</t>
  </si>
  <si>
    <t>0.20202020202020202</t>
  </si>
  <si>
    <t>0.17864077669902917</t>
  </si>
  <si>
    <t>0.21501014198782967</t>
  </si>
  <si>
    <t>0.21267893660531695</t>
  </si>
  <si>
    <t>0.19493177387914232</t>
  </si>
  <si>
    <t>0.1582031249999999</t>
  </si>
  <si>
    <t>VXV6 Comdty</t>
  </si>
  <si>
    <t>0.1362862010221465</t>
  </si>
  <si>
    <t>0.13921901528013575</t>
  </si>
  <si>
    <t>0.1499148211243611</t>
  </si>
  <si>
    <t>0.1322314049586777</t>
  </si>
  <si>
    <t>0.13021702838063445</t>
  </si>
  <si>
    <t>0.1256198347107437</t>
  </si>
  <si>
    <t>0.1465076660988074</t>
  </si>
  <si>
    <t>0.15490533562822706</t>
  </si>
  <si>
    <t>0.14751286449399673</t>
  </si>
  <si>
    <t>0.14408233276157814</t>
  </si>
  <si>
    <t>0.1759425493716337</t>
  </si>
  <si>
    <t>0.18691588785046728</t>
  </si>
  <si>
    <t>0.1928166351606806</t>
  </si>
  <si>
    <t>0.1906542056074767</t>
  </si>
  <si>
    <t>0.10440456769983697</t>
  </si>
  <si>
    <t>0.030942334739803137</t>
  </si>
  <si>
    <t>0.027210884353741496</t>
  </si>
  <si>
    <t>VXX6 Comdty</t>
  </si>
  <si>
    <t>0.10114192495921702</t>
  </si>
  <si>
    <t>0.10247933884297525</t>
  </si>
  <si>
    <t>0.10350584307178624</t>
  </si>
  <si>
    <t>0.11243611584327076</t>
  </si>
  <si>
    <t>0.055130168453292626</t>
  </si>
  <si>
    <t>0.029368575624082235</t>
  </si>
  <si>
    <t>0.042105263157894694</t>
  </si>
  <si>
    <t>0.036308623298033374</t>
  </si>
  <si>
    <t>0.10405219780219771</t>
  </si>
  <si>
    <t>VXZ6 Comdty</t>
  </si>
  <si>
    <t>0.060995184590690164</t>
  </si>
  <si>
    <t>0.054400000000000094</t>
  </si>
  <si>
    <t>0.028571428571428657</t>
  </si>
  <si>
    <t>0.011611030478954966</t>
  </si>
  <si>
    <t>0.034321372854914246</t>
  </si>
  <si>
    <t>0.10362694300518135</t>
  </si>
  <si>
    <t>0.15719696969696978</t>
  </si>
  <si>
    <t>VXF7 Comdty</t>
  </si>
  <si>
    <t>0.10981697171381034</t>
  </si>
  <si>
    <t>0.11352253756260441</t>
  </si>
  <si>
    <t>0.12435233160621754</t>
  </si>
  <si>
    <t>0.12824956672443658</t>
  </si>
  <si>
    <t>0.1351819757365684</t>
  </si>
  <si>
    <t>0.12914485165794076</t>
  </si>
  <si>
    <t>0.12048192771084325</t>
  </si>
  <si>
    <t>0.11276948590381422</t>
  </si>
  <si>
    <t>0.1589648798521257</t>
  </si>
  <si>
    <t>0.17142857142857143</t>
  </si>
  <si>
    <t>0.16135084427767357</t>
  </si>
  <si>
    <t>0.15642458100558657</t>
  </si>
  <si>
    <t>0.16890595009596923</t>
  </si>
  <si>
    <t>0.16014897579143378</t>
  </si>
  <si>
    <t>0.16572504708097924</t>
  </si>
  <si>
    <t>0.14152700186219727</t>
  </si>
  <si>
    <t>0.15738963531669858</t>
  </si>
  <si>
    <t>0.17681728880157171</t>
  </si>
  <si>
    <t>0.1938144329896907</t>
  </si>
  <si>
    <t>0.22894168466522682</t>
  </si>
  <si>
    <t>0.25784753363228696</t>
  </si>
  <si>
    <t>VXG7 Comdty</t>
  </si>
  <si>
    <t>0.11908931698774075</t>
  </si>
  <si>
    <t>0.12259194395796835</t>
  </si>
  <si>
    <t>0.13059033989266555</t>
  </si>
  <si>
    <t>0.1094017094017095</t>
  </si>
  <si>
    <t>0.10455311973018555</t>
  </si>
  <si>
    <t>0.13067150635208705</t>
  </si>
  <si>
    <t>0.13662239089184053</t>
  </si>
  <si>
    <t>0.13819577735124752</t>
  </si>
  <si>
    <t>0.1398058252427185</t>
  </si>
  <si>
    <t>0.12379110251450673</t>
  </si>
  <si>
    <t>0.12427184466019414</t>
  </si>
  <si>
    <t>0.1357285429141716</t>
  </si>
  <si>
    <t>0.14829659318637273</t>
  </si>
  <si>
    <t>0.16837782340862414</t>
  </si>
  <si>
    <t>0.16427104722792607</t>
  </si>
  <si>
    <t>VXH7 Comdty</t>
  </si>
  <si>
    <t>0.10126582278481015</t>
  </si>
  <si>
    <t>0.10313075506445675</t>
  </si>
  <si>
    <t>0.10364683301343568</t>
  </si>
  <si>
    <t>0.11394891944990186</t>
  </si>
  <si>
    <t>0.11439842209072972</t>
  </si>
  <si>
    <t>0.12774451097804387</t>
  </si>
  <si>
    <t>0.11262135922330091</t>
  </si>
  <si>
    <t>0.1083172147001933</t>
  </si>
  <si>
    <t>0.10256410256410248</t>
  </si>
  <si>
    <t>0.11623246492985981</t>
  </si>
  <si>
    <t>0.12024048096192386</t>
  </si>
  <si>
    <t>0.11133200795228632</t>
  </si>
  <si>
    <t>0.13721413721413725</t>
  </si>
  <si>
    <t>0.14072494669509597</t>
  </si>
  <si>
    <t>0.14442013129102832</t>
  </si>
  <si>
    <t>0.10067114093959731</t>
  </si>
  <si>
    <t>VXJ7 Comdty</t>
  </si>
  <si>
    <t>0.10246679316888042</t>
  </si>
  <si>
    <t>0.10586011342155012</t>
  </si>
  <si>
    <t>0.12569316081330864</t>
  </si>
  <si>
    <t>0.14446529080675427</t>
  </si>
  <si>
    <t>0.13935969868173256</t>
  </si>
  <si>
    <t>0.13308687615526793</t>
  </si>
  <si>
    <t>0.13559322033898297</t>
  </si>
  <si>
    <t>0.1318267419962335</t>
  </si>
  <si>
    <t>0.13645224171539963</t>
  </si>
  <si>
    <t>0.1380670611439842</t>
  </si>
  <si>
    <t>0.1465346534653465</t>
  </si>
  <si>
    <t>0.12915851272015658</t>
  </si>
  <si>
    <t>0.13373253493013962</t>
  </si>
  <si>
    <t>0.14432989690721648</t>
  </si>
  <si>
    <t>0.1148514851485148</t>
  </si>
  <si>
    <t>0.11812627291242356</t>
  </si>
  <si>
    <t>0.11320754716981128</t>
  </si>
  <si>
    <t>0.12738853503184713</t>
  </si>
  <si>
    <t>0.1333333333333334</t>
  </si>
  <si>
    <t>0.1314168377823408</t>
  </si>
  <si>
    <t>VXK7 Comdty</t>
  </si>
  <si>
    <t>0.048355899419729204</t>
  </si>
  <si>
    <t>0.046421663442940006</t>
  </si>
  <si>
    <t>0.042884990253411366</t>
  </si>
  <si>
    <t>0.022598870056497095</t>
  </si>
  <si>
    <t>0.011342155009451823</t>
  </si>
  <si>
    <t>0.014265831593597778</t>
  </si>
  <si>
    <t>VXM7 Comdty</t>
  </si>
  <si>
    <t>0.10503282275711152</t>
  </si>
  <si>
    <t>0.10690423162583529</t>
  </si>
  <si>
    <t>0.12471131639722878</t>
  </si>
  <si>
    <t>VXN7 Comdty</t>
  </si>
  <si>
    <t>0.11494252873563218</t>
  </si>
  <si>
    <t>0.13678804855275442</t>
  </si>
  <si>
    <t>VXQ7 Comdty</t>
  </si>
  <si>
    <t>0.054054054054054085</t>
  </si>
  <si>
    <t>0.049896049896049864</t>
  </si>
  <si>
    <t>0.031809145129224684</t>
  </si>
  <si>
    <t>0.030710172744721716</t>
  </si>
  <si>
    <t>0.039761431411530816</t>
  </si>
  <si>
    <t>0.11738148984198653</t>
  </si>
  <si>
    <t>0.13711583924349893</t>
  </si>
  <si>
    <t>0.16058394160583944</t>
  </si>
  <si>
    <t>0.13996043521266083</t>
  </si>
  <si>
    <t>VXU7 Comdty</t>
  </si>
  <si>
    <t>0.10893246187363835</t>
  </si>
  <si>
    <t>0.11428571428571435</t>
  </si>
  <si>
    <t>0.10596026490066235</t>
  </si>
  <si>
    <t>0.1252796420581654</t>
  </si>
  <si>
    <t>0.11973392461197335</t>
  </si>
  <si>
    <t>0.10643015521064295</t>
  </si>
  <si>
    <t>0.12362030905077266</t>
  </si>
  <si>
    <t>0.13303769401330376</t>
  </si>
  <si>
    <t>0.13033707865168534</t>
  </si>
  <si>
    <t>0.12147505422993495</t>
  </si>
  <si>
    <t>0.11513859275053302</t>
  </si>
  <si>
    <t>VXV7 Comdty</t>
  </si>
  <si>
    <t>0.010016694490818054</t>
  </si>
  <si>
    <t>0.035398230088495575</t>
  </si>
  <si>
    <t>0.13250517598343697</t>
  </si>
  <si>
    <t>0.12631578947368421</t>
  </si>
  <si>
    <t>0.1350762527233116</t>
  </si>
  <si>
    <t>0.16179775280898884</t>
  </si>
  <si>
    <t>0.16393442622950818</t>
  </si>
  <si>
    <t>0.14780600461893778</t>
  </si>
  <si>
    <t>0.24366767983789273</t>
  </si>
  <si>
    <t>VXX7 Comdty</t>
  </si>
  <si>
    <t>0.11563169164882223</t>
  </si>
  <si>
    <t>0.12307692307692311</t>
  </si>
  <si>
    <t>0.12803532008830032</t>
  </si>
  <si>
    <t>0.1524249422632795</t>
  </si>
  <si>
    <t>0.15704387990762136</t>
  </si>
  <si>
    <t>0.1348314606741573</t>
  </si>
  <si>
    <t>0.12814645308924472</t>
  </si>
  <si>
    <t>0.12993039443155455</t>
  </si>
  <si>
    <t>0.14184397163120568</t>
  </si>
  <si>
    <t>0.15571776155717756</t>
  </si>
  <si>
    <t>0.13625304136253044</t>
  </si>
  <si>
    <t>0.1301204819277108</t>
  </si>
  <si>
    <t>VXZ7 Comdty</t>
  </si>
  <si>
    <t>0.10337078651685397</t>
  </si>
  <si>
    <t>0.12300683371298403</t>
  </si>
  <si>
    <t>0.1351981351981353</t>
  </si>
  <si>
    <t>0.12873563218390807</t>
  </si>
  <si>
    <t>0.10786516853932578</t>
  </si>
  <si>
    <t>0.051867219917012444</t>
  </si>
  <si>
    <t>VXF8 Comdty</t>
  </si>
  <si>
    <t>0.11180124223602497</t>
  </si>
  <si>
    <t>0.11612903225806448</t>
  </si>
  <si>
    <t>0.12200435729847497</t>
  </si>
  <si>
    <t>0.12253829321663007</t>
  </si>
  <si>
    <t>0.13686534216335547</t>
  </si>
  <si>
    <t>0.12860310421286025</t>
  </si>
  <si>
    <t>0.12636165577342057</t>
  </si>
  <si>
    <t>0.11789473684210529</t>
  </si>
  <si>
    <t>0.1090146750524108</t>
  </si>
  <si>
    <t>0.10947368421052638</t>
  </si>
  <si>
    <t>0.1342281879194631</t>
  </si>
  <si>
    <t>0.13333333333333328</t>
  </si>
  <si>
    <t>0.1598062953995158</t>
  </si>
  <si>
    <t>0.15421686746987948</t>
  </si>
  <si>
    <t>0.13776722090261276</t>
  </si>
  <si>
    <t>0.14457831325301204</t>
  </si>
  <si>
    <t>0.1561712846347606</t>
  </si>
  <si>
    <t>0.1468354430379746</t>
  </si>
  <si>
    <t>0.12406947890818859</t>
  </si>
  <si>
    <t>0.30571428571428577</t>
  </si>
  <si>
    <t>VXG8 Comdty</t>
  </si>
  <si>
    <t>0.10114942528735629</t>
  </si>
  <si>
    <t>0.10772833723653381</t>
  </si>
  <si>
    <t>0.1182033096926714</t>
  </si>
  <si>
    <t>0.11933174224343676</t>
  </si>
  <si>
    <t>0.11455847255369939</t>
  </si>
  <si>
    <t>0.1030444964871194</t>
  </si>
  <si>
    <t>0.10501193317422432</t>
  </si>
  <si>
    <t>0.10401891252955096</t>
  </si>
  <si>
    <t>0.025477707006369334</t>
  </si>
  <si>
    <t>VXH8 Comdty</t>
  </si>
  <si>
    <t>0.057971014492753714</t>
  </si>
  <si>
    <t>0.054968287526427094</t>
  </si>
  <si>
    <t>0.022181146025877924</t>
  </si>
  <si>
    <t>0.014842300556586351</t>
  </si>
  <si>
    <t>0.011299435028248614</t>
  </si>
  <si>
    <t>VXJ8 Comdty</t>
  </si>
  <si>
    <t>0.028526148969889132</t>
  </si>
  <si>
    <t>0.024729520865533143</t>
  </si>
  <si>
    <t>0.012288786482335045</t>
  </si>
  <si>
    <t>VXK8 Comdty</t>
  </si>
  <si>
    <t>0.011157601115760071</t>
  </si>
  <si>
    <t>VXM8 Comdty</t>
  </si>
  <si>
    <t>0.015082956259426848</t>
  </si>
  <si>
    <t>0.011887072808320909</t>
  </si>
  <si>
    <t>0.024353120243531114</t>
  </si>
  <si>
    <t>0.031496062992125984</t>
  </si>
  <si>
    <t>0.053962900505902245</t>
  </si>
  <si>
    <t>0.030252100840336086</t>
  </si>
  <si>
    <t>VXN8 Comdty</t>
  </si>
  <si>
    <t>0.048695652173912994</t>
  </si>
  <si>
    <t>0.049733570159857986</t>
  </si>
  <si>
    <t>0.049557522123893756</t>
  </si>
  <si>
    <t>0.032948929159802305</t>
  </si>
  <si>
    <t>0.029173419773095576</t>
  </si>
  <si>
    <t>0.047882136279926366</t>
  </si>
  <si>
    <t>0.13488182559087214</t>
  </si>
  <si>
    <t>VXQ8 Comdty</t>
  </si>
  <si>
    <t>0.015748031496062992</t>
  </si>
  <si>
    <t>0.018720748829953244</t>
  </si>
  <si>
    <t>0.021374045801526805</t>
  </si>
  <si>
    <t>0.049382716049382665</t>
  </si>
  <si>
    <t>0.10019267822736036</t>
  </si>
  <si>
    <t>0.15257731958762882</t>
  </si>
  <si>
    <t>0.12479806138933763</t>
  </si>
  <si>
    <t>VXU8 Comdty</t>
  </si>
  <si>
    <t>0.059336823734729593</t>
  </si>
  <si>
    <t>0.059544658493870375</t>
  </si>
  <si>
    <t>0.10216110019646371</t>
  </si>
  <si>
    <t>0.023529411764705858</t>
  </si>
  <si>
    <t>0.10958904109589043</t>
  </si>
  <si>
    <t>0.13592233009708737</t>
  </si>
  <si>
    <t>0.12410785091197472</t>
  </si>
  <si>
    <t>VXV8 Comdty</t>
  </si>
  <si>
    <t>0.056013179571663775</t>
  </si>
  <si>
    <t>0.11650485436893204</t>
  </si>
  <si>
    <t>0.15324165029469558</t>
  </si>
  <si>
    <t>0.1955611390284758</t>
  </si>
  <si>
    <t>VXX8 Comdty</t>
  </si>
  <si>
    <t>0.016420361247947456</t>
  </si>
  <si>
    <t>VXZ8 Comdty</t>
  </si>
  <si>
    <t>0.011782032400589058</t>
  </si>
  <si>
    <t>VXF9 Comdty</t>
  </si>
  <si>
    <t>0.023778071334213963</t>
  </si>
  <si>
    <t>0.018641810918775044</t>
  </si>
  <si>
    <t>0.019204389574759825</t>
  </si>
  <si>
    <t>0.024489795918367308</t>
  </si>
  <si>
    <t>0.028288543140028287</t>
  </si>
  <si>
    <t>VXG9 Comdty</t>
  </si>
  <si>
    <t>0.023653088042050085</t>
  </si>
  <si>
    <t>0.013003901170351105</t>
  </si>
  <si>
    <t>VXH9 Comdty</t>
  </si>
  <si>
    <t>0.016371077762619413</t>
  </si>
  <si>
    <t>0.013679890560875515</t>
  </si>
  <si>
    <t>0.022253129346314245</t>
  </si>
  <si>
    <t>0.027231467473525138</t>
  </si>
  <si>
    <t>0.011644832605531254</t>
  </si>
  <si>
    <t>0.046224961479198766</t>
  </si>
  <si>
    <t>VXJ9 Comdty</t>
  </si>
  <si>
    <t>0.011816838995568643</t>
  </si>
  <si>
    <t>0.049423393739703454</t>
  </si>
  <si>
    <t>0.035313001605136486</t>
  </si>
  <si>
    <t>0.024883359253499358</t>
  </si>
  <si>
    <t>0.017991004497751165</t>
  </si>
  <si>
    <t>0.059900166389351105</t>
  </si>
  <si>
    <t>0.10053859964093347</t>
  </si>
  <si>
    <t>0.10389610389610393</t>
  </si>
  <si>
    <t>0.1624758220502901</t>
  </si>
  <si>
    <t>0.22469635627530368</t>
  </si>
  <si>
    <t>VXK9 Comdty</t>
  </si>
  <si>
    <t>0.052202283849918485</t>
  </si>
  <si>
    <t>0.023916292974588853</t>
  </si>
  <si>
    <t>0.1229656419529838</t>
  </si>
  <si>
    <t>0.15655577299412915</t>
  </si>
  <si>
    <t>0.16699801192842956</t>
  </si>
  <si>
    <t>0.1630218687872764</t>
  </si>
  <si>
    <t>0.2489325362937659</t>
  </si>
  <si>
    <t>VXM9 Comdty</t>
  </si>
  <si>
    <t>VXN9 Comdty</t>
  </si>
  <si>
    <t>0.017316017316017358</t>
  </si>
  <si>
    <t>0.035874439461883276</t>
  </si>
  <si>
    <t>0.020143884892086412</t>
  </si>
  <si>
    <t>0.014064697609001408</t>
  </si>
  <si>
    <t>0.022955523672883706</t>
  </si>
  <si>
    <t>0.011004126547455256</t>
  </si>
  <si>
    <t>0.029895366218236172</t>
  </si>
  <si>
    <t>0.1028192371475954</t>
  </si>
  <si>
    <t>VXQ9 Comdty</t>
  </si>
  <si>
    <t>0.037209302325581485</t>
  </si>
  <si>
    <t>0.10695187165775401</t>
  </si>
  <si>
    <t>0.11051693404634573</t>
  </si>
  <si>
    <t>0.13211009174311933</t>
  </si>
  <si>
    <t>0.15999999999999998</t>
  </si>
  <si>
    <t>0.18252427184466016</t>
  </si>
  <si>
    <t>0.19960861056751458</t>
  </si>
  <si>
    <t>0.23916469661150513</t>
  </si>
  <si>
    <t>VXU9 Comdty</t>
  </si>
  <si>
    <t>0.10086956521739125</t>
  </si>
  <si>
    <t>0.10017271157167539</t>
  </si>
  <si>
    <t>0.017167381974248764</t>
  </si>
  <si>
    <t>0.019746121297602136</t>
  </si>
  <si>
    <t>0.019310344827586284</t>
  </si>
  <si>
    <t>0.029294274300932132</t>
  </si>
  <si>
    <t>0.11164427383237359</t>
  </si>
  <si>
    <t>VXV9 Comdty</t>
  </si>
  <si>
    <t>0.025174825174825135</t>
  </si>
  <si>
    <t>0.012903225806451613</t>
  </si>
  <si>
    <t>0.029769959404600657</t>
  </si>
  <si>
    <t>0.018592297476759705</t>
  </si>
  <si>
    <t>0.10174880763116055</t>
  </si>
  <si>
    <t>0.13689482470784634</t>
  </si>
  <si>
    <t>0.1811965811965811</t>
  </si>
  <si>
    <t>0.1755593803786574</t>
  </si>
  <si>
    <t>VXX9 Comdty</t>
  </si>
  <si>
    <t>0.021080368906455788</t>
  </si>
  <si>
    <t>0.037685060565275874</t>
  </si>
  <si>
    <t>0.14218009478672985</t>
  </si>
  <si>
    <t>0.19277108433734932</t>
  </si>
  <si>
    <t>0.23853211009174313</t>
  </si>
  <si>
    <t>0.21371552975326577</t>
  </si>
  <si>
    <t>VXZ9 Comdty</t>
  </si>
  <si>
    <t>0.050974512743628055</t>
  </si>
  <si>
    <t>0.10016155088852982</t>
  </si>
  <si>
    <t>0.10016694490818043</t>
  </si>
  <si>
    <t>0.1097770154373929</t>
  </si>
  <si>
    <t>0.10186757215619707</t>
  </si>
  <si>
    <t>0.10316139767054901</t>
  </si>
  <si>
    <t>0.10490693739424696</t>
  </si>
  <si>
    <t>0.10598290598290604</t>
  </si>
  <si>
    <t>0.12433392539964476</t>
  </si>
  <si>
    <t>0.1405405405405405</t>
  </si>
  <si>
    <t>0.1323792486583184</t>
  </si>
  <si>
    <t>0.13843351548269583</t>
  </si>
  <si>
    <t>0.16570327552986516</t>
  </si>
  <si>
    <t>0.18540433925049307</t>
  </si>
  <si>
    <t>0.16443594646271514</t>
  </si>
  <si>
    <t>0.16641045349730985</t>
  </si>
  <si>
    <t>VXF0 Comdty</t>
  </si>
  <si>
    <t>0.11092985318107663</t>
  </si>
  <si>
    <t>0.13197969543147214</t>
  </si>
  <si>
    <t>0.15275310834813516</t>
  </si>
  <si>
    <t>0.15855855855855852</t>
  </si>
  <si>
    <t>0.16636528028933098</t>
  </si>
  <si>
    <t>0.1592920353982301</t>
  </si>
  <si>
    <t>0.12151067323481114</t>
  </si>
  <si>
    <t>0.10766721044045692</t>
  </si>
  <si>
    <t>0.11647254575707143</t>
  </si>
  <si>
    <t>0.10474631751227494</t>
  </si>
  <si>
    <t>0.12182741116751261</t>
  </si>
  <si>
    <t>0.16880733944954135</t>
  </si>
  <si>
    <t>0.20675944333996035</t>
  </si>
  <si>
    <t>0.19238476953907818</t>
  </si>
  <si>
    <t>0.2364470391993327</t>
  </si>
  <si>
    <t>VXG0 Comdty</t>
  </si>
  <si>
    <t>0.11282051282051273</t>
  </si>
  <si>
    <t>0.11167512690355332</t>
  </si>
  <si>
    <t>0.13425129087779697</t>
  </si>
  <si>
    <t>0.1411359724612736</t>
  </si>
  <si>
    <t>0.11916264090177131</t>
  </si>
  <si>
    <t>0.13675213675213677</t>
  </si>
  <si>
    <t>0.1456483126110125</t>
  </si>
  <si>
    <t>0.12100840336134458</t>
  </si>
  <si>
    <t>0.12606473594548537</t>
  </si>
  <si>
    <t>0.1375661375661375</t>
  </si>
  <si>
    <t>0.15779816513761472</t>
  </si>
  <si>
    <t>0.15837937384898715</t>
  </si>
  <si>
    <t>0.16698292220113845</t>
  </si>
  <si>
    <t>0.17408123791102514</t>
  </si>
  <si>
    <t>0.18687872763419494</t>
  </si>
  <si>
    <t>0.19161676646706588</t>
  </si>
  <si>
    <t>0.16634429400386835</t>
  </si>
  <si>
    <t>0.20245641838351836</t>
  </si>
  <si>
    <t>VXH0 Comdty</t>
  </si>
  <si>
    <t>0.012480499219968978</t>
  </si>
  <si>
    <t>0.025437201907790166</t>
  </si>
  <si>
    <t>0.025682182985553796</t>
  </si>
  <si>
    <t>0.019200000000000047</t>
  </si>
  <si>
    <t>0.050590219224283306</t>
  </si>
  <si>
    <t>VXJ0 Comdty</t>
  </si>
  <si>
    <t>0.023633677991137286</t>
  </si>
  <si>
    <t>0.010249426605504432</t>
  </si>
  <si>
    <t>VXK0 Comdty</t>
  </si>
  <si>
    <t>VXM0 Comdty</t>
  </si>
  <si>
    <t>0.047740835464620705</t>
  </si>
  <si>
    <t>0.018677042801556465</t>
  </si>
  <si>
    <t>0.043089430894309035</t>
  </si>
  <si>
    <t>0.059231590181430066</t>
  </si>
  <si>
    <t>VXN0 Comdty</t>
  </si>
  <si>
    <t>0.019339242546333648</t>
  </si>
  <si>
    <t>0.028691983122362916</t>
  </si>
  <si>
    <t>0.034393809114359415</t>
  </si>
  <si>
    <t>VXQ0 Comdty</t>
  </si>
  <si>
    <t>0.015467904098994584</t>
  </si>
  <si>
    <t>0.030769230769230747</t>
  </si>
  <si>
    <t>0.017988552739166008</t>
  </si>
  <si>
    <t>0.030482641828958584</t>
  </si>
  <si>
    <t>0.033085194375516956</t>
  </si>
  <si>
    <t>0.053866203301477004</t>
  </si>
  <si>
    <t>0.1132457027300302</t>
  </si>
  <si>
    <t>0.12310797174571143</t>
  </si>
  <si>
    <t>VXU0 Comdty</t>
  </si>
  <si>
    <t>0.1008403361344539</t>
  </si>
  <si>
    <t>0.10438024231127682</t>
  </si>
  <si>
    <t>0.11056268509378088</t>
  </si>
  <si>
    <t>0.12060301507537688</t>
  </si>
  <si>
    <t>0.12994923857868018</t>
  </si>
  <si>
    <t>0.14090431125131447</t>
  </si>
  <si>
    <t>0.13039117352056168</t>
  </si>
  <si>
    <t>0.15467239527389912</t>
  </si>
  <si>
    <t>0.1550053821313239</t>
  </si>
  <si>
    <t>0.15896885069817412</t>
  </si>
  <si>
    <t>0.18599311136624574</t>
  </si>
  <si>
    <t>0.1699196326061999</t>
  </si>
  <si>
    <t>0.20796867802855828</t>
  </si>
  <si>
    <t>VXV0 Comdty</t>
  </si>
  <si>
    <t>0.12946859903381647</t>
  </si>
  <si>
    <t>0.14079074252651874</t>
  </si>
  <si>
    <t>0.14520813165537272</t>
  </si>
  <si>
    <t>0.15701668302257113</t>
  </si>
  <si>
    <t>0.16490891658676896</t>
  </si>
  <si>
    <t>0.15911193339500465</t>
  </si>
  <si>
    <t>0.17532467532467538</t>
  </si>
  <si>
    <t>0.19192825112107628</t>
  </si>
  <si>
    <t>0.18358340688437774</t>
  </si>
  <si>
    <t>0.22337662337662348</t>
  </si>
  <si>
    <t>0.15202952029520292</t>
  </si>
  <si>
    <t>0.22006745362563235</t>
  </si>
  <si>
    <t>0.14557485525227457</t>
  </si>
  <si>
    <t>0.17092511013215864</t>
  </si>
  <si>
    <t>0.13553431798436139</t>
  </si>
  <si>
    <t>0.21082621082621086</t>
  </si>
  <si>
    <t>0.21963070942662774</t>
  </si>
  <si>
    <t>0.19901477832512318</t>
  </si>
  <si>
    <t>0.1686447166921898</t>
  </si>
  <si>
    <t>VXX0 Comdty</t>
  </si>
  <si>
    <t>0.026173979984603583</t>
  </si>
  <si>
    <t>0.032025620496397116</t>
  </si>
  <si>
    <t>VXZ0 Comdty</t>
  </si>
  <si>
    <t>0.028193832599118968</t>
  </si>
  <si>
    <t>0.036003600360036005</t>
  </si>
  <si>
    <t>0.030395136778115502</t>
  </si>
  <si>
    <t>0.10999553770638107</t>
  </si>
  <si>
    <t>VXF1 Comdty</t>
  </si>
  <si>
    <t>0.10526315789473684</t>
  </si>
  <si>
    <t>0.032119914346895075</t>
  </si>
  <si>
    <t>VXG1 Comdty</t>
  </si>
  <si>
    <t>0.030389363722697085</t>
  </si>
  <si>
    <t>0.032350142721217945</t>
  </si>
  <si>
    <t>0.10584343991179707</t>
  </si>
  <si>
    <t>VXH1 Comdty</t>
  </si>
  <si>
    <t>0.022950722382311942</t>
  </si>
  <si>
    <t>0.10385761575736568</t>
  </si>
  <si>
    <t>0.10584124850099377</t>
  </si>
  <si>
    <t>0.11370548580202114</t>
  </si>
  <si>
    <t>0.12590445572333242</t>
  </si>
  <si>
    <t>0.1492841588287078</t>
  </si>
  <si>
    <t>0.17534125935711137</t>
  </si>
  <si>
    <t>0.2115742951581036</t>
  </si>
  <si>
    <t>0.22989106384581334</t>
  </si>
  <si>
    <t>0.12231477422183265</t>
  </si>
  <si>
    <t>VXJ1 Comdty</t>
  </si>
  <si>
    <t>0.11039195091796271</t>
  </si>
  <si>
    <t>0.12465925770601805</t>
  </si>
  <si>
    <t>0.10607610672081727</t>
  </si>
  <si>
    <t>0.12442217552933571</t>
  </si>
  <si>
    <t>0.12584439908247236</t>
  </si>
  <si>
    <t>0.055656511269649045</t>
  </si>
  <si>
    <t>0.051418916463791244</t>
  </si>
  <si>
    <t>0.11455578452066116</t>
  </si>
  <si>
    <t>0.12579558217895925</t>
  </si>
  <si>
    <t>0.1272751898358106</t>
  </si>
  <si>
    <t>0.15620762769703989</t>
  </si>
  <si>
    <t>0.1929046894122564</t>
  </si>
  <si>
    <t>0.20715447480974275</t>
  </si>
  <si>
    <t>0.1058894230769231</t>
  </si>
  <si>
    <t>VXK1 Comdty</t>
  </si>
  <si>
    <t>0.10187750218581744</t>
  </si>
  <si>
    <t>0.10952807331718105</t>
  </si>
  <si>
    <t>0.12528192896201454</t>
  </si>
  <si>
    <t>0.14741742651717576</t>
  </si>
  <si>
    <t>0.14226917501208064</t>
  </si>
  <si>
    <t>0.1581221963898836</t>
  </si>
  <si>
    <t>0.15660620258689747</t>
  </si>
  <si>
    <t>0.18317660022271062</t>
  </si>
  <si>
    <t>0.17369235203124353</t>
  </si>
  <si>
    <t>0.17237356289290373</t>
  </si>
  <si>
    <t>0.12867911175921865</t>
  </si>
  <si>
    <t>VXM1 Comdty</t>
  </si>
  <si>
    <t>0.10076461365954148</t>
  </si>
  <si>
    <t>0.10367590219292887</t>
  </si>
  <si>
    <t>0.10371823961080101</t>
  </si>
  <si>
    <t>0.12304487827812625</t>
  </si>
  <si>
    <t>0.061150476794810726</t>
  </si>
  <si>
    <t>0.11685623484151551</t>
  </si>
  <si>
    <t>0.11092468213580615</t>
  </si>
  <si>
    <t>VXN1 Comdty</t>
  </si>
  <si>
    <t>0.10444270047698634</t>
  </si>
  <si>
    <t>0.11212965007621094</t>
  </si>
  <si>
    <t>0.11206987656408515</t>
  </si>
  <si>
    <t>0.10890519275140645</t>
  </si>
  <si>
    <t>0.1221709720490382</t>
  </si>
  <si>
    <t>0.1341695065179548</t>
  </si>
  <si>
    <t>0.13019797555471144</t>
  </si>
  <si>
    <t>0.11525759397596268</t>
  </si>
  <si>
    <t>0.15026237790701133</t>
  </si>
  <si>
    <t>0.13894444276607967</t>
  </si>
  <si>
    <t>0.15953049588484877</t>
  </si>
  <si>
    <t>0.14402914381278709</t>
  </si>
  <si>
    <t>0.19798534798534811</t>
  </si>
  <si>
    <t>VXQ1 Comdty</t>
  </si>
  <si>
    <t>0.10866187993243591</t>
  </si>
  <si>
    <t>0.10127360859530615</t>
  </si>
  <si>
    <t>0.10068513553768238</t>
  </si>
  <si>
    <t>0.10307596923472197</t>
  </si>
  <si>
    <t>0.11853377972358127</t>
  </si>
  <si>
    <t>0.11615514063626887</t>
  </si>
  <si>
    <t>0.10292965603071327</t>
  </si>
  <si>
    <t>0.10510568745325087</t>
  </si>
  <si>
    <t>0.11509198592958056</t>
  </si>
  <si>
    <t>0.14208493319440682</t>
  </si>
  <si>
    <t>0.12864972764488938</t>
  </si>
  <si>
    <t>0.14993253944975662</t>
  </si>
  <si>
    <t>0.13163335237007423</t>
  </si>
  <si>
    <t>0.10799127950684101</t>
  </si>
  <si>
    <t>VXU1 Comdty</t>
  </si>
  <si>
    <t>0.062407312863151244</t>
  </si>
  <si>
    <t>0.10025437602317096</t>
  </si>
  <si>
    <t>0.10233056661609609</t>
  </si>
  <si>
    <t>0.1095367439473009</t>
  </si>
  <si>
    <t>0.12286748701358602</t>
  </si>
  <si>
    <t>0.13171947312210763</t>
  </si>
  <si>
    <t>0.13113165905195404</t>
  </si>
  <si>
    <t>0.14086503399440087</t>
  </si>
  <si>
    <t>0.17166736816787928</t>
  </si>
  <si>
    <t>0.18902690256907403</t>
  </si>
  <si>
    <t>0.14739428968012408</t>
  </si>
  <si>
    <t>0.1682346609257267</t>
  </si>
  <si>
    <t>VXV1 Comdty</t>
  </si>
  <si>
    <t>0.10695790524520601</t>
  </si>
  <si>
    <t>0.11491645078061936</t>
  </si>
  <si>
    <t>0.11752373839752496</t>
  </si>
  <si>
    <t>0.1227740424892057</t>
  </si>
  <si>
    <t>0.13083155886175718</t>
  </si>
  <si>
    <t>0.13806003384697607</t>
  </si>
  <si>
    <t>0.12039579791639433</t>
  </si>
  <si>
    <t>0.10987499601729041</t>
  </si>
  <si>
    <t>0.11540675057817952</t>
  </si>
  <si>
    <t>0.10228375560098292</t>
  </si>
  <si>
    <t>0.10540470515079295</t>
  </si>
  <si>
    <t>0.052950985346134516</t>
  </si>
  <si>
    <t>VXX1 Comdty</t>
  </si>
  <si>
    <t>0.046094166662867975</t>
  </si>
  <si>
    <t>0.029279452312052374</t>
  </si>
  <si>
    <t>0.058517704708537684</t>
  </si>
  <si>
    <t>0.1365345938391263</t>
  </si>
  <si>
    <t>0.1703634256698131</t>
  </si>
  <si>
    <t>0.1852328800096283</t>
  </si>
  <si>
    <t>0.2232425288292295</t>
  </si>
  <si>
    <t>0.25833876221498375</t>
  </si>
  <si>
    <t>VXZ1 Comdty</t>
  </si>
  <si>
    <t>0.10443530487707044</t>
  </si>
  <si>
    <t>0.1046247434769862</t>
  </si>
  <si>
    <t>0.1049998652327431</t>
  </si>
  <si>
    <t>0.1006015628230041</t>
  </si>
  <si>
    <t>0.11790695055843595</t>
  </si>
  <si>
    <t>0.12109077548151427</t>
  </si>
  <si>
    <t>0.13047353518225646</t>
  </si>
  <si>
    <t>0.14007450771687063</t>
  </si>
  <si>
    <t>0.15441494522966132</t>
  </si>
  <si>
    <t>0.15398095850977644</t>
  </si>
  <si>
    <t>0.11201674611309048</t>
  </si>
  <si>
    <t>0.10845386466246727</t>
  </si>
  <si>
    <t>0.1019518415246482</t>
  </si>
  <si>
    <t>0.10858370471458724</t>
  </si>
  <si>
    <t>0.15442468222893307</t>
  </si>
  <si>
    <t>0.16998311873937552</t>
  </si>
  <si>
    <t>0.19064116530052208</t>
  </si>
  <si>
    <t>0.24078947368421053</t>
  </si>
  <si>
    <t>VXF2 Comdty</t>
  </si>
  <si>
    <t>0.10468548013366166</t>
  </si>
  <si>
    <t>0.10348928641635552</t>
  </si>
  <si>
    <t>0.017648033999969823</t>
  </si>
  <si>
    <t>0.030802172347341988</t>
  </si>
  <si>
    <t>0.037233222304465886</t>
  </si>
  <si>
    <t>0.1052735190884779</t>
  </si>
  <si>
    <t>0.12469756282358893</t>
  </si>
  <si>
    <t>0.1253054542098027</t>
  </si>
  <si>
    <t>0.10321953236210238</t>
  </si>
  <si>
    <t>0.15177869342308048</t>
  </si>
  <si>
    <t>0.11738004181826185</t>
  </si>
  <si>
    <t>0.11888500220702354</t>
  </si>
  <si>
    <t>0.046601056168987076</t>
  </si>
  <si>
    <t>VXG2 Comdty</t>
  </si>
  <si>
    <t>0.10227709992450248</t>
  </si>
  <si>
    <t>0.10480227118237426</t>
  </si>
  <si>
    <t>0.10545078946444784</t>
  </si>
  <si>
    <t>0.11669928079493777</t>
  </si>
  <si>
    <t>0.13531270879954185</t>
  </si>
  <si>
    <t>0.12981472452462217</t>
  </si>
  <si>
    <t>0.10759206499947245</t>
  </si>
  <si>
    <t>0.12861786517700502</t>
  </si>
  <si>
    <t>0.1057202420297961</t>
  </si>
  <si>
    <t>VXH2 Comdty</t>
  </si>
  <si>
    <t>0.027864624199772214</t>
  </si>
  <si>
    <t>0.051011615331181995</t>
  </si>
  <si>
    <t>0.013077813964695768</t>
  </si>
  <si>
    <t>0.037383572706017644</t>
  </si>
  <si>
    <t>0.014918285945512953</t>
  </si>
  <si>
    <t>VXJ2 Comdty</t>
  </si>
  <si>
    <t>VXK2 Comdty</t>
  </si>
  <si>
    <t>0.015663862372962592</t>
  </si>
  <si>
    <t>0.012723913211847581</t>
  </si>
  <si>
    <t>0.027121105093791786</t>
  </si>
  <si>
    <t>0.028789266727736004</t>
  </si>
  <si>
    <t>0.1042653576250245</t>
  </si>
  <si>
    <t>0.049291213639785975</t>
  </si>
  <si>
    <t>0.11313590777770938</t>
  </si>
  <si>
    <t>0.1326059113300493</t>
  </si>
  <si>
    <t>VXM2 Comdty</t>
  </si>
  <si>
    <t>0.016417439539798132</t>
  </si>
  <si>
    <t>0.015623269081644074</t>
  </si>
  <si>
    <t>0.047488549025696686</t>
  </si>
  <si>
    <t>0.020014504269737856</t>
  </si>
  <si>
    <t>0.018121773679020948</t>
  </si>
  <si>
    <t>0.13871026011560697</t>
  </si>
  <si>
    <t>VXN2 Comdty</t>
  </si>
  <si>
    <t>0.016031550911698424</t>
  </si>
  <si>
    <t>0.025732727641619428</t>
  </si>
  <si>
    <t>0.022811285583393855</t>
  </si>
  <si>
    <t>0.040678158527124565</t>
  </si>
  <si>
    <t>0.028159156144394255</t>
  </si>
  <si>
    <t>VXQ2 Comdty</t>
  </si>
  <si>
    <t>0.023059412369855363</t>
  </si>
  <si>
    <t>0.014223646547677405</t>
  </si>
  <si>
    <t>0.017001076464256092</t>
  </si>
  <si>
    <t>0.021535380554086967</t>
  </si>
  <si>
    <t>0.035152415372793656</t>
  </si>
  <si>
    <t>0.039013035381750445</t>
  </si>
  <si>
    <t>0.037776024062299816</t>
  </si>
  <si>
    <t>0.040165560572166636</t>
  </si>
  <si>
    <t>VXU2 Comdty</t>
  </si>
  <si>
    <t>0.10465706801617987</t>
  </si>
  <si>
    <t>0.10534549218526802</t>
  </si>
  <si>
    <t>0.10930486755505932</t>
  </si>
  <si>
    <t>0.11501083226741314</t>
  </si>
  <si>
    <t>0.13582199157935967</t>
  </si>
  <si>
    <t>0.17192484225473242</t>
  </si>
  <si>
    <t>0.15769766285430145</t>
  </si>
  <si>
    <t>VXV2 Comdty</t>
  </si>
  <si>
    <t>0.052072229986340375</t>
  </si>
  <si>
    <t>0.044373409520240936</t>
  </si>
  <si>
    <t>0.037075450237697774</t>
  </si>
  <si>
    <t>0.025080443532564185</t>
  </si>
  <si>
    <t>0.029033464198915632</t>
  </si>
  <si>
    <t>0.028623414713630068</t>
  </si>
  <si>
    <t>0.013888940329408628</t>
  </si>
  <si>
    <t>VXX2 Comdty</t>
  </si>
  <si>
    <t>VXZ2 Comdty</t>
  </si>
  <si>
    <t>0.014904902574251692</t>
  </si>
  <si>
    <t>0.024607581054218945</t>
  </si>
  <si>
    <t>0.014437855972536504</t>
  </si>
  <si>
    <t>0.016638034133096457</t>
  </si>
  <si>
    <t>0.012021810831772946</t>
  </si>
  <si>
    <t>0.013686650050286435</t>
  </si>
  <si>
    <t>VXF3 Comdty</t>
  </si>
  <si>
    <t>0.10122655279841397</t>
  </si>
  <si>
    <t>0.10921500183014471</t>
  </si>
  <si>
    <t>0.11622322329889856</t>
  </si>
  <si>
    <t>0.10466045386761683</t>
  </si>
  <si>
    <t>0.10527480826573261</t>
  </si>
  <si>
    <t>0.11504836814031288</t>
  </si>
  <si>
    <t>0.12825670808864081</t>
  </si>
  <si>
    <t>0.1261029706519022</t>
  </si>
  <si>
    <t>0.12055743344508442</t>
  </si>
  <si>
    <t>0.10461376736064718</t>
  </si>
  <si>
    <t>0.10002580690312786</t>
  </si>
  <si>
    <t>0.10052773040209305</t>
  </si>
  <si>
    <t>0.10415196993798542</t>
  </si>
  <si>
    <t>0.1248412213592421</t>
  </si>
  <si>
    <t>0.10366468676454108</t>
  </si>
  <si>
    <t>0.1140853068215669</t>
  </si>
  <si>
    <t>0.13644938271604945</t>
  </si>
  <si>
    <t>VXG3 Comdty</t>
  </si>
  <si>
    <t>0.057465334038307364</t>
  </si>
  <si>
    <t>0.036322972663460185</t>
  </si>
  <si>
    <t>0.054154638591724834</t>
  </si>
  <si>
    <t>0.13606076479832374</t>
  </si>
  <si>
    <t>VXH3 Comdty</t>
  </si>
  <si>
    <t>0.052619153159751096</t>
  </si>
  <si>
    <t>0.052736313420416986</t>
  </si>
  <si>
    <t>0.059012826443928065</t>
  </si>
  <si>
    <t>0.041195923803253036</t>
  </si>
  <si>
    <t>0.046871020600375624</t>
  </si>
  <si>
    <t>VXJ3 Comdty</t>
  </si>
  <si>
    <t>0.034994447201153134</t>
  </si>
  <si>
    <t>0.015056045342800098</t>
  </si>
  <si>
    <t>0.046982773143624465</t>
  </si>
  <si>
    <t>0.028903855682589904</t>
  </si>
  <si>
    <t>0.024978495335141897</t>
  </si>
  <si>
    <t>0.019977217935414415</t>
  </si>
  <si>
    <t>0.13636363636363638</t>
  </si>
  <si>
    <t>VXK3 Comdty</t>
  </si>
  <si>
    <t>0.011282385772552344</t>
  </si>
  <si>
    <t>0.060931065534790996</t>
  </si>
  <si>
    <t>0.12406407900780882</t>
  </si>
  <si>
    <t>0.14033534100039277</t>
  </si>
  <si>
    <t>0.15825074626865673</t>
  </si>
  <si>
    <t>VXM3 Comdty</t>
  </si>
  <si>
    <t>0.11488383835781604</t>
  </si>
  <si>
    <t>0.11555815421552089</t>
  </si>
  <si>
    <t>0.1015628060005482</t>
  </si>
  <si>
    <t>0.12177763150451752</t>
  </si>
  <si>
    <t>0.15542332705941067</t>
  </si>
  <si>
    <t>0.14503035339831483</t>
  </si>
  <si>
    <t>0.1099574978542104</t>
  </si>
  <si>
    <t>0.10250524954771204</t>
  </si>
  <si>
    <t>0.1068191716614473</t>
  </si>
  <si>
    <t>0.10226764410249398</t>
  </si>
  <si>
    <t>0.10101642405466194</t>
  </si>
  <si>
    <t>0.1032456781628967</t>
  </si>
  <si>
    <t>0.10827747248302601</t>
  </si>
  <si>
    <t>0.1271782484130107</t>
  </si>
  <si>
    <t>0.1291817087845968</t>
  </si>
  <si>
    <t>VXN3 Comdty</t>
  </si>
  <si>
    <t>0.10696140160388992</t>
  </si>
  <si>
    <t>0.11137842849697609</t>
  </si>
  <si>
    <t>0.12672767721055117</t>
  </si>
  <si>
    <t>0.13231591687215627</t>
  </si>
  <si>
    <t>0.13561850966181963</t>
  </si>
  <si>
    <t>0.12410584205068984</t>
  </si>
  <si>
    <t>0.11719356881278921</t>
  </si>
  <si>
    <t>0.12334551360129917</t>
  </si>
  <si>
    <t>0.13141759915248638</t>
  </si>
  <si>
    <t>0.14860512777615126</t>
  </si>
  <si>
    <t>0.1781909963352204</t>
  </si>
  <si>
    <t>0.2037946428571428</t>
  </si>
  <si>
    <t>VXQ3 Comdty</t>
  </si>
  <si>
    <t>0.10118021648793134</t>
  </si>
  <si>
    <t>0.10308254159262316</t>
  </si>
  <si>
    <t>0.12289058151251041</t>
  </si>
  <si>
    <t>0.14109585071859057</t>
  </si>
  <si>
    <t>0.14953646251551214</t>
  </si>
  <si>
    <t>0.16814911166081456</t>
  </si>
  <si>
    <t>0.2215821812596006</t>
  </si>
  <si>
    <t>VXU3 Comdty</t>
  </si>
  <si>
    <t>0.10135815902954087</t>
  </si>
  <si>
    <t>0.10317841559585285</t>
  </si>
  <si>
    <t>0.035858712787589425</t>
  </si>
  <si>
    <t>0.10573366984856808</t>
  </si>
  <si>
    <t>0.11050828470195914</t>
  </si>
  <si>
    <t>0.13011936196583507</t>
  </si>
  <si>
    <t>0.10637592137592136</t>
  </si>
  <si>
    <t>VXV3 Comdty</t>
  </si>
  <si>
    <t>0.018387890616712903</t>
  </si>
  <si>
    <t>0.044092508798391196</t>
  </si>
  <si>
    <t>0.11904846947887268</t>
  </si>
  <si>
    <t>0.13979459791007487</t>
  </si>
  <si>
    <t>0.10659659856308931</t>
  </si>
  <si>
    <t>0.1123990040504785</t>
  </si>
  <si>
    <t>0.10823447362990066</t>
  </si>
  <si>
    <t>0.15828080229226346</t>
  </si>
  <si>
    <t>VXX3 Comdty</t>
  </si>
  <si>
    <t>0.017820072172435992</t>
  </si>
  <si>
    <t>0.022736627867090513</t>
  </si>
  <si>
    <t>0.027992730348509062</t>
  </si>
  <si>
    <t>0.038492349364608214</t>
  </si>
  <si>
    <t>0.026734266678671174</t>
  </si>
  <si>
    <t>0.021231881647092908</t>
  </si>
  <si>
    <t>0.032844667841579404</t>
  </si>
  <si>
    <t>0.047185787029661364</t>
  </si>
  <si>
    <t>VXZ3 Comdty</t>
  </si>
  <si>
    <t>0.026138093872056883</t>
  </si>
  <si>
    <t>0.047510041373478695</t>
  </si>
  <si>
    <t>0.047168303922383185</t>
  </si>
  <si>
    <t>0.10320880722629844</t>
  </si>
  <si>
    <t>VXF4 Comdty</t>
  </si>
  <si>
    <t>0.10038781014747533</t>
  </si>
  <si>
    <t>0.10517731456415821</t>
  </si>
  <si>
    <t>0.10856403479031025</t>
  </si>
  <si>
    <t>0.1157607053588596</t>
  </si>
  <si>
    <t>0.12962829251386315</t>
  </si>
  <si>
    <t>0.12980441902632348</t>
  </si>
  <si>
    <t>0.12841514197414425</t>
  </si>
  <si>
    <t>0.1321742608770187</t>
  </si>
  <si>
    <t>0.1315835380656791</t>
  </si>
  <si>
    <t>0.13218525061686942</t>
  </si>
  <si>
    <t>0.12669014390678668</t>
  </si>
  <si>
    <t>0.1283759057308058</t>
  </si>
  <si>
    <t>0.13319502074688802</t>
  </si>
  <si>
    <t>0.1308724588136888</t>
  </si>
  <si>
    <t>0.12907650449343047</t>
  </si>
  <si>
    <t>0.1424643356427308</t>
  </si>
  <si>
    <t>0.1606562663764261</t>
  </si>
  <si>
    <t>0.16663246965357062</t>
  </si>
  <si>
    <t>0.15007964371627333</t>
  </si>
  <si>
    <t>0.1733106563229548</t>
  </si>
  <si>
    <t>0.17908452519005288</t>
  </si>
  <si>
    <t>0.19988717866064948</t>
  </si>
  <si>
    <t>0.28400487408610886</t>
  </si>
  <si>
    <t>VXG4 Comdty</t>
  </si>
  <si>
    <t>VXH4 Comdty</t>
  </si>
  <si>
    <t>0.016651325186478435</t>
  </si>
  <si>
    <t>VXJ4 Comdty</t>
  </si>
  <si>
    <t>0.049107056603530506</t>
  </si>
  <si>
    <t>0.059089578843749095</t>
  </si>
  <si>
    <t>0.061436441542542325</t>
  </si>
  <si>
    <t>0.055443991426465736</t>
  </si>
  <si>
    <t>0.057569989321695554</t>
  </si>
  <si>
    <t>0.027840508115737527</t>
  </si>
  <si>
    <t>VXK4 Comdty</t>
  </si>
  <si>
    <t>0.024067008616115434</t>
  </si>
  <si>
    <t>0.054552811552672255</t>
  </si>
  <si>
    <t>0.058260504928813496</t>
  </si>
  <si>
    <t>VXM4 Comdty</t>
  </si>
  <si>
    <t>0.015129811481398484</t>
  </si>
  <si>
    <t>0.020370741422126675</t>
  </si>
  <si>
    <t>0.025727670685815288</t>
  </si>
  <si>
    <t>0.014979564798960064</t>
  </si>
  <si>
    <t>0.032087712127005945</t>
  </si>
  <si>
    <t>0.018425118428949058</t>
  </si>
  <si>
    <t>0.023764809238545632</t>
  </si>
  <si>
    <t>0.041997985674341376</t>
  </si>
  <si>
    <t>0.055006082020389285</t>
  </si>
  <si>
    <t>0.054963673221763557</t>
  </si>
  <si>
    <t>0.13874166666666662</t>
  </si>
  <si>
    <t>VXN4 Comdty</t>
  </si>
  <si>
    <t>0.058753906221808434</t>
  </si>
  <si>
    <t>0.11246774347701428</t>
  </si>
  <si>
    <t>0.12528101204625103</t>
  </si>
  <si>
    <t>0.1125828836965163</t>
  </si>
  <si>
    <t>0.11856423075420844</t>
  </si>
  <si>
    <t>0.1538418079096044</t>
  </si>
  <si>
    <t>VXQ4 Comdty</t>
  </si>
  <si>
    <t>0.062128784837115224</t>
  </si>
  <si>
    <t>VXU4 Comdty</t>
  </si>
  <si>
    <t>0.037098932581093085</t>
  </si>
  <si>
    <t>0.026727689360263446</t>
  </si>
  <si>
    <t>0.020860756422310604</t>
  </si>
  <si>
    <t>0.030876157855919694</t>
  </si>
  <si>
    <t>0.026813002702897326</t>
  </si>
  <si>
    <t>0.010113286440261743</t>
  </si>
  <si>
    <t>VXV4 Comdty</t>
  </si>
  <si>
    <t>0.1195978717775362</t>
  </si>
  <si>
    <t>0.13375312331278338</t>
  </si>
  <si>
    <t>0.1261240358688156</t>
  </si>
  <si>
    <t>0.13336842240394367</t>
  </si>
  <si>
    <t>0.11013077614768589</t>
  </si>
  <si>
    <t>0.12066444515566269</t>
  </si>
  <si>
    <t>0.12919992213354106</t>
  </si>
  <si>
    <t>0.022228954813993076</t>
  </si>
  <si>
    <t>0.053051219473119124</t>
  </si>
  <si>
    <t>0.10678321259653954</t>
  </si>
  <si>
    <t>VXX4 Comdty</t>
  </si>
  <si>
    <t>VXZ4 Comdty</t>
  </si>
  <si>
    <t>0.012096335935452084</t>
  </si>
  <si>
    <t>0.017016306487103876</t>
  </si>
  <si>
    <t>0.015207185798877705</t>
  </si>
  <si>
    <t>0.015373085570437456</t>
  </si>
  <si>
    <t>0.018150150150150313</t>
  </si>
  <si>
    <t>VXF5 Comdty</t>
  </si>
  <si>
    <t>0.10941437493152195</t>
  </si>
  <si>
    <t>0.11666374995624927</t>
  </si>
  <si>
    <t>0.1060568016015745</t>
  </si>
  <si>
    <t>0.11014652989633034</t>
  </si>
  <si>
    <t>0.13298609652623186</t>
  </si>
  <si>
    <t>0.1313948161208368</t>
  </si>
  <si>
    <t>0.12116536951580674</t>
  </si>
  <si>
    <t>0.12989380735661282</t>
  </si>
  <si>
    <t>VXG5 Comdty</t>
  </si>
  <si>
    <t>0.017830739406153217</t>
  </si>
  <si>
    <t>0.053941130111710235</t>
  </si>
  <si>
    <t>0.058960013472297554</t>
  </si>
  <si>
    <t>0.023322290473232563</t>
  </si>
  <si>
    <t>0.021431168032213788</t>
  </si>
  <si>
    <t>0.024368358380785177</t>
  </si>
  <si>
    <t>0.019942449086365322</t>
  </si>
  <si>
    <t>0.014874894145245775</t>
  </si>
  <si>
    <t>0.019019008023901416</t>
  </si>
  <si>
    <t>0.056254246710729414</t>
  </si>
  <si>
    <t>VXH5 Comdty</t>
  </si>
  <si>
    <t>0.031955841549087885</t>
  </si>
  <si>
    <t>0.036143467791181404</t>
  </si>
  <si>
    <t>0.012433838801170424</t>
  </si>
  <si>
    <t>0.034901820613635545</t>
  </si>
  <si>
    <t>0.040395924100659425</t>
  </si>
  <si>
    <t>VXJ5 Comdty</t>
  </si>
  <si>
    <t>0.048454140882777864</t>
  </si>
  <si>
    <t>0.021764194812220437</t>
  </si>
  <si>
    <t>0.018350316328634552</t>
  </si>
  <si>
    <t>0.016614728732498103</t>
  </si>
  <si>
    <t>0.025902049774728795</t>
  </si>
  <si>
    <t>0.011524714404830754</t>
  </si>
  <si>
    <t>VXK5 Comdty</t>
  </si>
  <si>
    <t>0.024616635177292494</t>
  </si>
  <si>
    <t>VXM5 Comdty</t>
  </si>
  <si>
    <t>VXN5 Comdty</t>
  </si>
  <si>
    <t>0.010951570829080128</t>
  </si>
  <si>
    <t>0.041683586453341866</t>
  </si>
  <si>
    <t>0.044881108650560705</t>
  </si>
  <si>
    <t>0.10088860469218565</t>
  </si>
  <si>
    <t>0.025785554448184464</t>
  </si>
  <si>
    <t>0.056652530451907476</t>
  </si>
  <si>
    <t>VXQ5 Comdty</t>
  </si>
  <si>
    <t>0.035692091280030445</t>
  </si>
  <si>
    <t>0.12747485627978306</t>
  </si>
  <si>
    <t>0.13282398406752333</t>
  </si>
  <si>
    <t>0.12091852526703686</t>
  </si>
  <si>
    <t>0.12367560459335207</t>
  </si>
  <si>
    <t>0.16639784946236577</t>
  </si>
  <si>
    <t>VXU5 Comdty</t>
  </si>
  <si>
    <t>0.10813678463272826</t>
  </si>
  <si>
    <t>0.10647827156628119</t>
  </si>
  <si>
    <t>0.10984317152252389</t>
  </si>
  <si>
    <t>0.10462692087830801</t>
  </si>
  <si>
    <t>0.10523464292496565</t>
  </si>
  <si>
    <t>0.10660147243910302</t>
  </si>
  <si>
    <t>0.1038857742550193</t>
  </si>
  <si>
    <t>0.10102069236692508</t>
  </si>
  <si>
    <t>0.1115604835044987</t>
  </si>
  <si>
    <t>0.10729977862432441</t>
  </si>
  <si>
    <t>0.13590230021342192</t>
  </si>
  <si>
    <t>0.14177523755428548</t>
  </si>
  <si>
    <t>0.16717944846071073</t>
  </si>
  <si>
    <t>0.18242306094404145</t>
  </si>
  <si>
    <t>0.17924912245001778</t>
  </si>
  <si>
    <t>0.1711782530968289</t>
  </si>
  <si>
    <t>0.1754761562863073</t>
  </si>
  <si>
    <t>0.18759247242050608</t>
  </si>
  <si>
    <t>VXV5 Comdty</t>
  </si>
  <si>
    <t>0.12082953375496412</t>
  </si>
  <si>
    <t>0.12571398349904817</t>
  </si>
  <si>
    <t>0.13046361929802738</t>
  </si>
  <si>
    <t>0.13430151734745202</t>
  </si>
  <si>
    <t>0.14314967722564184</t>
  </si>
  <si>
    <t>0.1280074639920695</t>
  </si>
  <si>
    <t>0.1198955124516209</t>
  </si>
  <si>
    <t>0.13018285056053616</t>
  </si>
  <si>
    <t>0.1358925537171161</t>
  </si>
  <si>
    <t>0.13096477684822816</t>
  </si>
  <si>
    <t>0.1329927025143934</t>
  </si>
  <si>
    <t>0.1318470868422991</t>
  </si>
  <si>
    <t>0.14020481793272754</t>
  </si>
  <si>
    <t>0.15003866481757247</t>
  </si>
  <si>
    <t>0.15098635267559377</t>
  </si>
  <si>
    <t>0.1510478148839217</t>
  </si>
  <si>
    <t>0.14579529788740261</t>
  </si>
  <si>
    <t>0.12097099621689796</t>
  </si>
  <si>
    <t>VXX5 Comdty</t>
  </si>
  <si>
    <t>0.010704681215640622</t>
  </si>
  <si>
    <t>0.039666751586832666</t>
  </si>
  <si>
    <t>VXZ5 Comdty</t>
  </si>
  <si>
    <t>0.039658441016650274</t>
  </si>
  <si>
    <t>0.042510990161189054</t>
  </si>
  <si>
    <t>0.017632216441626394</t>
  </si>
  <si>
    <t>0.057873096889586834</t>
  </si>
  <si>
    <t>0.015463331438317232</t>
  </si>
  <si>
    <t>0.039743333967420316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</si>
</sst>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4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keli/Library/Containers/com.tencent.xinWeChat/Data/Documents/xwechat_files/wxid_c16c13g10vxe21_2968/msg/file/2025-12/dataOnFactor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9">
          <cell r="B9">
            <v>42382</v>
          </cell>
          <cell r="C9">
            <v>100</v>
          </cell>
        </row>
        <row r="9">
          <cell r="E9">
            <v>42373</v>
          </cell>
          <cell r="F9">
            <v>142.45</v>
          </cell>
        </row>
        <row r="9">
          <cell r="H9">
            <v>42373</v>
          </cell>
          <cell r="I9">
            <v>91.48</v>
          </cell>
        </row>
        <row r="9">
          <cell r="K9">
            <v>42373</v>
          </cell>
          <cell r="L9">
            <v>125.4</v>
          </cell>
        </row>
        <row r="9">
          <cell r="N9">
            <v>42382</v>
          </cell>
          <cell r="O9">
            <v>100</v>
          </cell>
        </row>
        <row r="10">
          <cell r="B10">
            <v>42383</v>
          </cell>
          <cell r="C10">
            <v>100.15</v>
          </cell>
        </row>
        <row r="10">
          <cell r="E10">
            <v>42374</v>
          </cell>
          <cell r="F10">
            <v>142.87</v>
          </cell>
        </row>
        <row r="10">
          <cell r="H10">
            <v>42374</v>
          </cell>
          <cell r="I10">
            <v>91.35</v>
          </cell>
        </row>
        <row r="10">
          <cell r="K10">
            <v>42374</v>
          </cell>
          <cell r="L10">
            <v>125.81</v>
          </cell>
        </row>
        <row r="10">
          <cell r="N10">
            <v>42383</v>
          </cell>
          <cell r="O10">
            <v>99.53</v>
          </cell>
        </row>
        <row r="11">
          <cell r="B11">
            <v>42384</v>
          </cell>
          <cell r="C11">
            <v>99.87</v>
          </cell>
        </row>
        <row r="11">
          <cell r="E11">
            <v>42375</v>
          </cell>
          <cell r="F11">
            <v>144.77</v>
          </cell>
        </row>
        <row r="11">
          <cell r="H11">
            <v>42375</v>
          </cell>
          <cell r="I11">
            <v>91.28</v>
          </cell>
        </row>
        <row r="11">
          <cell r="K11">
            <v>42375</v>
          </cell>
          <cell r="L11">
            <v>125.76</v>
          </cell>
        </row>
        <row r="11">
          <cell r="N11">
            <v>42384</v>
          </cell>
          <cell r="O11">
            <v>99.19</v>
          </cell>
        </row>
        <row r="12">
          <cell r="B12">
            <v>42388</v>
          </cell>
          <cell r="C12">
            <v>99.68</v>
          </cell>
        </row>
        <row r="12">
          <cell r="E12">
            <v>42376</v>
          </cell>
          <cell r="F12">
            <v>145.02</v>
          </cell>
        </row>
        <row r="12">
          <cell r="H12">
            <v>42376</v>
          </cell>
          <cell r="I12">
            <v>91.5</v>
          </cell>
        </row>
        <row r="12">
          <cell r="K12">
            <v>42376</v>
          </cell>
          <cell r="L12">
            <v>125.65</v>
          </cell>
        </row>
        <row r="12">
          <cell r="N12">
            <v>42388</v>
          </cell>
          <cell r="O12">
            <v>100.29</v>
          </cell>
        </row>
        <row r="13">
          <cell r="B13">
            <v>42389</v>
          </cell>
          <cell r="C13">
            <v>99.58</v>
          </cell>
        </row>
        <row r="13">
          <cell r="E13">
            <v>42377</v>
          </cell>
          <cell r="F13">
            <v>145.18</v>
          </cell>
        </row>
        <row r="13">
          <cell r="H13">
            <v>42377</v>
          </cell>
          <cell r="I13">
            <v>91.49</v>
          </cell>
        </row>
        <row r="13">
          <cell r="K13">
            <v>42377</v>
          </cell>
          <cell r="L13">
            <v>125.19</v>
          </cell>
        </row>
        <row r="13">
          <cell r="N13">
            <v>42389</v>
          </cell>
          <cell r="O13">
            <v>98.75</v>
          </cell>
        </row>
        <row r="14">
          <cell r="B14">
            <v>42390</v>
          </cell>
          <cell r="C14">
            <v>100.42</v>
          </cell>
        </row>
        <row r="14">
          <cell r="E14">
            <v>42380</v>
          </cell>
          <cell r="F14">
            <v>147.55</v>
          </cell>
        </row>
        <row r="14">
          <cell r="H14">
            <v>42380</v>
          </cell>
          <cell r="I14">
            <v>91.98</v>
          </cell>
        </row>
        <row r="14">
          <cell r="K14">
            <v>42380</v>
          </cell>
          <cell r="L14">
            <v>126.54</v>
          </cell>
        </row>
        <row r="14">
          <cell r="N14">
            <v>42390</v>
          </cell>
          <cell r="O14">
            <v>98.83</v>
          </cell>
        </row>
        <row r="15">
          <cell r="B15">
            <v>42391</v>
          </cell>
          <cell r="C15">
            <v>100.57</v>
          </cell>
        </row>
        <row r="15">
          <cell r="E15">
            <v>42381</v>
          </cell>
          <cell r="F15">
            <v>149.98</v>
          </cell>
        </row>
        <row r="15">
          <cell r="H15">
            <v>42381</v>
          </cell>
          <cell r="I15">
            <v>92.27</v>
          </cell>
        </row>
        <row r="15">
          <cell r="K15">
            <v>42381</v>
          </cell>
          <cell r="L15">
            <v>127.74</v>
          </cell>
        </row>
        <row r="15">
          <cell r="N15">
            <v>42391</v>
          </cell>
          <cell r="O15">
            <v>98.01</v>
          </cell>
        </row>
        <row r="16">
          <cell r="B16">
            <v>42394</v>
          </cell>
          <cell r="C16">
            <v>100.28</v>
          </cell>
        </row>
        <row r="16">
          <cell r="E16">
            <v>42382</v>
          </cell>
          <cell r="F16">
            <v>148.88</v>
          </cell>
        </row>
        <row r="16">
          <cell r="H16">
            <v>42382</v>
          </cell>
          <cell r="I16">
            <v>92.49</v>
          </cell>
        </row>
        <row r="16">
          <cell r="K16">
            <v>42382</v>
          </cell>
          <cell r="L16">
            <v>127.77</v>
          </cell>
        </row>
        <row r="16">
          <cell r="N16">
            <v>42394</v>
          </cell>
          <cell r="O16">
            <v>98.51</v>
          </cell>
        </row>
        <row r="17">
          <cell r="B17">
            <v>42395</v>
          </cell>
          <cell r="C17">
            <v>100.52</v>
          </cell>
        </row>
        <row r="17">
          <cell r="E17">
            <v>42383</v>
          </cell>
          <cell r="F17">
            <v>148.9</v>
          </cell>
        </row>
        <row r="17">
          <cell r="H17">
            <v>42383</v>
          </cell>
          <cell r="I17">
            <v>92.5</v>
          </cell>
        </row>
        <row r="17">
          <cell r="K17">
            <v>42383</v>
          </cell>
          <cell r="L17">
            <v>128.23</v>
          </cell>
        </row>
        <row r="17">
          <cell r="N17">
            <v>42395</v>
          </cell>
          <cell r="O17">
            <v>97.67</v>
          </cell>
        </row>
        <row r="18">
          <cell r="B18">
            <v>42396</v>
          </cell>
          <cell r="C18">
            <v>100.44</v>
          </cell>
        </row>
        <row r="18">
          <cell r="E18">
            <v>42384</v>
          </cell>
          <cell r="F18">
            <v>148.7</v>
          </cell>
        </row>
        <row r="18">
          <cell r="H18">
            <v>42384</v>
          </cell>
          <cell r="I18">
            <v>92.37</v>
          </cell>
        </row>
        <row r="18">
          <cell r="K18">
            <v>42384</v>
          </cell>
          <cell r="L18">
            <v>129.46</v>
          </cell>
        </row>
        <row r="18">
          <cell r="N18">
            <v>42396</v>
          </cell>
          <cell r="O18">
            <v>98.46</v>
          </cell>
        </row>
        <row r="19">
          <cell r="B19">
            <v>42397</v>
          </cell>
          <cell r="C19">
            <v>100.44</v>
          </cell>
        </row>
        <row r="19">
          <cell r="E19">
            <v>42387</v>
          </cell>
          <cell r="F19">
            <v>147.67</v>
          </cell>
        </row>
        <row r="19">
          <cell r="H19">
            <v>42387</v>
          </cell>
          <cell r="I19">
            <v>92.18</v>
          </cell>
        </row>
        <row r="19">
          <cell r="K19">
            <v>42387</v>
          </cell>
          <cell r="L19">
            <v>129.64</v>
          </cell>
        </row>
        <row r="19">
          <cell r="N19">
            <v>42397</v>
          </cell>
          <cell r="O19">
            <v>98.83</v>
          </cell>
        </row>
        <row r="20">
          <cell r="B20">
            <v>42398</v>
          </cell>
          <cell r="C20">
            <v>100.62</v>
          </cell>
        </row>
        <row r="20">
          <cell r="E20">
            <v>42388</v>
          </cell>
          <cell r="F20">
            <v>150.23</v>
          </cell>
        </row>
        <row r="20">
          <cell r="H20">
            <v>42388</v>
          </cell>
          <cell r="I20">
            <v>92.46</v>
          </cell>
        </row>
        <row r="20">
          <cell r="K20">
            <v>42388</v>
          </cell>
          <cell r="L20">
            <v>131.11</v>
          </cell>
        </row>
        <row r="20">
          <cell r="N20">
            <v>42398</v>
          </cell>
          <cell r="O20">
            <v>98.31</v>
          </cell>
        </row>
        <row r="21">
          <cell r="B21">
            <v>42401</v>
          </cell>
          <cell r="C21">
            <v>100.52</v>
          </cell>
        </row>
        <row r="21">
          <cell r="E21">
            <v>42389</v>
          </cell>
          <cell r="F21">
            <v>149.13</v>
          </cell>
        </row>
        <row r="21">
          <cell r="H21">
            <v>42389</v>
          </cell>
          <cell r="I21">
            <v>91.87</v>
          </cell>
        </row>
        <row r="21">
          <cell r="K21">
            <v>42389</v>
          </cell>
          <cell r="L21">
            <v>131.14</v>
          </cell>
        </row>
        <row r="21">
          <cell r="N21">
            <v>42401</v>
          </cell>
          <cell r="O21">
            <v>98.79</v>
          </cell>
        </row>
        <row r="22">
          <cell r="B22">
            <v>42402</v>
          </cell>
          <cell r="C22">
            <v>100.75</v>
          </cell>
        </row>
        <row r="22">
          <cell r="E22">
            <v>42390</v>
          </cell>
          <cell r="F22">
            <v>146.71</v>
          </cell>
        </row>
        <row r="22">
          <cell r="H22">
            <v>42390</v>
          </cell>
          <cell r="I22">
            <v>92.62</v>
          </cell>
        </row>
        <row r="22">
          <cell r="K22">
            <v>42390</v>
          </cell>
          <cell r="L22">
            <v>130.03</v>
          </cell>
        </row>
        <row r="22">
          <cell r="N22">
            <v>42402</v>
          </cell>
          <cell r="O22">
            <v>98.94</v>
          </cell>
        </row>
        <row r="23">
          <cell r="B23">
            <v>42403</v>
          </cell>
          <cell r="C23">
            <v>100.41</v>
          </cell>
        </row>
        <row r="23">
          <cell r="E23">
            <v>42391</v>
          </cell>
          <cell r="F23">
            <v>147.79</v>
          </cell>
        </row>
        <row r="23">
          <cell r="H23">
            <v>42391</v>
          </cell>
          <cell r="I23">
            <v>92.67</v>
          </cell>
        </row>
        <row r="23">
          <cell r="K23">
            <v>42391</v>
          </cell>
          <cell r="L23">
            <v>129.68</v>
          </cell>
        </row>
        <row r="23">
          <cell r="N23">
            <v>42403</v>
          </cell>
          <cell r="O23">
            <v>99.44</v>
          </cell>
        </row>
        <row r="24">
          <cell r="B24">
            <v>42404</v>
          </cell>
          <cell r="C24">
            <v>100.41</v>
          </cell>
        </row>
        <row r="24">
          <cell r="E24">
            <v>42394</v>
          </cell>
          <cell r="F24">
            <v>149.01</v>
          </cell>
        </row>
        <row r="24">
          <cell r="H24">
            <v>42394</v>
          </cell>
          <cell r="I24">
            <v>92.84</v>
          </cell>
        </row>
        <row r="24">
          <cell r="K24">
            <v>42394</v>
          </cell>
          <cell r="L24">
            <v>129.5</v>
          </cell>
        </row>
        <row r="24">
          <cell r="N24">
            <v>42404</v>
          </cell>
          <cell r="O24">
            <v>99.09</v>
          </cell>
        </row>
        <row r="25">
          <cell r="B25">
            <v>42405</v>
          </cell>
          <cell r="C25">
            <v>99.94</v>
          </cell>
        </row>
        <row r="25">
          <cell r="E25">
            <v>42395</v>
          </cell>
          <cell r="F25">
            <v>147.48</v>
          </cell>
        </row>
        <row r="25">
          <cell r="H25">
            <v>42395</v>
          </cell>
          <cell r="I25">
            <v>93.5</v>
          </cell>
        </row>
        <row r="25">
          <cell r="K25">
            <v>42395</v>
          </cell>
          <cell r="L25">
            <v>128.78</v>
          </cell>
        </row>
        <row r="25">
          <cell r="N25">
            <v>42405</v>
          </cell>
          <cell r="O25">
            <v>99.22</v>
          </cell>
        </row>
        <row r="26">
          <cell r="B26">
            <v>42408</v>
          </cell>
          <cell r="C26">
            <v>99.2</v>
          </cell>
        </row>
        <row r="26">
          <cell r="E26">
            <v>42396</v>
          </cell>
          <cell r="F26">
            <v>146.17</v>
          </cell>
        </row>
        <row r="26">
          <cell r="H26">
            <v>42396</v>
          </cell>
          <cell r="I26">
            <v>93.65</v>
          </cell>
        </row>
        <row r="26">
          <cell r="K26">
            <v>42396</v>
          </cell>
          <cell r="L26">
            <v>128.34</v>
          </cell>
        </row>
        <row r="26">
          <cell r="N26">
            <v>42408</v>
          </cell>
          <cell r="O26">
            <v>99.11</v>
          </cell>
        </row>
        <row r="27">
          <cell r="B27">
            <v>42409</v>
          </cell>
          <cell r="C27">
            <v>98.76</v>
          </cell>
        </row>
        <row r="27">
          <cell r="E27">
            <v>42397</v>
          </cell>
          <cell r="F27">
            <v>147.49</v>
          </cell>
        </row>
        <row r="27">
          <cell r="H27">
            <v>42397</v>
          </cell>
          <cell r="I27">
            <v>93.58</v>
          </cell>
        </row>
        <row r="27">
          <cell r="K27">
            <v>42397</v>
          </cell>
          <cell r="L27">
            <v>128.48</v>
          </cell>
        </row>
        <row r="27">
          <cell r="N27">
            <v>42409</v>
          </cell>
          <cell r="O27">
            <v>99.6</v>
          </cell>
        </row>
        <row r="28">
          <cell r="B28">
            <v>42410</v>
          </cell>
          <cell r="C28">
            <v>99.02</v>
          </cell>
        </row>
        <row r="28">
          <cell r="E28">
            <v>42398</v>
          </cell>
          <cell r="F28">
            <v>146.36</v>
          </cell>
        </row>
        <row r="28">
          <cell r="H28">
            <v>42398</v>
          </cell>
          <cell r="I28">
            <v>94.04</v>
          </cell>
        </row>
        <row r="28">
          <cell r="K28">
            <v>42398</v>
          </cell>
          <cell r="L28">
            <v>128.19</v>
          </cell>
        </row>
        <row r="28">
          <cell r="N28">
            <v>42410</v>
          </cell>
          <cell r="O28">
            <v>99.64</v>
          </cell>
        </row>
        <row r="29">
          <cell r="B29">
            <v>42411</v>
          </cell>
          <cell r="C29">
            <v>98.99</v>
          </cell>
        </row>
        <row r="29">
          <cell r="E29">
            <v>42401</v>
          </cell>
          <cell r="F29">
            <v>146.23</v>
          </cell>
        </row>
        <row r="29">
          <cell r="H29">
            <v>42401</v>
          </cell>
          <cell r="I29">
            <v>94.06</v>
          </cell>
        </row>
        <row r="29">
          <cell r="K29">
            <v>42401</v>
          </cell>
          <cell r="L29">
            <v>128.23</v>
          </cell>
        </row>
        <row r="29">
          <cell r="N29">
            <v>42411</v>
          </cell>
          <cell r="O29">
            <v>99.5</v>
          </cell>
        </row>
        <row r="30">
          <cell r="B30">
            <v>42412</v>
          </cell>
          <cell r="C30">
            <v>98.97</v>
          </cell>
        </row>
        <row r="30">
          <cell r="E30">
            <v>42402</v>
          </cell>
          <cell r="F30">
            <v>146.9</v>
          </cell>
        </row>
        <row r="30">
          <cell r="H30">
            <v>42402</v>
          </cell>
          <cell r="I30">
            <v>93.89</v>
          </cell>
        </row>
        <row r="30">
          <cell r="K30">
            <v>42402</v>
          </cell>
          <cell r="L30">
            <v>129.33</v>
          </cell>
        </row>
        <row r="30">
          <cell r="N30">
            <v>42412</v>
          </cell>
          <cell r="O30">
            <v>99.97</v>
          </cell>
        </row>
        <row r="31">
          <cell r="B31">
            <v>42416</v>
          </cell>
          <cell r="C31">
            <v>99</v>
          </cell>
        </row>
        <row r="31">
          <cell r="E31">
            <v>42403</v>
          </cell>
          <cell r="F31">
            <v>142.38</v>
          </cell>
        </row>
        <row r="31">
          <cell r="H31">
            <v>42403</v>
          </cell>
          <cell r="I31">
            <v>93.86</v>
          </cell>
        </row>
        <row r="31">
          <cell r="K31">
            <v>42403</v>
          </cell>
          <cell r="L31">
            <v>127.23</v>
          </cell>
        </row>
        <row r="31">
          <cell r="N31">
            <v>42416</v>
          </cell>
          <cell r="O31">
            <v>99.43</v>
          </cell>
        </row>
        <row r="32">
          <cell r="B32">
            <v>42417</v>
          </cell>
          <cell r="C32">
            <v>98.92</v>
          </cell>
        </row>
        <row r="32">
          <cell r="E32">
            <v>42404</v>
          </cell>
          <cell r="F32">
            <v>139.4</v>
          </cell>
        </row>
        <row r="32">
          <cell r="H32">
            <v>42404</v>
          </cell>
          <cell r="I32">
            <v>94.23</v>
          </cell>
        </row>
        <row r="32">
          <cell r="K32">
            <v>42404</v>
          </cell>
          <cell r="L32">
            <v>125.88</v>
          </cell>
        </row>
        <row r="32">
          <cell r="N32">
            <v>42417</v>
          </cell>
          <cell r="O32">
            <v>99.27</v>
          </cell>
        </row>
        <row r="33">
          <cell r="B33">
            <v>42418</v>
          </cell>
          <cell r="C33">
            <v>98.75</v>
          </cell>
        </row>
        <row r="33">
          <cell r="E33">
            <v>42405</v>
          </cell>
          <cell r="F33">
            <v>136.57</v>
          </cell>
        </row>
        <row r="33">
          <cell r="H33">
            <v>42405</v>
          </cell>
          <cell r="I33">
            <v>96.53</v>
          </cell>
        </row>
        <row r="33">
          <cell r="K33">
            <v>42405</v>
          </cell>
          <cell r="L33">
            <v>126.63</v>
          </cell>
        </row>
        <row r="33">
          <cell r="N33">
            <v>42418</v>
          </cell>
          <cell r="O33">
            <v>98.83</v>
          </cell>
        </row>
        <row r="34">
          <cell r="B34">
            <v>42419</v>
          </cell>
          <cell r="C34">
            <v>98.58</v>
          </cell>
        </row>
        <row r="34">
          <cell r="E34">
            <v>42408</v>
          </cell>
          <cell r="F34">
            <v>137.75</v>
          </cell>
        </row>
        <row r="34">
          <cell r="H34">
            <v>42408</v>
          </cell>
          <cell r="I34">
            <v>96.94</v>
          </cell>
        </row>
        <row r="34">
          <cell r="K34">
            <v>42408</v>
          </cell>
          <cell r="L34">
            <v>127.49</v>
          </cell>
        </row>
        <row r="34">
          <cell r="N34">
            <v>42419</v>
          </cell>
          <cell r="O34">
            <v>98.38</v>
          </cell>
        </row>
        <row r="35">
          <cell r="B35">
            <v>42422</v>
          </cell>
          <cell r="C35">
            <v>98.77</v>
          </cell>
        </row>
        <row r="35">
          <cell r="E35">
            <v>42409</v>
          </cell>
          <cell r="F35">
            <v>142.4</v>
          </cell>
        </row>
        <row r="35">
          <cell r="H35">
            <v>42409</v>
          </cell>
          <cell r="I35">
            <v>96.79</v>
          </cell>
        </row>
        <row r="35">
          <cell r="K35">
            <v>42409</v>
          </cell>
          <cell r="L35">
            <v>129.16</v>
          </cell>
        </row>
        <row r="35">
          <cell r="N35">
            <v>42422</v>
          </cell>
          <cell r="O35">
            <v>99.13</v>
          </cell>
        </row>
        <row r="36">
          <cell r="B36">
            <v>42423</v>
          </cell>
          <cell r="C36">
            <v>99.11</v>
          </cell>
        </row>
        <row r="36">
          <cell r="E36">
            <v>42410</v>
          </cell>
          <cell r="F36">
            <v>143.66</v>
          </cell>
        </row>
        <row r="36">
          <cell r="H36">
            <v>42410</v>
          </cell>
          <cell r="I36">
            <v>96.23</v>
          </cell>
        </row>
        <row r="36">
          <cell r="K36">
            <v>42410</v>
          </cell>
          <cell r="L36">
            <v>129.39</v>
          </cell>
        </row>
        <row r="36">
          <cell r="N36">
            <v>42423</v>
          </cell>
          <cell r="O36">
            <v>98.84</v>
          </cell>
        </row>
        <row r="37">
          <cell r="B37">
            <v>42424</v>
          </cell>
          <cell r="C37">
            <v>99.28</v>
          </cell>
        </row>
        <row r="37">
          <cell r="E37">
            <v>42411</v>
          </cell>
          <cell r="F37">
            <v>144.14</v>
          </cell>
        </row>
        <row r="37">
          <cell r="H37">
            <v>42411</v>
          </cell>
          <cell r="I37">
            <v>95.25</v>
          </cell>
        </row>
        <row r="37">
          <cell r="K37">
            <v>42411</v>
          </cell>
          <cell r="L37">
            <v>127.8</v>
          </cell>
        </row>
        <row r="37">
          <cell r="N37">
            <v>42424</v>
          </cell>
          <cell r="O37">
            <v>98.23</v>
          </cell>
        </row>
        <row r="38">
          <cell r="B38">
            <v>42425</v>
          </cell>
          <cell r="C38">
            <v>99.4</v>
          </cell>
        </row>
        <row r="38">
          <cell r="E38">
            <v>42412</v>
          </cell>
          <cell r="F38">
            <v>142.56</v>
          </cell>
        </row>
        <row r="38">
          <cell r="H38">
            <v>42412</v>
          </cell>
          <cell r="I38">
            <v>95.13</v>
          </cell>
        </row>
        <row r="38">
          <cell r="K38">
            <v>42412</v>
          </cell>
          <cell r="L38">
            <v>127.75</v>
          </cell>
        </row>
        <row r="38">
          <cell r="N38">
            <v>42425</v>
          </cell>
          <cell r="O38">
            <v>98.32</v>
          </cell>
        </row>
        <row r="39">
          <cell r="B39">
            <v>42426</v>
          </cell>
          <cell r="C39">
            <v>99.74</v>
          </cell>
        </row>
        <row r="39">
          <cell r="E39">
            <v>42415</v>
          </cell>
          <cell r="F39">
            <v>142.47</v>
          </cell>
        </row>
        <row r="39">
          <cell r="H39">
            <v>42415</v>
          </cell>
          <cell r="I39">
            <v>95.17</v>
          </cell>
        </row>
        <row r="39">
          <cell r="K39">
            <v>42415</v>
          </cell>
          <cell r="L39">
            <v>127.56</v>
          </cell>
        </row>
        <row r="39">
          <cell r="N39">
            <v>42426</v>
          </cell>
          <cell r="O39">
            <v>98.02</v>
          </cell>
        </row>
        <row r="40">
          <cell r="B40">
            <v>42429</v>
          </cell>
          <cell r="C40">
            <v>99.89</v>
          </cell>
        </row>
        <row r="40">
          <cell r="E40">
            <v>42416</v>
          </cell>
          <cell r="F40">
            <v>141.41</v>
          </cell>
        </row>
        <row r="40">
          <cell r="H40">
            <v>42416</v>
          </cell>
          <cell r="I40">
            <v>96.09</v>
          </cell>
        </row>
        <row r="40">
          <cell r="K40">
            <v>42416</v>
          </cell>
          <cell r="L40">
            <v>127.54</v>
          </cell>
        </row>
        <row r="40">
          <cell r="N40">
            <v>42429</v>
          </cell>
          <cell r="O40">
            <v>97.29</v>
          </cell>
        </row>
        <row r="41">
          <cell r="B41">
            <v>42430</v>
          </cell>
          <cell r="C41">
            <v>99.6</v>
          </cell>
        </row>
        <row r="41">
          <cell r="E41">
            <v>42417</v>
          </cell>
          <cell r="F41">
            <v>138.8</v>
          </cell>
        </row>
        <row r="41">
          <cell r="H41">
            <v>42417</v>
          </cell>
          <cell r="I41">
            <v>96.06</v>
          </cell>
        </row>
        <row r="41">
          <cell r="K41">
            <v>42417</v>
          </cell>
          <cell r="L41">
            <v>125.98</v>
          </cell>
        </row>
        <row r="41">
          <cell r="N41">
            <v>42430</v>
          </cell>
          <cell r="O41">
            <v>97.66</v>
          </cell>
        </row>
        <row r="42">
          <cell r="B42">
            <v>42431</v>
          </cell>
          <cell r="C42">
            <v>99.78</v>
          </cell>
        </row>
        <row r="42">
          <cell r="E42">
            <v>42418</v>
          </cell>
          <cell r="F42">
            <v>136.64</v>
          </cell>
        </row>
        <row r="42">
          <cell r="H42">
            <v>42418</v>
          </cell>
          <cell r="I42">
            <v>97.01</v>
          </cell>
        </row>
        <row r="42">
          <cell r="K42">
            <v>42418</v>
          </cell>
          <cell r="L42">
            <v>125.96</v>
          </cell>
        </row>
        <row r="42">
          <cell r="N42">
            <v>42431</v>
          </cell>
          <cell r="O42">
            <v>97.33</v>
          </cell>
        </row>
        <row r="43">
          <cell r="B43">
            <v>42432</v>
          </cell>
          <cell r="C43">
            <v>99.37</v>
          </cell>
        </row>
        <row r="43">
          <cell r="E43">
            <v>42419</v>
          </cell>
          <cell r="F43">
            <v>139.62</v>
          </cell>
        </row>
        <row r="43">
          <cell r="H43">
            <v>42419</v>
          </cell>
          <cell r="I43">
            <v>96.34</v>
          </cell>
        </row>
        <row r="43">
          <cell r="K43">
            <v>42419</v>
          </cell>
          <cell r="L43">
            <v>125.98</v>
          </cell>
        </row>
        <row r="43">
          <cell r="N43">
            <v>42432</v>
          </cell>
          <cell r="O43">
            <v>96.68</v>
          </cell>
        </row>
        <row r="44">
          <cell r="B44">
            <v>42433</v>
          </cell>
          <cell r="C44">
            <v>99.62</v>
          </cell>
        </row>
        <row r="44">
          <cell r="E44">
            <v>42422</v>
          </cell>
          <cell r="F44">
            <v>137.94</v>
          </cell>
        </row>
        <row r="44">
          <cell r="H44">
            <v>42422</v>
          </cell>
          <cell r="I44">
            <v>96.43</v>
          </cell>
        </row>
        <row r="44">
          <cell r="K44">
            <v>42422</v>
          </cell>
          <cell r="L44">
            <v>125.45</v>
          </cell>
        </row>
        <row r="44">
          <cell r="N44">
            <v>42433</v>
          </cell>
          <cell r="O44">
            <v>95.95</v>
          </cell>
        </row>
        <row r="45">
          <cell r="B45">
            <v>42436</v>
          </cell>
          <cell r="C45">
            <v>100</v>
          </cell>
        </row>
        <row r="45">
          <cell r="E45">
            <v>42423</v>
          </cell>
          <cell r="F45">
            <v>138.96</v>
          </cell>
        </row>
        <row r="45">
          <cell r="H45">
            <v>42423</v>
          </cell>
          <cell r="I45">
            <v>96.67</v>
          </cell>
        </row>
        <row r="45">
          <cell r="K45">
            <v>42423</v>
          </cell>
          <cell r="L45">
            <v>125.83</v>
          </cell>
        </row>
        <row r="45">
          <cell r="N45">
            <v>42436</v>
          </cell>
          <cell r="O45">
            <v>94.61</v>
          </cell>
        </row>
        <row r="46">
          <cell r="B46">
            <v>42437</v>
          </cell>
          <cell r="C46">
            <v>99.69</v>
          </cell>
        </row>
        <row r="46">
          <cell r="E46">
            <v>42424</v>
          </cell>
          <cell r="F46">
            <v>139.24</v>
          </cell>
        </row>
        <row r="46">
          <cell r="H46">
            <v>42424</v>
          </cell>
          <cell r="I46">
            <v>96.7</v>
          </cell>
        </row>
        <row r="46">
          <cell r="K46">
            <v>42424</v>
          </cell>
          <cell r="L46">
            <v>126.24</v>
          </cell>
        </row>
        <row r="46">
          <cell r="N46">
            <v>42437</v>
          </cell>
          <cell r="O46">
            <v>96.1</v>
          </cell>
        </row>
        <row r="47">
          <cell r="B47">
            <v>42438</v>
          </cell>
          <cell r="C47">
            <v>99.84</v>
          </cell>
        </row>
        <row r="47">
          <cell r="E47">
            <v>42425</v>
          </cell>
          <cell r="F47">
            <v>140.28</v>
          </cell>
        </row>
        <row r="47">
          <cell r="H47">
            <v>42425</v>
          </cell>
          <cell r="I47">
            <v>96.9</v>
          </cell>
        </row>
        <row r="47">
          <cell r="K47">
            <v>42425</v>
          </cell>
          <cell r="L47">
            <v>125.84</v>
          </cell>
        </row>
        <row r="47">
          <cell r="N47">
            <v>42438</v>
          </cell>
          <cell r="O47">
            <v>95.64</v>
          </cell>
        </row>
        <row r="48">
          <cell r="B48">
            <v>42439</v>
          </cell>
          <cell r="C48">
            <v>99.65</v>
          </cell>
        </row>
        <row r="48">
          <cell r="E48">
            <v>42426</v>
          </cell>
          <cell r="F48">
            <v>139.34</v>
          </cell>
        </row>
        <row r="48">
          <cell r="H48">
            <v>42426</v>
          </cell>
          <cell r="I48">
            <v>97.23</v>
          </cell>
        </row>
        <row r="48">
          <cell r="K48">
            <v>42426</v>
          </cell>
          <cell r="L48">
            <v>125.17</v>
          </cell>
        </row>
        <row r="48">
          <cell r="N48">
            <v>42439</v>
          </cell>
          <cell r="O48">
            <v>96.6</v>
          </cell>
        </row>
        <row r="49">
          <cell r="B49">
            <v>42440</v>
          </cell>
          <cell r="C49">
            <v>99.84</v>
          </cell>
        </row>
        <row r="49">
          <cell r="E49">
            <v>42429</v>
          </cell>
          <cell r="F49">
            <v>138.89</v>
          </cell>
        </row>
        <row r="49">
          <cell r="H49">
            <v>42429</v>
          </cell>
          <cell r="I49">
            <v>97.5</v>
          </cell>
        </row>
        <row r="49">
          <cell r="K49">
            <v>42429</v>
          </cell>
          <cell r="L49">
            <v>124.34</v>
          </cell>
        </row>
        <row r="49">
          <cell r="N49">
            <v>42440</v>
          </cell>
          <cell r="O49">
            <v>96.27</v>
          </cell>
        </row>
        <row r="50">
          <cell r="B50">
            <v>42443</v>
          </cell>
          <cell r="C50">
            <v>99.38</v>
          </cell>
        </row>
        <row r="50">
          <cell r="E50">
            <v>42430</v>
          </cell>
          <cell r="F50">
            <v>139.33</v>
          </cell>
        </row>
        <row r="50">
          <cell r="H50">
            <v>42430</v>
          </cell>
          <cell r="I50">
            <v>97.75</v>
          </cell>
        </row>
        <row r="50">
          <cell r="K50">
            <v>42430</v>
          </cell>
          <cell r="L50">
            <v>124.76</v>
          </cell>
        </row>
        <row r="50">
          <cell r="N50">
            <v>42443</v>
          </cell>
          <cell r="O50">
            <v>96.37</v>
          </cell>
        </row>
        <row r="51">
          <cell r="B51">
            <v>42444</v>
          </cell>
          <cell r="C51">
            <v>99.48</v>
          </cell>
        </row>
        <row r="51">
          <cell r="E51">
            <v>42431</v>
          </cell>
          <cell r="F51">
            <v>135.78</v>
          </cell>
        </row>
        <row r="51">
          <cell r="H51">
            <v>42431</v>
          </cell>
          <cell r="I51">
            <v>97.44</v>
          </cell>
        </row>
        <row r="51">
          <cell r="K51">
            <v>42431</v>
          </cell>
          <cell r="L51">
            <v>122.14</v>
          </cell>
        </row>
        <row r="51">
          <cell r="N51">
            <v>42444</v>
          </cell>
          <cell r="O51">
            <v>97.34</v>
          </cell>
        </row>
        <row r="52">
          <cell r="B52">
            <v>42445</v>
          </cell>
          <cell r="C52">
            <v>99.87</v>
          </cell>
        </row>
        <row r="52">
          <cell r="E52">
            <v>42432</v>
          </cell>
          <cell r="F52">
            <v>132.7</v>
          </cell>
        </row>
        <row r="52">
          <cell r="H52">
            <v>42432</v>
          </cell>
          <cell r="I52">
            <v>97.11</v>
          </cell>
        </row>
        <row r="52">
          <cell r="K52">
            <v>42432</v>
          </cell>
          <cell r="L52">
            <v>121.19</v>
          </cell>
        </row>
        <row r="52">
          <cell r="N52">
            <v>42445</v>
          </cell>
          <cell r="O52">
            <v>96.82</v>
          </cell>
        </row>
        <row r="53">
          <cell r="B53">
            <v>42446</v>
          </cell>
          <cell r="C53">
            <v>99.77</v>
          </cell>
        </row>
        <row r="53">
          <cell r="E53">
            <v>42433</v>
          </cell>
          <cell r="F53">
            <v>130.15</v>
          </cell>
        </row>
        <row r="53">
          <cell r="H53">
            <v>42433</v>
          </cell>
          <cell r="I53">
            <v>96.65</v>
          </cell>
        </row>
        <row r="53">
          <cell r="K53">
            <v>42433</v>
          </cell>
          <cell r="L53">
            <v>120.29</v>
          </cell>
        </row>
        <row r="53">
          <cell r="N53">
            <v>42446</v>
          </cell>
          <cell r="O53">
            <v>95.87</v>
          </cell>
        </row>
        <row r="54">
          <cell r="B54">
            <v>42447</v>
          </cell>
          <cell r="C54">
            <v>99.51</v>
          </cell>
        </row>
        <row r="54">
          <cell r="E54">
            <v>42436</v>
          </cell>
          <cell r="F54">
            <v>126.63</v>
          </cell>
        </row>
        <row r="54">
          <cell r="H54">
            <v>42436</v>
          </cell>
          <cell r="I54">
            <v>97.03</v>
          </cell>
        </row>
        <row r="54">
          <cell r="K54">
            <v>42436</v>
          </cell>
          <cell r="L54">
            <v>118.39</v>
          </cell>
        </row>
        <row r="54">
          <cell r="N54">
            <v>42447</v>
          </cell>
          <cell r="O54">
            <v>95.7</v>
          </cell>
        </row>
        <row r="55">
          <cell r="B55">
            <v>42450</v>
          </cell>
          <cell r="C55">
            <v>99.49</v>
          </cell>
        </row>
        <row r="55">
          <cell r="E55">
            <v>42437</v>
          </cell>
          <cell r="F55">
            <v>131.02</v>
          </cell>
        </row>
        <row r="55">
          <cell r="H55">
            <v>42437</v>
          </cell>
          <cell r="I55">
            <v>97.85</v>
          </cell>
        </row>
        <row r="55">
          <cell r="K55">
            <v>42437</v>
          </cell>
          <cell r="L55">
            <v>120.68</v>
          </cell>
        </row>
        <row r="55">
          <cell r="N55">
            <v>42450</v>
          </cell>
          <cell r="O55">
            <v>96.18</v>
          </cell>
        </row>
        <row r="56">
          <cell r="B56">
            <v>42451</v>
          </cell>
          <cell r="C56">
            <v>99.41</v>
          </cell>
        </row>
        <row r="56">
          <cell r="E56">
            <v>42438</v>
          </cell>
          <cell r="F56">
            <v>131.32</v>
          </cell>
        </row>
        <row r="56">
          <cell r="H56">
            <v>42438</v>
          </cell>
          <cell r="I56">
            <v>98.24</v>
          </cell>
        </row>
        <row r="56">
          <cell r="K56">
            <v>42438</v>
          </cell>
          <cell r="L56">
            <v>120.1</v>
          </cell>
        </row>
        <row r="56">
          <cell r="N56">
            <v>42451</v>
          </cell>
          <cell r="O56">
            <v>96.1</v>
          </cell>
        </row>
        <row r="57">
          <cell r="B57">
            <v>42452</v>
          </cell>
          <cell r="C57">
            <v>99.7</v>
          </cell>
        </row>
        <row r="57">
          <cell r="E57">
            <v>42439</v>
          </cell>
          <cell r="F57">
            <v>130.61</v>
          </cell>
        </row>
        <row r="57">
          <cell r="H57">
            <v>42439</v>
          </cell>
          <cell r="I57">
            <v>98.57</v>
          </cell>
        </row>
        <row r="57">
          <cell r="K57">
            <v>42439</v>
          </cell>
          <cell r="L57">
            <v>119.81</v>
          </cell>
        </row>
        <row r="57">
          <cell r="N57">
            <v>42452</v>
          </cell>
          <cell r="O57">
            <v>96.92</v>
          </cell>
        </row>
        <row r="58">
          <cell r="B58">
            <v>42453</v>
          </cell>
          <cell r="C58">
            <v>99.78</v>
          </cell>
        </row>
        <row r="58">
          <cell r="E58">
            <v>42440</v>
          </cell>
          <cell r="F58">
            <v>129.68</v>
          </cell>
        </row>
        <row r="58">
          <cell r="H58">
            <v>42440</v>
          </cell>
          <cell r="I58">
            <v>98.43</v>
          </cell>
        </row>
        <row r="58">
          <cell r="K58">
            <v>42440</v>
          </cell>
          <cell r="L58">
            <v>119.71</v>
          </cell>
        </row>
        <row r="58">
          <cell r="N58">
            <v>42453</v>
          </cell>
          <cell r="O58">
            <v>96.42</v>
          </cell>
        </row>
        <row r="59">
          <cell r="B59">
            <v>42457</v>
          </cell>
          <cell r="C59">
            <v>99.98</v>
          </cell>
        </row>
        <row r="59">
          <cell r="E59">
            <v>42443</v>
          </cell>
          <cell r="F59">
            <v>130.16</v>
          </cell>
        </row>
        <row r="59">
          <cell r="H59">
            <v>42443</v>
          </cell>
          <cell r="I59">
            <v>98.29</v>
          </cell>
        </row>
        <row r="59">
          <cell r="K59">
            <v>42443</v>
          </cell>
          <cell r="L59">
            <v>119.77</v>
          </cell>
        </row>
        <row r="59">
          <cell r="N59">
            <v>42457</v>
          </cell>
          <cell r="O59">
            <v>96.46</v>
          </cell>
        </row>
        <row r="60">
          <cell r="B60">
            <v>42458</v>
          </cell>
          <cell r="C60">
            <v>100.07</v>
          </cell>
        </row>
        <row r="60">
          <cell r="E60">
            <v>42444</v>
          </cell>
          <cell r="F60">
            <v>133.72</v>
          </cell>
        </row>
        <row r="60">
          <cell r="H60">
            <v>42444</v>
          </cell>
          <cell r="I60">
            <v>98.16</v>
          </cell>
        </row>
        <row r="60">
          <cell r="K60">
            <v>42444</v>
          </cell>
          <cell r="L60">
            <v>120.67</v>
          </cell>
        </row>
        <row r="60">
          <cell r="N60">
            <v>42458</v>
          </cell>
          <cell r="O60">
            <v>94.66</v>
          </cell>
        </row>
        <row r="61">
          <cell r="B61">
            <v>42459</v>
          </cell>
          <cell r="C61">
            <v>99.99</v>
          </cell>
        </row>
        <row r="61">
          <cell r="E61">
            <v>42445</v>
          </cell>
          <cell r="F61">
            <v>132.37</v>
          </cell>
        </row>
        <row r="61">
          <cell r="H61">
            <v>42445</v>
          </cell>
          <cell r="I61">
            <v>97.99</v>
          </cell>
        </row>
        <row r="61">
          <cell r="K61">
            <v>42445</v>
          </cell>
          <cell r="L61">
            <v>119.65</v>
          </cell>
        </row>
        <row r="61">
          <cell r="N61">
            <v>42459</v>
          </cell>
          <cell r="O61">
            <v>95.05</v>
          </cell>
        </row>
        <row r="62">
          <cell r="B62">
            <v>42460</v>
          </cell>
          <cell r="C62">
            <v>99.96</v>
          </cell>
        </row>
        <row r="62">
          <cell r="E62">
            <v>42446</v>
          </cell>
          <cell r="F62">
            <v>130.74</v>
          </cell>
        </row>
        <row r="62">
          <cell r="H62">
            <v>42446</v>
          </cell>
          <cell r="I62">
            <v>98.11</v>
          </cell>
        </row>
        <row r="62">
          <cell r="K62">
            <v>42446</v>
          </cell>
          <cell r="L62">
            <v>118.83</v>
          </cell>
        </row>
        <row r="62">
          <cell r="N62">
            <v>42460</v>
          </cell>
          <cell r="O62">
            <v>94.57</v>
          </cell>
        </row>
        <row r="63">
          <cell r="B63">
            <v>42461</v>
          </cell>
          <cell r="C63">
            <v>99.46</v>
          </cell>
        </row>
        <row r="63">
          <cell r="E63">
            <v>42447</v>
          </cell>
          <cell r="F63">
            <v>129.69</v>
          </cell>
        </row>
        <row r="63">
          <cell r="H63">
            <v>42447</v>
          </cell>
          <cell r="I63">
            <v>98.44</v>
          </cell>
        </row>
        <row r="63">
          <cell r="K63">
            <v>42447</v>
          </cell>
          <cell r="L63">
            <v>119.59</v>
          </cell>
        </row>
        <row r="63">
          <cell r="N63">
            <v>42461</v>
          </cell>
          <cell r="O63">
            <v>94.71</v>
          </cell>
        </row>
        <row r="64">
          <cell r="B64">
            <v>42464</v>
          </cell>
          <cell r="C64">
            <v>99.21</v>
          </cell>
        </row>
        <row r="64">
          <cell r="E64">
            <v>42450</v>
          </cell>
          <cell r="F64">
            <v>129.72</v>
          </cell>
        </row>
        <row r="64">
          <cell r="H64">
            <v>42450</v>
          </cell>
          <cell r="I64">
            <v>98.02</v>
          </cell>
        </row>
        <row r="64">
          <cell r="K64">
            <v>42450</v>
          </cell>
          <cell r="L64">
            <v>119.75</v>
          </cell>
        </row>
        <row r="64">
          <cell r="N64">
            <v>42464</v>
          </cell>
          <cell r="O64">
            <v>95.28</v>
          </cell>
        </row>
        <row r="65">
          <cell r="B65">
            <v>42465</v>
          </cell>
          <cell r="C65">
            <v>99.14</v>
          </cell>
        </row>
        <row r="65">
          <cell r="E65">
            <v>42451</v>
          </cell>
          <cell r="F65">
            <v>129.78</v>
          </cell>
        </row>
        <row r="65">
          <cell r="H65">
            <v>42451</v>
          </cell>
          <cell r="I65">
            <v>97.7</v>
          </cell>
        </row>
        <row r="65">
          <cell r="K65">
            <v>42451</v>
          </cell>
          <cell r="L65">
            <v>119.79</v>
          </cell>
        </row>
        <row r="65">
          <cell r="N65">
            <v>42465</v>
          </cell>
          <cell r="O65">
            <v>95.29</v>
          </cell>
        </row>
        <row r="66">
          <cell r="B66">
            <v>42466</v>
          </cell>
          <cell r="C66">
            <v>98.9</v>
          </cell>
        </row>
        <row r="66">
          <cell r="E66">
            <v>42452</v>
          </cell>
          <cell r="F66">
            <v>132.47</v>
          </cell>
        </row>
        <row r="66">
          <cell r="H66">
            <v>42452</v>
          </cell>
          <cell r="I66">
            <v>97.96</v>
          </cell>
        </row>
        <row r="66">
          <cell r="K66">
            <v>42452</v>
          </cell>
          <cell r="L66">
            <v>122.18</v>
          </cell>
        </row>
        <row r="66">
          <cell r="N66">
            <v>42466</v>
          </cell>
          <cell r="O66">
            <v>95.14</v>
          </cell>
        </row>
        <row r="67">
          <cell r="B67">
            <v>42467</v>
          </cell>
          <cell r="C67">
            <v>99.02</v>
          </cell>
        </row>
        <row r="67">
          <cell r="E67">
            <v>42453</v>
          </cell>
          <cell r="F67">
            <v>132.18</v>
          </cell>
        </row>
        <row r="67">
          <cell r="H67">
            <v>42453</v>
          </cell>
          <cell r="I67">
            <v>97.16</v>
          </cell>
        </row>
        <row r="67">
          <cell r="K67">
            <v>42453</v>
          </cell>
          <cell r="L67">
            <v>121.59</v>
          </cell>
        </row>
        <row r="67">
          <cell r="N67">
            <v>42467</v>
          </cell>
          <cell r="O67">
            <v>95.25</v>
          </cell>
        </row>
        <row r="68">
          <cell r="B68">
            <v>42468</v>
          </cell>
          <cell r="C68">
            <v>99.09</v>
          </cell>
        </row>
        <row r="68">
          <cell r="E68">
            <v>42457</v>
          </cell>
          <cell r="F68">
            <v>132.93</v>
          </cell>
        </row>
        <row r="68">
          <cell r="H68">
            <v>42457</v>
          </cell>
          <cell r="I68">
            <v>97.6</v>
          </cell>
        </row>
        <row r="68">
          <cell r="K68">
            <v>42457</v>
          </cell>
          <cell r="L68">
            <v>122.02</v>
          </cell>
        </row>
        <row r="68">
          <cell r="N68">
            <v>42468</v>
          </cell>
          <cell r="O68">
            <v>95.06</v>
          </cell>
        </row>
        <row r="69">
          <cell r="B69">
            <v>42471</v>
          </cell>
          <cell r="C69">
            <v>99.21</v>
          </cell>
        </row>
        <row r="69">
          <cell r="E69">
            <v>42458</v>
          </cell>
          <cell r="F69">
            <v>132.48</v>
          </cell>
        </row>
        <row r="69">
          <cell r="H69">
            <v>42458</v>
          </cell>
          <cell r="I69">
            <v>97.14</v>
          </cell>
        </row>
        <row r="69">
          <cell r="K69">
            <v>42458</v>
          </cell>
          <cell r="L69">
            <v>121.34</v>
          </cell>
        </row>
        <row r="69">
          <cell r="N69">
            <v>42471</v>
          </cell>
          <cell r="O69">
            <v>94.9</v>
          </cell>
        </row>
        <row r="70">
          <cell r="B70">
            <v>42472</v>
          </cell>
          <cell r="C70">
            <v>99.37</v>
          </cell>
        </row>
        <row r="70">
          <cell r="E70">
            <v>42459</v>
          </cell>
          <cell r="F70">
            <v>132.95</v>
          </cell>
        </row>
        <row r="70">
          <cell r="H70">
            <v>42459</v>
          </cell>
          <cell r="I70">
            <v>97.22</v>
          </cell>
        </row>
        <row r="70">
          <cell r="K70">
            <v>42459</v>
          </cell>
          <cell r="L70">
            <v>120.71</v>
          </cell>
        </row>
        <row r="70">
          <cell r="N70">
            <v>42472</v>
          </cell>
          <cell r="O70">
            <v>94.97</v>
          </cell>
        </row>
        <row r="71">
          <cell r="B71">
            <v>42473</v>
          </cell>
          <cell r="C71">
            <v>99.13</v>
          </cell>
        </row>
        <row r="71">
          <cell r="E71">
            <v>42460</v>
          </cell>
          <cell r="F71">
            <v>132.29</v>
          </cell>
        </row>
        <row r="71">
          <cell r="H71">
            <v>42460</v>
          </cell>
          <cell r="I71">
            <v>96.83</v>
          </cell>
        </row>
        <row r="71">
          <cell r="K71">
            <v>42460</v>
          </cell>
          <cell r="L71">
            <v>120.94</v>
          </cell>
        </row>
        <row r="71">
          <cell r="N71">
            <v>42473</v>
          </cell>
          <cell r="O71">
            <v>94.35</v>
          </cell>
        </row>
        <row r="72">
          <cell r="B72">
            <v>42474</v>
          </cell>
          <cell r="C72">
            <v>99.23</v>
          </cell>
        </row>
        <row r="72">
          <cell r="E72">
            <v>42461</v>
          </cell>
          <cell r="F72">
            <v>132.98</v>
          </cell>
        </row>
        <row r="72">
          <cell r="H72">
            <v>42461</v>
          </cell>
          <cell r="I72">
            <v>96.18</v>
          </cell>
        </row>
        <row r="72">
          <cell r="K72">
            <v>42461</v>
          </cell>
          <cell r="L72">
            <v>121.14</v>
          </cell>
        </row>
        <row r="72">
          <cell r="N72">
            <v>42474</v>
          </cell>
          <cell r="O72">
            <v>94.81</v>
          </cell>
        </row>
        <row r="73">
          <cell r="B73">
            <v>42475</v>
          </cell>
          <cell r="C73">
            <v>99.13</v>
          </cell>
        </row>
        <row r="73">
          <cell r="E73">
            <v>42464</v>
          </cell>
          <cell r="F73">
            <v>133.8</v>
          </cell>
        </row>
        <row r="73">
          <cell r="H73">
            <v>42464</v>
          </cell>
          <cell r="I73">
            <v>95.6</v>
          </cell>
        </row>
        <row r="73">
          <cell r="K73">
            <v>42464</v>
          </cell>
          <cell r="L73">
            <v>120.63</v>
          </cell>
        </row>
        <row r="73">
          <cell r="N73">
            <v>42475</v>
          </cell>
          <cell r="O73">
            <v>94.41</v>
          </cell>
        </row>
        <row r="74">
          <cell r="B74">
            <v>42478</v>
          </cell>
          <cell r="C74">
            <v>99.17</v>
          </cell>
        </row>
        <row r="74">
          <cell r="E74">
            <v>42465</v>
          </cell>
          <cell r="F74">
            <v>134.14</v>
          </cell>
        </row>
        <row r="74">
          <cell r="H74">
            <v>42465</v>
          </cell>
          <cell r="I74">
            <v>95.32</v>
          </cell>
        </row>
        <row r="74">
          <cell r="K74">
            <v>42465</v>
          </cell>
          <cell r="L74">
            <v>120.83</v>
          </cell>
        </row>
        <row r="74">
          <cell r="N74">
            <v>42478</v>
          </cell>
          <cell r="O74">
            <v>94.43</v>
          </cell>
        </row>
        <row r="75">
          <cell r="B75">
            <v>42479</v>
          </cell>
          <cell r="C75">
            <v>99</v>
          </cell>
        </row>
        <row r="75">
          <cell r="E75">
            <v>42466</v>
          </cell>
          <cell r="F75">
            <v>134.41</v>
          </cell>
        </row>
        <row r="75">
          <cell r="H75">
            <v>42466</v>
          </cell>
          <cell r="I75">
            <v>94.55</v>
          </cell>
        </row>
        <row r="75">
          <cell r="K75">
            <v>42466</v>
          </cell>
          <cell r="L75">
            <v>120.47</v>
          </cell>
        </row>
        <row r="75">
          <cell r="N75">
            <v>42479</v>
          </cell>
          <cell r="O75">
            <v>94.75</v>
          </cell>
        </row>
        <row r="76">
          <cell r="B76">
            <v>42480</v>
          </cell>
          <cell r="C76">
            <v>99.02</v>
          </cell>
        </row>
        <row r="76">
          <cell r="E76">
            <v>42467</v>
          </cell>
          <cell r="F76">
            <v>134.63</v>
          </cell>
        </row>
        <row r="76">
          <cell r="H76">
            <v>42467</v>
          </cell>
          <cell r="I76">
            <v>94.64</v>
          </cell>
        </row>
        <row r="76">
          <cell r="K76">
            <v>42467</v>
          </cell>
          <cell r="L76">
            <v>120.11</v>
          </cell>
        </row>
        <row r="76">
          <cell r="N76">
            <v>42480</v>
          </cell>
          <cell r="O76">
            <v>94.83</v>
          </cell>
        </row>
        <row r="77">
          <cell r="B77">
            <v>42481</v>
          </cell>
          <cell r="C77">
            <v>99.21</v>
          </cell>
        </row>
        <row r="77">
          <cell r="E77">
            <v>42468</v>
          </cell>
          <cell r="F77">
            <v>134.85</v>
          </cell>
        </row>
        <row r="77">
          <cell r="H77">
            <v>42468</v>
          </cell>
          <cell r="I77">
            <v>94.51</v>
          </cell>
        </row>
        <row r="77">
          <cell r="K77">
            <v>42468</v>
          </cell>
          <cell r="L77">
            <v>118.99</v>
          </cell>
        </row>
        <row r="77">
          <cell r="N77">
            <v>42481</v>
          </cell>
          <cell r="O77">
            <v>95.11</v>
          </cell>
        </row>
        <row r="78">
          <cell r="B78">
            <v>42482</v>
          </cell>
          <cell r="C78">
            <v>99.29</v>
          </cell>
        </row>
        <row r="78">
          <cell r="E78">
            <v>42471</v>
          </cell>
          <cell r="F78">
            <v>134.29</v>
          </cell>
        </row>
        <row r="78">
          <cell r="H78">
            <v>42471</v>
          </cell>
          <cell r="I78">
            <v>94.75</v>
          </cell>
        </row>
        <row r="78">
          <cell r="K78">
            <v>42471</v>
          </cell>
          <cell r="L78">
            <v>118.11</v>
          </cell>
        </row>
        <row r="78">
          <cell r="N78">
            <v>42482</v>
          </cell>
          <cell r="O78">
            <v>94.36</v>
          </cell>
        </row>
        <row r="79">
          <cell r="B79">
            <v>42485</v>
          </cell>
          <cell r="C79">
            <v>99.47</v>
          </cell>
        </row>
        <row r="79">
          <cell r="E79">
            <v>42472</v>
          </cell>
          <cell r="F79">
            <v>134.14</v>
          </cell>
        </row>
        <row r="79">
          <cell r="H79">
            <v>42472</v>
          </cell>
          <cell r="I79">
            <v>94.52</v>
          </cell>
        </row>
        <row r="79">
          <cell r="K79">
            <v>42472</v>
          </cell>
          <cell r="L79">
            <v>117.74</v>
          </cell>
        </row>
        <row r="79">
          <cell r="N79">
            <v>42485</v>
          </cell>
          <cell r="O79">
            <v>94.62</v>
          </cell>
        </row>
        <row r="80">
          <cell r="B80">
            <v>42486</v>
          </cell>
          <cell r="C80">
            <v>99.39</v>
          </cell>
        </row>
        <row r="80">
          <cell r="E80">
            <v>42473</v>
          </cell>
          <cell r="F80">
            <v>132.82</v>
          </cell>
        </row>
        <row r="80">
          <cell r="H80">
            <v>42473</v>
          </cell>
          <cell r="I80">
            <v>95.05</v>
          </cell>
        </row>
        <row r="80">
          <cell r="K80">
            <v>42473</v>
          </cell>
          <cell r="L80">
            <v>118.23</v>
          </cell>
        </row>
        <row r="80">
          <cell r="N80">
            <v>42486</v>
          </cell>
          <cell r="O80">
            <v>94.02</v>
          </cell>
        </row>
        <row r="81">
          <cell r="B81">
            <v>42487</v>
          </cell>
          <cell r="C81">
            <v>99.58</v>
          </cell>
        </row>
        <row r="81">
          <cell r="E81">
            <v>42474</v>
          </cell>
          <cell r="F81">
            <v>132.86</v>
          </cell>
        </row>
        <row r="81">
          <cell r="H81">
            <v>42474</v>
          </cell>
          <cell r="I81">
            <v>94.27</v>
          </cell>
        </row>
        <row r="81">
          <cell r="K81">
            <v>42474</v>
          </cell>
          <cell r="L81">
            <v>118.8</v>
          </cell>
        </row>
        <row r="81">
          <cell r="N81">
            <v>42487</v>
          </cell>
          <cell r="O81">
            <v>93.79</v>
          </cell>
        </row>
        <row r="82">
          <cell r="B82">
            <v>42488</v>
          </cell>
          <cell r="C82">
            <v>99.03</v>
          </cell>
        </row>
        <row r="82">
          <cell r="E82">
            <v>42475</v>
          </cell>
          <cell r="F82">
            <v>132.19</v>
          </cell>
        </row>
        <row r="82">
          <cell r="H82">
            <v>42475</v>
          </cell>
          <cell r="I82">
            <v>93.96</v>
          </cell>
        </row>
        <row r="82">
          <cell r="K82">
            <v>42475</v>
          </cell>
          <cell r="L82">
            <v>118.79</v>
          </cell>
        </row>
        <row r="82">
          <cell r="N82">
            <v>42488</v>
          </cell>
          <cell r="O82">
            <v>93.95</v>
          </cell>
        </row>
        <row r="83">
          <cell r="B83">
            <v>42489</v>
          </cell>
          <cell r="C83">
            <v>98.76</v>
          </cell>
        </row>
        <row r="83">
          <cell r="E83">
            <v>42478</v>
          </cell>
          <cell r="F83">
            <v>132.61</v>
          </cell>
        </row>
        <row r="83">
          <cell r="H83">
            <v>42478</v>
          </cell>
          <cell r="I83">
            <v>93.89</v>
          </cell>
        </row>
        <row r="83">
          <cell r="K83">
            <v>42478</v>
          </cell>
          <cell r="L83">
            <v>118.56</v>
          </cell>
        </row>
        <row r="83">
          <cell r="N83">
            <v>42489</v>
          </cell>
          <cell r="O83">
            <v>94.02</v>
          </cell>
        </row>
        <row r="84">
          <cell r="B84">
            <v>42492</v>
          </cell>
          <cell r="C84">
            <v>98.61</v>
          </cell>
        </row>
        <row r="84">
          <cell r="E84">
            <v>42479</v>
          </cell>
          <cell r="F84">
            <v>131.58</v>
          </cell>
        </row>
        <row r="84">
          <cell r="H84">
            <v>42479</v>
          </cell>
          <cell r="I84">
            <v>94.34</v>
          </cell>
        </row>
        <row r="84">
          <cell r="K84">
            <v>42479</v>
          </cell>
          <cell r="L84">
            <v>116.97</v>
          </cell>
        </row>
        <row r="84">
          <cell r="N84">
            <v>42492</v>
          </cell>
          <cell r="O84">
            <v>93.93</v>
          </cell>
        </row>
        <row r="85">
          <cell r="B85">
            <v>42493</v>
          </cell>
          <cell r="C85">
            <v>98.47</v>
          </cell>
        </row>
        <row r="85">
          <cell r="E85">
            <v>42480</v>
          </cell>
          <cell r="F85">
            <v>130.99</v>
          </cell>
        </row>
        <row r="85">
          <cell r="H85">
            <v>42480</v>
          </cell>
          <cell r="I85">
            <v>94.89</v>
          </cell>
        </row>
        <row r="85">
          <cell r="K85">
            <v>42480</v>
          </cell>
          <cell r="L85">
            <v>116.88</v>
          </cell>
        </row>
        <row r="85">
          <cell r="N85">
            <v>42493</v>
          </cell>
          <cell r="O85">
            <v>94.13</v>
          </cell>
        </row>
        <row r="86">
          <cell r="B86">
            <v>42494</v>
          </cell>
          <cell r="C86">
            <v>99.13</v>
          </cell>
        </row>
        <row r="86">
          <cell r="E86">
            <v>42481</v>
          </cell>
          <cell r="F86">
            <v>129.9</v>
          </cell>
        </row>
        <row r="86">
          <cell r="H86">
            <v>42481</v>
          </cell>
          <cell r="I86">
            <v>94.73</v>
          </cell>
        </row>
        <row r="86">
          <cell r="K86">
            <v>42481</v>
          </cell>
          <cell r="L86">
            <v>116.44</v>
          </cell>
        </row>
        <row r="86">
          <cell r="N86">
            <v>42494</v>
          </cell>
          <cell r="O86">
            <v>93.73</v>
          </cell>
        </row>
        <row r="87">
          <cell r="B87">
            <v>42495</v>
          </cell>
          <cell r="C87">
            <v>99.2</v>
          </cell>
        </row>
        <row r="87">
          <cell r="E87">
            <v>42482</v>
          </cell>
          <cell r="F87">
            <v>128.76</v>
          </cell>
        </row>
        <row r="87">
          <cell r="H87">
            <v>42482</v>
          </cell>
          <cell r="I87">
            <v>95.03</v>
          </cell>
        </row>
        <row r="87">
          <cell r="K87">
            <v>42482</v>
          </cell>
          <cell r="L87">
            <v>116.25</v>
          </cell>
        </row>
        <row r="87">
          <cell r="N87">
            <v>42495</v>
          </cell>
          <cell r="O87">
            <v>94</v>
          </cell>
        </row>
        <row r="88">
          <cell r="B88">
            <v>42496</v>
          </cell>
          <cell r="C88">
            <v>99.58</v>
          </cell>
        </row>
        <row r="88">
          <cell r="E88">
            <v>42485</v>
          </cell>
          <cell r="F88">
            <v>129.91</v>
          </cell>
        </row>
        <row r="88">
          <cell r="H88">
            <v>42485</v>
          </cell>
          <cell r="I88">
            <v>94.64</v>
          </cell>
        </row>
        <row r="88">
          <cell r="K88">
            <v>42485</v>
          </cell>
          <cell r="L88">
            <v>116.95</v>
          </cell>
        </row>
        <row r="88">
          <cell r="N88">
            <v>42496</v>
          </cell>
          <cell r="O88">
            <v>93.87</v>
          </cell>
        </row>
        <row r="89">
          <cell r="B89">
            <v>42499</v>
          </cell>
          <cell r="C89">
            <v>99.51</v>
          </cell>
        </row>
        <row r="89">
          <cell r="E89">
            <v>42486</v>
          </cell>
          <cell r="F89">
            <v>128.59</v>
          </cell>
        </row>
        <row r="89">
          <cell r="H89">
            <v>42486</v>
          </cell>
          <cell r="I89">
            <v>94.91</v>
          </cell>
        </row>
        <row r="89">
          <cell r="K89">
            <v>42486</v>
          </cell>
          <cell r="L89">
            <v>116.97</v>
          </cell>
        </row>
        <row r="89">
          <cell r="N89">
            <v>42499</v>
          </cell>
          <cell r="O89">
            <v>93.57</v>
          </cell>
        </row>
        <row r="90">
          <cell r="B90">
            <v>42500</v>
          </cell>
          <cell r="C90">
            <v>99.51</v>
          </cell>
        </row>
        <row r="90">
          <cell r="E90">
            <v>42487</v>
          </cell>
          <cell r="F90">
            <v>129.01</v>
          </cell>
        </row>
        <row r="90">
          <cell r="H90">
            <v>42487</v>
          </cell>
          <cell r="I90">
            <v>94.98</v>
          </cell>
        </row>
        <row r="90">
          <cell r="K90">
            <v>42487</v>
          </cell>
          <cell r="L90">
            <v>116.99</v>
          </cell>
        </row>
        <row r="90">
          <cell r="N90">
            <v>42500</v>
          </cell>
          <cell r="O90">
            <v>94.41</v>
          </cell>
        </row>
        <row r="91">
          <cell r="B91">
            <v>42501</v>
          </cell>
          <cell r="C91">
            <v>99.59</v>
          </cell>
        </row>
        <row r="91">
          <cell r="E91">
            <v>42488</v>
          </cell>
          <cell r="F91">
            <v>128.52</v>
          </cell>
        </row>
        <row r="91">
          <cell r="H91">
            <v>42488</v>
          </cell>
          <cell r="I91">
            <v>94.59</v>
          </cell>
        </row>
        <row r="91">
          <cell r="K91">
            <v>42488</v>
          </cell>
          <cell r="L91">
            <v>115.47</v>
          </cell>
        </row>
        <row r="91">
          <cell r="N91">
            <v>42501</v>
          </cell>
          <cell r="O91">
            <v>94.69</v>
          </cell>
        </row>
        <row r="92">
          <cell r="B92">
            <v>42502</v>
          </cell>
          <cell r="C92">
            <v>99.57</v>
          </cell>
        </row>
        <row r="92">
          <cell r="E92">
            <v>42489</v>
          </cell>
          <cell r="F92">
            <v>129.09</v>
          </cell>
        </row>
        <row r="92">
          <cell r="H92">
            <v>42489</v>
          </cell>
          <cell r="I92">
            <v>93.26</v>
          </cell>
        </row>
        <row r="92">
          <cell r="K92">
            <v>42489</v>
          </cell>
          <cell r="L92">
            <v>113.75</v>
          </cell>
        </row>
        <row r="92">
          <cell r="N92">
            <v>42502</v>
          </cell>
          <cell r="O92">
            <v>94.94</v>
          </cell>
        </row>
        <row r="93">
          <cell r="B93">
            <v>42503</v>
          </cell>
          <cell r="C93">
            <v>99.62</v>
          </cell>
        </row>
        <row r="93">
          <cell r="E93">
            <v>42492</v>
          </cell>
          <cell r="F93">
            <v>130.02</v>
          </cell>
        </row>
        <row r="93">
          <cell r="H93">
            <v>42492</v>
          </cell>
          <cell r="I93">
            <v>92.7</v>
          </cell>
        </row>
        <row r="93">
          <cell r="K93">
            <v>42492</v>
          </cell>
          <cell r="L93">
            <v>114.6</v>
          </cell>
        </row>
        <row r="93">
          <cell r="N93">
            <v>42503</v>
          </cell>
          <cell r="O93">
            <v>94.77</v>
          </cell>
        </row>
        <row r="94">
          <cell r="B94">
            <v>42506</v>
          </cell>
          <cell r="C94">
            <v>99.37</v>
          </cell>
        </row>
        <row r="94">
          <cell r="E94">
            <v>42493</v>
          </cell>
          <cell r="F94">
            <v>130.47</v>
          </cell>
        </row>
        <row r="94">
          <cell r="H94">
            <v>42493</v>
          </cell>
          <cell r="I94">
            <v>93.2</v>
          </cell>
        </row>
        <row r="94">
          <cell r="K94">
            <v>42493</v>
          </cell>
          <cell r="L94">
            <v>115.94</v>
          </cell>
        </row>
        <row r="94">
          <cell r="N94">
            <v>42506</v>
          </cell>
          <cell r="O94">
            <v>94.77</v>
          </cell>
        </row>
        <row r="95">
          <cell r="B95">
            <v>42507</v>
          </cell>
          <cell r="C95">
            <v>99.53</v>
          </cell>
        </row>
        <row r="95">
          <cell r="E95">
            <v>42494</v>
          </cell>
          <cell r="F95">
            <v>130.88</v>
          </cell>
        </row>
        <row r="95">
          <cell r="H95">
            <v>42494</v>
          </cell>
          <cell r="I95">
            <v>93.23</v>
          </cell>
        </row>
        <row r="95">
          <cell r="K95">
            <v>42494</v>
          </cell>
          <cell r="L95">
            <v>116.8</v>
          </cell>
        </row>
        <row r="95">
          <cell r="N95">
            <v>42507</v>
          </cell>
          <cell r="O95">
            <v>95.73</v>
          </cell>
        </row>
        <row r="96">
          <cell r="B96">
            <v>42508</v>
          </cell>
          <cell r="C96">
            <v>99.3</v>
          </cell>
        </row>
        <row r="96">
          <cell r="E96">
            <v>42495</v>
          </cell>
          <cell r="F96">
            <v>131.62</v>
          </cell>
        </row>
        <row r="96">
          <cell r="H96">
            <v>42495</v>
          </cell>
          <cell r="I96">
            <v>92.84</v>
          </cell>
        </row>
        <row r="96">
          <cell r="K96">
            <v>42495</v>
          </cell>
          <cell r="L96">
            <v>116.6</v>
          </cell>
        </row>
        <row r="96">
          <cell r="N96">
            <v>42508</v>
          </cell>
          <cell r="O96">
            <v>95.88</v>
          </cell>
        </row>
        <row r="97">
          <cell r="B97">
            <v>42509</v>
          </cell>
          <cell r="C97">
            <v>99.2</v>
          </cell>
        </row>
        <row r="97">
          <cell r="E97">
            <v>42496</v>
          </cell>
          <cell r="F97">
            <v>133.3</v>
          </cell>
        </row>
        <row r="97">
          <cell r="H97">
            <v>42496</v>
          </cell>
          <cell r="I97">
            <v>92.97</v>
          </cell>
        </row>
        <row r="97">
          <cell r="K97">
            <v>42496</v>
          </cell>
          <cell r="L97">
            <v>116.43</v>
          </cell>
        </row>
        <row r="97">
          <cell r="N97">
            <v>42509</v>
          </cell>
          <cell r="O97">
            <v>96.14</v>
          </cell>
        </row>
        <row r="98">
          <cell r="B98">
            <v>42510</v>
          </cell>
          <cell r="C98">
            <v>99.22</v>
          </cell>
        </row>
        <row r="98">
          <cell r="E98">
            <v>42499</v>
          </cell>
          <cell r="F98">
            <v>133.03</v>
          </cell>
        </row>
        <row r="98">
          <cell r="H98">
            <v>42499</v>
          </cell>
          <cell r="I98">
            <v>92.81</v>
          </cell>
        </row>
        <row r="98">
          <cell r="K98">
            <v>42499</v>
          </cell>
          <cell r="L98">
            <v>117.54</v>
          </cell>
        </row>
        <row r="98">
          <cell r="N98">
            <v>42510</v>
          </cell>
          <cell r="O98">
            <v>95.32</v>
          </cell>
        </row>
        <row r="99">
          <cell r="B99">
            <v>42513</v>
          </cell>
          <cell r="C99">
            <v>99.18</v>
          </cell>
        </row>
        <row r="99">
          <cell r="E99">
            <v>42500</v>
          </cell>
          <cell r="F99">
            <v>133.21</v>
          </cell>
        </row>
        <row r="99">
          <cell r="H99">
            <v>42500</v>
          </cell>
          <cell r="I99">
            <v>92.41</v>
          </cell>
        </row>
        <row r="99">
          <cell r="K99">
            <v>42500</v>
          </cell>
          <cell r="L99">
            <v>116.65</v>
          </cell>
        </row>
        <row r="99">
          <cell r="N99">
            <v>42513</v>
          </cell>
          <cell r="O99">
            <v>95.53</v>
          </cell>
        </row>
        <row r="100">
          <cell r="B100">
            <v>42514</v>
          </cell>
          <cell r="C100">
            <v>99.33</v>
          </cell>
        </row>
        <row r="100">
          <cell r="E100">
            <v>42501</v>
          </cell>
          <cell r="F100">
            <v>134.18</v>
          </cell>
        </row>
        <row r="100">
          <cell r="H100">
            <v>42501</v>
          </cell>
          <cell r="I100">
            <v>92.06</v>
          </cell>
        </row>
        <row r="100">
          <cell r="K100">
            <v>42501</v>
          </cell>
          <cell r="L100">
            <v>115.43</v>
          </cell>
        </row>
        <row r="100">
          <cell r="N100">
            <v>42514</v>
          </cell>
          <cell r="O100">
            <v>95.1</v>
          </cell>
        </row>
        <row r="101">
          <cell r="B101">
            <v>42515</v>
          </cell>
          <cell r="C101">
            <v>99.24</v>
          </cell>
        </row>
        <row r="101">
          <cell r="E101">
            <v>42502</v>
          </cell>
          <cell r="F101">
            <v>135.41</v>
          </cell>
        </row>
        <row r="101">
          <cell r="H101">
            <v>42502</v>
          </cell>
          <cell r="I101">
            <v>91.81</v>
          </cell>
        </row>
        <row r="101">
          <cell r="K101">
            <v>42502</v>
          </cell>
          <cell r="L101">
            <v>116.19</v>
          </cell>
        </row>
        <row r="101">
          <cell r="N101">
            <v>42515</v>
          </cell>
          <cell r="O101">
            <v>95.24</v>
          </cell>
        </row>
        <row r="102">
          <cell r="B102">
            <v>42516</v>
          </cell>
          <cell r="C102">
            <v>98.88</v>
          </cell>
        </row>
        <row r="102">
          <cell r="E102">
            <v>42503</v>
          </cell>
          <cell r="F102">
            <v>135.88</v>
          </cell>
        </row>
        <row r="102">
          <cell r="H102">
            <v>42503</v>
          </cell>
          <cell r="I102">
            <v>91.86</v>
          </cell>
        </row>
        <row r="102">
          <cell r="K102">
            <v>42503</v>
          </cell>
          <cell r="L102">
            <v>115.75</v>
          </cell>
        </row>
        <row r="102">
          <cell r="N102">
            <v>42516</v>
          </cell>
          <cell r="O102">
            <v>95.35</v>
          </cell>
        </row>
        <row r="103">
          <cell r="B103">
            <v>42517</v>
          </cell>
          <cell r="C103">
            <v>99.09</v>
          </cell>
        </row>
        <row r="103">
          <cell r="E103">
            <v>42506</v>
          </cell>
          <cell r="F103">
            <v>135.96</v>
          </cell>
        </row>
        <row r="103">
          <cell r="H103">
            <v>42506</v>
          </cell>
          <cell r="I103">
            <v>91.71</v>
          </cell>
        </row>
        <row r="103">
          <cell r="K103">
            <v>42506</v>
          </cell>
          <cell r="L103">
            <v>115.19</v>
          </cell>
        </row>
        <row r="103">
          <cell r="N103">
            <v>42517</v>
          </cell>
          <cell r="O103">
            <v>95.04</v>
          </cell>
        </row>
        <row r="104">
          <cell r="B104">
            <v>42521</v>
          </cell>
          <cell r="C104">
            <v>99.05</v>
          </cell>
        </row>
        <row r="104">
          <cell r="E104">
            <v>42507</v>
          </cell>
          <cell r="F104">
            <v>134.41</v>
          </cell>
        </row>
        <row r="104">
          <cell r="H104">
            <v>42507</v>
          </cell>
          <cell r="I104">
            <v>92.21</v>
          </cell>
        </row>
        <row r="104">
          <cell r="K104">
            <v>42507</v>
          </cell>
          <cell r="L104">
            <v>114.66</v>
          </cell>
        </row>
        <row r="104">
          <cell r="N104">
            <v>42521</v>
          </cell>
          <cell r="O104">
            <v>94.68</v>
          </cell>
        </row>
        <row r="105">
          <cell r="B105">
            <v>42522</v>
          </cell>
          <cell r="C105">
            <v>99.21</v>
          </cell>
        </row>
        <row r="105">
          <cell r="E105">
            <v>42508</v>
          </cell>
          <cell r="F105">
            <v>135.01</v>
          </cell>
        </row>
        <row r="105">
          <cell r="H105">
            <v>42508</v>
          </cell>
          <cell r="I105">
            <v>92.39</v>
          </cell>
        </row>
        <row r="105">
          <cell r="K105">
            <v>42508</v>
          </cell>
          <cell r="L105">
            <v>115.18</v>
          </cell>
        </row>
        <row r="105">
          <cell r="N105">
            <v>42522</v>
          </cell>
          <cell r="O105">
            <v>94.23</v>
          </cell>
        </row>
        <row r="106">
          <cell r="B106">
            <v>42523</v>
          </cell>
          <cell r="C106">
            <v>98.73</v>
          </cell>
        </row>
        <row r="106">
          <cell r="E106">
            <v>42509</v>
          </cell>
          <cell r="F106">
            <v>134.65</v>
          </cell>
        </row>
        <row r="106">
          <cell r="H106">
            <v>42509</v>
          </cell>
          <cell r="I106">
            <v>91.9</v>
          </cell>
        </row>
        <row r="106">
          <cell r="K106">
            <v>42509</v>
          </cell>
          <cell r="L106">
            <v>115.14</v>
          </cell>
        </row>
        <row r="106">
          <cell r="N106">
            <v>42523</v>
          </cell>
          <cell r="O106">
            <v>94.08</v>
          </cell>
        </row>
        <row r="107">
          <cell r="B107">
            <v>42524</v>
          </cell>
          <cell r="C107">
            <v>99.14</v>
          </cell>
        </row>
        <row r="107">
          <cell r="E107">
            <v>42510</v>
          </cell>
          <cell r="F107">
            <v>133.91</v>
          </cell>
        </row>
        <row r="107">
          <cell r="H107">
            <v>42510</v>
          </cell>
          <cell r="I107">
            <v>92.17</v>
          </cell>
        </row>
        <row r="107">
          <cell r="K107">
            <v>42510</v>
          </cell>
          <cell r="L107">
            <v>114.69</v>
          </cell>
        </row>
        <row r="107">
          <cell r="N107">
            <v>42524</v>
          </cell>
          <cell r="O107">
            <v>94.37</v>
          </cell>
        </row>
        <row r="108">
          <cell r="B108">
            <v>42527</v>
          </cell>
          <cell r="C108">
            <v>98.73</v>
          </cell>
        </row>
        <row r="108">
          <cell r="E108">
            <v>42513</v>
          </cell>
          <cell r="F108">
            <v>133.76</v>
          </cell>
        </row>
        <row r="108">
          <cell r="H108">
            <v>42513</v>
          </cell>
          <cell r="I108">
            <v>92.09</v>
          </cell>
        </row>
        <row r="108">
          <cell r="K108">
            <v>42513</v>
          </cell>
          <cell r="L108">
            <v>114.45</v>
          </cell>
        </row>
        <row r="108">
          <cell r="N108">
            <v>42527</v>
          </cell>
          <cell r="O108">
            <v>93.89</v>
          </cell>
        </row>
        <row r="109">
          <cell r="B109">
            <v>42528</v>
          </cell>
          <cell r="C109">
            <v>98.58</v>
          </cell>
        </row>
        <row r="109">
          <cell r="E109">
            <v>42514</v>
          </cell>
          <cell r="F109">
            <v>134.39</v>
          </cell>
        </row>
        <row r="109">
          <cell r="H109">
            <v>42514</v>
          </cell>
          <cell r="I109">
            <v>92.14</v>
          </cell>
        </row>
        <row r="109">
          <cell r="K109">
            <v>42514</v>
          </cell>
          <cell r="L109">
            <v>115.31</v>
          </cell>
        </row>
        <row r="109">
          <cell r="N109">
            <v>42528</v>
          </cell>
          <cell r="O109">
            <v>93.5</v>
          </cell>
        </row>
        <row r="110">
          <cell r="B110">
            <v>42529</v>
          </cell>
          <cell r="C110">
            <v>98.3</v>
          </cell>
        </row>
        <row r="110">
          <cell r="E110">
            <v>42515</v>
          </cell>
          <cell r="F110">
            <v>133.16</v>
          </cell>
        </row>
        <row r="110">
          <cell r="H110">
            <v>42515</v>
          </cell>
          <cell r="I110">
            <v>92.43</v>
          </cell>
        </row>
        <row r="110">
          <cell r="K110">
            <v>42515</v>
          </cell>
          <cell r="L110">
            <v>114.97</v>
          </cell>
        </row>
        <row r="110">
          <cell r="N110">
            <v>42529</v>
          </cell>
          <cell r="O110">
            <v>92.97</v>
          </cell>
        </row>
        <row r="111">
          <cell r="B111">
            <v>42530</v>
          </cell>
          <cell r="C111">
            <v>98.57</v>
          </cell>
        </row>
        <row r="111">
          <cell r="E111">
            <v>42516</v>
          </cell>
          <cell r="F111">
            <v>132.98</v>
          </cell>
        </row>
        <row r="111">
          <cell r="H111">
            <v>42516</v>
          </cell>
          <cell r="I111">
            <v>92.58</v>
          </cell>
        </row>
        <row r="111">
          <cell r="K111">
            <v>42516</v>
          </cell>
          <cell r="L111">
            <v>115.11</v>
          </cell>
        </row>
        <row r="111">
          <cell r="N111">
            <v>42530</v>
          </cell>
          <cell r="O111">
            <v>93.32</v>
          </cell>
        </row>
        <row r="112">
          <cell r="B112">
            <v>42531</v>
          </cell>
          <cell r="C112">
            <v>98.28</v>
          </cell>
        </row>
        <row r="112">
          <cell r="E112">
            <v>42517</v>
          </cell>
          <cell r="F112">
            <v>132.87</v>
          </cell>
        </row>
        <row r="112">
          <cell r="H112">
            <v>42517</v>
          </cell>
          <cell r="I112">
            <v>92.8</v>
          </cell>
        </row>
        <row r="112">
          <cell r="K112">
            <v>42517</v>
          </cell>
          <cell r="L112">
            <v>115.72</v>
          </cell>
        </row>
        <row r="112">
          <cell r="N112">
            <v>42531</v>
          </cell>
          <cell r="O112">
            <v>93.62</v>
          </cell>
        </row>
        <row r="113">
          <cell r="B113">
            <v>42534</v>
          </cell>
          <cell r="C113">
            <v>98.36</v>
          </cell>
        </row>
        <row r="113">
          <cell r="E113">
            <v>42520</v>
          </cell>
          <cell r="F113">
            <v>132.79</v>
          </cell>
        </row>
        <row r="113">
          <cell r="H113">
            <v>42520</v>
          </cell>
          <cell r="I113">
            <v>92.83</v>
          </cell>
        </row>
        <row r="113">
          <cell r="K113">
            <v>42520</v>
          </cell>
          <cell r="L113">
            <v>115.77</v>
          </cell>
        </row>
        <row r="113">
          <cell r="N113">
            <v>42534</v>
          </cell>
          <cell r="O113">
            <v>94.23</v>
          </cell>
        </row>
        <row r="114">
          <cell r="B114">
            <v>42535</v>
          </cell>
          <cell r="C114">
            <v>98.21</v>
          </cell>
        </row>
        <row r="114">
          <cell r="E114">
            <v>42521</v>
          </cell>
          <cell r="F114">
            <v>130.6</v>
          </cell>
        </row>
        <row r="114">
          <cell r="H114">
            <v>42521</v>
          </cell>
          <cell r="I114">
            <v>93.03</v>
          </cell>
        </row>
        <row r="114">
          <cell r="K114">
            <v>42521</v>
          </cell>
          <cell r="L114">
            <v>115.27</v>
          </cell>
        </row>
        <row r="114">
          <cell r="N114">
            <v>42535</v>
          </cell>
          <cell r="O114">
            <v>94</v>
          </cell>
        </row>
        <row r="115">
          <cell r="B115">
            <v>42536</v>
          </cell>
          <cell r="C115">
            <v>98.16</v>
          </cell>
        </row>
        <row r="115">
          <cell r="E115">
            <v>42522</v>
          </cell>
          <cell r="F115">
            <v>129.96</v>
          </cell>
        </row>
        <row r="115">
          <cell r="H115">
            <v>42522</v>
          </cell>
          <cell r="I115">
            <v>93.14</v>
          </cell>
        </row>
        <row r="115">
          <cell r="K115">
            <v>42522</v>
          </cell>
          <cell r="L115">
            <v>116.23</v>
          </cell>
        </row>
        <row r="115">
          <cell r="N115">
            <v>42536</v>
          </cell>
          <cell r="O115">
            <v>93.94</v>
          </cell>
        </row>
        <row r="116">
          <cell r="B116">
            <v>42537</v>
          </cell>
          <cell r="C116">
            <v>98.53</v>
          </cell>
        </row>
        <row r="116">
          <cell r="E116">
            <v>42523</v>
          </cell>
          <cell r="F116">
            <v>128.84</v>
          </cell>
        </row>
        <row r="116">
          <cell r="H116">
            <v>42523</v>
          </cell>
          <cell r="I116">
            <v>92.8</v>
          </cell>
        </row>
        <row r="116">
          <cell r="K116">
            <v>42523</v>
          </cell>
          <cell r="L116">
            <v>115.86</v>
          </cell>
        </row>
        <row r="116">
          <cell r="N116">
            <v>42537</v>
          </cell>
          <cell r="O116">
            <v>94.18</v>
          </cell>
        </row>
        <row r="117">
          <cell r="B117">
            <v>42538</v>
          </cell>
          <cell r="C117">
            <v>98.44</v>
          </cell>
        </row>
        <row r="117">
          <cell r="E117">
            <v>42524</v>
          </cell>
          <cell r="F117">
            <v>128.36</v>
          </cell>
        </row>
        <row r="117">
          <cell r="H117">
            <v>42524</v>
          </cell>
          <cell r="I117">
            <v>93.11</v>
          </cell>
        </row>
        <row r="117">
          <cell r="K117">
            <v>42524</v>
          </cell>
          <cell r="L117">
            <v>114.24</v>
          </cell>
        </row>
        <row r="117">
          <cell r="N117">
            <v>42538</v>
          </cell>
          <cell r="O117">
            <v>94.07</v>
          </cell>
        </row>
        <row r="118">
          <cell r="B118">
            <v>42541</v>
          </cell>
          <cell r="C118">
            <v>98.38</v>
          </cell>
        </row>
        <row r="118">
          <cell r="E118">
            <v>42527</v>
          </cell>
          <cell r="F118">
            <v>127.48</v>
          </cell>
        </row>
        <row r="118">
          <cell r="H118">
            <v>42527</v>
          </cell>
          <cell r="I118">
            <v>92.88</v>
          </cell>
        </row>
        <row r="118">
          <cell r="K118">
            <v>42527</v>
          </cell>
          <cell r="L118">
            <v>113.77</v>
          </cell>
        </row>
        <row r="118">
          <cell r="N118">
            <v>42541</v>
          </cell>
          <cell r="O118">
            <v>93.75</v>
          </cell>
        </row>
        <row r="119">
          <cell r="B119">
            <v>42542</v>
          </cell>
          <cell r="C119">
            <v>98.54</v>
          </cell>
        </row>
        <row r="119">
          <cell r="E119">
            <v>42528</v>
          </cell>
          <cell r="F119">
            <v>128.51</v>
          </cell>
        </row>
        <row r="119">
          <cell r="H119">
            <v>42528</v>
          </cell>
          <cell r="I119">
            <v>93.36</v>
          </cell>
        </row>
        <row r="119">
          <cell r="K119">
            <v>42528</v>
          </cell>
          <cell r="L119">
            <v>114.15</v>
          </cell>
        </row>
        <row r="119">
          <cell r="N119">
            <v>42542</v>
          </cell>
          <cell r="O119">
            <v>94.4</v>
          </cell>
        </row>
        <row r="120">
          <cell r="B120">
            <v>42543</v>
          </cell>
          <cell r="C120">
            <v>98.38</v>
          </cell>
        </row>
        <row r="120">
          <cell r="E120">
            <v>42529</v>
          </cell>
          <cell r="F120">
            <v>129</v>
          </cell>
        </row>
        <row r="120">
          <cell r="H120">
            <v>42529</v>
          </cell>
          <cell r="I120">
            <v>93.14</v>
          </cell>
        </row>
        <row r="120">
          <cell r="K120">
            <v>42529</v>
          </cell>
          <cell r="L120">
            <v>114.01</v>
          </cell>
        </row>
        <row r="120">
          <cell r="N120">
            <v>42543</v>
          </cell>
          <cell r="O120">
            <v>94.44</v>
          </cell>
        </row>
        <row r="121">
          <cell r="B121">
            <v>42544</v>
          </cell>
          <cell r="C121">
            <v>98.43</v>
          </cell>
        </row>
        <row r="121">
          <cell r="E121">
            <v>42530</v>
          </cell>
          <cell r="F121">
            <v>129.54</v>
          </cell>
        </row>
        <row r="121">
          <cell r="H121">
            <v>42530</v>
          </cell>
          <cell r="I121">
            <v>93.24</v>
          </cell>
        </row>
        <row r="121">
          <cell r="K121">
            <v>42530</v>
          </cell>
          <cell r="L121">
            <v>114.13</v>
          </cell>
        </row>
        <row r="121">
          <cell r="N121">
            <v>42544</v>
          </cell>
          <cell r="O121">
            <v>94.15</v>
          </cell>
        </row>
        <row r="122">
          <cell r="B122">
            <v>42545</v>
          </cell>
          <cell r="C122">
            <v>98.47</v>
          </cell>
        </row>
        <row r="122">
          <cell r="E122">
            <v>42531</v>
          </cell>
          <cell r="F122">
            <v>130.27</v>
          </cell>
        </row>
        <row r="122">
          <cell r="H122">
            <v>42531</v>
          </cell>
          <cell r="I122">
            <v>93.76</v>
          </cell>
        </row>
        <row r="122">
          <cell r="K122">
            <v>42531</v>
          </cell>
          <cell r="L122">
            <v>114.89</v>
          </cell>
        </row>
        <row r="122">
          <cell r="N122">
            <v>42545</v>
          </cell>
          <cell r="O122">
            <v>93.49</v>
          </cell>
        </row>
        <row r="123">
          <cell r="B123">
            <v>42548</v>
          </cell>
          <cell r="C123">
            <v>98.49</v>
          </cell>
        </row>
        <row r="123">
          <cell r="E123">
            <v>42534</v>
          </cell>
          <cell r="F123">
            <v>130.09</v>
          </cell>
        </row>
        <row r="123">
          <cell r="H123">
            <v>42534</v>
          </cell>
          <cell r="I123">
            <v>93.03</v>
          </cell>
        </row>
        <row r="123">
          <cell r="K123">
            <v>42534</v>
          </cell>
          <cell r="L123">
            <v>114.16</v>
          </cell>
        </row>
        <row r="123">
          <cell r="N123">
            <v>42548</v>
          </cell>
          <cell r="O123">
            <v>94.38</v>
          </cell>
        </row>
        <row r="124">
          <cell r="B124">
            <v>42549</v>
          </cell>
          <cell r="C124">
            <v>98.39</v>
          </cell>
        </row>
        <row r="124">
          <cell r="E124">
            <v>42535</v>
          </cell>
          <cell r="F124">
            <v>130.83</v>
          </cell>
        </row>
        <row r="124">
          <cell r="H124">
            <v>42535</v>
          </cell>
          <cell r="I124">
            <v>92.38</v>
          </cell>
        </row>
        <row r="124">
          <cell r="K124">
            <v>42535</v>
          </cell>
          <cell r="L124">
            <v>114.07</v>
          </cell>
        </row>
        <row r="124">
          <cell r="N124">
            <v>42549</v>
          </cell>
          <cell r="O124">
            <v>94.71</v>
          </cell>
        </row>
        <row r="125">
          <cell r="B125">
            <v>42550</v>
          </cell>
          <cell r="C125">
            <v>98.37</v>
          </cell>
        </row>
        <row r="125">
          <cell r="E125">
            <v>42536</v>
          </cell>
          <cell r="F125">
            <v>130.72</v>
          </cell>
        </row>
        <row r="125">
          <cell r="H125">
            <v>42536</v>
          </cell>
          <cell r="I125">
            <v>92.46</v>
          </cell>
        </row>
        <row r="125">
          <cell r="K125">
            <v>42536</v>
          </cell>
          <cell r="L125">
            <v>113.89</v>
          </cell>
        </row>
        <row r="125">
          <cell r="N125">
            <v>42550</v>
          </cell>
          <cell r="O125">
            <v>94.6</v>
          </cell>
        </row>
        <row r="126">
          <cell r="B126">
            <v>42551</v>
          </cell>
          <cell r="C126">
            <v>98.22</v>
          </cell>
        </row>
        <row r="126">
          <cell r="E126">
            <v>42537</v>
          </cell>
          <cell r="F126">
            <v>130.57</v>
          </cell>
        </row>
        <row r="126">
          <cell r="H126">
            <v>42537</v>
          </cell>
          <cell r="I126">
            <v>92.75</v>
          </cell>
        </row>
        <row r="126">
          <cell r="K126">
            <v>42537</v>
          </cell>
          <cell r="L126">
            <v>114.65</v>
          </cell>
        </row>
        <row r="126">
          <cell r="N126">
            <v>42551</v>
          </cell>
          <cell r="O126">
            <v>94.24</v>
          </cell>
        </row>
        <row r="127">
          <cell r="B127">
            <v>42552</v>
          </cell>
          <cell r="C127">
            <v>98.01</v>
          </cell>
        </row>
        <row r="127">
          <cell r="E127">
            <v>42538</v>
          </cell>
          <cell r="F127">
            <v>130.07</v>
          </cell>
        </row>
        <row r="127">
          <cell r="H127">
            <v>42538</v>
          </cell>
          <cell r="I127">
            <v>93.31</v>
          </cell>
        </row>
        <row r="127">
          <cell r="K127">
            <v>42538</v>
          </cell>
          <cell r="L127">
            <v>114.56</v>
          </cell>
        </row>
        <row r="127">
          <cell r="N127">
            <v>42552</v>
          </cell>
          <cell r="O127">
            <v>94.02</v>
          </cell>
        </row>
        <row r="128">
          <cell r="B128">
            <v>42556</v>
          </cell>
          <cell r="C128">
            <v>98.44</v>
          </cell>
        </row>
        <row r="128">
          <cell r="E128">
            <v>42541</v>
          </cell>
          <cell r="F128">
            <v>130.18</v>
          </cell>
        </row>
        <row r="128">
          <cell r="H128">
            <v>42541</v>
          </cell>
          <cell r="I128">
            <v>93.41</v>
          </cell>
        </row>
        <row r="128">
          <cell r="K128">
            <v>42541</v>
          </cell>
          <cell r="L128">
            <v>114.52</v>
          </cell>
        </row>
        <row r="128">
          <cell r="N128">
            <v>42556</v>
          </cell>
          <cell r="O128">
            <v>94.33</v>
          </cell>
        </row>
        <row r="129">
          <cell r="B129">
            <v>42557</v>
          </cell>
          <cell r="C129">
            <v>98.37</v>
          </cell>
        </row>
        <row r="129">
          <cell r="E129">
            <v>42542</v>
          </cell>
          <cell r="F129">
            <v>131.12</v>
          </cell>
        </row>
        <row r="129">
          <cell r="H129">
            <v>42542</v>
          </cell>
          <cell r="I129">
            <v>93.26</v>
          </cell>
        </row>
        <row r="129">
          <cell r="K129">
            <v>42542</v>
          </cell>
          <cell r="L129">
            <v>114.65</v>
          </cell>
        </row>
        <row r="129">
          <cell r="N129">
            <v>42557</v>
          </cell>
          <cell r="O129">
            <v>94.27</v>
          </cell>
        </row>
        <row r="130">
          <cell r="B130">
            <v>42558</v>
          </cell>
          <cell r="C130">
            <v>98.69</v>
          </cell>
        </row>
        <row r="130">
          <cell r="E130">
            <v>42543</v>
          </cell>
          <cell r="F130">
            <v>130.94</v>
          </cell>
        </row>
        <row r="130">
          <cell r="H130">
            <v>42543</v>
          </cell>
          <cell r="I130">
            <v>93.41</v>
          </cell>
        </row>
        <row r="130">
          <cell r="K130">
            <v>42543</v>
          </cell>
          <cell r="L130">
            <v>114.62</v>
          </cell>
        </row>
        <row r="130">
          <cell r="N130">
            <v>42558</v>
          </cell>
          <cell r="O130">
            <v>94.38</v>
          </cell>
        </row>
        <row r="131">
          <cell r="B131">
            <v>42559</v>
          </cell>
          <cell r="C131">
            <v>98.79</v>
          </cell>
        </row>
        <row r="131">
          <cell r="E131">
            <v>42544</v>
          </cell>
          <cell r="F131">
            <v>130.05</v>
          </cell>
        </row>
        <row r="131">
          <cell r="H131">
            <v>42544</v>
          </cell>
          <cell r="I131">
            <v>93.65</v>
          </cell>
        </row>
        <row r="131">
          <cell r="K131">
            <v>42544</v>
          </cell>
          <cell r="L131">
            <v>114.55</v>
          </cell>
        </row>
        <row r="131">
          <cell r="N131">
            <v>42559</v>
          </cell>
          <cell r="O131">
            <v>93.72</v>
          </cell>
        </row>
        <row r="132">
          <cell r="B132">
            <v>42562</v>
          </cell>
          <cell r="C132">
            <v>98.67</v>
          </cell>
        </row>
        <row r="132">
          <cell r="E132">
            <v>42545</v>
          </cell>
          <cell r="F132">
            <v>130.87</v>
          </cell>
        </row>
        <row r="132">
          <cell r="H132">
            <v>42545</v>
          </cell>
          <cell r="I132">
            <v>93.71</v>
          </cell>
        </row>
        <row r="132">
          <cell r="K132">
            <v>42545</v>
          </cell>
          <cell r="L132">
            <v>114.42</v>
          </cell>
        </row>
        <row r="132">
          <cell r="N132">
            <v>42562</v>
          </cell>
          <cell r="O132">
            <v>93.03</v>
          </cell>
        </row>
        <row r="133">
          <cell r="B133">
            <v>42563</v>
          </cell>
          <cell r="C133">
            <v>98.48</v>
          </cell>
        </row>
        <row r="133">
          <cell r="E133">
            <v>42548</v>
          </cell>
          <cell r="F133">
            <v>132.12</v>
          </cell>
        </row>
        <row r="133">
          <cell r="H133">
            <v>42548</v>
          </cell>
          <cell r="I133">
            <v>93.01</v>
          </cell>
        </row>
        <row r="133">
          <cell r="K133">
            <v>42548</v>
          </cell>
          <cell r="L133">
            <v>114.8</v>
          </cell>
        </row>
        <row r="133">
          <cell r="N133">
            <v>42563</v>
          </cell>
          <cell r="O133">
            <v>92.89</v>
          </cell>
        </row>
        <row r="134">
          <cell r="B134">
            <v>42564</v>
          </cell>
          <cell r="C134">
            <v>98.71</v>
          </cell>
        </row>
        <row r="134">
          <cell r="E134">
            <v>42549</v>
          </cell>
          <cell r="F134">
            <v>131.81</v>
          </cell>
        </row>
        <row r="134">
          <cell r="H134">
            <v>42549</v>
          </cell>
          <cell r="I134">
            <v>92.68</v>
          </cell>
        </row>
        <row r="134">
          <cell r="K134">
            <v>42549</v>
          </cell>
          <cell r="L134">
            <v>114.35</v>
          </cell>
        </row>
        <row r="134">
          <cell r="N134">
            <v>42564</v>
          </cell>
          <cell r="O134">
            <v>93.27</v>
          </cell>
        </row>
        <row r="135">
          <cell r="B135">
            <v>42565</v>
          </cell>
          <cell r="C135">
            <v>98.57</v>
          </cell>
        </row>
        <row r="135">
          <cell r="E135">
            <v>42550</v>
          </cell>
          <cell r="F135">
            <v>131.93</v>
          </cell>
        </row>
        <row r="135">
          <cell r="H135">
            <v>42550</v>
          </cell>
          <cell r="I135">
            <v>92.6</v>
          </cell>
        </row>
        <row r="135">
          <cell r="K135">
            <v>42550</v>
          </cell>
          <cell r="L135">
            <v>113.86</v>
          </cell>
        </row>
        <row r="135">
          <cell r="N135">
            <v>42565</v>
          </cell>
          <cell r="O135">
            <v>93.81</v>
          </cell>
        </row>
        <row r="136">
          <cell r="B136">
            <v>42566</v>
          </cell>
          <cell r="C136">
            <v>98.58</v>
          </cell>
        </row>
        <row r="136">
          <cell r="E136">
            <v>42551</v>
          </cell>
          <cell r="F136">
            <v>131.47</v>
          </cell>
        </row>
        <row r="136">
          <cell r="H136">
            <v>42551</v>
          </cell>
          <cell r="I136">
            <v>93.3</v>
          </cell>
        </row>
        <row r="136">
          <cell r="K136">
            <v>42551</v>
          </cell>
          <cell r="L136">
            <v>114.33</v>
          </cell>
        </row>
        <row r="136">
          <cell r="N136">
            <v>42566</v>
          </cell>
          <cell r="O136">
            <v>93.69</v>
          </cell>
        </row>
        <row r="137">
          <cell r="B137">
            <v>42569</v>
          </cell>
          <cell r="C137">
            <v>98.85</v>
          </cell>
        </row>
        <row r="137">
          <cell r="E137">
            <v>42552</v>
          </cell>
          <cell r="F137">
            <v>131.36</v>
          </cell>
        </row>
        <row r="137">
          <cell r="H137">
            <v>42552</v>
          </cell>
          <cell r="I137">
            <v>92.81</v>
          </cell>
        </row>
        <row r="137">
          <cell r="K137">
            <v>42552</v>
          </cell>
          <cell r="L137">
            <v>113.97</v>
          </cell>
        </row>
        <row r="137">
          <cell r="N137">
            <v>42569</v>
          </cell>
          <cell r="O137">
            <v>93.57</v>
          </cell>
        </row>
        <row r="138">
          <cell r="B138">
            <v>42570</v>
          </cell>
          <cell r="C138">
            <v>98.74</v>
          </cell>
        </row>
        <row r="138">
          <cell r="E138">
            <v>42555</v>
          </cell>
          <cell r="F138">
            <v>131.48</v>
          </cell>
        </row>
        <row r="138">
          <cell r="H138">
            <v>42555</v>
          </cell>
          <cell r="I138">
            <v>92.94</v>
          </cell>
        </row>
        <row r="138">
          <cell r="K138">
            <v>42555</v>
          </cell>
          <cell r="L138">
            <v>113.08</v>
          </cell>
        </row>
        <row r="138">
          <cell r="N138">
            <v>42570</v>
          </cell>
          <cell r="O138">
            <v>93.84</v>
          </cell>
        </row>
        <row r="139">
          <cell r="B139">
            <v>42571</v>
          </cell>
          <cell r="C139">
            <v>98.92</v>
          </cell>
        </row>
        <row r="139">
          <cell r="E139">
            <v>42556</v>
          </cell>
          <cell r="F139">
            <v>132.95</v>
          </cell>
        </row>
        <row r="139">
          <cell r="H139">
            <v>42556</v>
          </cell>
          <cell r="I139">
            <v>92.49</v>
          </cell>
        </row>
        <row r="139">
          <cell r="K139">
            <v>42556</v>
          </cell>
          <cell r="L139">
            <v>113.28</v>
          </cell>
        </row>
        <row r="139">
          <cell r="N139">
            <v>42571</v>
          </cell>
          <cell r="O139">
            <v>93.61</v>
          </cell>
        </row>
        <row r="140">
          <cell r="B140">
            <v>42572</v>
          </cell>
          <cell r="C140">
            <v>98.56</v>
          </cell>
        </row>
        <row r="140">
          <cell r="E140">
            <v>42557</v>
          </cell>
          <cell r="F140">
            <v>132.4</v>
          </cell>
        </row>
        <row r="140">
          <cell r="H140">
            <v>42557</v>
          </cell>
          <cell r="I140">
            <v>92.29</v>
          </cell>
        </row>
        <row r="140">
          <cell r="K140">
            <v>42557</v>
          </cell>
          <cell r="L140">
            <v>112.72</v>
          </cell>
        </row>
        <row r="140">
          <cell r="N140">
            <v>42572</v>
          </cell>
          <cell r="O140">
            <v>93.79</v>
          </cell>
        </row>
        <row r="141">
          <cell r="B141">
            <v>42573</v>
          </cell>
          <cell r="C141">
            <v>98.59</v>
          </cell>
        </row>
        <row r="141">
          <cell r="E141">
            <v>42558</v>
          </cell>
          <cell r="F141">
            <v>131.6</v>
          </cell>
        </row>
        <row r="141">
          <cell r="H141">
            <v>42558</v>
          </cell>
          <cell r="I141">
            <v>92.22</v>
          </cell>
        </row>
        <row r="141">
          <cell r="K141">
            <v>42558</v>
          </cell>
          <cell r="L141">
            <v>112.61</v>
          </cell>
        </row>
        <row r="141">
          <cell r="N141">
            <v>42573</v>
          </cell>
          <cell r="O141">
            <v>93.71</v>
          </cell>
        </row>
        <row r="142">
          <cell r="B142">
            <v>42576</v>
          </cell>
          <cell r="C142">
            <v>98.76</v>
          </cell>
        </row>
        <row r="142">
          <cell r="E142">
            <v>42559</v>
          </cell>
          <cell r="F142">
            <v>131.06</v>
          </cell>
        </row>
        <row r="142">
          <cell r="H142">
            <v>42559</v>
          </cell>
          <cell r="I142">
            <v>92.31</v>
          </cell>
        </row>
        <row r="142">
          <cell r="K142">
            <v>42559</v>
          </cell>
          <cell r="L142">
            <v>112.68</v>
          </cell>
        </row>
        <row r="142">
          <cell r="N142">
            <v>42576</v>
          </cell>
          <cell r="O142">
            <v>93.87</v>
          </cell>
        </row>
        <row r="143">
          <cell r="B143">
            <v>42577</v>
          </cell>
          <cell r="C143">
            <v>98.69</v>
          </cell>
        </row>
        <row r="143">
          <cell r="E143">
            <v>42562</v>
          </cell>
          <cell r="F143">
            <v>130.77</v>
          </cell>
        </row>
        <row r="143">
          <cell r="H143">
            <v>42562</v>
          </cell>
          <cell r="I143">
            <v>92.62</v>
          </cell>
        </row>
        <row r="143">
          <cell r="K143">
            <v>42562</v>
          </cell>
          <cell r="L143">
            <v>112.75</v>
          </cell>
        </row>
        <row r="143">
          <cell r="N143">
            <v>42577</v>
          </cell>
          <cell r="O143">
            <v>94.06</v>
          </cell>
        </row>
        <row r="144">
          <cell r="B144">
            <v>42578</v>
          </cell>
          <cell r="C144">
            <v>97.91</v>
          </cell>
        </row>
        <row r="144">
          <cell r="E144">
            <v>42563</v>
          </cell>
          <cell r="F144">
            <v>130.14</v>
          </cell>
        </row>
        <row r="144">
          <cell r="H144">
            <v>42563</v>
          </cell>
          <cell r="I144">
            <v>93.16</v>
          </cell>
        </row>
        <row r="144">
          <cell r="K144">
            <v>42563</v>
          </cell>
          <cell r="L144">
            <v>113.06</v>
          </cell>
        </row>
        <row r="144">
          <cell r="N144">
            <v>42578</v>
          </cell>
          <cell r="O144">
            <v>93.66</v>
          </cell>
        </row>
        <row r="145">
          <cell r="B145">
            <v>42579</v>
          </cell>
          <cell r="C145">
            <v>98.71</v>
          </cell>
        </row>
        <row r="145">
          <cell r="E145">
            <v>42564</v>
          </cell>
          <cell r="F145">
            <v>129.86</v>
          </cell>
        </row>
        <row r="145">
          <cell r="H145">
            <v>42564</v>
          </cell>
          <cell r="I145">
            <v>93.87</v>
          </cell>
        </row>
        <row r="145">
          <cell r="K145">
            <v>42564</v>
          </cell>
          <cell r="L145">
            <v>112.56</v>
          </cell>
        </row>
        <row r="145">
          <cell r="N145">
            <v>42579</v>
          </cell>
          <cell r="O145">
            <v>94.14</v>
          </cell>
        </row>
        <row r="146">
          <cell r="B146">
            <v>42580</v>
          </cell>
          <cell r="C146">
            <v>98.78</v>
          </cell>
        </row>
        <row r="146">
          <cell r="E146">
            <v>42565</v>
          </cell>
          <cell r="F146">
            <v>129.42</v>
          </cell>
        </row>
        <row r="146">
          <cell r="H146">
            <v>42565</v>
          </cell>
          <cell r="I146">
            <v>94.36</v>
          </cell>
        </row>
        <row r="146">
          <cell r="K146">
            <v>42565</v>
          </cell>
          <cell r="L146">
            <v>112.76</v>
          </cell>
        </row>
        <row r="146">
          <cell r="N146">
            <v>42580</v>
          </cell>
          <cell r="O146">
            <v>93.72</v>
          </cell>
        </row>
        <row r="147">
          <cell r="B147">
            <v>42583</v>
          </cell>
          <cell r="C147">
            <v>98.79</v>
          </cell>
        </row>
        <row r="147">
          <cell r="E147">
            <v>42566</v>
          </cell>
          <cell r="F147">
            <v>129</v>
          </cell>
        </row>
        <row r="147">
          <cell r="H147">
            <v>42566</v>
          </cell>
          <cell r="I147">
            <v>94.2</v>
          </cell>
        </row>
        <row r="147">
          <cell r="K147">
            <v>42566</v>
          </cell>
          <cell r="L147">
            <v>112.78</v>
          </cell>
        </row>
        <row r="147">
          <cell r="N147">
            <v>42583</v>
          </cell>
          <cell r="O147">
            <v>93.69</v>
          </cell>
        </row>
        <row r="148">
          <cell r="B148">
            <v>42584</v>
          </cell>
          <cell r="C148">
            <v>99.14</v>
          </cell>
        </row>
        <row r="148">
          <cell r="E148">
            <v>42569</v>
          </cell>
          <cell r="F148">
            <v>128.49</v>
          </cell>
        </row>
        <row r="148">
          <cell r="H148">
            <v>42569</v>
          </cell>
          <cell r="I148">
            <v>94.53</v>
          </cell>
        </row>
        <row r="148">
          <cell r="K148">
            <v>42569</v>
          </cell>
          <cell r="L148">
            <v>112.97</v>
          </cell>
        </row>
        <row r="148">
          <cell r="N148">
            <v>42584</v>
          </cell>
          <cell r="O148">
            <v>94.22</v>
          </cell>
        </row>
        <row r="149">
          <cell r="B149">
            <v>42585</v>
          </cell>
          <cell r="C149">
            <v>99</v>
          </cell>
        </row>
        <row r="149">
          <cell r="E149">
            <v>42570</v>
          </cell>
          <cell r="F149">
            <v>128.86</v>
          </cell>
        </row>
        <row r="149">
          <cell r="H149">
            <v>42570</v>
          </cell>
          <cell r="I149">
            <v>95.04</v>
          </cell>
        </row>
        <row r="149">
          <cell r="K149">
            <v>42570</v>
          </cell>
          <cell r="L149">
            <v>113.31</v>
          </cell>
        </row>
        <row r="149">
          <cell r="N149">
            <v>42585</v>
          </cell>
          <cell r="O149">
            <v>94.34</v>
          </cell>
        </row>
        <row r="150">
          <cell r="B150">
            <v>42586</v>
          </cell>
          <cell r="C150">
            <v>99.28</v>
          </cell>
        </row>
        <row r="150">
          <cell r="E150">
            <v>42571</v>
          </cell>
          <cell r="F150">
            <v>128</v>
          </cell>
        </row>
        <row r="150">
          <cell r="H150">
            <v>42571</v>
          </cell>
          <cell r="I150">
            <v>95.21</v>
          </cell>
        </row>
        <row r="150">
          <cell r="K150">
            <v>42571</v>
          </cell>
          <cell r="L150">
            <v>113.7</v>
          </cell>
        </row>
        <row r="150">
          <cell r="N150">
            <v>42586</v>
          </cell>
          <cell r="O150">
            <v>94.27</v>
          </cell>
        </row>
        <row r="151">
          <cell r="B151">
            <v>42587</v>
          </cell>
          <cell r="C151">
            <v>98.95</v>
          </cell>
        </row>
        <row r="151">
          <cell r="E151">
            <v>42572</v>
          </cell>
          <cell r="F151">
            <v>126.76</v>
          </cell>
        </row>
        <row r="151">
          <cell r="H151">
            <v>42572</v>
          </cell>
          <cell r="I151">
            <v>95.49</v>
          </cell>
        </row>
        <row r="151">
          <cell r="K151">
            <v>42572</v>
          </cell>
          <cell r="L151">
            <v>113.38</v>
          </cell>
        </row>
        <row r="151">
          <cell r="N151">
            <v>42587</v>
          </cell>
          <cell r="O151">
            <v>93.76</v>
          </cell>
        </row>
        <row r="152">
          <cell r="B152">
            <v>42590</v>
          </cell>
          <cell r="C152">
            <v>99.15</v>
          </cell>
        </row>
        <row r="152">
          <cell r="E152">
            <v>42573</v>
          </cell>
          <cell r="F152">
            <v>126.79</v>
          </cell>
        </row>
        <row r="152">
          <cell r="H152">
            <v>42573</v>
          </cell>
          <cell r="I152">
            <v>95.12</v>
          </cell>
        </row>
        <row r="152">
          <cell r="K152">
            <v>42573</v>
          </cell>
          <cell r="L152">
            <v>113.47</v>
          </cell>
        </row>
        <row r="152">
          <cell r="N152">
            <v>42590</v>
          </cell>
          <cell r="O152">
            <v>93.58</v>
          </cell>
        </row>
        <row r="153">
          <cell r="B153">
            <v>42591</v>
          </cell>
          <cell r="C153">
            <v>98.85</v>
          </cell>
        </row>
        <row r="153">
          <cell r="E153">
            <v>42576</v>
          </cell>
          <cell r="F153">
            <v>125.63</v>
          </cell>
        </row>
        <row r="153">
          <cell r="H153">
            <v>42576</v>
          </cell>
          <cell r="I153">
            <v>95.16</v>
          </cell>
        </row>
        <row r="153">
          <cell r="K153">
            <v>42576</v>
          </cell>
          <cell r="L153">
            <v>114.04</v>
          </cell>
        </row>
        <row r="153">
          <cell r="N153">
            <v>42591</v>
          </cell>
          <cell r="O153">
            <v>93.43</v>
          </cell>
        </row>
        <row r="154">
          <cell r="B154">
            <v>42592</v>
          </cell>
          <cell r="C154">
            <v>99.5</v>
          </cell>
        </row>
        <row r="154">
          <cell r="E154">
            <v>42577</v>
          </cell>
          <cell r="F154">
            <v>126.24</v>
          </cell>
        </row>
        <row r="154">
          <cell r="H154">
            <v>42577</v>
          </cell>
          <cell r="I154">
            <v>95.53</v>
          </cell>
        </row>
        <row r="154">
          <cell r="K154">
            <v>42577</v>
          </cell>
          <cell r="L154">
            <v>113.98</v>
          </cell>
        </row>
        <row r="154">
          <cell r="N154">
            <v>42592</v>
          </cell>
          <cell r="O154">
            <v>93.4</v>
          </cell>
        </row>
        <row r="155">
          <cell r="B155">
            <v>42593</v>
          </cell>
          <cell r="C155">
            <v>99.22</v>
          </cell>
        </row>
        <row r="155">
          <cell r="E155">
            <v>42578</v>
          </cell>
          <cell r="F155">
            <v>126.49</v>
          </cell>
        </row>
        <row r="155">
          <cell r="H155">
            <v>42578</v>
          </cell>
          <cell r="I155">
            <v>95.16</v>
          </cell>
        </row>
        <row r="155">
          <cell r="K155">
            <v>42578</v>
          </cell>
          <cell r="L155">
            <v>112.75</v>
          </cell>
        </row>
        <row r="155">
          <cell r="N155">
            <v>42593</v>
          </cell>
          <cell r="O155">
            <v>93.46</v>
          </cell>
        </row>
        <row r="156">
          <cell r="B156">
            <v>42594</v>
          </cell>
          <cell r="C156">
            <v>99.04</v>
          </cell>
        </row>
        <row r="156">
          <cell r="E156">
            <v>42579</v>
          </cell>
          <cell r="F156">
            <v>127.06</v>
          </cell>
        </row>
        <row r="156">
          <cell r="H156">
            <v>42579</v>
          </cell>
          <cell r="I156">
            <v>94.41</v>
          </cell>
        </row>
        <row r="156">
          <cell r="K156">
            <v>42579</v>
          </cell>
          <cell r="L156">
            <v>112.38</v>
          </cell>
        </row>
        <row r="156">
          <cell r="N156">
            <v>42594</v>
          </cell>
          <cell r="O156">
            <v>93.23</v>
          </cell>
        </row>
        <row r="157">
          <cell r="B157">
            <v>42597</v>
          </cell>
          <cell r="C157">
            <v>98.77</v>
          </cell>
        </row>
        <row r="157">
          <cell r="E157">
            <v>42580</v>
          </cell>
          <cell r="F157">
            <v>127.5</v>
          </cell>
        </row>
        <row r="157">
          <cell r="H157">
            <v>42580</v>
          </cell>
          <cell r="I157">
            <v>94.44</v>
          </cell>
        </row>
        <row r="157">
          <cell r="K157">
            <v>42580</v>
          </cell>
          <cell r="L157">
            <v>112.1</v>
          </cell>
        </row>
        <row r="157">
          <cell r="N157">
            <v>42597</v>
          </cell>
          <cell r="O157">
            <v>92.94</v>
          </cell>
        </row>
        <row r="158">
          <cell r="B158">
            <v>42598</v>
          </cell>
          <cell r="C158">
            <v>98.36</v>
          </cell>
        </row>
        <row r="158">
          <cell r="E158">
            <v>42583</v>
          </cell>
          <cell r="F158">
            <v>127.1</v>
          </cell>
        </row>
        <row r="158">
          <cell r="H158">
            <v>42583</v>
          </cell>
          <cell r="I158">
            <v>93.99</v>
          </cell>
        </row>
        <row r="158">
          <cell r="K158">
            <v>42583</v>
          </cell>
          <cell r="L158">
            <v>111.91</v>
          </cell>
        </row>
        <row r="158">
          <cell r="N158">
            <v>42598</v>
          </cell>
          <cell r="O158">
            <v>93.31</v>
          </cell>
        </row>
        <row r="159">
          <cell r="B159">
            <v>42599</v>
          </cell>
          <cell r="C159">
            <v>98.34</v>
          </cell>
        </row>
        <row r="159">
          <cell r="E159">
            <v>42584</v>
          </cell>
          <cell r="F159">
            <v>127.6</v>
          </cell>
        </row>
        <row r="159">
          <cell r="H159">
            <v>42584</v>
          </cell>
          <cell r="I159">
            <v>93.94</v>
          </cell>
        </row>
        <row r="159">
          <cell r="K159">
            <v>42584</v>
          </cell>
          <cell r="L159">
            <v>111.74</v>
          </cell>
        </row>
        <row r="159">
          <cell r="N159">
            <v>42599</v>
          </cell>
          <cell r="O159">
            <v>93.54</v>
          </cell>
        </row>
        <row r="160">
          <cell r="B160">
            <v>42600</v>
          </cell>
          <cell r="C160">
            <v>98.28</v>
          </cell>
        </row>
        <row r="160">
          <cell r="E160">
            <v>42585</v>
          </cell>
          <cell r="F160">
            <v>126.93</v>
          </cell>
        </row>
        <row r="160">
          <cell r="H160">
            <v>42585</v>
          </cell>
          <cell r="I160">
            <v>93.95</v>
          </cell>
        </row>
        <row r="160">
          <cell r="K160">
            <v>42585</v>
          </cell>
          <cell r="L160">
            <v>111.8</v>
          </cell>
        </row>
        <row r="160">
          <cell r="N160">
            <v>42600</v>
          </cell>
          <cell r="O160">
            <v>93.21</v>
          </cell>
        </row>
        <row r="161">
          <cell r="B161">
            <v>42601</v>
          </cell>
          <cell r="C161">
            <v>98.15</v>
          </cell>
        </row>
        <row r="161">
          <cell r="E161">
            <v>42586</v>
          </cell>
          <cell r="F161">
            <v>127.94</v>
          </cell>
        </row>
        <row r="161">
          <cell r="H161">
            <v>42586</v>
          </cell>
          <cell r="I161">
            <v>94.06</v>
          </cell>
        </row>
        <row r="161">
          <cell r="K161">
            <v>42586</v>
          </cell>
          <cell r="L161">
            <v>111.17</v>
          </cell>
        </row>
        <row r="161">
          <cell r="N161">
            <v>42601</v>
          </cell>
          <cell r="O161">
            <v>93.23</v>
          </cell>
        </row>
        <row r="162">
          <cell r="B162">
            <v>42604</v>
          </cell>
          <cell r="C162">
            <v>98.27</v>
          </cell>
        </row>
        <row r="162">
          <cell r="E162">
            <v>42587</v>
          </cell>
          <cell r="F162">
            <v>127.69</v>
          </cell>
        </row>
        <row r="162">
          <cell r="H162">
            <v>42587</v>
          </cell>
          <cell r="I162">
            <v>94.47</v>
          </cell>
        </row>
        <row r="162">
          <cell r="K162">
            <v>42587</v>
          </cell>
          <cell r="L162">
            <v>111.72</v>
          </cell>
        </row>
        <row r="162">
          <cell r="N162">
            <v>42604</v>
          </cell>
          <cell r="O162">
            <v>93.07</v>
          </cell>
        </row>
        <row r="163">
          <cell r="B163">
            <v>42605</v>
          </cell>
          <cell r="C163">
            <v>98.51</v>
          </cell>
        </row>
        <row r="163">
          <cell r="E163">
            <v>42590</v>
          </cell>
          <cell r="F163">
            <v>127.42</v>
          </cell>
        </row>
        <row r="163">
          <cell r="H163">
            <v>42590</v>
          </cell>
          <cell r="I163">
            <v>94.9</v>
          </cell>
        </row>
        <row r="163">
          <cell r="K163">
            <v>42590</v>
          </cell>
          <cell r="L163">
            <v>111.73</v>
          </cell>
        </row>
        <row r="163">
          <cell r="N163">
            <v>42605</v>
          </cell>
          <cell r="O163">
            <v>92.58</v>
          </cell>
        </row>
        <row r="164">
          <cell r="B164">
            <v>42606</v>
          </cell>
          <cell r="C164">
            <v>98.48</v>
          </cell>
        </row>
        <row r="164">
          <cell r="E164">
            <v>42591</v>
          </cell>
          <cell r="F164">
            <v>127.62</v>
          </cell>
        </row>
        <row r="164">
          <cell r="H164">
            <v>42591</v>
          </cell>
          <cell r="I164">
            <v>94.18</v>
          </cell>
        </row>
        <row r="164">
          <cell r="K164">
            <v>42591</v>
          </cell>
          <cell r="L164">
            <v>110.61</v>
          </cell>
        </row>
        <row r="164">
          <cell r="N164">
            <v>42606</v>
          </cell>
          <cell r="O164">
            <v>92.7</v>
          </cell>
        </row>
        <row r="165">
          <cell r="B165">
            <v>42607</v>
          </cell>
          <cell r="C165">
            <v>98.92</v>
          </cell>
        </row>
        <row r="165">
          <cell r="E165">
            <v>42592</v>
          </cell>
          <cell r="F165">
            <v>127.67</v>
          </cell>
        </row>
        <row r="165">
          <cell r="H165">
            <v>42592</v>
          </cell>
          <cell r="I165">
            <v>94.11</v>
          </cell>
        </row>
        <row r="165">
          <cell r="K165">
            <v>42592</v>
          </cell>
          <cell r="L165">
            <v>110.77</v>
          </cell>
        </row>
        <row r="165">
          <cell r="N165">
            <v>42607</v>
          </cell>
          <cell r="O165">
            <v>92.43</v>
          </cell>
        </row>
        <row r="166">
          <cell r="B166">
            <v>42608</v>
          </cell>
          <cell r="C166">
            <v>98.84</v>
          </cell>
        </row>
        <row r="166">
          <cell r="E166">
            <v>42593</v>
          </cell>
          <cell r="F166">
            <v>126.99</v>
          </cell>
        </row>
        <row r="166">
          <cell r="H166">
            <v>42593</v>
          </cell>
          <cell r="I166">
            <v>94.46</v>
          </cell>
        </row>
        <row r="166">
          <cell r="K166">
            <v>42593</v>
          </cell>
          <cell r="L166">
            <v>110.93</v>
          </cell>
        </row>
        <row r="166">
          <cell r="N166">
            <v>42608</v>
          </cell>
          <cell r="O166">
            <v>92.6</v>
          </cell>
        </row>
        <row r="167">
          <cell r="B167">
            <v>42611</v>
          </cell>
          <cell r="C167">
            <v>98.83</v>
          </cell>
        </row>
        <row r="167">
          <cell r="E167">
            <v>42594</v>
          </cell>
          <cell r="F167">
            <v>126.5</v>
          </cell>
        </row>
        <row r="167">
          <cell r="H167">
            <v>42594</v>
          </cell>
          <cell r="I167">
            <v>94.17</v>
          </cell>
        </row>
        <row r="167">
          <cell r="K167">
            <v>42594</v>
          </cell>
          <cell r="L167">
            <v>110.87</v>
          </cell>
        </row>
        <row r="167">
          <cell r="N167">
            <v>42611</v>
          </cell>
          <cell r="O167">
            <v>92.54</v>
          </cell>
        </row>
        <row r="168">
          <cell r="B168">
            <v>42612</v>
          </cell>
          <cell r="C168">
            <v>98.86</v>
          </cell>
        </row>
        <row r="168">
          <cell r="E168">
            <v>42597</v>
          </cell>
          <cell r="F168">
            <v>126</v>
          </cell>
        </row>
        <row r="168">
          <cell r="H168">
            <v>42597</v>
          </cell>
          <cell r="I168">
            <v>94.25</v>
          </cell>
        </row>
        <row r="168">
          <cell r="K168">
            <v>42597</v>
          </cell>
          <cell r="L168">
            <v>110.58</v>
          </cell>
        </row>
        <row r="168">
          <cell r="N168">
            <v>42612</v>
          </cell>
          <cell r="O168">
            <v>92.26</v>
          </cell>
        </row>
        <row r="169">
          <cell r="B169">
            <v>42613</v>
          </cell>
          <cell r="C169">
            <v>98.95</v>
          </cell>
        </row>
        <row r="169">
          <cell r="E169">
            <v>42598</v>
          </cell>
          <cell r="F169">
            <v>125.45</v>
          </cell>
        </row>
        <row r="169">
          <cell r="H169">
            <v>42598</v>
          </cell>
          <cell r="I169">
            <v>94.25</v>
          </cell>
        </row>
        <row r="169">
          <cell r="K169">
            <v>42598</v>
          </cell>
          <cell r="L169">
            <v>110.63</v>
          </cell>
        </row>
        <row r="169">
          <cell r="N169">
            <v>42613</v>
          </cell>
          <cell r="O169">
            <v>92.41</v>
          </cell>
        </row>
        <row r="170">
          <cell r="B170">
            <v>42614</v>
          </cell>
          <cell r="C170">
            <v>98.93</v>
          </cell>
        </row>
        <row r="170">
          <cell r="E170">
            <v>42599</v>
          </cell>
          <cell r="F170">
            <v>125.4</v>
          </cell>
        </row>
        <row r="170">
          <cell r="H170">
            <v>42599</v>
          </cell>
          <cell r="I170">
            <v>94.26</v>
          </cell>
        </row>
        <row r="170">
          <cell r="K170">
            <v>42599</v>
          </cell>
          <cell r="L170">
            <v>110.5</v>
          </cell>
        </row>
        <row r="170">
          <cell r="N170">
            <v>42614</v>
          </cell>
          <cell r="O170">
            <v>92.59</v>
          </cell>
        </row>
        <row r="171">
          <cell r="B171">
            <v>42615</v>
          </cell>
          <cell r="C171">
            <v>98.99</v>
          </cell>
        </row>
        <row r="171">
          <cell r="E171">
            <v>42600</v>
          </cell>
          <cell r="F171">
            <v>125.77</v>
          </cell>
        </row>
        <row r="171">
          <cell r="H171">
            <v>42600</v>
          </cell>
          <cell r="I171">
            <v>94.39</v>
          </cell>
        </row>
        <row r="171">
          <cell r="K171">
            <v>42600</v>
          </cell>
          <cell r="L171">
            <v>110.38</v>
          </cell>
        </row>
        <row r="171">
          <cell r="N171">
            <v>42615</v>
          </cell>
          <cell r="O171">
            <v>92.06</v>
          </cell>
        </row>
        <row r="172">
          <cell r="B172">
            <v>42619</v>
          </cell>
          <cell r="C172">
            <v>98.99</v>
          </cell>
        </row>
        <row r="172">
          <cell r="E172">
            <v>42601</v>
          </cell>
          <cell r="F172">
            <v>125.78</v>
          </cell>
        </row>
        <row r="172">
          <cell r="H172">
            <v>42601</v>
          </cell>
          <cell r="I172">
            <v>94.44</v>
          </cell>
        </row>
        <row r="172">
          <cell r="K172">
            <v>42601</v>
          </cell>
          <cell r="L172">
            <v>111.18</v>
          </cell>
        </row>
        <row r="172">
          <cell r="N172">
            <v>42619</v>
          </cell>
          <cell r="O172">
            <v>92.28</v>
          </cell>
        </row>
        <row r="173">
          <cell r="B173">
            <v>42620</v>
          </cell>
          <cell r="C173">
            <v>99</v>
          </cell>
        </row>
        <row r="173">
          <cell r="E173">
            <v>42604</v>
          </cell>
          <cell r="F173">
            <v>125.05</v>
          </cell>
        </row>
        <row r="173">
          <cell r="H173">
            <v>42604</v>
          </cell>
          <cell r="I173">
            <v>94.29</v>
          </cell>
        </row>
        <row r="173">
          <cell r="K173">
            <v>42604</v>
          </cell>
          <cell r="L173">
            <v>110.85</v>
          </cell>
        </row>
        <row r="173">
          <cell r="N173">
            <v>42620</v>
          </cell>
          <cell r="O173">
            <v>91.87</v>
          </cell>
        </row>
        <row r="174">
          <cell r="B174">
            <v>42621</v>
          </cell>
          <cell r="C174">
            <v>98.73</v>
          </cell>
        </row>
        <row r="174">
          <cell r="E174">
            <v>42605</v>
          </cell>
          <cell r="F174">
            <v>124.77</v>
          </cell>
        </row>
        <row r="174">
          <cell r="H174">
            <v>42605</v>
          </cell>
          <cell r="I174">
            <v>94.75</v>
          </cell>
        </row>
        <row r="174">
          <cell r="K174">
            <v>42605</v>
          </cell>
          <cell r="L174">
            <v>111.4</v>
          </cell>
        </row>
        <row r="174">
          <cell r="N174">
            <v>42621</v>
          </cell>
          <cell r="O174">
            <v>91.91</v>
          </cell>
        </row>
        <row r="175">
          <cell r="B175">
            <v>42622</v>
          </cell>
          <cell r="C175">
            <v>98.5</v>
          </cell>
        </row>
        <row r="175">
          <cell r="E175">
            <v>42606</v>
          </cell>
          <cell r="F175">
            <v>124.53</v>
          </cell>
        </row>
        <row r="175">
          <cell r="H175">
            <v>42606</v>
          </cell>
          <cell r="I175">
            <v>94.81</v>
          </cell>
        </row>
        <row r="175">
          <cell r="K175">
            <v>42606</v>
          </cell>
          <cell r="L175">
            <v>112.94</v>
          </cell>
        </row>
        <row r="175">
          <cell r="N175">
            <v>42622</v>
          </cell>
          <cell r="O175">
            <v>92.48</v>
          </cell>
        </row>
        <row r="176">
          <cell r="B176">
            <v>42625</v>
          </cell>
          <cell r="C176">
            <v>98.39</v>
          </cell>
        </row>
        <row r="176">
          <cell r="E176">
            <v>42607</v>
          </cell>
          <cell r="F176">
            <v>125.12</v>
          </cell>
        </row>
        <row r="176">
          <cell r="H176">
            <v>42607</v>
          </cell>
          <cell r="I176">
            <v>94.83</v>
          </cell>
        </row>
        <row r="176">
          <cell r="K176">
            <v>42607</v>
          </cell>
          <cell r="L176">
            <v>112.8</v>
          </cell>
        </row>
        <row r="176">
          <cell r="N176">
            <v>42625</v>
          </cell>
          <cell r="O176">
            <v>92.62</v>
          </cell>
        </row>
        <row r="177">
          <cell r="B177">
            <v>42626</v>
          </cell>
          <cell r="C177">
            <v>98.35</v>
          </cell>
        </row>
        <row r="177">
          <cell r="E177">
            <v>42608</v>
          </cell>
          <cell r="F177">
            <v>125.24</v>
          </cell>
        </row>
        <row r="177">
          <cell r="H177">
            <v>42608</v>
          </cell>
          <cell r="I177">
            <v>94.75</v>
          </cell>
        </row>
        <row r="177">
          <cell r="K177">
            <v>42608</v>
          </cell>
          <cell r="L177">
            <v>112.57</v>
          </cell>
        </row>
        <row r="177">
          <cell r="N177">
            <v>42626</v>
          </cell>
          <cell r="O177">
            <v>92.59</v>
          </cell>
        </row>
        <row r="178">
          <cell r="B178">
            <v>42627</v>
          </cell>
          <cell r="C178">
            <v>98.46</v>
          </cell>
        </row>
        <row r="178">
          <cell r="E178">
            <v>42611</v>
          </cell>
          <cell r="F178">
            <v>125.73</v>
          </cell>
        </row>
        <row r="178">
          <cell r="H178">
            <v>42611</v>
          </cell>
          <cell r="I178">
            <v>94.73</v>
          </cell>
        </row>
        <row r="178">
          <cell r="K178">
            <v>42611</v>
          </cell>
          <cell r="L178">
            <v>112.51</v>
          </cell>
        </row>
        <row r="178">
          <cell r="N178">
            <v>42627</v>
          </cell>
          <cell r="O178">
            <v>92.63</v>
          </cell>
        </row>
        <row r="179">
          <cell r="B179">
            <v>42628</v>
          </cell>
          <cell r="C179">
            <v>98.49</v>
          </cell>
        </row>
        <row r="179">
          <cell r="E179">
            <v>42612</v>
          </cell>
          <cell r="F179">
            <v>124.95</v>
          </cell>
        </row>
        <row r="179">
          <cell r="H179">
            <v>42612</v>
          </cell>
          <cell r="I179">
            <v>95.35</v>
          </cell>
        </row>
        <row r="179">
          <cell r="K179">
            <v>42612</v>
          </cell>
          <cell r="L179">
            <v>113.1</v>
          </cell>
        </row>
        <row r="179">
          <cell r="N179">
            <v>42628</v>
          </cell>
          <cell r="O179">
            <v>92.27</v>
          </cell>
        </row>
        <row r="180">
          <cell r="B180">
            <v>42629</v>
          </cell>
          <cell r="C180">
            <v>99.07</v>
          </cell>
        </row>
        <row r="180">
          <cell r="E180">
            <v>42613</v>
          </cell>
          <cell r="F180">
            <v>124.68</v>
          </cell>
        </row>
        <row r="180">
          <cell r="H180">
            <v>42613</v>
          </cell>
          <cell r="I180">
            <v>95.64</v>
          </cell>
        </row>
        <row r="180">
          <cell r="K180">
            <v>42613</v>
          </cell>
          <cell r="L180">
            <v>113.41</v>
          </cell>
        </row>
        <row r="180">
          <cell r="N180">
            <v>42629</v>
          </cell>
          <cell r="O180">
            <v>92.13</v>
          </cell>
        </row>
        <row r="181">
          <cell r="B181">
            <v>42632</v>
          </cell>
          <cell r="C181">
            <v>98.75</v>
          </cell>
        </row>
        <row r="181">
          <cell r="E181">
            <v>42614</v>
          </cell>
          <cell r="F181">
            <v>125.51</v>
          </cell>
        </row>
        <row r="181">
          <cell r="H181">
            <v>42614</v>
          </cell>
          <cell r="I181">
            <v>95.38</v>
          </cell>
        </row>
        <row r="181">
          <cell r="K181">
            <v>42614</v>
          </cell>
          <cell r="L181">
            <v>112.88</v>
          </cell>
        </row>
        <row r="181">
          <cell r="N181">
            <v>42632</v>
          </cell>
          <cell r="O181">
            <v>91.65</v>
          </cell>
        </row>
        <row r="182">
          <cell r="B182">
            <v>42633</v>
          </cell>
          <cell r="C182">
            <v>98.87</v>
          </cell>
        </row>
        <row r="182">
          <cell r="E182">
            <v>42615</v>
          </cell>
          <cell r="F182">
            <v>125.61</v>
          </cell>
        </row>
        <row r="182">
          <cell r="H182">
            <v>42615</v>
          </cell>
          <cell r="I182">
            <v>95.21</v>
          </cell>
        </row>
        <row r="182">
          <cell r="K182">
            <v>42615</v>
          </cell>
          <cell r="L182">
            <v>112.53</v>
          </cell>
        </row>
        <row r="182">
          <cell r="N182">
            <v>42633</v>
          </cell>
          <cell r="O182">
            <v>92.08</v>
          </cell>
        </row>
        <row r="183">
          <cell r="B183">
            <v>42634</v>
          </cell>
          <cell r="C183">
            <v>98.87</v>
          </cell>
        </row>
        <row r="183">
          <cell r="E183">
            <v>42618</v>
          </cell>
          <cell r="F183">
            <v>125.55</v>
          </cell>
        </row>
        <row r="183">
          <cell r="H183">
            <v>42618</v>
          </cell>
          <cell r="I183">
            <v>95.28</v>
          </cell>
        </row>
        <row r="183">
          <cell r="K183">
            <v>42618</v>
          </cell>
          <cell r="L183">
            <v>112.4</v>
          </cell>
        </row>
        <row r="183">
          <cell r="N183">
            <v>42634</v>
          </cell>
          <cell r="O183">
            <v>91.94</v>
          </cell>
        </row>
        <row r="184">
          <cell r="B184">
            <v>42635</v>
          </cell>
          <cell r="C184">
            <v>98.86</v>
          </cell>
        </row>
        <row r="184">
          <cell r="E184">
            <v>42619</v>
          </cell>
          <cell r="F184">
            <v>125.75</v>
          </cell>
        </row>
        <row r="184">
          <cell r="H184">
            <v>42619</v>
          </cell>
          <cell r="I184">
            <v>94.92</v>
          </cell>
        </row>
        <row r="184">
          <cell r="K184">
            <v>42619</v>
          </cell>
          <cell r="L184">
            <v>111.8</v>
          </cell>
        </row>
        <row r="184">
          <cell r="N184">
            <v>42635</v>
          </cell>
          <cell r="O184">
            <v>91.27</v>
          </cell>
        </row>
        <row r="185">
          <cell r="B185">
            <v>42636</v>
          </cell>
          <cell r="C185">
            <v>98.72</v>
          </cell>
        </row>
        <row r="185">
          <cell r="E185">
            <v>42620</v>
          </cell>
          <cell r="F185">
            <v>125.25</v>
          </cell>
        </row>
        <row r="185">
          <cell r="H185">
            <v>42620</v>
          </cell>
          <cell r="I185">
            <v>95.23</v>
          </cell>
        </row>
        <row r="185">
          <cell r="K185">
            <v>42620</v>
          </cell>
          <cell r="L185">
            <v>111.78</v>
          </cell>
        </row>
        <row r="185">
          <cell r="N185">
            <v>42636</v>
          </cell>
          <cell r="O185">
            <v>91.37</v>
          </cell>
        </row>
        <row r="186">
          <cell r="B186">
            <v>42639</v>
          </cell>
          <cell r="C186">
            <v>98.57</v>
          </cell>
        </row>
        <row r="186">
          <cell r="E186">
            <v>42621</v>
          </cell>
          <cell r="F186">
            <v>125.02</v>
          </cell>
        </row>
        <row r="186">
          <cell r="H186">
            <v>42621</v>
          </cell>
          <cell r="I186">
            <v>95.04</v>
          </cell>
        </row>
        <row r="186">
          <cell r="K186">
            <v>42621</v>
          </cell>
          <cell r="L186">
            <v>111.27</v>
          </cell>
        </row>
        <row r="186">
          <cell r="N186">
            <v>42639</v>
          </cell>
          <cell r="O186">
            <v>91.51</v>
          </cell>
        </row>
        <row r="187">
          <cell r="B187">
            <v>42640</v>
          </cell>
          <cell r="C187">
            <v>98.53</v>
          </cell>
        </row>
        <row r="187">
          <cell r="E187">
            <v>42622</v>
          </cell>
          <cell r="F187">
            <v>124.09</v>
          </cell>
        </row>
        <row r="187">
          <cell r="H187">
            <v>42622</v>
          </cell>
          <cell r="I187">
            <v>94.75</v>
          </cell>
        </row>
        <row r="187">
          <cell r="K187">
            <v>42622</v>
          </cell>
          <cell r="L187">
            <v>111.66</v>
          </cell>
        </row>
        <row r="187">
          <cell r="N187">
            <v>42640</v>
          </cell>
          <cell r="O187">
            <v>91.94</v>
          </cell>
        </row>
        <row r="188">
          <cell r="B188">
            <v>42641</v>
          </cell>
          <cell r="C188">
            <v>98.58</v>
          </cell>
        </row>
        <row r="188">
          <cell r="E188">
            <v>42625</v>
          </cell>
          <cell r="F188">
            <v>124.32</v>
          </cell>
        </row>
        <row r="188">
          <cell r="H188">
            <v>42625</v>
          </cell>
          <cell r="I188">
            <v>94.55</v>
          </cell>
        </row>
        <row r="188">
          <cell r="K188">
            <v>42625</v>
          </cell>
          <cell r="L188">
            <v>111.22</v>
          </cell>
        </row>
        <row r="188">
          <cell r="N188">
            <v>42641</v>
          </cell>
          <cell r="O188">
            <v>91.73</v>
          </cell>
        </row>
        <row r="189">
          <cell r="B189">
            <v>42642</v>
          </cell>
          <cell r="C189">
            <v>98.95</v>
          </cell>
        </row>
        <row r="189">
          <cell r="E189">
            <v>42626</v>
          </cell>
          <cell r="F189">
            <v>123.73</v>
          </cell>
        </row>
        <row r="189">
          <cell r="H189">
            <v>42626</v>
          </cell>
          <cell r="I189">
            <v>94.55</v>
          </cell>
        </row>
        <row r="189">
          <cell r="K189">
            <v>42626</v>
          </cell>
          <cell r="L189">
            <v>111.81</v>
          </cell>
        </row>
        <row r="189">
          <cell r="N189">
            <v>42642</v>
          </cell>
          <cell r="O189">
            <v>92.04</v>
          </cell>
        </row>
        <row r="190">
          <cell r="B190">
            <v>42643</v>
          </cell>
          <cell r="C190">
            <v>98.78</v>
          </cell>
        </row>
        <row r="190">
          <cell r="E190">
            <v>42627</v>
          </cell>
          <cell r="F190">
            <v>123.86</v>
          </cell>
        </row>
        <row r="190">
          <cell r="H190">
            <v>42627</v>
          </cell>
          <cell r="I190">
            <v>94.67</v>
          </cell>
        </row>
        <row r="190">
          <cell r="K190">
            <v>42627</v>
          </cell>
          <cell r="L190">
            <v>111.77</v>
          </cell>
        </row>
        <row r="190">
          <cell r="N190">
            <v>42643</v>
          </cell>
          <cell r="O190">
            <v>91.93</v>
          </cell>
        </row>
        <row r="191">
          <cell r="B191">
            <v>42646</v>
          </cell>
          <cell r="C191">
            <v>98.82</v>
          </cell>
        </row>
        <row r="191">
          <cell r="E191">
            <v>42628</v>
          </cell>
          <cell r="F191">
            <v>124.12</v>
          </cell>
        </row>
        <row r="191">
          <cell r="H191">
            <v>42628</v>
          </cell>
          <cell r="I191">
            <v>94.57</v>
          </cell>
        </row>
        <row r="191">
          <cell r="K191">
            <v>42628</v>
          </cell>
          <cell r="L191">
            <v>111.56</v>
          </cell>
        </row>
        <row r="191">
          <cell r="N191">
            <v>42646</v>
          </cell>
          <cell r="O191">
            <v>92.11</v>
          </cell>
        </row>
        <row r="192">
          <cell r="B192">
            <v>42647</v>
          </cell>
          <cell r="C192">
            <v>98.92</v>
          </cell>
        </row>
        <row r="192">
          <cell r="E192">
            <v>42629</v>
          </cell>
          <cell r="F192">
            <v>123.63</v>
          </cell>
        </row>
        <row r="192">
          <cell r="H192">
            <v>42629</v>
          </cell>
          <cell r="I192">
            <v>94.6</v>
          </cell>
        </row>
        <row r="192">
          <cell r="K192">
            <v>42629</v>
          </cell>
          <cell r="L192">
            <v>111.41</v>
          </cell>
        </row>
        <row r="192">
          <cell r="N192">
            <v>42647</v>
          </cell>
          <cell r="O192">
            <v>92.26</v>
          </cell>
        </row>
        <row r="193">
          <cell r="B193">
            <v>42648</v>
          </cell>
          <cell r="C193">
            <v>98.8</v>
          </cell>
        </row>
        <row r="193">
          <cell r="E193">
            <v>42632</v>
          </cell>
          <cell r="F193">
            <v>124.07</v>
          </cell>
        </row>
        <row r="193">
          <cell r="H193">
            <v>42632</v>
          </cell>
          <cell r="I193">
            <v>94.9</v>
          </cell>
        </row>
        <row r="193">
          <cell r="K193">
            <v>42632</v>
          </cell>
          <cell r="L193">
            <v>111.74</v>
          </cell>
        </row>
        <row r="193">
          <cell r="N193">
            <v>42648</v>
          </cell>
          <cell r="O193">
            <v>92.27</v>
          </cell>
        </row>
        <row r="194">
          <cell r="B194">
            <v>42649</v>
          </cell>
          <cell r="C194">
            <v>99.14</v>
          </cell>
        </row>
        <row r="194">
          <cell r="E194">
            <v>42633</v>
          </cell>
          <cell r="F194">
            <v>123.95</v>
          </cell>
        </row>
        <row r="194">
          <cell r="H194">
            <v>42633</v>
          </cell>
          <cell r="I194">
            <v>94.62</v>
          </cell>
        </row>
        <row r="194">
          <cell r="K194">
            <v>42633</v>
          </cell>
          <cell r="L194">
            <v>111.64</v>
          </cell>
        </row>
        <row r="194">
          <cell r="N194">
            <v>42649</v>
          </cell>
          <cell r="O194">
            <v>92.24</v>
          </cell>
        </row>
        <row r="195">
          <cell r="B195">
            <v>42650</v>
          </cell>
          <cell r="C195">
            <v>99.15</v>
          </cell>
        </row>
        <row r="195">
          <cell r="E195">
            <v>42634</v>
          </cell>
          <cell r="F195">
            <v>124.82</v>
          </cell>
        </row>
        <row r="195">
          <cell r="H195">
            <v>42634</v>
          </cell>
          <cell r="I195">
            <v>94.44</v>
          </cell>
        </row>
        <row r="195">
          <cell r="K195">
            <v>42634</v>
          </cell>
          <cell r="L195">
            <v>110.81</v>
          </cell>
        </row>
        <row r="195">
          <cell r="N195">
            <v>42650</v>
          </cell>
          <cell r="O195">
            <v>92.55</v>
          </cell>
        </row>
        <row r="196">
          <cell r="B196">
            <v>42653</v>
          </cell>
          <cell r="C196">
            <v>99.23</v>
          </cell>
        </row>
        <row r="196">
          <cell r="E196">
            <v>42635</v>
          </cell>
          <cell r="F196">
            <v>124.63</v>
          </cell>
        </row>
        <row r="196">
          <cell r="H196">
            <v>42635</v>
          </cell>
          <cell r="I196">
            <v>94.8</v>
          </cell>
        </row>
        <row r="196">
          <cell r="K196">
            <v>42635</v>
          </cell>
          <cell r="L196">
            <v>110.62</v>
          </cell>
        </row>
        <row r="196">
          <cell r="N196">
            <v>42653</v>
          </cell>
          <cell r="O196">
            <v>91.96</v>
          </cell>
        </row>
        <row r="197">
          <cell r="B197">
            <v>42654</v>
          </cell>
          <cell r="C197">
            <v>99.18</v>
          </cell>
        </row>
        <row r="197">
          <cell r="E197">
            <v>42636</v>
          </cell>
          <cell r="F197">
            <v>123.49</v>
          </cell>
        </row>
        <row r="197">
          <cell r="H197">
            <v>42636</v>
          </cell>
          <cell r="I197">
            <v>95.23</v>
          </cell>
        </row>
        <row r="197">
          <cell r="K197">
            <v>42636</v>
          </cell>
          <cell r="L197">
            <v>110.94</v>
          </cell>
        </row>
        <row r="197">
          <cell r="N197">
            <v>42654</v>
          </cell>
          <cell r="O197">
            <v>92.07</v>
          </cell>
        </row>
        <row r="198">
          <cell r="B198">
            <v>42655</v>
          </cell>
          <cell r="C198">
            <v>99.28</v>
          </cell>
        </row>
        <row r="198">
          <cell r="E198">
            <v>42639</v>
          </cell>
          <cell r="F198">
            <v>124.28</v>
          </cell>
        </row>
        <row r="198">
          <cell r="H198">
            <v>42639</v>
          </cell>
          <cell r="I198">
            <v>94.86</v>
          </cell>
        </row>
        <row r="198">
          <cell r="K198">
            <v>42639</v>
          </cell>
          <cell r="L198">
            <v>110.66</v>
          </cell>
        </row>
        <row r="198">
          <cell r="N198">
            <v>42655</v>
          </cell>
          <cell r="O198">
            <v>91.93</v>
          </cell>
        </row>
        <row r="199">
          <cell r="B199">
            <v>42656</v>
          </cell>
          <cell r="C199">
            <v>99.33</v>
          </cell>
        </row>
        <row r="199">
          <cell r="E199">
            <v>42640</v>
          </cell>
          <cell r="F199">
            <v>124.2</v>
          </cell>
        </row>
        <row r="199">
          <cell r="H199">
            <v>42640</v>
          </cell>
          <cell r="I199">
            <v>95.12</v>
          </cell>
        </row>
        <row r="199">
          <cell r="K199">
            <v>42640</v>
          </cell>
          <cell r="L199">
            <v>111.21</v>
          </cell>
        </row>
        <row r="199">
          <cell r="N199">
            <v>42656</v>
          </cell>
          <cell r="O199">
            <v>92.36</v>
          </cell>
        </row>
        <row r="200">
          <cell r="B200">
            <v>42657</v>
          </cell>
          <cell r="C200">
            <v>99.34</v>
          </cell>
        </row>
        <row r="200">
          <cell r="E200">
            <v>42641</v>
          </cell>
          <cell r="F200">
            <v>125.62</v>
          </cell>
        </row>
        <row r="200">
          <cell r="H200">
            <v>42641</v>
          </cell>
          <cell r="I200">
            <v>94.77</v>
          </cell>
        </row>
        <row r="200">
          <cell r="K200">
            <v>42641</v>
          </cell>
          <cell r="L200">
            <v>110.64</v>
          </cell>
        </row>
        <row r="200">
          <cell r="N200">
            <v>42657</v>
          </cell>
          <cell r="O200">
            <v>92.5</v>
          </cell>
        </row>
        <row r="201">
          <cell r="B201">
            <v>42660</v>
          </cell>
          <cell r="C201">
            <v>99.33</v>
          </cell>
        </row>
        <row r="201">
          <cell r="E201">
            <v>42642</v>
          </cell>
          <cell r="F201">
            <v>126.27</v>
          </cell>
        </row>
        <row r="201">
          <cell r="H201">
            <v>42642</v>
          </cell>
          <cell r="I201">
            <v>94.61</v>
          </cell>
        </row>
        <row r="201">
          <cell r="K201">
            <v>42642</v>
          </cell>
          <cell r="L201">
            <v>110.1</v>
          </cell>
        </row>
        <row r="201">
          <cell r="N201">
            <v>42660</v>
          </cell>
          <cell r="O201">
            <v>92.49</v>
          </cell>
        </row>
        <row r="202">
          <cell r="B202">
            <v>42661</v>
          </cell>
          <cell r="C202">
            <v>99.37</v>
          </cell>
        </row>
        <row r="202">
          <cell r="E202">
            <v>42643</v>
          </cell>
          <cell r="F202">
            <v>125.94</v>
          </cell>
        </row>
        <row r="202">
          <cell r="H202">
            <v>42643</v>
          </cell>
          <cell r="I202">
            <v>94.74</v>
          </cell>
        </row>
        <row r="202">
          <cell r="K202">
            <v>42643</v>
          </cell>
          <cell r="L202">
            <v>110.99</v>
          </cell>
        </row>
        <row r="202">
          <cell r="N202">
            <v>42661</v>
          </cell>
          <cell r="O202">
            <v>92.85</v>
          </cell>
        </row>
        <row r="203">
          <cell r="B203">
            <v>42662</v>
          </cell>
          <cell r="C203">
            <v>99.55</v>
          </cell>
        </row>
        <row r="203">
          <cell r="E203">
            <v>42646</v>
          </cell>
          <cell r="F203">
            <v>125.71</v>
          </cell>
        </row>
        <row r="203">
          <cell r="H203">
            <v>42646</v>
          </cell>
          <cell r="I203">
            <v>94.81</v>
          </cell>
        </row>
        <row r="203">
          <cell r="K203">
            <v>42646</v>
          </cell>
          <cell r="L203">
            <v>110.88</v>
          </cell>
        </row>
        <row r="203">
          <cell r="N203">
            <v>42662</v>
          </cell>
          <cell r="O203">
            <v>92.95</v>
          </cell>
        </row>
        <row r="204">
          <cell r="B204">
            <v>42663</v>
          </cell>
          <cell r="C204">
            <v>99.3</v>
          </cell>
        </row>
        <row r="204">
          <cell r="E204">
            <v>42647</v>
          </cell>
          <cell r="F204">
            <v>124.55</v>
          </cell>
        </row>
        <row r="204">
          <cell r="H204">
            <v>42647</v>
          </cell>
          <cell r="I204">
            <v>95.02</v>
          </cell>
        </row>
        <row r="204">
          <cell r="K204">
            <v>42647</v>
          </cell>
          <cell r="L204">
            <v>111.8</v>
          </cell>
        </row>
        <row r="204">
          <cell r="N204">
            <v>42663</v>
          </cell>
          <cell r="O204">
            <v>93.44</v>
          </cell>
        </row>
        <row r="205">
          <cell r="B205">
            <v>42664</v>
          </cell>
          <cell r="C205">
            <v>99.18</v>
          </cell>
        </row>
        <row r="205">
          <cell r="E205">
            <v>42648</v>
          </cell>
          <cell r="F205">
            <v>123.78</v>
          </cell>
        </row>
        <row r="205">
          <cell r="H205">
            <v>42648</v>
          </cell>
          <cell r="I205">
            <v>95.58</v>
          </cell>
        </row>
        <row r="205">
          <cell r="K205">
            <v>42648</v>
          </cell>
          <cell r="L205">
            <v>111.75</v>
          </cell>
        </row>
        <row r="205">
          <cell r="N205">
            <v>42664</v>
          </cell>
          <cell r="O205">
            <v>93.39</v>
          </cell>
        </row>
        <row r="206">
          <cell r="B206">
            <v>42667</v>
          </cell>
          <cell r="C206">
            <v>99.15</v>
          </cell>
        </row>
        <row r="206">
          <cell r="E206">
            <v>42649</v>
          </cell>
          <cell r="F206">
            <v>124.81</v>
          </cell>
        </row>
        <row r="206">
          <cell r="H206">
            <v>42649</v>
          </cell>
          <cell r="I206">
            <v>96.27</v>
          </cell>
        </row>
        <row r="206">
          <cell r="K206">
            <v>42649</v>
          </cell>
          <cell r="L206">
            <v>113.23</v>
          </cell>
        </row>
        <row r="206">
          <cell r="N206">
            <v>42667</v>
          </cell>
          <cell r="O206">
            <v>93.24</v>
          </cell>
        </row>
        <row r="207">
          <cell r="B207">
            <v>42668</v>
          </cell>
          <cell r="C207">
            <v>98.83</v>
          </cell>
        </row>
        <row r="207">
          <cell r="E207">
            <v>42650</v>
          </cell>
          <cell r="F207">
            <v>124.43</v>
          </cell>
        </row>
        <row r="207">
          <cell r="H207">
            <v>42650</v>
          </cell>
          <cell r="I207">
            <v>95.99</v>
          </cell>
        </row>
        <row r="207">
          <cell r="K207">
            <v>42650</v>
          </cell>
          <cell r="L207">
            <v>113.21</v>
          </cell>
        </row>
        <row r="207">
          <cell r="N207">
            <v>42668</v>
          </cell>
          <cell r="O207">
            <v>93.49</v>
          </cell>
        </row>
        <row r="208">
          <cell r="B208">
            <v>42669</v>
          </cell>
          <cell r="C208">
            <v>98.25</v>
          </cell>
        </row>
        <row r="208">
          <cell r="E208">
            <v>42653</v>
          </cell>
          <cell r="F208">
            <v>124.53</v>
          </cell>
        </row>
        <row r="208">
          <cell r="H208">
            <v>42653</v>
          </cell>
          <cell r="I208">
            <v>95.81</v>
          </cell>
        </row>
        <row r="208">
          <cell r="K208">
            <v>42653</v>
          </cell>
          <cell r="L208">
            <v>113</v>
          </cell>
        </row>
        <row r="208">
          <cell r="N208">
            <v>42669</v>
          </cell>
          <cell r="O208">
            <v>94.11</v>
          </cell>
        </row>
        <row r="209">
          <cell r="B209">
            <v>42670</v>
          </cell>
          <cell r="C209">
            <v>98.23</v>
          </cell>
        </row>
        <row r="209">
          <cell r="E209">
            <v>42654</v>
          </cell>
          <cell r="F209">
            <v>124.67</v>
          </cell>
        </row>
        <row r="209">
          <cell r="H209">
            <v>42654</v>
          </cell>
          <cell r="I209">
            <v>96.04</v>
          </cell>
        </row>
        <row r="209">
          <cell r="K209">
            <v>42654</v>
          </cell>
          <cell r="L209">
            <v>113.07</v>
          </cell>
        </row>
        <row r="209">
          <cell r="N209">
            <v>42670</v>
          </cell>
          <cell r="O209">
            <v>95.23</v>
          </cell>
        </row>
        <row r="210">
          <cell r="B210">
            <v>42671</v>
          </cell>
          <cell r="C210">
            <v>98.02</v>
          </cell>
        </row>
        <row r="210">
          <cell r="E210">
            <v>42655</v>
          </cell>
          <cell r="F210">
            <v>125.52</v>
          </cell>
        </row>
        <row r="210">
          <cell r="H210">
            <v>42655</v>
          </cell>
          <cell r="I210">
            <v>95.8</v>
          </cell>
        </row>
        <row r="210">
          <cell r="K210">
            <v>42655</v>
          </cell>
          <cell r="L210">
            <v>113.1</v>
          </cell>
        </row>
        <row r="210">
          <cell r="N210">
            <v>42671</v>
          </cell>
          <cell r="O210">
            <v>95.37</v>
          </cell>
        </row>
        <row r="211">
          <cell r="B211">
            <v>42674</v>
          </cell>
          <cell r="C211">
            <v>98.2</v>
          </cell>
        </row>
        <row r="211">
          <cell r="E211">
            <v>42656</v>
          </cell>
          <cell r="F211">
            <v>125.68</v>
          </cell>
        </row>
        <row r="211">
          <cell r="H211">
            <v>42656</v>
          </cell>
          <cell r="I211">
            <v>95.66</v>
          </cell>
        </row>
        <row r="211">
          <cell r="K211">
            <v>42656</v>
          </cell>
          <cell r="L211">
            <v>112.77</v>
          </cell>
        </row>
        <row r="211">
          <cell r="N211">
            <v>42674</v>
          </cell>
          <cell r="O211">
            <v>94.98</v>
          </cell>
        </row>
        <row r="212">
          <cell r="B212">
            <v>42675</v>
          </cell>
          <cell r="C212">
            <v>97.9</v>
          </cell>
        </row>
        <row r="212">
          <cell r="E212">
            <v>42657</v>
          </cell>
          <cell r="F212">
            <v>126.06</v>
          </cell>
        </row>
        <row r="212">
          <cell r="H212">
            <v>42657</v>
          </cell>
          <cell r="I212">
            <v>95.75</v>
          </cell>
        </row>
        <row r="212">
          <cell r="K212">
            <v>42657</v>
          </cell>
          <cell r="L212">
            <v>113.09</v>
          </cell>
        </row>
        <row r="212">
          <cell r="N212">
            <v>42675</v>
          </cell>
          <cell r="O212">
            <v>95.43</v>
          </cell>
        </row>
        <row r="213">
          <cell r="B213">
            <v>42676</v>
          </cell>
          <cell r="C213">
            <v>98.08</v>
          </cell>
        </row>
        <row r="213">
          <cell r="E213">
            <v>42660</v>
          </cell>
          <cell r="F213">
            <v>126.71</v>
          </cell>
        </row>
        <row r="213">
          <cell r="H213">
            <v>42660</v>
          </cell>
          <cell r="I213">
            <v>95.98</v>
          </cell>
        </row>
        <row r="213">
          <cell r="K213">
            <v>42660</v>
          </cell>
          <cell r="L213">
            <v>112.95</v>
          </cell>
        </row>
        <row r="213">
          <cell r="N213">
            <v>42676</v>
          </cell>
          <cell r="O213">
            <v>95.48</v>
          </cell>
        </row>
        <row r="214">
          <cell r="B214">
            <v>42677</v>
          </cell>
          <cell r="C214">
            <v>98.13</v>
          </cell>
        </row>
        <row r="214">
          <cell r="E214">
            <v>42661</v>
          </cell>
          <cell r="F214">
            <v>126.7</v>
          </cell>
        </row>
        <row r="214">
          <cell r="H214">
            <v>42661</v>
          </cell>
          <cell r="I214">
            <v>95.92</v>
          </cell>
        </row>
        <row r="214">
          <cell r="K214">
            <v>42661</v>
          </cell>
          <cell r="L214">
            <v>112.69</v>
          </cell>
        </row>
        <row r="214">
          <cell r="N214">
            <v>42677</v>
          </cell>
          <cell r="O214">
            <v>95.94</v>
          </cell>
        </row>
        <row r="215">
          <cell r="B215">
            <v>42678</v>
          </cell>
          <cell r="C215">
            <v>98.06</v>
          </cell>
        </row>
        <row r="215">
          <cell r="E215">
            <v>42662</v>
          </cell>
          <cell r="F215">
            <v>126.58</v>
          </cell>
        </row>
        <row r="215">
          <cell r="H215">
            <v>42662</v>
          </cell>
          <cell r="I215">
            <v>95.68</v>
          </cell>
        </row>
        <row r="215">
          <cell r="K215">
            <v>42662</v>
          </cell>
          <cell r="L215">
            <v>112.53</v>
          </cell>
        </row>
        <row r="215">
          <cell r="N215">
            <v>42678</v>
          </cell>
          <cell r="O215">
            <v>95.28</v>
          </cell>
        </row>
        <row r="216">
          <cell r="B216">
            <v>42681</v>
          </cell>
          <cell r="C216">
            <v>97.98</v>
          </cell>
        </row>
        <row r="216">
          <cell r="E216">
            <v>42663</v>
          </cell>
          <cell r="F216">
            <v>126.26</v>
          </cell>
        </row>
        <row r="216">
          <cell r="H216">
            <v>42663</v>
          </cell>
          <cell r="I216">
            <v>95.76</v>
          </cell>
        </row>
        <row r="216">
          <cell r="K216">
            <v>42663</v>
          </cell>
          <cell r="L216">
            <v>112.57</v>
          </cell>
        </row>
        <row r="216">
          <cell r="N216">
            <v>42681</v>
          </cell>
          <cell r="O216">
            <v>95.52</v>
          </cell>
        </row>
        <row r="217">
          <cell r="B217">
            <v>42682</v>
          </cell>
          <cell r="C217">
            <v>98.07</v>
          </cell>
        </row>
        <row r="217">
          <cell r="E217">
            <v>42664</v>
          </cell>
          <cell r="F217">
            <v>125.39</v>
          </cell>
        </row>
        <row r="217">
          <cell r="H217">
            <v>42664</v>
          </cell>
          <cell r="I217">
            <v>95.74</v>
          </cell>
        </row>
        <row r="217">
          <cell r="K217">
            <v>42664</v>
          </cell>
          <cell r="L217">
            <v>112.48</v>
          </cell>
        </row>
        <row r="217">
          <cell r="N217">
            <v>42682</v>
          </cell>
          <cell r="O217">
            <v>95.39</v>
          </cell>
        </row>
        <row r="218">
          <cell r="B218">
            <v>42683</v>
          </cell>
          <cell r="C218">
            <v>97.04</v>
          </cell>
        </row>
        <row r="218">
          <cell r="E218">
            <v>42667</v>
          </cell>
          <cell r="F218">
            <v>125.57</v>
          </cell>
        </row>
        <row r="218">
          <cell r="H218">
            <v>42667</v>
          </cell>
          <cell r="I218">
            <v>95.83</v>
          </cell>
        </row>
        <row r="218">
          <cell r="K218">
            <v>42667</v>
          </cell>
          <cell r="L218">
            <v>112.87</v>
          </cell>
        </row>
        <row r="218">
          <cell r="N218">
            <v>42683</v>
          </cell>
          <cell r="O218">
            <v>94.68</v>
          </cell>
        </row>
        <row r="219">
          <cell r="B219">
            <v>42684</v>
          </cell>
          <cell r="C219">
            <v>96.48</v>
          </cell>
        </row>
        <row r="219">
          <cell r="E219">
            <v>42668</v>
          </cell>
          <cell r="F219">
            <v>125.04</v>
          </cell>
        </row>
        <row r="219">
          <cell r="H219">
            <v>42668</v>
          </cell>
          <cell r="I219">
            <v>96.55</v>
          </cell>
        </row>
        <row r="219">
          <cell r="K219">
            <v>42668</v>
          </cell>
          <cell r="L219">
            <v>112.66</v>
          </cell>
        </row>
        <row r="219">
          <cell r="N219">
            <v>42684</v>
          </cell>
          <cell r="O219">
            <v>94.3</v>
          </cell>
        </row>
        <row r="220">
          <cell r="B220">
            <v>42685</v>
          </cell>
          <cell r="C220">
            <v>95.79</v>
          </cell>
        </row>
        <row r="220">
          <cell r="E220">
            <v>42669</v>
          </cell>
          <cell r="F220">
            <v>123.9</v>
          </cell>
        </row>
        <row r="220">
          <cell r="H220">
            <v>42669</v>
          </cell>
          <cell r="I220">
            <v>97.55</v>
          </cell>
        </row>
        <row r="220">
          <cell r="K220">
            <v>42669</v>
          </cell>
          <cell r="L220">
            <v>113.44</v>
          </cell>
        </row>
        <row r="220">
          <cell r="N220">
            <v>42685</v>
          </cell>
          <cell r="O220">
            <v>92.51</v>
          </cell>
        </row>
        <row r="221">
          <cell r="B221">
            <v>42688</v>
          </cell>
          <cell r="C221">
            <v>96.06</v>
          </cell>
        </row>
        <row r="221">
          <cell r="E221">
            <v>42670</v>
          </cell>
          <cell r="F221">
            <v>123.34</v>
          </cell>
        </row>
        <row r="221">
          <cell r="H221">
            <v>42670</v>
          </cell>
          <cell r="I221">
            <v>98.05</v>
          </cell>
        </row>
        <row r="221">
          <cell r="K221">
            <v>42670</v>
          </cell>
          <cell r="L221">
            <v>113.93</v>
          </cell>
        </row>
        <row r="221">
          <cell r="N221">
            <v>42688</v>
          </cell>
          <cell r="O221">
            <v>91.89</v>
          </cell>
        </row>
        <row r="222">
          <cell r="B222">
            <v>42689</v>
          </cell>
          <cell r="C222">
            <v>96.21</v>
          </cell>
        </row>
        <row r="222">
          <cell r="E222">
            <v>42671</v>
          </cell>
          <cell r="F222">
            <v>123.6</v>
          </cell>
        </row>
        <row r="222">
          <cell r="H222">
            <v>42671</v>
          </cell>
          <cell r="I222">
            <v>98.2</v>
          </cell>
        </row>
        <row r="222">
          <cell r="K222">
            <v>42671</v>
          </cell>
          <cell r="L222">
            <v>113.67</v>
          </cell>
        </row>
        <row r="222">
          <cell r="N222">
            <v>42689</v>
          </cell>
          <cell r="O222">
            <v>92.22</v>
          </cell>
        </row>
        <row r="223">
          <cell r="B223">
            <v>42690</v>
          </cell>
          <cell r="C223">
            <v>96.04</v>
          </cell>
        </row>
        <row r="223">
          <cell r="E223">
            <v>42674</v>
          </cell>
          <cell r="F223">
            <v>123.86</v>
          </cell>
        </row>
        <row r="223">
          <cell r="H223">
            <v>42674</v>
          </cell>
          <cell r="I223">
            <v>98.72</v>
          </cell>
        </row>
        <row r="223">
          <cell r="K223">
            <v>42674</v>
          </cell>
          <cell r="L223">
            <v>113.75</v>
          </cell>
        </row>
        <row r="223">
          <cell r="N223">
            <v>42690</v>
          </cell>
          <cell r="O223">
            <v>92.01</v>
          </cell>
        </row>
        <row r="224">
          <cell r="B224">
            <v>42691</v>
          </cell>
          <cell r="C224">
            <v>95.78</v>
          </cell>
        </row>
        <row r="224">
          <cell r="E224">
            <v>42675</v>
          </cell>
          <cell r="F224">
            <v>123.52</v>
          </cell>
        </row>
        <row r="224">
          <cell r="H224">
            <v>42675</v>
          </cell>
          <cell r="I224">
            <v>98.59</v>
          </cell>
        </row>
        <row r="224">
          <cell r="K224">
            <v>42675</v>
          </cell>
          <cell r="L224">
            <v>113.35</v>
          </cell>
        </row>
        <row r="224">
          <cell r="N224">
            <v>42691</v>
          </cell>
          <cell r="O224">
            <v>92.15</v>
          </cell>
        </row>
        <row r="225">
          <cell r="B225">
            <v>42692</v>
          </cell>
          <cell r="C225">
            <v>95.65</v>
          </cell>
        </row>
        <row r="225">
          <cell r="E225">
            <v>42676</v>
          </cell>
          <cell r="F225">
            <v>123.35</v>
          </cell>
        </row>
        <row r="225">
          <cell r="H225">
            <v>42676</v>
          </cell>
          <cell r="I225">
            <v>98.79</v>
          </cell>
        </row>
        <row r="225">
          <cell r="K225">
            <v>42676</v>
          </cell>
          <cell r="L225">
            <v>113.63</v>
          </cell>
        </row>
        <row r="225">
          <cell r="N225">
            <v>42692</v>
          </cell>
          <cell r="O225">
            <v>91.96</v>
          </cell>
        </row>
        <row r="226">
          <cell r="B226">
            <v>42695</v>
          </cell>
          <cell r="C226">
            <v>95.64</v>
          </cell>
        </row>
        <row r="226">
          <cell r="E226">
            <v>42677</v>
          </cell>
          <cell r="F226">
            <v>124.1</v>
          </cell>
        </row>
        <row r="226">
          <cell r="H226">
            <v>42677</v>
          </cell>
          <cell r="I226">
            <v>98.24</v>
          </cell>
        </row>
        <row r="226">
          <cell r="K226">
            <v>42677</v>
          </cell>
          <cell r="L226">
            <v>113.88</v>
          </cell>
        </row>
        <row r="226">
          <cell r="N226">
            <v>42695</v>
          </cell>
          <cell r="O226">
            <v>92.12</v>
          </cell>
        </row>
        <row r="227">
          <cell r="B227">
            <v>42696</v>
          </cell>
          <cell r="C227">
            <v>95.31</v>
          </cell>
        </row>
        <row r="227">
          <cell r="E227">
            <v>42678</v>
          </cell>
          <cell r="F227">
            <v>123.99</v>
          </cell>
        </row>
        <row r="227">
          <cell r="H227">
            <v>42678</v>
          </cell>
          <cell r="I227">
            <v>98.15</v>
          </cell>
        </row>
        <row r="227">
          <cell r="K227">
            <v>42678</v>
          </cell>
          <cell r="L227">
            <v>114.55</v>
          </cell>
        </row>
        <row r="227">
          <cell r="N227">
            <v>42696</v>
          </cell>
          <cell r="O227">
            <v>91.48</v>
          </cell>
        </row>
        <row r="228">
          <cell r="B228">
            <v>42697</v>
          </cell>
          <cell r="C228">
            <v>95.05</v>
          </cell>
        </row>
        <row r="228">
          <cell r="E228">
            <v>42681</v>
          </cell>
          <cell r="F228">
            <v>123.95</v>
          </cell>
        </row>
        <row r="228">
          <cell r="H228">
            <v>42681</v>
          </cell>
          <cell r="I228">
            <v>98.15</v>
          </cell>
        </row>
        <row r="228">
          <cell r="K228">
            <v>42681</v>
          </cell>
          <cell r="L228">
            <v>114.81</v>
          </cell>
        </row>
        <row r="228">
          <cell r="N228">
            <v>42697</v>
          </cell>
          <cell r="O228">
            <v>91.45</v>
          </cell>
        </row>
        <row r="229">
          <cell r="B229">
            <v>42699</v>
          </cell>
          <cell r="C229">
            <v>95.16</v>
          </cell>
        </row>
        <row r="229">
          <cell r="E229">
            <v>42682</v>
          </cell>
          <cell r="F229">
            <v>124.99</v>
          </cell>
        </row>
        <row r="229">
          <cell r="H229">
            <v>42682</v>
          </cell>
          <cell r="I229">
            <v>98.37</v>
          </cell>
        </row>
        <row r="229">
          <cell r="K229">
            <v>42682</v>
          </cell>
          <cell r="L229">
            <v>114.54</v>
          </cell>
        </row>
        <row r="229">
          <cell r="N229">
            <v>42699</v>
          </cell>
          <cell r="O229">
            <v>91.4</v>
          </cell>
        </row>
        <row r="230">
          <cell r="B230">
            <v>42702</v>
          </cell>
          <cell r="C230">
            <v>95.07</v>
          </cell>
        </row>
        <row r="230">
          <cell r="E230">
            <v>42683</v>
          </cell>
          <cell r="F230">
            <v>123.63</v>
          </cell>
        </row>
        <row r="230">
          <cell r="H230">
            <v>42683</v>
          </cell>
          <cell r="I230">
            <v>99.1</v>
          </cell>
        </row>
        <row r="230">
          <cell r="K230">
            <v>42683</v>
          </cell>
          <cell r="L230">
            <v>115.01</v>
          </cell>
        </row>
        <row r="230">
          <cell r="N230">
            <v>42702</v>
          </cell>
          <cell r="O230">
            <v>91.88</v>
          </cell>
        </row>
        <row r="231">
          <cell r="B231">
            <v>42703</v>
          </cell>
          <cell r="C231">
            <v>95.12</v>
          </cell>
        </row>
        <row r="231">
          <cell r="E231">
            <v>42684</v>
          </cell>
          <cell r="F231">
            <v>120.97</v>
          </cell>
        </row>
        <row r="231">
          <cell r="H231">
            <v>42684</v>
          </cell>
          <cell r="I231">
            <v>99.86</v>
          </cell>
        </row>
        <row r="231">
          <cell r="K231">
            <v>42684</v>
          </cell>
          <cell r="L231">
            <v>116.54</v>
          </cell>
        </row>
        <row r="231">
          <cell r="N231">
            <v>42703</v>
          </cell>
          <cell r="O231">
            <v>91.92</v>
          </cell>
        </row>
        <row r="232">
          <cell r="B232">
            <v>42704</v>
          </cell>
          <cell r="C232">
            <v>95.13</v>
          </cell>
        </row>
        <row r="232">
          <cell r="E232">
            <v>42685</v>
          </cell>
          <cell r="F232">
            <v>119.85</v>
          </cell>
        </row>
        <row r="232">
          <cell r="H232">
            <v>42685</v>
          </cell>
          <cell r="I232">
            <v>100.1</v>
          </cell>
        </row>
        <row r="232">
          <cell r="K232">
            <v>42685</v>
          </cell>
          <cell r="L232">
            <v>117.4</v>
          </cell>
        </row>
        <row r="232">
          <cell r="N232">
            <v>42704</v>
          </cell>
          <cell r="O232">
            <v>92.66</v>
          </cell>
        </row>
        <row r="233">
          <cell r="B233">
            <v>42705</v>
          </cell>
          <cell r="C233">
            <v>94.92</v>
          </cell>
        </row>
        <row r="233">
          <cell r="E233">
            <v>42688</v>
          </cell>
          <cell r="F233">
            <v>118.12</v>
          </cell>
        </row>
        <row r="233">
          <cell r="H233">
            <v>42688</v>
          </cell>
          <cell r="I233">
            <v>101.08</v>
          </cell>
        </row>
        <row r="233">
          <cell r="K233">
            <v>42688</v>
          </cell>
          <cell r="L233">
            <v>117.16</v>
          </cell>
        </row>
        <row r="233">
          <cell r="N233">
            <v>42705</v>
          </cell>
          <cell r="O233">
            <v>92.99</v>
          </cell>
        </row>
        <row r="234">
          <cell r="B234">
            <v>42706</v>
          </cell>
          <cell r="C234">
            <v>94.82</v>
          </cell>
        </row>
        <row r="234">
          <cell r="E234">
            <v>42689</v>
          </cell>
          <cell r="F234">
            <v>119.27</v>
          </cell>
        </row>
        <row r="234">
          <cell r="H234">
            <v>42689</v>
          </cell>
          <cell r="I234">
            <v>100.72</v>
          </cell>
        </row>
        <row r="234">
          <cell r="K234">
            <v>42689</v>
          </cell>
          <cell r="L234">
            <v>116.75</v>
          </cell>
        </row>
        <row r="234">
          <cell r="N234">
            <v>42706</v>
          </cell>
          <cell r="O234">
            <v>93.17</v>
          </cell>
        </row>
        <row r="235">
          <cell r="B235">
            <v>42709</v>
          </cell>
          <cell r="C235">
            <v>94.86</v>
          </cell>
        </row>
        <row r="235">
          <cell r="E235">
            <v>42690</v>
          </cell>
          <cell r="F235">
            <v>120.01</v>
          </cell>
        </row>
        <row r="235">
          <cell r="H235">
            <v>42690</v>
          </cell>
          <cell r="I235">
            <v>100.56</v>
          </cell>
        </row>
        <row r="235">
          <cell r="K235">
            <v>42690</v>
          </cell>
          <cell r="L235">
            <v>116.94</v>
          </cell>
        </row>
        <row r="235">
          <cell r="N235">
            <v>42709</v>
          </cell>
          <cell r="O235">
            <v>92.36</v>
          </cell>
        </row>
        <row r="236">
          <cell r="B236">
            <v>42710</v>
          </cell>
          <cell r="C236">
            <v>95.07</v>
          </cell>
        </row>
        <row r="236">
          <cell r="E236">
            <v>42691</v>
          </cell>
          <cell r="F236">
            <v>119.51</v>
          </cell>
        </row>
        <row r="236">
          <cell r="H236">
            <v>42691</v>
          </cell>
          <cell r="I236">
            <v>100.69</v>
          </cell>
        </row>
        <row r="236">
          <cell r="K236">
            <v>42691</v>
          </cell>
          <cell r="L236">
            <v>117.66</v>
          </cell>
        </row>
        <row r="236">
          <cell r="N236">
            <v>42710</v>
          </cell>
          <cell r="O236">
            <v>92.17</v>
          </cell>
        </row>
        <row r="237">
          <cell r="B237">
            <v>42711</v>
          </cell>
          <cell r="C237">
            <v>95.35</v>
          </cell>
        </row>
        <row r="237">
          <cell r="E237">
            <v>42692</v>
          </cell>
          <cell r="F237">
            <v>119.62</v>
          </cell>
        </row>
        <row r="237">
          <cell r="H237">
            <v>42692</v>
          </cell>
          <cell r="I237">
            <v>100.9</v>
          </cell>
        </row>
        <row r="237">
          <cell r="K237">
            <v>42692</v>
          </cell>
          <cell r="L237">
            <v>117.2</v>
          </cell>
        </row>
        <row r="237">
          <cell r="N237">
            <v>42711</v>
          </cell>
          <cell r="O237">
            <v>92.3</v>
          </cell>
        </row>
        <row r="238">
          <cell r="B238">
            <v>42712</v>
          </cell>
          <cell r="C238">
            <v>95.61</v>
          </cell>
        </row>
        <row r="238">
          <cell r="E238">
            <v>42695</v>
          </cell>
          <cell r="F238">
            <v>120.1</v>
          </cell>
        </row>
        <row r="238">
          <cell r="H238">
            <v>42695</v>
          </cell>
          <cell r="I238">
            <v>100.92</v>
          </cell>
        </row>
        <row r="238">
          <cell r="K238">
            <v>42695</v>
          </cell>
          <cell r="L238">
            <v>117.16</v>
          </cell>
        </row>
        <row r="238">
          <cell r="N238">
            <v>42712</v>
          </cell>
          <cell r="O238">
            <v>90.85</v>
          </cell>
        </row>
        <row r="239">
          <cell r="B239">
            <v>42713</v>
          </cell>
          <cell r="C239">
            <v>95.69</v>
          </cell>
        </row>
        <row r="239">
          <cell r="E239">
            <v>42696</v>
          </cell>
          <cell r="F239">
            <v>120.81</v>
          </cell>
        </row>
        <row r="239">
          <cell r="H239">
            <v>42696</v>
          </cell>
          <cell r="I239">
            <v>100.89</v>
          </cell>
        </row>
        <row r="239">
          <cell r="K239">
            <v>42696</v>
          </cell>
          <cell r="L239">
            <v>117.54</v>
          </cell>
        </row>
        <row r="239">
          <cell r="N239">
            <v>42713</v>
          </cell>
          <cell r="O239">
            <v>91.08</v>
          </cell>
        </row>
        <row r="240">
          <cell r="B240">
            <v>42716</v>
          </cell>
          <cell r="C240">
            <v>95.63</v>
          </cell>
        </row>
        <row r="240">
          <cell r="E240">
            <v>42697</v>
          </cell>
          <cell r="F240">
            <v>120.62</v>
          </cell>
        </row>
        <row r="240">
          <cell r="H240">
            <v>42697</v>
          </cell>
          <cell r="I240">
            <v>100.65</v>
          </cell>
        </row>
        <row r="240">
          <cell r="K240">
            <v>42697</v>
          </cell>
          <cell r="L240">
            <v>117.75</v>
          </cell>
        </row>
        <row r="240">
          <cell r="N240">
            <v>42716</v>
          </cell>
          <cell r="O240">
            <v>91.33</v>
          </cell>
        </row>
        <row r="241">
          <cell r="B241">
            <v>42717</v>
          </cell>
          <cell r="C241">
            <v>95.68</v>
          </cell>
        </row>
        <row r="241">
          <cell r="E241">
            <v>42698</v>
          </cell>
          <cell r="F241">
            <v>120.62</v>
          </cell>
        </row>
        <row r="241">
          <cell r="H241">
            <v>42698</v>
          </cell>
          <cell r="I241">
            <v>100.72</v>
          </cell>
        </row>
        <row r="241">
          <cell r="K241">
            <v>42698</v>
          </cell>
          <cell r="L241">
            <v>117.79</v>
          </cell>
        </row>
        <row r="241">
          <cell r="N241">
            <v>42717</v>
          </cell>
          <cell r="O241">
            <v>91.93</v>
          </cell>
        </row>
        <row r="242">
          <cell r="B242">
            <v>42718</v>
          </cell>
          <cell r="C242">
            <v>95.61</v>
          </cell>
        </row>
        <row r="242">
          <cell r="E242">
            <v>42699</v>
          </cell>
          <cell r="F242">
            <v>120.41</v>
          </cell>
        </row>
        <row r="242">
          <cell r="H242">
            <v>42699</v>
          </cell>
          <cell r="I242">
            <v>100.7</v>
          </cell>
        </row>
        <row r="242">
          <cell r="K242">
            <v>42699</v>
          </cell>
          <cell r="L242">
            <v>117.86</v>
          </cell>
        </row>
        <row r="242">
          <cell r="N242">
            <v>42718</v>
          </cell>
          <cell r="O242">
            <v>92.59</v>
          </cell>
        </row>
        <row r="243">
          <cell r="B243">
            <v>42719</v>
          </cell>
          <cell r="C243">
            <v>95.51</v>
          </cell>
        </row>
        <row r="243">
          <cell r="E243">
            <v>42702</v>
          </cell>
          <cell r="F243">
            <v>120.32</v>
          </cell>
        </row>
        <row r="243">
          <cell r="H243">
            <v>42702</v>
          </cell>
          <cell r="I243">
            <v>101.1</v>
          </cell>
        </row>
        <row r="243">
          <cell r="K243">
            <v>42702</v>
          </cell>
          <cell r="L243">
            <v>117.34</v>
          </cell>
        </row>
        <row r="243">
          <cell r="N243">
            <v>42719</v>
          </cell>
          <cell r="O243">
            <v>92.19</v>
          </cell>
        </row>
        <row r="244">
          <cell r="B244">
            <v>42720</v>
          </cell>
          <cell r="C244">
            <v>95.7</v>
          </cell>
        </row>
        <row r="244">
          <cell r="E244">
            <v>42703</v>
          </cell>
          <cell r="F244">
            <v>120.49</v>
          </cell>
        </row>
        <row r="244">
          <cell r="H244">
            <v>42703</v>
          </cell>
          <cell r="I244">
            <v>101.19</v>
          </cell>
        </row>
        <row r="244">
          <cell r="K244">
            <v>42703</v>
          </cell>
          <cell r="L244">
            <v>117.56</v>
          </cell>
        </row>
        <row r="244">
          <cell r="N244">
            <v>42720</v>
          </cell>
          <cell r="O244">
            <v>91.82</v>
          </cell>
        </row>
        <row r="245">
          <cell r="B245">
            <v>42723</v>
          </cell>
          <cell r="C245">
            <v>95.63</v>
          </cell>
        </row>
        <row r="245">
          <cell r="E245">
            <v>42704</v>
          </cell>
          <cell r="F245">
            <v>121.48</v>
          </cell>
        </row>
        <row r="245">
          <cell r="H245">
            <v>42704</v>
          </cell>
          <cell r="I245">
            <v>101.19</v>
          </cell>
        </row>
        <row r="245">
          <cell r="K245">
            <v>42704</v>
          </cell>
          <cell r="L245">
            <v>117.05</v>
          </cell>
        </row>
        <row r="245">
          <cell r="N245">
            <v>42723</v>
          </cell>
          <cell r="O245">
            <v>91.53</v>
          </cell>
        </row>
        <row r="246">
          <cell r="B246">
            <v>42724</v>
          </cell>
          <cell r="C246">
            <v>95.61</v>
          </cell>
        </row>
        <row r="246">
          <cell r="E246">
            <v>42705</v>
          </cell>
          <cell r="F246">
            <v>119.82</v>
          </cell>
        </row>
        <row r="246">
          <cell r="H246">
            <v>42705</v>
          </cell>
          <cell r="I246">
            <v>102.32</v>
          </cell>
        </row>
        <row r="246">
          <cell r="K246">
            <v>42705</v>
          </cell>
          <cell r="L246">
            <v>118.03</v>
          </cell>
        </row>
        <row r="246">
          <cell r="N246">
            <v>42724</v>
          </cell>
          <cell r="O246">
            <v>91.41</v>
          </cell>
        </row>
        <row r="247">
          <cell r="B247">
            <v>42725</v>
          </cell>
          <cell r="C247">
            <v>95.91</v>
          </cell>
        </row>
        <row r="247">
          <cell r="E247">
            <v>42706</v>
          </cell>
          <cell r="F247">
            <v>120.58</v>
          </cell>
        </row>
        <row r="247">
          <cell r="H247">
            <v>42706</v>
          </cell>
          <cell r="I247">
            <v>102.71</v>
          </cell>
        </row>
        <row r="247">
          <cell r="K247">
            <v>42706</v>
          </cell>
          <cell r="L247">
            <v>117.74</v>
          </cell>
        </row>
        <row r="247">
          <cell r="N247">
            <v>42725</v>
          </cell>
          <cell r="O247">
            <v>91.52</v>
          </cell>
        </row>
        <row r="248">
          <cell r="B248">
            <v>42726</v>
          </cell>
          <cell r="C248">
            <v>95.89</v>
          </cell>
        </row>
        <row r="248">
          <cell r="E248">
            <v>42709</v>
          </cell>
          <cell r="F248">
            <v>120.49</v>
          </cell>
        </row>
        <row r="248">
          <cell r="H248">
            <v>42709</v>
          </cell>
          <cell r="I248">
            <v>102.66</v>
          </cell>
        </row>
        <row r="248">
          <cell r="K248">
            <v>42709</v>
          </cell>
          <cell r="L248">
            <v>118.06</v>
          </cell>
        </row>
        <row r="248">
          <cell r="N248">
            <v>42726</v>
          </cell>
          <cell r="O248">
            <v>91.99</v>
          </cell>
        </row>
        <row r="249">
          <cell r="B249">
            <v>42727</v>
          </cell>
          <cell r="C249">
            <v>95.61</v>
          </cell>
        </row>
        <row r="249">
          <cell r="E249">
            <v>42710</v>
          </cell>
          <cell r="F249">
            <v>119.97</v>
          </cell>
        </row>
        <row r="249">
          <cell r="H249">
            <v>42710</v>
          </cell>
          <cell r="I249">
            <v>102.8</v>
          </cell>
        </row>
        <row r="249">
          <cell r="K249">
            <v>42710</v>
          </cell>
          <cell r="L249">
            <v>118.01</v>
          </cell>
        </row>
        <row r="249">
          <cell r="N249">
            <v>42727</v>
          </cell>
          <cell r="O249">
            <v>91.77</v>
          </cell>
        </row>
        <row r="250">
          <cell r="B250">
            <v>42731</v>
          </cell>
          <cell r="C250">
            <v>95.66</v>
          </cell>
        </row>
        <row r="250">
          <cell r="E250">
            <v>42711</v>
          </cell>
          <cell r="F250">
            <v>119.84</v>
          </cell>
        </row>
        <row r="250">
          <cell r="H250">
            <v>42711</v>
          </cell>
          <cell r="I250">
            <v>103.78</v>
          </cell>
        </row>
        <row r="250">
          <cell r="K250">
            <v>42711</v>
          </cell>
          <cell r="L250">
            <v>118.75</v>
          </cell>
        </row>
        <row r="250">
          <cell r="N250">
            <v>42731</v>
          </cell>
          <cell r="O250">
            <v>91.75</v>
          </cell>
        </row>
        <row r="251">
          <cell r="B251">
            <v>42732</v>
          </cell>
          <cell r="C251">
            <v>95.45</v>
          </cell>
        </row>
        <row r="251">
          <cell r="E251">
            <v>42712</v>
          </cell>
          <cell r="F251">
            <v>118.39</v>
          </cell>
        </row>
        <row r="251">
          <cell r="H251">
            <v>42712</v>
          </cell>
          <cell r="I251">
            <v>104.1</v>
          </cell>
        </row>
        <row r="251">
          <cell r="K251">
            <v>42712</v>
          </cell>
          <cell r="L251">
            <v>118.99</v>
          </cell>
        </row>
        <row r="251">
          <cell r="N251">
            <v>42732</v>
          </cell>
          <cell r="O251">
            <v>91.96</v>
          </cell>
        </row>
        <row r="252">
          <cell r="B252">
            <v>42733</v>
          </cell>
          <cell r="C252">
            <v>95.41</v>
          </cell>
        </row>
        <row r="252">
          <cell r="E252">
            <v>42713</v>
          </cell>
          <cell r="F252">
            <v>117.45</v>
          </cell>
        </row>
        <row r="252">
          <cell r="H252">
            <v>42713</v>
          </cell>
          <cell r="I252">
            <v>104.11</v>
          </cell>
        </row>
        <row r="252">
          <cell r="K252">
            <v>42713</v>
          </cell>
          <cell r="L252">
            <v>118.26</v>
          </cell>
        </row>
        <row r="252">
          <cell r="N252">
            <v>42733</v>
          </cell>
          <cell r="O252">
            <v>91.62</v>
          </cell>
        </row>
        <row r="253">
          <cell r="B253">
            <v>42734</v>
          </cell>
          <cell r="C253">
            <v>95.41</v>
          </cell>
        </row>
        <row r="253">
          <cell r="E253">
            <v>42716</v>
          </cell>
          <cell r="F253">
            <v>118.46</v>
          </cell>
        </row>
        <row r="253">
          <cell r="H253">
            <v>42716</v>
          </cell>
          <cell r="I253">
            <v>103.8</v>
          </cell>
        </row>
        <row r="253">
          <cell r="K253">
            <v>42716</v>
          </cell>
          <cell r="L253">
            <v>118.53</v>
          </cell>
        </row>
        <row r="253">
          <cell r="N253">
            <v>42734</v>
          </cell>
          <cell r="O253">
            <v>91.43</v>
          </cell>
        </row>
        <row r="254">
          <cell r="B254">
            <v>42738</v>
          </cell>
          <cell r="C254">
            <v>95.55</v>
          </cell>
        </row>
        <row r="254">
          <cell r="E254">
            <v>42717</v>
          </cell>
          <cell r="F254">
            <v>118.54</v>
          </cell>
        </row>
        <row r="254">
          <cell r="H254">
            <v>42717</v>
          </cell>
          <cell r="I254">
            <v>103.37</v>
          </cell>
        </row>
        <row r="254">
          <cell r="K254">
            <v>42717</v>
          </cell>
          <cell r="L254">
            <v>118.4</v>
          </cell>
        </row>
        <row r="254">
          <cell r="N254">
            <v>42738</v>
          </cell>
          <cell r="O254">
            <v>91.73</v>
          </cell>
        </row>
        <row r="255">
          <cell r="B255">
            <v>42739</v>
          </cell>
          <cell r="C255">
            <v>95.5</v>
          </cell>
        </row>
        <row r="255">
          <cell r="E255">
            <v>42718</v>
          </cell>
          <cell r="F255">
            <v>118.42</v>
          </cell>
        </row>
        <row r="255">
          <cell r="H255">
            <v>42718</v>
          </cell>
          <cell r="I255">
            <v>103.61</v>
          </cell>
        </row>
        <row r="255">
          <cell r="K255">
            <v>42718</v>
          </cell>
          <cell r="L255">
            <v>118.49</v>
          </cell>
        </row>
        <row r="255">
          <cell r="N255">
            <v>42739</v>
          </cell>
          <cell r="O255">
            <v>91.34</v>
          </cell>
        </row>
        <row r="256">
          <cell r="B256">
            <v>42740</v>
          </cell>
          <cell r="C256">
            <v>95.69</v>
          </cell>
        </row>
        <row r="256">
          <cell r="E256">
            <v>42719</v>
          </cell>
          <cell r="F256">
            <v>117.7</v>
          </cell>
        </row>
        <row r="256">
          <cell r="H256">
            <v>42719</v>
          </cell>
          <cell r="I256">
            <v>103.83</v>
          </cell>
        </row>
        <row r="256">
          <cell r="K256">
            <v>42719</v>
          </cell>
          <cell r="L256">
            <v>119.69</v>
          </cell>
        </row>
        <row r="256">
          <cell r="N256">
            <v>42740</v>
          </cell>
          <cell r="O256">
            <v>92.31</v>
          </cell>
        </row>
        <row r="257">
          <cell r="B257">
            <v>42741</v>
          </cell>
          <cell r="C257">
            <v>95.76</v>
          </cell>
        </row>
        <row r="257">
          <cell r="E257">
            <v>42720</v>
          </cell>
          <cell r="F257">
            <v>117.04</v>
          </cell>
        </row>
        <row r="257">
          <cell r="H257">
            <v>42720</v>
          </cell>
          <cell r="I257">
            <v>103.79</v>
          </cell>
        </row>
        <row r="257">
          <cell r="K257">
            <v>42720</v>
          </cell>
          <cell r="L257">
            <v>119.5</v>
          </cell>
        </row>
        <row r="257">
          <cell r="N257">
            <v>42741</v>
          </cell>
          <cell r="O257">
            <v>93.1</v>
          </cell>
        </row>
        <row r="258">
          <cell r="B258">
            <v>42744</v>
          </cell>
          <cell r="C258">
            <v>95.95</v>
          </cell>
        </row>
        <row r="258">
          <cell r="E258">
            <v>42723</v>
          </cell>
          <cell r="F258">
            <v>117.26</v>
          </cell>
        </row>
        <row r="258">
          <cell r="H258">
            <v>42723</v>
          </cell>
          <cell r="I258">
            <v>103.78</v>
          </cell>
        </row>
        <row r="258">
          <cell r="K258">
            <v>42723</v>
          </cell>
          <cell r="L258">
            <v>119.68</v>
          </cell>
        </row>
        <row r="258">
          <cell r="N258">
            <v>42744</v>
          </cell>
          <cell r="O258">
            <v>93.54</v>
          </cell>
        </row>
        <row r="259">
          <cell r="B259">
            <v>42745</v>
          </cell>
          <cell r="C259">
            <v>95.59</v>
          </cell>
        </row>
        <row r="259">
          <cell r="E259">
            <v>42724</v>
          </cell>
          <cell r="F259">
            <v>117.29</v>
          </cell>
        </row>
        <row r="259">
          <cell r="H259">
            <v>42724</v>
          </cell>
          <cell r="I259">
            <v>104.03</v>
          </cell>
        </row>
        <row r="259">
          <cell r="K259">
            <v>42724</v>
          </cell>
          <cell r="L259">
            <v>119.93</v>
          </cell>
        </row>
        <row r="259">
          <cell r="N259">
            <v>42745</v>
          </cell>
          <cell r="O259">
            <v>93.13</v>
          </cell>
        </row>
        <row r="260">
          <cell r="B260">
            <v>42746</v>
          </cell>
          <cell r="C260">
            <v>95.96</v>
          </cell>
        </row>
        <row r="260">
          <cell r="E260">
            <v>42725</v>
          </cell>
          <cell r="F260">
            <v>117.84</v>
          </cell>
        </row>
        <row r="260">
          <cell r="H260">
            <v>42725</v>
          </cell>
          <cell r="I260">
            <v>103.99</v>
          </cell>
        </row>
        <row r="260">
          <cell r="K260">
            <v>42725</v>
          </cell>
          <cell r="L260">
            <v>119.84</v>
          </cell>
        </row>
        <row r="260">
          <cell r="N260">
            <v>42746</v>
          </cell>
          <cell r="O260">
            <v>93.25</v>
          </cell>
        </row>
        <row r="261">
          <cell r="B261">
            <v>42747</v>
          </cell>
          <cell r="C261">
            <v>95.9</v>
          </cell>
        </row>
        <row r="261">
          <cell r="E261">
            <v>42726</v>
          </cell>
          <cell r="F261">
            <v>117.7</v>
          </cell>
        </row>
        <row r="261">
          <cell r="H261">
            <v>42726</v>
          </cell>
          <cell r="I261">
            <v>104.09</v>
          </cell>
        </row>
        <row r="261">
          <cell r="K261">
            <v>42726</v>
          </cell>
          <cell r="L261">
            <v>119.48</v>
          </cell>
        </row>
        <row r="261">
          <cell r="N261">
            <v>42747</v>
          </cell>
          <cell r="O261">
            <v>93.51</v>
          </cell>
        </row>
        <row r="262">
          <cell r="B262">
            <v>42748</v>
          </cell>
          <cell r="C262">
            <v>96.11</v>
          </cell>
        </row>
        <row r="262">
          <cell r="E262">
            <v>42727</v>
          </cell>
          <cell r="F262">
            <v>117.53</v>
          </cell>
        </row>
        <row r="262">
          <cell r="H262">
            <v>42727</v>
          </cell>
          <cell r="I262">
            <v>104.01</v>
          </cell>
        </row>
        <row r="262">
          <cell r="K262">
            <v>42727</v>
          </cell>
          <cell r="L262">
            <v>119.23</v>
          </cell>
        </row>
        <row r="262">
          <cell r="N262">
            <v>42748</v>
          </cell>
          <cell r="O262">
            <v>93</v>
          </cell>
        </row>
        <row r="263">
          <cell r="B263">
            <v>42752</v>
          </cell>
          <cell r="C263">
            <v>96.05</v>
          </cell>
        </row>
        <row r="263">
          <cell r="E263">
            <v>42730</v>
          </cell>
          <cell r="F263">
            <v>117.52</v>
          </cell>
        </row>
        <row r="263">
          <cell r="H263">
            <v>42730</v>
          </cell>
          <cell r="I263">
            <v>104</v>
          </cell>
        </row>
        <row r="263">
          <cell r="K263">
            <v>42730</v>
          </cell>
          <cell r="L263">
            <v>119.22</v>
          </cell>
        </row>
        <row r="263">
          <cell r="N263">
            <v>42752</v>
          </cell>
          <cell r="O263">
            <v>93.2</v>
          </cell>
        </row>
        <row r="264">
          <cell r="B264">
            <v>42753</v>
          </cell>
          <cell r="C264">
            <v>96.2</v>
          </cell>
        </row>
        <row r="264">
          <cell r="E264">
            <v>42731</v>
          </cell>
          <cell r="F264">
            <v>117.31</v>
          </cell>
        </row>
        <row r="264">
          <cell r="H264">
            <v>42731</v>
          </cell>
          <cell r="I264">
            <v>104.01</v>
          </cell>
        </row>
        <row r="264">
          <cell r="K264">
            <v>42731</v>
          </cell>
          <cell r="L264">
            <v>119.38</v>
          </cell>
        </row>
        <row r="264">
          <cell r="N264">
            <v>42753</v>
          </cell>
          <cell r="O264">
            <v>93.18</v>
          </cell>
        </row>
        <row r="265">
          <cell r="B265">
            <v>42754</v>
          </cell>
          <cell r="C265">
            <v>96.59</v>
          </cell>
        </row>
        <row r="265">
          <cell r="E265">
            <v>42732</v>
          </cell>
          <cell r="F265">
            <v>117.79</v>
          </cell>
        </row>
        <row r="265">
          <cell r="H265">
            <v>42732</v>
          </cell>
          <cell r="I265">
            <v>103.84</v>
          </cell>
        </row>
        <row r="265">
          <cell r="K265">
            <v>42732</v>
          </cell>
          <cell r="L265">
            <v>118.76</v>
          </cell>
        </row>
        <row r="265">
          <cell r="N265">
            <v>42754</v>
          </cell>
          <cell r="O265">
            <v>93.89</v>
          </cell>
        </row>
        <row r="266">
          <cell r="B266">
            <v>42755</v>
          </cell>
          <cell r="C266">
            <v>96.65</v>
          </cell>
        </row>
        <row r="266">
          <cell r="E266">
            <v>42733</v>
          </cell>
          <cell r="F266">
            <v>118.3</v>
          </cell>
        </row>
        <row r="266">
          <cell r="H266">
            <v>42733</v>
          </cell>
          <cell r="I266">
            <v>104.04</v>
          </cell>
        </row>
        <row r="266">
          <cell r="K266">
            <v>42733</v>
          </cell>
          <cell r="L266">
            <v>118.32</v>
          </cell>
        </row>
        <row r="266">
          <cell r="N266">
            <v>42755</v>
          </cell>
          <cell r="O266">
            <v>93.91</v>
          </cell>
        </row>
        <row r="267">
          <cell r="B267">
            <v>42758</v>
          </cell>
          <cell r="C267">
            <v>96.88</v>
          </cell>
        </row>
        <row r="267">
          <cell r="E267">
            <v>42734</v>
          </cell>
          <cell r="F267">
            <v>117.54</v>
          </cell>
        </row>
        <row r="267">
          <cell r="H267">
            <v>42734</v>
          </cell>
          <cell r="I267">
            <v>104.25</v>
          </cell>
        </row>
        <row r="267">
          <cell r="K267">
            <v>42734</v>
          </cell>
          <cell r="L267">
            <v>118.45</v>
          </cell>
        </row>
        <row r="267">
          <cell r="N267">
            <v>42758</v>
          </cell>
          <cell r="O267">
            <v>93.87</v>
          </cell>
        </row>
        <row r="268">
          <cell r="B268">
            <v>42759</v>
          </cell>
          <cell r="C268">
            <v>96.9</v>
          </cell>
        </row>
        <row r="268">
          <cell r="E268">
            <v>42737</v>
          </cell>
          <cell r="F268">
            <v>117.54</v>
          </cell>
        </row>
        <row r="268">
          <cell r="H268">
            <v>42737</v>
          </cell>
          <cell r="I268">
            <v>104.24</v>
          </cell>
        </row>
        <row r="268">
          <cell r="K268">
            <v>42737</v>
          </cell>
          <cell r="L268">
            <v>118.44</v>
          </cell>
        </row>
        <row r="268">
          <cell r="N268">
            <v>42759</v>
          </cell>
          <cell r="O268">
            <v>93.38</v>
          </cell>
        </row>
        <row r="269">
          <cell r="B269">
            <v>42760</v>
          </cell>
          <cell r="C269">
            <v>97.1</v>
          </cell>
        </row>
        <row r="269">
          <cell r="E269">
            <v>42738</v>
          </cell>
          <cell r="F269">
            <v>116.98</v>
          </cell>
        </row>
        <row r="269">
          <cell r="H269">
            <v>42738</v>
          </cell>
          <cell r="I269">
            <v>104.41</v>
          </cell>
        </row>
        <row r="269">
          <cell r="K269">
            <v>42738</v>
          </cell>
          <cell r="L269">
            <v>118.1</v>
          </cell>
        </row>
        <row r="269">
          <cell r="N269">
            <v>42760</v>
          </cell>
          <cell r="O269">
            <v>93.14</v>
          </cell>
        </row>
        <row r="270">
          <cell r="B270">
            <v>42761</v>
          </cell>
          <cell r="C270">
            <v>97.29</v>
          </cell>
        </row>
        <row r="270">
          <cell r="E270">
            <v>42739</v>
          </cell>
          <cell r="F270">
            <v>116.85</v>
          </cell>
        </row>
        <row r="270">
          <cell r="H270">
            <v>42739</v>
          </cell>
          <cell r="I270">
            <v>104.06</v>
          </cell>
        </row>
        <row r="270">
          <cell r="K270">
            <v>42739</v>
          </cell>
          <cell r="L270">
            <v>117.69</v>
          </cell>
        </row>
        <row r="270">
          <cell r="N270">
            <v>42761</v>
          </cell>
          <cell r="O270">
            <v>93.68</v>
          </cell>
        </row>
        <row r="271">
          <cell r="B271">
            <v>42762</v>
          </cell>
          <cell r="C271">
            <v>97.16</v>
          </cell>
        </row>
        <row r="271">
          <cell r="E271">
            <v>42740</v>
          </cell>
          <cell r="F271">
            <v>117.3</v>
          </cell>
        </row>
        <row r="271">
          <cell r="H271">
            <v>42740</v>
          </cell>
          <cell r="I271">
            <v>103.35</v>
          </cell>
        </row>
        <row r="271">
          <cell r="K271">
            <v>42740</v>
          </cell>
          <cell r="L271">
            <v>116.67</v>
          </cell>
        </row>
        <row r="271">
          <cell r="N271">
            <v>42762</v>
          </cell>
          <cell r="O271">
            <v>93.88</v>
          </cell>
        </row>
        <row r="272">
          <cell r="B272">
            <v>42765</v>
          </cell>
          <cell r="C272">
            <v>97.02</v>
          </cell>
        </row>
        <row r="272">
          <cell r="E272">
            <v>42741</v>
          </cell>
          <cell r="F272">
            <v>117.23</v>
          </cell>
        </row>
        <row r="272">
          <cell r="H272">
            <v>42741</v>
          </cell>
          <cell r="I272">
            <v>102.54</v>
          </cell>
        </row>
        <row r="272">
          <cell r="K272">
            <v>42741</v>
          </cell>
          <cell r="L272">
            <v>116.79</v>
          </cell>
        </row>
        <row r="272">
          <cell r="N272">
            <v>42765</v>
          </cell>
          <cell r="O272">
            <v>94.09</v>
          </cell>
        </row>
        <row r="273">
          <cell r="B273">
            <v>42766</v>
          </cell>
          <cell r="C273">
            <v>96.67</v>
          </cell>
        </row>
        <row r="273">
          <cell r="E273">
            <v>42744</v>
          </cell>
          <cell r="F273">
            <v>117.12</v>
          </cell>
        </row>
        <row r="273">
          <cell r="H273">
            <v>42744</v>
          </cell>
          <cell r="I273">
            <v>102.44</v>
          </cell>
        </row>
        <row r="273">
          <cell r="K273">
            <v>42744</v>
          </cell>
          <cell r="L273">
            <v>116.5</v>
          </cell>
        </row>
        <row r="273">
          <cell r="N273">
            <v>42766</v>
          </cell>
          <cell r="O273">
            <v>93.39</v>
          </cell>
        </row>
        <row r="274">
          <cell r="B274">
            <v>42767</v>
          </cell>
          <cell r="C274">
            <v>96.97</v>
          </cell>
        </row>
        <row r="274">
          <cell r="E274">
            <v>42745</v>
          </cell>
          <cell r="F274">
            <v>117.64</v>
          </cell>
        </row>
        <row r="274">
          <cell r="H274">
            <v>42745</v>
          </cell>
          <cell r="I274">
            <v>102.6</v>
          </cell>
        </row>
        <row r="274">
          <cell r="K274">
            <v>42745</v>
          </cell>
          <cell r="L274">
            <v>116.23</v>
          </cell>
        </row>
        <row r="274">
          <cell r="N274">
            <v>42767</v>
          </cell>
          <cell r="O274">
            <v>93.77</v>
          </cell>
        </row>
        <row r="275">
          <cell r="B275">
            <v>42768</v>
          </cell>
          <cell r="C275">
            <v>96.65</v>
          </cell>
        </row>
        <row r="275">
          <cell r="E275">
            <v>42746</v>
          </cell>
          <cell r="F275">
            <v>118.06</v>
          </cell>
        </row>
        <row r="275">
          <cell r="H275">
            <v>42746</v>
          </cell>
          <cell r="I275">
            <v>101.85</v>
          </cell>
        </row>
        <row r="275">
          <cell r="K275">
            <v>42746</v>
          </cell>
          <cell r="L275">
            <v>116.54</v>
          </cell>
        </row>
        <row r="275">
          <cell r="N275">
            <v>42768</v>
          </cell>
          <cell r="O275">
            <v>93.9</v>
          </cell>
        </row>
        <row r="276">
          <cell r="B276">
            <v>42769</v>
          </cell>
          <cell r="C276">
            <v>96.38</v>
          </cell>
        </row>
        <row r="276">
          <cell r="E276">
            <v>42747</v>
          </cell>
          <cell r="F276">
            <v>117.95</v>
          </cell>
        </row>
        <row r="276">
          <cell r="H276">
            <v>42747</v>
          </cell>
          <cell r="I276">
            <v>102.26</v>
          </cell>
        </row>
        <row r="276">
          <cell r="K276">
            <v>42747</v>
          </cell>
          <cell r="L276">
            <v>116.88</v>
          </cell>
        </row>
        <row r="276">
          <cell r="N276">
            <v>42769</v>
          </cell>
          <cell r="O276">
            <v>93.4</v>
          </cell>
        </row>
        <row r="277">
          <cell r="B277">
            <v>42772</v>
          </cell>
          <cell r="C277">
            <v>96.34</v>
          </cell>
        </row>
        <row r="277">
          <cell r="E277">
            <v>42748</v>
          </cell>
          <cell r="F277">
            <v>118.21</v>
          </cell>
        </row>
        <row r="277">
          <cell r="H277">
            <v>42748</v>
          </cell>
          <cell r="I277">
            <v>101.99</v>
          </cell>
        </row>
        <row r="277">
          <cell r="K277">
            <v>42748</v>
          </cell>
          <cell r="L277">
            <v>116.87</v>
          </cell>
        </row>
        <row r="277">
          <cell r="N277">
            <v>42772</v>
          </cell>
          <cell r="O277">
            <v>93.92</v>
          </cell>
        </row>
        <row r="278">
          <cell r="B278">
            <v>42773</v>
          </cell>
          <cell r="C278">
            <v>96.49</v>
          </cell>
        </row>
        <row r="278">
          <cell r="E278">
            <v>42751</v>
          </cell>
          <cell r="F278">
            <v>118.25</v>
          </cell>
        </row>
        <row r="278">
          <cell r="H278">
            <v>42751</v>
          </cell>
          <cell r="I278">
            <v>101.85</v>
          </cell>
        </row>
        <row r="278">
          <cell r="K278">
            <v>42751</v>
          </cell>
          <cell r="L278">
            <v>116.86</v>
          </cell>
        </row>
        <row r="278">
          <cell r="N278">
            <v>42773</v>
          </cell>
          <cell r="O278">
            <v>94.18</v>
          </cell>
        </row>
        <row r="279">
          <cell r="B279">
            <v>42774</v>
          </cell>
          <cell r="C279">
            <v>96.01</v>
          </cell>
        </row>
        <row r="279">
          <cell r="E279">
            <v>42752</v>
          </cell>
          <cell r="F279">
            <v>118.06</v>
          </cell>
        </row>
        <row r="279">
          <cell r="H279">
            <v>42752</v>
          </cell>
          <cell r="I279">
            <v>102</v>
          </cell>
        </row>
        <row r="279">
          <cell r="K279">
            <v>42752</v>
          </cell>
          <cell r="L279">
            <v>116.45</v>
          </cell>
        </row>
        <row r="279">
          <cell r="N279">
            <v>42774</v>
          </cell>
          <cell r="O279">
            <v>94.07</v>
          </cell>
        </row>
        <row r="280">
          <cell r="B280">
            <v>42775</v>
          </cell>
          <cell r="C280">
            <v>95.91</v>
          </cell>
        </row>
        <row r="280">
          <cell r="E280">
            <v>42753</v>
          </cell>
          <cell r="F280">
            <v>118.7</v>
          </cell>
        </row>
        <row r="280">
          <cell r="H280">
            <v>42753</v>
          </cell>
          <cell r="I280">
            <v>101.65</v>
          </cell>
        </row>
        <row r="280">
          <cell r="K280">
            <v>42753</v>
          </cell>
          <cell r="L280">
            <v>116.63</v>
          </cell>
        </row>
        <row r="280">
          <cell r="N280">
            <v>42775</v>
          </cell>
          <cell r="O280">
            <v>93.51</v>
          </cell>
        </row>
        <row r="281">
          <cell r="B281">
            <v>42776</v>
          </cell>
          <cell r="C281">
            <v>95.68</v>
          </cell>
        </row>
        <row r="281">
          <cell r="E281">
            <v>42754</v>
          </cell>
          <cell r="F281">
            <v>119.04</v>
          </cell>
        </row>
        <row r="281">
          <cell r="H281">
            <v>42754</v>
          </cell>
          <cell r="I281">
            <v>101.34</v>
          </cell>
        </row>
        <row r="281">
          <cell r="K281">
            <v>42754</v>
          </cell>
          <cell r="L281">
            <v>116.29</v>
          </cell>
        </row>
        <row r="281">
          <cell r="N281">
            <v>42776</v>
          </cell>
          <cell r="O281">
            <v>93.37</v>
          </cell>
        </row>
        <row r="282">
          <cell r="B282">
            <v>42779</v>
          </cell>
          <cell r="C282">
            <v>95.62</v>
          </cell>
        </row>
        <row r="282">
          <cell r="E282">
            <v>42755</v>
          </cell>
          <cell r="F282">
            <v>119.2</v>
          </cell>
        </row>
        <row r="282">
          <cell r="H282">
            <v>42755</v>
          </cell>
          <cell r="I282">
            <v>101.45</v>
          </cell>
        </row>
        <row r="282">
          <cell r="K282">
            <v>42755</v>
          </cell>
          <cell r="L282">
            <v>116.32</v>
          </cell>
        </row>
        <row r="282">
          <cell r="N282">
            <v>42779</v>
          </cell>
          <cell r="O282">
            <v>93.95</v>
          </cell>
        </row>
        <row r="283">
          <cell r="B283">
            <v>42780</v>
          </cell>
          <cell r="C283">
            <v>95.49</v>
          </cell>
        </row>
        <row r="283">
          <cell r="E283">
            <v>42758</v>
          </cell>
          <cell r="F283">
            <v>119.33</v>
          </cell>
        </row>
        <row r="283">
          <cell r="H283">
            <v>42758</v>
          </cell>
          <cell r="I283">
            <v>101.44</v>
          </cell>
        </row>
        <row r="283">
          <cell r="K283">
            <v>42758</v>
          </cell>
          <cell r="L283">
            <v>115.86</v>
          </cell>
        </row>
        <row r="283">
          <cell r="N283">
            <v>42780</v>
          </cell>
          <cell r="O283">
            <v>94.26</v>
          </cell>
        </row>
        <row r="284">
          <cell r="B284">
            <v>42781</v>
          </cell>
          <cell r="C284">
            <v>95.83</v>
          </cell>
        </row>
        <row r="284">
          <cell r="E284">
            <v>42759</v>
          </cell>
          <cell r="F284">
            <v>119.88</v>
          </cell>
        </row>
        <row r="284">
          <cell r="H284">
            <v>42759</v>
          </cell>
          <cell r="I284">
            <v>101.97</v>
          </cell>
        </row>
        <row r="284">
          <cell r="K284">
            <v>42759</v>
          </cell>
          <cell r="L284">
            <v>115.98</v>
          </cell>
        </row>
        <row r="284">
          <cell r="N284">
            <v>42781</v>
          </cell>
          <cell r="O284">
            <v>94.37</v>
          </cell>
        </row>
        <row r="285">
          <cell r="B285">
            <v>42782</v>
          </cell>
          <cell r="C285">
            <v>95.46</v>
          </cell>
        </row>
        <row r="285">
          <cell r="E285">
            <v>42760</v>
          </cell>
          <cell r="F285">
            <v>119.85</v>
          </cell>
        </row>
        <row r="285">
          <cell r="H285">
            <v>42760</v>
          </cell>
          <cell r="I285">
            <v>101.96</v>
          </cell>
        </row>
        <row r="285">
          <cell r="K285">
            <v>42760</v>
          </cell>
          <cell r="L285">
            <v>115.95</v>
          </cell>
        </row>
        <row r="285">
          <cell r="N285">
            <v>42782</v>
          </cell>
          <cell r="O285">
            <v>94.06</v>
          </cell>
        </row>
        <row r="286">
          <cell r="B286">
            <v>42783</v>
          </cell>
          <cell r="C286">
            <v>95.28</v>
          </cell>
        </row>
        <row r="286">
          <cell r="E286">
            <v>42761</v>
          </cell>
          <cell r="F286">
            <v>119.99</v>
          </cell>
        </row>
        <row r="286">
          <cell r="H286">
            <v>42761</v>
          </cell>
          <cell r="I286">
            <v>101.78</v>
          </cell>
        </row>
        <row r="286">
          <cell r="K286">
            <v>42761</v>
          </cell>
          <cell r="L286">
            <v>115.55</v>
          </cell>
        </row>
        <row r="286">
          <cell r="N286">
            <v>42783</v>
          </cell>
          <cell r="O286">
            <v>94.33</v>
          </cell>
        </row>
        <row r="287">
          <cell r="B287">
            <v>42787</v>
          </cell>
          <cell r="C287">
            <v>95.42</v>
          </cell>
        </row>
        <row r="287">
          <cell r="E287">
            <v>42762</v>
          </cell>
          <cell r="F287">
            <v>120.35</v>
          </cell>
        </row>
        <row r="287">
          <cell r="H287">
            <v>42762</v>
          </cell>
          <cell r="I287">
            <v>101.33</v>
          </cell>
        </row>
        <row r="287">
          <cell r="K287">
            <v>42762</v>
          </cell>
          <cell r="L287">
            <v>115.45</v>
          </cell>
        </row>
        <row r="287">
          <cell r="N287">
            <v>42787</v>
          </cell>
          <cell r="O287">
            <v>94.1</v>
          </cell>
        </row>
        <row r="288">
          <cell r="B288">
            <v>42788</v>
          </cell>
          <cell r="C288">
            <v>95.47</v>
          </cell>
        </row>
        <row r="288">
          <cell r="E288">
            <v>42765</v>
          </cell>
          <cell r="F288">
            <v>119.9</v>
          </cell>
        </row>
        <row r="288">
          <cell r="H288">
            <v>42765</v>
          </cell>
          <cell r="I288">
            <v>101.74</v>
          </cell>
        </row>
        <row r="288">
          <cell r="K288">
            <v>42765</v>
          </cell>
          <cell r="L288">
            <v>115.47</v>
          </cell>
        </row>
        <row r="288">
          <cell r="N288">
            <v>42788</v>
          </cell>
          <cell r="O288">
            <v>94.1</v>
          </cell>
        </row>
        <row r="289">
          <cell r="B289">
            <v>42789</v>
          </cell>
          <cell r="C289">
            <v>95.05</v>
          </cell>
        </row>
        <row r="289">
          <cell r="E289">
            <v>42766</v>
          </cell>
          <cell r="F289">
            <v>120.08</v>
          </cell>
        </row>
        <row r="289">
          <cell r="H289">
            <v>42766</v>
          </cell>
          <cell r="I289">
            <v>101.79</v>
          </cell>
        </row>
        <row r="289">
          <cell r="K289">
            <v>42766</v>
          </cell>
          <cell r="L289">
            <v>114.69</v>
          </cell>
        </row>
        <row r="289">
          <cell r="N289">
            <v>42789</v>
          </cell>
          <cell r="O289">
            <v>94.36</v>
          </cell>
        </row>
        <row r="290">
          <cell r="B290">
            <v>42790</v>
          </cell>
          <cell r="C290">
            <v>94.7</v>
          </cell>
        </row>
        <row r="290">
          <cell r="E290">
            <v>42767</v>
          </cell>
          <cell r="F290">
            <v>120.36</v>
          </cell>
        </row>
        <row r="290">
          <cell r="H290">
            <v>42767</v>
          </cell>
          <cell r="I290">
            <v>102.37</v>
          </cell>
        </row>
        <row r="290">
          <cell r="K290">
            <v>42767</v>
          </cell>
          <cell r="L290">
            <v>114.7</v>
          </cell>
        </row>
        <row r="290">
          <cell r="N290">
            <v>42790</v>
          </cell>
          <cell r="O290">
            <v>94.25</v>
          </cell>
        </row>
        <row r="291">
          <cell r="B291">
            <v>42793</v>
          </cell>
          <cell r="C291">
            <v>94.48</v>
          </cell>
        </row>
        <row r="291">
          <cell r="E291">
            <v>42768</v>
          </cell>
          <cell r="F291">
            <v>120.31</v>
          </cell>
        </row>
        <row r="291">
          <cell r="H291">
            <v>42768</v>
          </cell>
          <cell r="I291">
            <v>101.82</v>
          </cell>
        </row>
        <row r="291">
          <cell r="K291">
            <v>42768</v>
          </cell>
          <cell r="L291">
            <v>114.98</v>
          </cell>
        </row>
        <row r="291">
          <cell r="N291">
            <v>42793</v>
          </cell>
          <cell r="O291">
            <v>93.95</v>
          </cell>
        </row>
        <row r="292">
          <cell r="B292">
            <v>42794</v>
          </cell>
          <cell r="C292">
            <v>94.39</v>
          </cell>
        </row>
        <row r="292">
          <cell r="E292">
            <v>42769</v>
          </cell>
          <cell r="F292">
            <v>120.8</v>
          </cell>
        </row>
        <row r="292">
          <cell r="H292">
            <v>42769</v>
          </cell>
          <cell r="I292">
            <v>101.76</v>
          </cell>
        </row>
        <row r="292">
          <cell r="K292">
            <v>42769</v>
          </cell>
          <cell r="L292">
            <v>115.11</v>
          </cell>
        </row>
        <row r="292">
          <cell r="N292">
            <v>42794</v>
          </cell>
          <cell r="O292">
            <v>94.74</v>
          </cell>
        </row>
        <row r="293">
          <cell r="B293">
            <v>42795</v>
          </cell>
          <cell r="C293">
            <v>94.48</v>
          </cell>
        </row>
        <row r="293">
          <cell r="E293">
            <v>42772</v>
          </cell>
          <cell r="F293">
            <v>120.86</v>
          </cell>
        </row>
        <row r="293">
          <cell r="H293">
            <v>42772</v>
          </cell>
          <cell r="I293">
            <v>101.52</v>
          </cell>
        </row>
        <row r="293">
          <cell r="K293">
            <v>42772</v>
          </cell>
          <cell r="L293">
            <v>114.99</v>
          </cell>
        </row>
        <row r="293">
          <cell r="N293">
            <v>42795</v>
          </cell>
          <cell r="O293">
            <v>94.85</v>
          </cell>
        </row>
        <row r="294">
          <cell r="B294">
            <v>42796</v>
          </cell>
          <cell r="C294">
            <v>94.76</v>
          </cell>
        </row>
        <row r="294">
          <cell r="E294">
            <v>42773</v>
          </cell>
          <cell r="F294">
            <v>120.69</v>
          </cell>
        </row>
        <row r="294">
          <cell r="H294">
            <v>42773</v>
          </cell>
          <cell r="I294">
            <v>101.16</v>
          </cell>
        </row>
        <row r="294">
          <cell r="K294">
            <v>42773</v>
          </cell>
          <cell r="L294">
            <v>114.96</v>
          </cell>
        </row>
        <row r="294">
          <cell r="N294">
            <v>42796</v>
          </cell>
          <cell r="O294">
            <v>94.89</v>
          </cell>
        </row>
        <row r="295">
          <cell r="B295">
            <v>42797</v>
          </cell>
          <cell r="C295">
            <v>94.58</v>
          </cell>
        </row>
        <row r="295">
          <cell r="E295">
            <v>42774</v>
          </cell>
          <cell r="F295">
            <v>119.81</v>
          </cell>
        </row>
        <row r="295">
          <cell r="H295">
            <v>42774</v>
          </cell>
          <cell r="I295">
            <v>101.18</v>
          </cell>
        </row>
        <row r="295">
          <cell r="K295">
            <v>42774</v>
          </cell>
          <cell r="L295">
            <v>114.74</v>
          </cell>
        </row>
        <row r="295">
          <cell r="N295">
            <v>42797</v>
          </cell>
          <cell r="O295">
            <v>95.36</v>
          </cell>
        </row>
        <row r="296">
          <cell r="B296">
            <v>42800</v>
          </cell>
          <cell r="C296">
            <v>94.48</v>
          </cell>
        </row>
        <row r="296">
          <cell r="E296">
            <v>42775</v>
          </cell>
          <cell r="F296">
            <v>119.66</v>
          </cell>
        </row>
        <row r="296">
          <cell r="H296">
            <v>42775</v>
          </cell>
          <cell r="I296">
            <v>101.32</v>
          </cell>
        </row>
        <row r="296">
          <cell r="K296">
            <v>42775</v>
          </cell>
          <cell r="L296">
            <v>114.77</v>
          </cell>
        </row>
        <row r="296">
          <cell r="N296">
            <v>42800</v>
          </cell>
          <cell r="O296">
            <v>95.75</v>
          </cell>
        </row>
        <row r="297">
          <cell r="B297">
            <v>42801</v>
          </cell>
          <cell r="C297">
            <v>94.5</v>
          </cell>
        </row>
        <row r="297">
          <cell r="E297">
            <v>42776</v>
          </cell>
          <cell r="F297">
            <v>119.53</v>
          </cell>
        </row>
        <row r="297">
          <cell r="H297">
            <v>42776</v>
          </cell>
          <cell r="I297">
            <v>101.55</v>
          </cell>
        </row>
        <row r="297">
          <cell r="K297">
            <v>42776</v>
          </cell>
          <cell r="L297">
            <v>114.66</v>
          </cell>
        </row>
        <row r="297">
          <cell r="N297">
            <v>42801</v>
          </cell>
          <cell r="O297">
            <v>95.91</v>
          </cell>
        </row>
        <row r="298">
          <cell r="B298">
            <v>42802</v>
          </cell>
          <cell r="C298">
            <v>94.45</v>
          </cell>
        </row>
        <row r="298">
          <cell r="E298">
            <v>42779</v>
          </cell>
          <cell r="F298">
            <v>119.6</v>
          </cell>
        </row>
        <row r="298">
          <cell r="H298">
            <v>42779</v>
          </cell>
          <cell r="I298">
            <v>101.62</v>
          </cell>
        </row>
        <row r="298">
          <cell r="K298">
            <v>42779</v>
          </cell>
          <cell r="L298">
            <v>114.65</v>
          </cell>
        </row>
        <row r="298">
          <cell r="N298">
            <v>42802</v>
          </cell>
          <cell r="O298">
            <v>96.11</v>
          </cell>
        </row>
        <row r="299">
          <cell r="B299">
            <v>42803</v>
          </cell>
          <cell r="C299">
            <v>94.53</v>
          </cell>
        </row>
        <row r="299">
          <cell r="E299">
            <v>42780</v>
          </cell>
          <cell r="F299">
            <v>119.1</v>
          </cell>
        </row>
        <row r="299">
          <cell r="H299">
            <v>42780</v>
          </cell>
          <cell r="I299">
            <v>101.89</v>
          </cell>
        </row>
        <row r="299">
          <cell r="K299">
            <v>42780</v>
          </cell>
          <cell r="L299">
            <v>114.91</v>
          </cell>
        </row>
        <row r="299">
          <cell r="N299">
            <v>42803</v>
          </cell>
          <cell r="O299">
            <v>96.36</v>
          </cell>
        </row>
        <row r="300">
          <cell r="B300">
            <v>42804</v>
          </cell>
          <cell r="C300">
            <v>94.64</v>
          </cell>
        </row>
        <row r="300">
          <cell r="E300">
            <v>42781</v>
          </cell>
          <cell r="F300">
            <v>118.43</v>
          </cell>
        </row>
        <row r="300">
          <cell r="H300">
            <v>42781</v>
          </cell>
          <cell r="I300">
            <v>102.03</v>
          </cell>
        </row>
        <row r="300">
          <cell r="K300">
            <v>42781</v>
          </cell>
          <cell r="L300">
            <v>115.17</v>
          </cell>
        </row>
        <row r="300">
          <cell r="N300">
            <v>42804</v>
          </cell>
          <cell r="O300">
            <v>96.1</v>
          </cell>
        </row>
        <row r="301">
          <cell r="B301">
            <v>42807</v>
          </cell>
          <cell r="C301">
            <v>94.6</v>
          </cell>
        </row>
        <row r="301">
          <cell r="E301">
            <v>42782</v>
          </cell>
          <cell r="F301">
            <v>118.52</v>
          </cell>
        </row>
        <row r="301">
          <cell r="H301">
            <v>42782</v>
          </cell>
          <cell r="I301">
            <v>102.14</v>
          </cell>
        </row>
        <row r="301">
          <cell r="K301">
            <v>42782</v>
          </cell>
          <cell r="L301">
            <v>115.03</v>
          </cell>
        </row>
        <row r="301">
          <cell r="N301">
            <v>42807</v>
          </cell>
          <cell r="O301">
            <v>96.02</v>
          </cell>
        </row>
        <row r="302">
          <cell r="B302">
            <v>42808</v>
          </cell>
          <cell r="C302">
            <v>94.72</v>
          </cell>
        </row>
        <row r="302">
          <cell r="E302">
            <v>42783</v>
          </cell>
          <cell r="F302">
            <v>117.9</v>
          </cell>
        </row>
        <row r="302">
          <cell r="H302">
            <v>42783</v>
          </cell>
          <cell r="I302">
            <v>102.09</v>
          </cell>
        </row>
        <row r="302">
          <cell r="K302">
            <v>42783</v>
          </cell>
          <cell r="L302">
            <v>115.29</v>
          </cell>
        </row>
        <row r="302">
          <cell r="N302">
            <v>42808</v>
          </cell>
          <cell r="O302">
            <v>95.94</v>
          </cell>
        </row>
        <row r="303">
          <cell r="B303">
            <v>42809</v>
          </cell>
          <cell r="C303">
            <v>94.65</v>
          </cell>
        </row>
        <row r="303">
          <cell r="E303">
            <v>42786</v>
          </cell>
          <cell r="F303">
            <v>117.88</v>
          </cell>
        </row>
        <row r="303">
          <cell r="H303">
            <v>42786</v>
          </cell>
          <cell r="I303">
            <v>102.09</v>
          </cell>
        </row>
        <row r="303">
          <cell r="K303">
            <v>42786</v>
          </cell>
          <cell r="L303">
            <v>115.26</v>
          </cell>
        </row>
        <row r="303">
          <cell r="N303">
            <v>42809</v>
          </cell>
          <cell r="O303">
            <v>95.4</v>
          </cell>
        </row>
        <row r="304">
          <cell r="B304">
            <v>42810</v>
          </cell>
          <cell r="C304">
            <v>95.24</v>
          </cell>
        </row>
        <row r="304">
          <cell r="E304">
            <v>42787</v>
          </cell>
          <cell r="F304">
            <v>118.17</v>
          </cell>
        </row>
        <row r="304">
          <cell r="H304">
            <v>42787</v>
          </cell>
          <cell r="I304">
            <v>102.32</v>
          </cell>
        </row>
        <row r="304">
          <cell r="K304">
            <v>42787</v>
          </cell>
          <cell r="L304">
            <v>115.32</v>
          </cell>
        </row>
        <row r="304">
          <cell r="N304">
            <v>42810</v>
          </cell>
          <cell r="O304">
            <v>95.24</v>
          </cell>
        </row>
        <row r="305">
          <cell r="B305">
            <v>42811</v>
          </cell>
          <cell r="C305">
            <v>95.08</v>
          </cell>
        </row>
        <row r="305">
          <cell r="E305">
            <v>42788</v>
          </cell>
          <cell r="F305">
            <v>117.91</v>
          </cell>
        </row>
        <row r="305">
          <cell r="H305">
            <v>42788</v>
          </cell>
          <cell r="I305">
            <v>102.25</v>
          </cell>
        </row>
        <row r="305">
          <cell r="K305">
            <v>42788</v>
          </cell>
          <cell r="L305">
            <v>115.56</v>
          </cell>
        </row>
        <row r="305">
          <cell r="N305">
            <v>42811</v>
          </cell>
          <cell r="O305">
            <v>94.72</v>
          </cell>
        </row>
        <row r="306">
          <cell r="B306">
            <v>42814</v>
          </cell>
          <cell r="C306">
            <v>95.32</v>
          </cell>
        </row>
        <row r="306">
          <cell r="E306">
            <v>42789</v>
          </cell>
          <cell r="F306">
            <v>117.66</v>
          </cell>
        </row>
        <row r="306">
          <cell r="H306">
            <v>42789</v>
          </cell>
          <cell r="I306">
            <v>102.58</v>
          </cell>
        </row>
        <row r="306">
          <cell r="K306">
            <v>42789</v>
          </cell>
          <cell r="L306">
            <v>115.84</v>
          </cell>
        </row>
        <row r="306">
          <cell r="N306">
            <v>42814</v>
          </cell>
          <cell r="O306">
            <v>94.87</v>
          </cell>
        </row>
        <row r="307">
          <cell r="B307">
            <v>42815</v>
          </cell>
          <cell r="C307">
            <v>95.37</v>
          </cell>
        </row>
        <row r="307">
          <cell r="E307">
            <v>42790</v>
          </cell>
          <cell r="F307">
            <v>118.13</v>
          </cell>
        </row>
        <row r="307">
          <cell r="H307">
            <v>42790</v>
          </cell>
          <cell r="I307">
            <v>102.67</v>
          </cell>
        </row>
        <row r="307">
          <cell r="K307">
            <v>42790</v>
          </cell>
          <cell r="L307">
            <v>116.45</v>
          </cell>
        </row>
        <row r="307">
          <cell r="N307">
            <v>42815</v>
          </cell>
          <cell r="O307">
            <v>95.08</v>
          </cell>
        </row>
        <row r="308">
          <cell r="B308">
            <v>42816</v>
          </cell>
          <cell r="C308">
            <v>95.37</v>
          </cell>
        </row>
        <row r="308">
          <cell r="E308">
            <v>42793</v>
          </cell>
          <cell r="F308">
            <v>117.97</v>
          </cell>
        </row>
        <row r="308">
          <cell r="H308">
            <v>42793</v>
          </cell>
          <cell r="I308">
            <v>102.76</v>
          </cell>
        </row>
        <row r="308">
          <cell r="K308">
            <v>42793</v>
          </cell>
          <cell r="L308">
            <v>116.92</v>
          </cell>
        </row>
        <row r="308">
          <cell r="N308">
            <v>42816</v>
          </cell>
          <cell r="O308">
            <v>95.45</v>
          </cell>
        </row>
        <row r="309">
          <cell r="B309">
            <v>42817</v>
          </cell>
          <cell r="C309">
            <v>95.24</v>
          </cell>
        </row>
        <row r="309">
          <cell r="E309">
            <v>42794</v>
          </cell>
          <cell r="F309">
            <v>119.4</v>
          </cell>
        </row>
        <row r="309">
          <cell r="H309">
            <v>42794</v>
          </cell>
          <cell r="I309">
            <v>102.38</v>
          </cell>
        </row>
        <row r="309">
          <cell r="K309">
            <v>42794</v>
          </cell>
          <cell r="L309">
            <v>117.23</v>
          </cell>
        </row>
        <row r="309">
          <cell r="N309">
            <v>42817</v>
          </cell>
          <cell r="O309">
            <v>94.89</v>
          </cell>
        </row>
        <row r="310">
          <cell r="B310">
            <v>42818</v>
          </cell>
          <cell r="C310">
            <v>95.45</v>
          </cell>
        </row>
        <row r="310">
          <cell r="E310">
            <v>42795</v>
          </cell>
          <cell r="F310">
            <v>120.84</v>
          </cell>
        </row>
        <row r="310">
          <cell r="H310">
            <v>42795</v>
          </cell>
          <cell r="I310">
            <v>101.97</v>
          </cell>
        </row>
        <row r="310">
          <cell r="K310">
            <v>42795</v>
          </cell>
          <cell r="L310">
            <v>117.1</v>
          </cell>
        </row>
        <row r="310">
          <cell r="N310">
            <v>42818</v>
          </cell>
          <cell r="O310">
            <v>94.76</v>
          </cell>
        </row>
        <row r="311">
          <cell r="B311">
            <v>42821</v>
          </cell>
          <cell r="C311">
            <v>95.44</v>
          </cell>
        </row>
        <row r="311">
          <cell r="E311">
            <v>42796</v>
          </cell>
          <cell r="F311">
            <v>120.58</v>
          </cell>
        </row>
        <row r="311">
          <cell r="H311">
            <v>42796</v>
          </cell>
          <cell r="I311">
            <v>102.12</v>
          </cell>
        </row>
        <row r="311">
          <cell r="K311">
            <v>42796</v>
          </cell>
          <cell r="L311">
            <v>117.78</v>
          </cell>
        </row>
        <row r="311">
          <cell r="N311">
            <v>42821</v>
          </cell>
          <cell r="O311">
            <v>94.6</v>
          </cell>
        </row>
        <row r="312">
          <cell r="B312">
            <v>42822</v>
          </cell>
          <cell r="C312">
            <v>95.74</v>
          </cell>
        </row>
        <row r="312">
          <cell r="E312">
            <v>42797</v>
          </cell>
          <cell r="F312">
            <v>121.47</v>
          </cell>
        </row>
        <row r="312">
          <cell r="H312">
            <v>42797</v>
          </cell>
          <cell r="I312">
            <v>101.81</v>
          </cell>
        </row>
        <row r="312">
          <cell r="K312">
            <v>42797</v>
          </cell>
          <cell r="L312">
            <v>117.51</v>
          </cell>
        </row>
        <row r="312">
          <cell r="N312">
            <v>42822</v>
          </cell>
          <cell r="O312">
            <v>94.7</v>
          </cell>
        </row>
        <row r="313">
          <cell r="B313">
            <v>42823</v>
          </cell>
          <cell r="C313">
            <v>95.6</v>
          </cell>
        </row>
        <row r="313">
          <cell r="E313">
            <v>42800</v>
          </cell>
          <cell r="F313">
            <v>121.47</v>
          </cell>
        </row>
        <row r="313">
          <cell r="H313">
            <v>42800</v>
          </cell>
          <cell r="I313">
            <v>101.67</v>
          </cell>
        </row>
        <row r="313">
          <cell r="K313">
            <v>42800</v>
          </cell>
          <cell r="L313">
            <v>117.62</v>
          </cell>
        </row>
        <row r="313">
          <cell r="N313">
            <v>42823</v>
          </cell>
          <cell r="O313">
            <v>94.52</v>
          </cell>
        </row>
        <row r="314">
          <cell r="B314">
            <v>42824</v>
          </cell>
          <cell r="C314">
            <v>95.67</v>
          </cell>
        </row>
        <row r="314">
          <cell r="E314">
            <v>42801</v>
          </cell>
          <cell r="F314">
            <v>121.67</v>
          </cell>
        </row>
        <row r="314">
          <cell r="H314">
            <v>42801</v>
          </cell>
          <cell r="I314">
            <v>101.48</v>
          </cell>
        </row>
        <row r="314">
          <cell r="K314">
            <v>42801</v>
          </cell>
          <cell r="L314">
            <v>117.74</v>
          </cell>
        </row>
        <row r="314">
          <cell r="N314">
            <v>42824</v>
          </cell>
          <cell r="O314">
            <v>94.4</v>
          </cell>
        </row>
        <row r="315">
          <cell r="B315">
            <v>42825</v>
          </cell>
          <cell r="C315">
            <v>95.58</v>
          </cell>
        </row>
        <row r="315">
          <cell r="E315">
            <v>42802</v>
          </cell>
          <cell r="F315">
            <v>120.48</v>
          </cell>
        </row>
        <row r="315">
          <cell r="H315">
            <v>42802</v>
          </cell>
          <cell r="I315">
            <v>101.69</v>
          </cell>
        </row>
        <row r="315">
          <cell r="K315">
            <v>42802</v>
          </cell>
          <cell r="L315">
            <v>118.31</v>
          </cell>
        </row>
        <row r="315">
          <cell r="N315">
            <v>42825</v>
          </cell>
          <cell r="O315">
            <v>94</v>
          </cell>
        </row>
        <row r="316">
          <cell r="B316">
            <v>42828</v>
          </cell>
          <cell r="C316">
            <v>95.68</v>
          </cell>
        </row>
        <row r="316">
          <cell r="E316">
            <v>42803</v>
          </cell>
          <cell r="F316">
            <v>120.77</v>
          </cell>
        </row>
        <row r="316">
          <cell r="H316">
            <v>42803</v>
          </cell>
          <cell r="I316">
            <v>101.36</v>
          </cell>
        </row>
        <row r="316">
          <cell r="K316">
            <v>42803</v>
          </cell>
          <cell r="L316">
            <v>117.9</v>
          </cell>
        </row>
        <row r="316">
          <cell r="N316">
            <v>42828</v>
          </cell>
          <cell r="O316">
            <v>94.92</v>
          </cell>
        </row>
        <row r="317">
          <cell r="B317">
            <v>42829</v>
          </cell>
          <cell r="C317">
            <v>95.74</v>
          </cell>
        </row>
        <row r="317">
          <cell r="E317">
            <v>42804</v>
          </cell>
          <cell r="F317">
            <v>120.63</v>
          </cell>
        </row>
        <row r="317">
          <cell r="H317">
            <v>42804</v>
          </cell>
          <cell r="I317">
            <v>101.59</v>
          </cell>
        </row>
        <row r="317">
          <cell r="K317">
            <v>42804</v>
          </cell>
          <cell r="L317">
            <v>117.81</v>
          </cell>
        </row>
        <row r="317">
          <cell r="N317">
            <v>42829</v>
          </cell>
          <cell r="O317">
            <v>95</v>
          </cell>
        </row>
        <row r="318">
          <cell r="B318">
            <v>42830</v>
          </cell>
          <cell r="C318">
            <v>95.87</v>
          </cell>
        </row>
        <row r="318">
          <cell r="E318">
            <v>42807</v>
          </cell>
          <cell r="F318">
            <v>121.18</v>
          </cell>
        </row>
        <row r="318">
          <cell r="H318">
            <v>42807</v>
          </cell>
          <cell r="I318">
            <v>101.13</v>
          </cell>
        </row>
        <row r="318">
          <cell r="K318">
            <v>42807</v>
          </cell>
          <cell r="L318">
            <v>117.71</v>
          </cell>
        </row>
        <row r="318">
          <cell r="N318">
            <v>42830</v>
          </cell>
          <cell r="O318">
            <v>95.63</v>
          </cell>
        </row>
        <row r="319">
          <cell r="B319">
            <v>42831</v>
          </cell>
          <cell r="C319">
            <v>95.93</v>
          </cell>
        </row>
        <row r="319">
          <cell r="E319">
            <v>42808</v>
          </cell>
          <cell r="F319">
            <v>121.25</v>
          </cell>
        </row>
        <row r="319">
          <cell r="H319">
            <v>42808</v>
          </cell>
          <cell r="I319">
            <v>100.98</v>
          </cell>
        </row>
        <row r="319">
          <cell r="K319">
            <v>42808</v>
          </cell>
          <cell r="L319">
            <v>118.09</v>
          </cell>
        </row>
        <row r="319">
          <cell r="N319">
            <v>42831</v>
          </cell>
          <cell r="O319">
            <v>95.1</v>
          </cell>
        </row>
        <row r="320">
          <cell r="B320">
            <v>42832</v>
          </cell>
          <cell r="C320">
            <v>95.83</v>
          </cell>
        </row>
        <row r="320">
          <cell r="E320">
            <v>42809</v>
          </cell>
          <cell r="F320">
            <v>121.59</v>
          </cell>
        </row>
        <row r="320">
          <cell r="H320">
            <v>42809</v>
          </cell>
          <cell r="I320">
            <v>101.01</v>
          </cell>
        </row>
        <row r="320">
          <cell r="K320">
            <v>42809</v>
          </cell>
          <cell r="L320">
            <v>117.34</v>
          </cell>
        </row>
        <row r="320">
          <cell r="N320">
            <v>42832</v>
          </cell>
          <cell r="O320">
            <v>95.18</v>
          </cell>
        </row>
        <row r="321">
          <cell r="B321">
            <v>42835</v>
          </cell>
          <cell r="C321">
            <v>95.78</v>
          </cell>
        </row>
        <row r="321">
          <cell r="E321">
            <v>42810</v>
          </cell>
          <cell r="F321">
            <v>121.13</v>
          </cell>
        </row>
        <row r="321">
          <cell r="H321">
            <v>42810</v>
          </cell>
          <cell r="I321">
            <v>101.07</v>
          </cell>
        </row>
        <row r="321">
          <cell r="K321">
            <v>42810</v>
          </cell>
          <cell r="L321">
            <v>117.09</v>
          </cell>
        </row>
        <row r="321">
          <cell r="N321">
            <v>42835</v>
          </cell>
          <cell r="O321">
            <v>94.85</v>
          </cell>
        </row>
        <row r="322">
          <cell r="B322">
            <v>42836</v>
          </cell>
          <cell r="C322">
            <v>95.67</v>
          </cell>
        </row>
        <row r="322">
          <cell r="E322">
            <v>42811</v>
          </cell>
          <cell r="F322">
            <v>121.61</v>
          </cell>
        </row>
        <row r="322">
          <cell r="H322">
            <v>42811</v>
          </cell>
          <cell r="I322">
            <v>100.88</v>
          </cell>
        </row>
        <row r="322">
          <cell r="K322">
            <v>42811</v>
          </cell>
          <cell r="L322">
            <v>117.45</v>
          </cell>
        </row>
        <row r="322">
          <cell r="N322">
            <v>42836</v>
          </cell>
          <cell r="O322">
            <v>94.24</v>
          </cell>
        </row>
        <row r="323">
          <cell r="B323">
            <v>42837</v>
          </cell>
          <cell r="C323">
            <v>95.64</v>
          </cell>
        </row>
        <row r="323">
          <cell r="E323">
            <v>42814</v>
          </cell>
          <cell r="F323">
            <v>122.16</v>
          </cell>
        </row>
        <row r="323">
          <cell r="H323">
            <v>42814</v>
          </cell>
          <cell r="I323">
            <v>100.65</v>
          </cell>
        </row>
        <row r="323">
          <cell r="K323">
            <v>42814</v>
          </cell>
          <cell r="L323">
            <v>117.14</v>
          </cell>
        </row>
        <row r="323">
          <cell r="N323">
            <v>42837</v>
          </cell>
          <cell r="O323">
            <v>94.25</v>
          </cell>
        </row>
        <row r="324">
          <cell r="B324">
            <v>42838</v>
          </cell>
          <cell r="C324">
            <v>95.44</v>
          </cell>
        </row>
        <row r="324">
          <cell r="E324">
            <v>42815</v>
          </cell>
          <cell r="F324">
            <v>121.11</v>
          </cell>
        </row>
        <row r="324">
          <cell r="H324">
            <v>42815</v>
          </cell>
          <cell r="I324">
            <v>100.48</v>
          </cell>
        </row>
        <row r="324">
          <cell r="K324">
            <v>42815</v>
          </cell>
          <cell r="L324">
            <v>116.89</v>
          </cell>
        </row>
        <row r="324">
          <cell r="N324">
            <v>42838</v>
          </cell>
          <cell r="O324">
            <v>94.35</v>
          </cell>
        </row>
        <row r="325">
          <cell r="B325">
            <v>42842</v>
          </cell>
          <cell r="C325">
            <v>95.47</v>
          </cell>
        </row>
        <row r="325">
          <cell r="E325">
            <v>42816</v>
          </cell>
          <cell r="F325">
            <v>122.09</v>
          </cell>
        </row>
        <row r="325">
          <cell r="H325">
            <v>42816</v>
          </cell>
          <cell r="I325">
            <v>100.48</v>
          </cell>
        </row>
        <row r="325">
          <cell r="K325">
            <v>42816</v>
          </cell>
          <cell r="L325">
            <v>117.06</v>
          </cell>
        </row>
        <row r="325">
          <cell r="N325">
            <v>42842</v>
          </cell>
          <cell r="O325">
            <v>94.22</v>
          </cell>
        </row>
        <row r="326">
          <cell r="B326">
            <v>42843</v>
          </cell>
          <cell r="C326">
            <v>95.67</v>
          </cell>
        </row>
        <row r="326">
          <cell r="E326">
            <v>42817</v>
          </cell>
          <cell r="F326">
            <v>121.98</v>
          </cell>
        </row>
        <row r="326">
          <cell r="H326">
            <v>42817</v>
          </cell>
          <cell r="I326">
            <v>100.84</v>
          </cell>
        </row>
        <row r="326">
          <cell r="K326">
            <v>42817</v>
          </cell>
          <cell r="L326">
            <v>117.04</v>
          </cell>
        </row>
        <row r="326">
          <cell r="N326">
            <v>42843</v>
          </cell>
          <cell r="O326">
            <v>93.81</v>
          </cell>
        </row>
        <row r="327">
          <cell r="B327">
            <v>42844</v>
          </cell>
          <cell r="C327">
            <v>95.71</v>
          </cell>
        </row>
        <row r="327">
          <cell r="E327">
            <v>42818</v>
          </cell>
          <cell r="F327">
            <v>122.15</v>
          </cell>
        </row>
        <row r="327">
          <cell r="H327">
            <v>42818</v>
          </cell>
          <cell r="I327">
            <v>100.54</v>
          </cell>
        </row>
        <row r="327">
          <cell r="K327">
            <v>42818</v>
          </cell>
          <cell r="L327">
            <v>116.74</v>
          </cell>
        </row>
        <row r="327">
          <cell r="N327">
            <v>42844</v>
          </cell>
          <cell r="O327">
            <v>93.42</v>
          </cell>
        </row>
        <row r="328">
          <cell r="B328">
            <v>42845</v>
          </cell>
          <cell r="C328">
            <v>95.26</v>
          </cell>
        </row>
        <row r="328">
          <cell r="E328">
            <v>42821</v>
          </cell>
          <cell r="F328">
            <v>121.9</v>
          </cell>
        </row>
        <row r="328">
          <cell r="H328">
            <v>42821</v>
          </cell>
          <cell r="I328">
            <v>100.46</v>
          </cell>
        </row>
        <row r="328">
          <cell r="K328">
            <v>42821</v>
          </cell>
          <cell r="L328">
            <v>116.09</v>
          </cell>
        </row>
        <row r="328">
          <cell r="N328">
            <v>42845</v>
          </cell>
          <cell r="O328">
            <v>93.44</v>
          </cell>
        </row>
        <row r="329">
          <cell r="B329">
            <v>42846</v>
          </cell>
          <cell r="C329">
            <v>95.26</v>
          </cell>
        </row>
        <row r="329">
          <cell r="E329">
            <v>42822</v>
          </cell>
          <cell r="F329">
            <v>121.81</v>
          </cell>
        </row>
        <row r="329">
          <cell r="H329">
            <v>42822</v>
          </cell>
          <cell r="I329">
            <v>100.76</v>
          </cell>
        </row>
        <row r="329">
          <cell r="K329">
            <v>42822</v>
          </cell>
          <cell r="L329">
            <v>116.29</v>
          </cell>
        </row>
        <row r="329">
          <cell r="N329">
            <v>42846</v>
          </cell>
          <cell r="O329">
            <v>93.25</v>
          </cell>
        </row>
        <row r="330">
          <cell r="B330">
            <v>42849</v>
          </cell>
          <cell r="C330">
            <v>95.07</v>
          </cell>
        </row>
        <row r="330">
          <cell r="E330">
            <v>42823</v>
          </cell>
          <cell r="F330">
            <v>121.66</v>
          </cell>
        </row>
        <row r="330">
          <cell r="H330">
            <v>42823</v>
          </cell>
          <cell r="I330">
            <v>100.37</v>
          </cell>
        </row>
        <row r="330">
          <cell r="K330">
            <v>42823</v>
          </cell>
          <cell r="L330">
            <v>116.19</v>
          </cell>
        </row>
        <row r="330">
          <cell r="N330">
            <v>42849</v>
          </cell>
          <cell r="O330">
            <v>93.36</v>
          </cell>
        </row>
        <row r="331">
          <cell r="B331">
            <v>42850</v>
          </cell>
          <cell r="C331">
            <v>95.11</v>
          </cell>
        </row>
        <row r="331">
          <cell r="E331">
            <v>42824</v>
          </cell>
          <cell r="F331">
            <v>122.25</v>
          </cell>
        </row>
        <row r="331">
          <cell r="H331">
            <v>42824</v>
          </cell>
          <cell r="I331">
            <v>100.6</v>
          </cell>
        </row>
        <row r="331">
          <cell r="K331">
            <v>42824</v>
          </cell>
          <cell r="L331">
            <v>115.91</v>
          </cell>
        </row>
        <row r="331">
          <cell r="N331">
            <v>42850</v>
          </cell>
          <cell r="O331">
            <v>93.37</v>
          </cell>
        </row>
        <row r="332">
          <cell r="B332">
            <v>42851</v>
          </cell>
          <cell r="C332">
            <v>95.29</v>
          </cell>
        </row>
        <row r="332">
          <cell r="E332">
            <v>42825</v>
          </cell>
          <cell r="F332">
            <v>122.17</v>
          </cell>
        </row>
        <row r="332">
          <cell r="H332">
            <v>42825</v>
          </cell>
          <cell r="I332">
            <v>100.03</v>
          </cell>
        </row>
        <row r="332">
          <cell r="K332">
            <v>42825</v>
          </cell>
          <cell r="L332">
            <v>115.94</v>
          </cell>
        </row>
        <row r="332">
          <cell r="N332">
            <v>42851</v>
          </cell>
          <cell r="O332">
            <v>92.84</v>
          </cell>
        </row>
        <row r="333">
          <cell r="B333">
            <v>42852</v>
          </cell>
          <cell r="C333">
            <v>95.92</v>
          </cell>
        </row>
        <row r="333">
          <cell r="E333">
            <v>42828</v>
          </cell>
          <cell r="F333">
            <v>122.99</v>
          </cell>
        </row>
        <row r="333">
          <cell r="H333">
            <v>42828</v>
          </cell>
          <cell r="I333">
            <v>99.87</v>
          </cell>
        </row>
        <row r="333">
          <cell r="K333">
            <v>42828</v>
          </cell>
          <cell r="L333">
            <v>115.41</v>
          </cell>
        </row>
        <row r="333">
          <cell r="N333">
            <v>42852</v>
          </cell>
          <cell r="O333">
            <v>93.26</v>
          </cell>
        </row>
        <row r="334">
          <cell r="B334">
            <v>42853</v>
          </cell>
          <cell r="C334">
            <v>96.08</v>
          </cell>
        </row>
        <row r="334">
          <cell r="E334">
            <v>42829</v>
          </cell>
          <cell r="F334">
            <v>123.94</v>
          </cell>
        </row>
        <row r="334">
          <cell r="H334">
            <v>42829</v>
          </cell>
          <cell r="I334">
            <v>99.26</v>
          </cell>
        </row>
        <row r="334">
          <cell r="K334">
            <v>42829</v>
          </cell>
          <cell r="L334">
            <v>114.83</v>
          </cell>
        </row>
        <row r="334">
          <cell r="N334">
            <v>42853</v>
          </cell>
          <cell r="O334">
            <v>93.58</v>
          </cell>
        </row>
        <row r="335">
          <cell r="B335">
            <v>42856</v>
          </cell>
          <cell r="C335">
            <v>96.47</v>
          </cell>
        </row>
        <row r="335">
          <cell r="E335">
            <v>42830</v>
          </cell>
          <cell r="F335">
            <v>123.76</v>
          </cell>
        </row>
        <row r="335">
          <cell r="H335">
            <v>42830</v>
          </cell>
          <cell r="I335">
            <v>98.97</v>
          </cell>
        </row>
        <row r="335">
          <cell r="K335">
            <v>42830</v>
          </cell>
          <cell r="L335">
            <v>114.79</v>
          </cell>
        </row>
        <row r="335">
          <cell r="N335">
            <v>42856</v>
          </cell>
          <cell r="O335">
            <v>93.31</v>
          </cell>
        </row>
        <row r="336">
          <cell r="B336">
            <v>42857</v>
          </cell>
          <cell r="C336">
            <v>96.71</v>
          </cell>
        </row>
        <row r="336">
          <cell r="E336">
            <v>42831</v>
          </cell>
          <cell r="F336">
            <v>123.48</v>
          </cell>
        </row>
        <row r="336">
          <cell r="H336">
            <v>42831</v>
          </cell>
          <cell r="I336">
            <v>99.2</v>
          </cell>
        </row>
        <row r="336">
          <cell r="K336">
            <v>42831</v>
          </cell>
          <cell r="L336">
            <v>114.72</v>
          </cell>
        </row>
        <row r="336">
          <cell r="N336">
            <v>42857</v>
          </cell>
          <cell r="O336">
            <v>93.8</v>
          </cell>
        </row>
        <row r="337">
          <cell r="B337">
            <v>42858</v>
          </cell>
          <cell r="C337">
            <v>96.49</v>
          </cell>
        </row>
        <row r="337">
          <cell r="E337">
            <v>42832</v>
          </cell>
          <cell r="F337">
            <v>123.64</v>
          </cell>
        </row>
        <row r="337">
          <cell r="H337">
            <v>42832</v>
          </cell>
          <cell r="I337">
            <v>99.19</v>
          </cell>
        </row>
        <row r="337">
          <cell r="K337">
            <v>42832</v>
          </cell>
          <cell r="L337">
            <v>115.05</v>
          </cell>
        </row>
        <row r="337">
          <cell r="N337">
            <v>42858</v>
          </cell>
          <cell r="O337">
            <v>94.11</v>
          </cell>
        </row>
        <row r="338">
          <cell r="B338">
            <v>42859</v>
          </cell>
          <cell r="C338">
            <v>96.44</v>
          </cell>
        </row>
        <row r="338">
          <cell r="E338">
            <v>42835</v>
          </cell>
          <cell r="F338">
            <v>122.71</v>
          </cell>
        </row>
        <row r="338">
          <cell r="H338">
            <v>42835</v>
          </cell>
          <cell r="I338">
            <v>99.33</v>
          </cell>
        </row>
        <row r="338">
          <cell r="K338">
            <v>42835</v>
          </cell>
          <cell r="L338">
            <v>115.13</v>
          </cell>
        </row>
        <row r="338">
          <cell r="N338">
            <v>42859</v>
          </cell>
          <cell r="O338">
            <v>94.49</v>
          </cell>
        </row>
        <row r="339">
          <cell r="B339">
            <v>42860</v>
          </cell>
          <cell r="C339">
            <v>96.64</v>
          </cell>
        </row>
        <row r="339">
          <cell r="E339">
            <v>42836</v>
          </cell>
          <cell r="F339">
            <v>122.62</v>
          </cell>
        </row>
        <row r="339">
          <cell r="H339">
            <v>42836</v>
          </cell>
          <cell r="I339">
            <v>99.34</v>
          </cell>
        </row>
        <row r="339">
          <cell r="K339">
            <v>42836</v>
          </cell>
          <cell r="L339">
            <v>115.32</v>
          </cell>
        </row>
        <row r="339">
          <cell r="N339">
            <v>42860</v>
          </cell>
          <cell r="O339">
            <v>94.24</v>
          </cell>
        </row>
        <row r="340">
          <cell r="B340">
            <v>42863</v>
          </cell>
          <cell r="C340">
            <v>96.77</v>
          </cell>
        </row>
        <row r="340">
          <cell r="E340">
            <v>42837</v>
          </cell>
          <cell r="F340">
            <v>122.3</v>
          </cell>
        </row>
        <row r="340">
          <cell r="H340">
            <v>42837</v>
          </cell>
          <cell r="I340">
            <v>99.12</v>
          </cell>
        </row>
        <row r="340">
          <cell r="K340">
            <v>42837</v>
          </cell>
          <cell r="L340">
            <v>114.68</v>
          </cell>
        </row>
        <row r="340">
          <cell r="N340">
            <v>42863</v>
          </cell>
          <cell r="O340">
            <v>94.38</v>
          </cell>
        </row>
        <row r="341">
          <cell r="B341">
            <v>42864</v>
          </cell>
          <cell r="C341">
            <v>96.57</v>
          </cell>
        </row>
        <row r="341">
          <cell r="E341">
            <v>42838</v>
          </cell>
          <cell r="F341">
            <v>122.41</v>
          </cell>
        </row>
        <row r="341">
          <cell r="H341">
            <v>42838</v>
          </cell>
          <cell r="I341">
            <v>99.06</v>
          </cell>
        </row>
        <row r="341">
          <cell r="K341">
            <v>42838</v>
          </cell>
          <cell r="L341">
            <v>114.6</v>
          </cell>
        </row>
        <row r="341">
          <cell r="N341">
            <v>42864</v>
          </cell>
          <cell r="O341">
            <v>94.38</v>
          </cell>
        </row>
        <row r="342">
          <cell r="B342">
            <v>42865</v>
          </cell>
          <cell r="C342">
            <v>96.53</v>
          </cell>
        </row>
        <row r="342">
          <cell r="E342">
            <v>42839</v>
          </cell>
          <cell r="F342">
            <v>122.41</v>
          </cell>
        </row>
        <row r="342">
          <cell r="H342">
            <v>42839</v>
          </cell>
          <cell r="I342">
            <v>99.05</v>
          </cell>
        </row>
        <row r="342">
          <cell r="K342">
            <v>42839</v>
          </cell>
          <cell r="L342">
            <v>114.6</v>
          </cell>
        </row>
        <row r="342">
          <cell r="N342">
            <v>42865</v>
          </cell>
          <cell r="O342">
            <v>93.78</v>
          </cell>
        </row>
        <row r="343">
          <cell r="B343">
            <v>42866</v>
          </cell>
          <cell r="C343">
            <v>96.85</v>
          </cell>
        </row>
        <row r="343">
          <cell r="E343">
            <v>42842</v>
          </cell>
          <cell r="F343">
            <v>122.54</v>
          </cell>
        </row>
        <row r="343">
          <cell r="H343">
            <v>42842</v>
          </cell>
          <cell r="I343">
            <v>98.72</v>
          </cell>
        </row>
        <row r="343">
          <cell r="K343">
            <v>42842</v>
          </cell>
          <cell r="L343">
            <v>114.75</v>
          </cell>
        </row>
        <row r="343">
          <cell r="N343">
            <v>42866</v>
          </cell>
          <cell r="O343">
            <v>94.12</v>
          </cell>
        </row>
        <row r="344">
          <cell r="B344">
            <v>42867</v>
          </cell>
          <cell r="C344">
            <v>97.1</v>
          </cell>
        </row>
        <row r="344">
          <cell r="E344">
            <v>42843</v>
          </cell>
          <cell r="F344">
            <v>122.71</v>
          </cell>
        </row>
        <row r="344">
          <cell r="H344">
            <v>42843</v>
          </cell>
          <cell r="I344">
            <v>98.42</v>
          </cell>
        </row>
        <row r="344">
          <cell r="K344">
            <v>42843</v>
          </cell>
          <cell r="L344">
            <v>114.82</v>
          </cell>
        </row>
        <row r="344">
          <cell r="N344">
            <v>42867</v>
          </cell>
          <cell r="O344">
            <v>94.45</v>
          </cell>
        </row>
        <row r="345">
          <cell r="B345">
            <v>42870</v>
          </cell>
          <cell r="C345">
            <v>97.34</v>
          </cell>
        </row>
        <row r="345">
          <cell r="E345">
            <v>42844</v>
          </cell>
          <cell r="F345">
            <v>122.92</v>
          </cell>
        </row>
        <row r="345">
          <cell r="H345">
            <v>42844</v>
          </cell>
          <cell r="I345">
            <v>98.78</v>
          </cell>
        </row>
        <row r="345">
          <cell r="K345">
            <v>42844</v>
          </cell>
          <cell r="L345">
            <v>115.43</v>
          </cell>
        </row>
        <row r="345">
          <cell r="N345">
            <v>42870</v>
          </cell>
          <cell r="O345">
            <v>94.67</v>
          </cell>
        </row>
        <row r="346">
          <cell r="B346">
            <v>42871</v>
          </cell>
          <cell r="C346">
            <v>97.35</v>
          </cell>
        </row>
        <row r="346">
          <cell r="E346">
            <v>42845</v>
          </cell>
          <cell r="F346">
            <v>123.04</v>
          </cell>
        </row>
        <row r="346">
          <cell r="H346">
            <v>42845</v>
          </cell>
          <cell r="I346">
            <v>99.01</v>
          </cell>
        </row>
        <row r="346">
          <cell r="K346">
            <v>42845</v>
          </cell>
          <cell r="L346">
            <v>115.74</v>
          </cell>
        </row>
        <row r="346">
          <cell r="N346">
            <v>42871</v>
          </cell>
          <cell r="O346">
            <v>95.14</v>
          </cell>
        </row>
        <row r="347">
          <cell r="B347">
            <v>42872</v>
          </cell>
          <cell r="C347">
            <v>97.06</v>
          </cell>
        </row>
        <row r="347">
          <cell r="E347">
            <v>42846</v>
          </cell>
          <cell r="F347">
            <v>123.46</v>
          </cell>
        </row>
        <row r="347">
          <cell r="H347">
            <v>42846</v>
          </cell>
          <cell r="I347">
            <v>98.97</v>
          </cell>
        </row>
        <row r="347">
          <cell r="K347">
            <v>42846</v>
          </cell>
          <cell r="L347">
            <v>115.84</v>
          </cell>
        </row>
        <row r="347">
          <cell r="N347">
            <v>42872</v>
          </cell>
          <cell r="O347">
            <v>95.18</v>
          </cell>
        </row>
        <row r="348">
          <cell r="B348">
            <v>42873</v>
          </cell>
          <cell r="C348">
            <v>97.35</v>
          </cell>
        </row>
        <row r="348">
          <cell r="E348">
            <v>42849</v>
          </cell>
          <cell r="F348">
            <v>124.04</v>
          </cell>
        </row>
        <row r="348">
          <cell r="H348">
            <v>42849</v>
          </cell>
          <cell r="I348">
            <v>99.07</v>
          </cell>
        </row>
        <row r="348">
          <cell r="K348">
            <v>42849</v>
          </cell>
          <cell r="L348">
            <v>116.41</v>
          </cell>
        </row>
        <row r="348">
          <cell r="N348">
            <v>42873</v>
          </cell>
          <cell r="O348">
            <v>95.23</v>
          </cell>
        </row>
        <row r="349">
          <cell r="B349">
            <v>42874</v>
          </cell>
          <cell r="C349">
            <v>97.43</v>
          </cell>
        </row>
        <row r="349">
          <cell r="E349">
            <v>42850</v>
          </cell>
          <cell r="F349">
            <v>124.23</v>
          </cell>
        </row>
        <row r="349">
          <cell r="H349">
            <v>42850</v>
          </cell>
          <cell r="I349">
            <v>98.82</v>
          </cell>
        </row>
        <row r="349">
          <cell r="K349">
            <v>42850</v>
          </cell>
          <cell r="L349">
            <v>116.37</v>
          </cell>
        </row>
        <row r="349">
          <cell r="N349">
            <v>42874</v>
          </cell>
          <cell r="O349">
            <v>95.39</v>
          </cell>
        </row>
        <row r="350">
          <cell r="B350">
            <v>42877</v>
          </cell>
          <cell r="C350">
            <v>96.93</v>
          </cell>
        </row>
        <row r="350">
          <cell r="E350">
            <v>42851</v>
          </cell>
          <cell r="F350">
            <v>123.66</v>
          </cell>
        </row>
        <row r="350">
          <cell r="H350">
            <v>42851</v>
          </cell>
          <cell r="I350">
            <v>98.73</v>
          </cell>
        </row>
        <row r="350">
          <cell r="K350">
            <v>42851</v>
          </cell>
          <cell r="L350">
            <v>115.76</v>
          </cell>
        </row>
        <row r="350">
          <cell r="N350">
            <v>42877</v>
          </cell>
          <cell r="O350">
            <v>95.2</v>
          </cell>
        </row>
        <row r="351">
          <cell r="B351">
            <v>42878</v>
          </cell>
          <cell r="C351">
            <v>96.88</v>
          </cell>
        </row>
        <row r="351">
          <cell r="E351">
            <v>42852</v>
          </cell>
          <cell r="F351">
            <v>123.94</v>
          </cell>
        </row>
        <row r="351">
          <cell r="H351">
            <v>42852</v>
          </cell>
          <cell r="I351">
            <v>98.99</v>
          </cell>
        </row>
        <row r="351">
          <cell r="K351">
            <v>42852</v>
          </cell>
          <cell r="L351">
            <v>116.35</v>
          </cell>
        </row>
        <row r="351">
          <cell r="N351">
            <v>42878</v>
          </cell>
          <cell r="O351">
            <v>95.38</v>
          </cell>
        </row>
        <row r="352">
          <cell r="B352">
            <v>42879</v>
          </cell>
          <cell r="C352">
            <v>96.62</v>
          </cell>
        </row>
        <row r="352">
          <cell r="E352">
            <v>42853</v>
          </cell>
          <cell r="F352">
            <v>124.32</v>
          </cell>
        </row>
        <row r="352">
          <cell r="H352">
            <v>42853</v>
          </cell>
          <cell r="I352">
            <v>98.67</v>
          </cell>
        </row>
        <row r="352">
          <cell r="K352">
            <v>42853</v>
          </cell>
          <cell r="L352">
            <v>115.75</v>
          </cell>
        </row>
        <row r="352">
          <cell r="N352">
            <v>42879</v>
          </cell>
          <cell r="O352">
            <v>95.43</v>
          </cell>
        </row>
        <row r="353">
          <cell r="B353">
            <v>42880</v>
          </cell>
          <cell r="C353">
            <v>96.43</v>
          </cell>
        </row>
        <row r="353">
          <cell r="E353">
            <v>42856</v>
          </cell>
          <cell r="F353">
            <v>125.04</v>
          </cell>
        </row>
        <row r="353">
          <cell r="H353">
            <v>42856</v>
          </cell>
          <cell r="I353">
            <v>98.7</v>
          </cell>
        </row>
        <row r="353">
          <cell r="K353">
            <v>42856</v>
          </cell>
          <cell r="L353">
            <v>115.73</v>
          </cell>
        </row>
        <row r="353">
          <cell r="N353">
            <v>42880</v>
          </cell>
          <cell r="O353">
            <v>95.53</v>
          </cell>
        </row>
        <row r="354">
          <cell r="B354">
            <v>42881</v>
          </cell>
          <cell r="C354">
            <v>96.19</v>
          </cell>
        </row>
        <row r="354">
          <cell r="E354">
            <v>42857</v>
          </cell>
          <cell r="F354">
            <v>123.58</v>
          </cell>
        </row>
        <row r="354">
          <cell r="H354">
            <v>42857</v>
          </cell>
          <cell r="I354">
            <v>98.99</v>
          </cell>
        </row>
        <row r="354">
          <cell r="K354">
            <v>42857</v>
          </cell>
          <cell r="L354">
            <v>116.46</v>
          </cell>
        </row>
        <row r="354">
          <cell r="N354">
            <v>42881</v>
          </cell>
          <cell r="O354">
            <v>95.62</v>
          </cell>
        </row>
        <row r="355">
          <cell r="B355">
            <v>42885</v>
          </cell>
          <cell r="C355">
            <v>96.19</v>
          </cell>
        </row>
        <row r="355">
          <cell r="E355">
            <v>42858</v>
          </cell>
          <cell r="F355">
            <v>123.9</v>
          </cell>
        </row>
        <row r="355">
          <cell r="H355">
            <v>42858</v>
          </cell>
          <cell r="I355">
            <v>98.6</v>
          </cell>
        </row>
        <row r="355">
          <cell r="K355">
            <v>42858</v>
          </cell>
          <cell r="L355">
            <v>117.13</v>
          </cell>
        </row>
        <row r="355">
          <cell r="N355">
            <v>42885</v>
          </cell>
          <cell r="O355">
            <v>96.07</v>
          </cell>
        </row>
        <row r="356">
          <cell r="B356">
            <v>42886</v>
          </cell>
          <cell r="C356">
            <v>96.17</v>
          </cell>
        </row>
        <row r="356">
          <cell r="E356">
            <v>42859</v>
          </cell>
          <cell r="F356">
            <v>124.3</v>
          </cell>
        </row>
        <row r="356">
          <cell r="H356">
            <v>42859</v>
          </cell>
          <cell r="I356">
            <v>98.52</v>
          </cell>
        </row>
        <row r="356">
          <cell r="K356">
            <v>42859</v>
          </cell>
          <cell r="L356">
            <v>118.07</v>
          </cell>
        </row>
        <row r="356">
          <cell r="N356">
            <v>42886</v>
          </cell>
          <cell r="O356">
            <v>96.13</v>
          </cell>
        </row>
        <row r="357">
          <cell r="B357">
            <v>42887</v>
          </cell>
          <cell r="C357">
            <v>96.4</v>
          </cell>
        </row>
        <row r="357">
          <cell r="E357">
            <v>42860</v>
          </cell>
          <cell r="F357">
            <v>124.44</v>
          </cell>
        </row>
        <row r="357">
          <cell r="H357">
            <v>42860</v>
          </cell>
          <cell r="I357">
            <v>98.51</v>
          </cell>
        </row>
        <row r="357">
          <cell r="K357">
            <v>42860</v>
          </cell>
          <cell r="L357">
            <v>118.33</v>
          </cell>
        </row>
        <row r="357">
          <cell r="N357">
            <v>42887</v>
          </cell>
          <cell r="O357">
            <v>95.35</v>
          </cell>
        </row>
        <row r="358">
          <cell r="B358">
            <v>42888</v>
          </cell>
          <cell r="C358">
            <v>96.61</v>
          </cell>
        </row>
        <row r="358">
          <cell r="E358">
            <v>42863</v>
          </cell>
          <cell r="F358">
            <v>124.17</v>
          </cell>
        </row>
        <row r="358">
          <cell r="H358">
            <v>42863</v>
          </cell>
          <cell r="I358">
            <v>98.61</v>
          </cell>
        </row>
        <row r="358">
          <cell r="K358">
            <v>42863</v>
          </cell>
          <cell r="L358">
            <v>118.24</v>
          </cell>
        </row>
        <row r="358">
          <cell r="N358">
            <v>42888</v>
          </cell>
          <cell r="O358">
            <v>94.98</v>
          </cell>
        </row>
        <row r="359">
          <cell r="B359">
            <v>42891</v>
          </cell>
          <cell r="C359">
            <v>96.25</v>
          </cell>
        </row>
        <row r="359">
          <cell r="E359">
            <v>42864</v>
          </cell>
          <cell r="F359">
            <v>123.64</v>
          </cell>
        </row>
        <row r="359">
          <cell r="H359">
            <v>42864</v>
          </cell>
          <cell r="I359">
            <v>98.87</v>
          </cell>
        </row>
        <row r="359">
          <cell r="K359">
            <v>42864</v>
          </cell>
          <cell r="L359">
            <v>118.44</v>
          </cell>
        </row>
        <row r="359">
          <cell r="N359">
            <v>42891</v>
          </cell>
          <cell r="O359">
            <v>95.54</v>
          </cell>
        </row>
        <row r="360">
          <cell r="B360">
            <v>42892</v>
          </cell>
          <cell r="C360">
            <v>96.16</v>
          </cell>
        </row>
        <row r="360">
          <cell r="E360">
            <v>42865</v>
          </cell>
          <cell r="F360">
            <v>123.4</v>
          </cell>
        </row>
        <row r="360">
          <cell r="H360">
            <v>42865</v>
          </cell>
          <cell r="I360">
            <v>98.57</v>
          </cell>
        </row>
        <row r="360">
          <cell r="K360">
            <v>42865</v>
          </cell>
          <cell r="L360">
            <v>118.76</v>
          </cell>
        </row>
        <row r="360">
          <cell r="N360">
            <v>42892</v>
          </cell>
          <cell r="O360">
            <v>95.54</v>
          </cell>
        </row>
        <row r="361">
          <cell r="B361">
            <v>42893</v>
          </cell>
          <cell r="C361">
            <v>96.16</v>
          </cell>
        </row>
        <row r="361">
          <cell r="E361">
            <v>42866</v>
          </cell>
          <cell r="F361">
            <v>124.32</v>
          </cell>
        </row>
        <row r="361">
          <cell r="H361">
            <v>42866</v>
          </cell>
          <cell r="I361">
            <v>98.42</v>
          </cell>
        </row>
        <row r="361">
          <cell r="K361">
            <v>42866</v>
          </cell>
          <cell r="L361">
            <v>118.28</v>
          </cell>
        </row>
        <row r="361">
          <cell r="N361">
            <v>42893</v>
          </cell>
          <cell r="O361">
            <v>95.46</v>
          </cell>
        </row>
        <row r="362">
          <cell r="B362">
            <v>42894</v>
          </cell>
          <cell r="C362">
            <v>96</v>
          </cell>
        </row>
        <row r="362">
          <cell r="E362">
            <v>42867</v>
          </cell>
          <cell r="F362">
            <v>125.14</v>
          </cell>
        </row>
        <row r="362">
          <cell r="H362">
            <v>42867</v>
          </cell>
          <cell r="I362">
            <v>97.84</v>
          </cell>
        </row>
        <row r="362">
          <cell r="K362">
            <v>42867</v>
          </cell>
          <cell r="L362">
            <v>117.72</v>
          </cell>
        </row>
        <row r="362">
          <cell r="N362">
            <v>42894</v>
          </cell>
          <cell r="O362">
            <v>94.96</v>
          </cell>
        </row>
        <row r="363">
          <cell r="B363">
            <v>42895</v>
          </cell>
          <cell r="C363">
            <v>95.87</v>
          </cell>
        </row>
        <row r="363">
          <cell r="E363">
            <v>42870</v>
          </cell>
          <cell r="F363">
            <v>125.34</v>
          </cell>
        </row>
        <row r="363">
          <cell r="H363">
            <v>42870</v>
          </cell>
          <cell r="I363">
            <v>97.8</v>
          </cell>
        </row>
        <row r="363">
          <cell r="K363">
            <v>42870</v>
          </cell>
          <cell r="L363">
            <v>117.53</v>
          </cell>
        </row>
        <row r="363">
          <cell r="N363">
            <v>42895</v>
          </cell>
          <cell r="O363">
            <v>94.91</v>
          </cell>
        </row>
        <row r="364">
          <cell r="B364">
            <v>42898</v>
          </cell>
          <cell r="C364">
            <v>95.57</v>
          </cell>
        </row>
        <row r="364">
          <cell r="E364">
            <v>42871</v>
          </cell>
          <cell r="F364">
            <v>126.64</v>
          </cell>
        </row>
        <row r="364">
          <cell r="H364">
            <v>42871</v>
          </cell>
          <cell r="I364">
            <v>97.58</v>
          </cell>
        </row>
        <row r="364">
          <cell r="K364">
            <v>42871</v>
          </cell>
          <cell r="L364">
            <v>116.74</v>
          </cell>
        </row>
        <row r="364">
          <cell r="N364">
            <v>42898</v>
          </cell>
          <cell r="O364">
            <v>94.81</v>
          </cell>
        </row>
        <row r="365">
          <cell r="B365">
            <v>42899</v>
          </cell>
          <cell r="C365">
            <v>95.93</v>
          </cell>
        </row>
        <row r="365">
          <cell r="E365">
            <v>42872</v>
          </cell>
          <cell r="F365">
            <v>125.25</v>
          </cell>
        </row>
        <row r="365">
          <cell r="H365">
            <v>42872</v>
          </cell>
          <cell r="I365">
            <v>97.32</v>
          </cell>
        </row>
        <row r="365">
          <cell r="K365">
            <v>42872</v>
          </cell>
          <cell r="L365">
            <v>116.63</v>
          </cell>
        </row>
        <row r="365">
          <cell r="N365">
            <v>42899</v>
          </cell>
          <cell r="O365">
            <v>94.82</v>
          </cell>
        </row>
        <row r="366">
          <cell r="B366">
            <v>42900</v>
          </cell>
          <cell r="C366">
            <v>96.25</v>
          </cell>
        </row>
        <row r="366">
          <cell r="E366">
            <v>42873</v>
          </cell>
          <cell r="F366">
            <v>125.96</v>
          </cell>
        </row>
        <row r="366">
          <cell r="H366">
            <v>42873</v>
          </cell>
          <cell r="I366">
            <v>96.98</v>
          </cell>
        </row>
        <row r="366">
          <cell r="K366">
            <v>42873</v>
          </cell>
          <cell r="L366">
            <v>116.65</v>
          </cell>
        </row>
        <row r="366">
          <cell r="N366">
            <v>42900</v>
          </cell>
          <cell r="O366">
            <v>95.01</v>
          </cell>
        </row>
        <row r="367">
          <cell r="B367">
            <v>42901</v>
          </cell>
          <cell r="C367">
            <v>96.2</v>
          </cell>
        </row>
        <row r="367">
          <cell r="E367">
            <v>42874</v>
          </cell>
          <cell r="F367">
            <v>125.67</v>
          </cell>
        </row>
        <row r="367">
          <cell r="H367">
            <v>42874</v>
          </cell>
          <cell r="I367">
            <v>96.95</v>
          </cell>
        </row>
        <row r="367">
          <cell r="K367">
            <v>42874</v>
          </cell>
          <cell r="L367">
            <v>116.02</v>
          </cell>
        </row>
        <row r="367">
          <cell r="N367">
            <v>42901</v>
          </cell>
          <cell r="O367">
            <v>95.31</v>
          </cell>
        </row>
        <row r="368">
          <cell r="B368">
            <v>42902</v>
          </cell>
          <cell r="C368">
            <v>96.32</v>
          </cell>
        </row>
        <row r="368">
          <cell r="E368">
            <v>42877</v>
          </cell>
          <cell r="F368">
            <v>126.04</v>
          </cell>
        </row>
        <row r="368">
          <cell r="H368">
            <v>42877</v>
          </cell>
          <cell r="I368">
            <v>97.04</v>
          </cell>
        </row>
        <row r="368">
          <cell r="K368">
            <v>42877</v>
          </cell>
          <cell r="L368">
            <v>116.03</v>
          </cell>
        </row>
        <row r="368">
          <cell r="N368">
            <v>42902</v>
          </cell>
          <cell r="O368">
            <v>95.32</v>
          </cell>
        </row>
        <row r="369">
          <cell r="B369">
            <v>42905</v>
          </cell>
          <cell r="C369">
            <v>96.59</v>
          </cell>
        </row>
        <row r="369">
          <cell r="E369">
            <v>42878</v>
          </cell>
          <cell r="F369">
            <v>127.17</v>
          </cell>
        </row>
        <row r="369">
          <cell r="H369">
            <v>42878</v>
          </cell>
          <cell r="I369">
            <v>97.26</v>
          </cell>
        </row>
        <row r="369">
          <cell r="K369">
            <v>42878</v>
          </cell>
          <cell r="L369">
            <v>115.93</v>
          </cell>
        </row>
        <row r="369">
          <cell r="N369">
            <v>42905</v>
          </cell>
          <cell r="O369">
            <v>95.63</v>
          </cell>
        </row>
        <row r="370">
          <cell r="B370">
            <v>42906</v>
          </cell>
          <cell r="C370">
            <v>96.75</v>
          </cell>
        </row>
        <row r="370">
          <cell r="E370">
            <v>42879</v>
          </cell>
          <cell r="F370">
            <v>127.74</v>
          </cell>
        </row>
        <row r="370">
          <cell r="H370">
            <v>42879</v>
          </cell>
          <cell r="I370">
            <v>96.91</v>
          </cell>
        </row>
        <row r="370">
          <cell r="K370">
            <v>42879</v>
          </cell>
          <cell r="L370">
            <v>116.06</v>
          </cell>
        </row>
        <row r="370">
          <cell r="N370">
            <v>42906</v>
          </cell>
          <cell r="O370">
            <v>96.06</v>
          </cell>
        </row>
        <row r="371">
          <cell r="B371">
            <v>42907</v>
          </cell>
          <cell r="C371">
            <v>96.8</v>
          </cell>
        </row>
        <row r="371">
          <cell r="E371">
            <v>42880</v>
          </cell>
          <cell r="F371">
            <v>128.92</v>
          </cell>
        </row>
        <row r="371">
          <cell r="H371">
            <v>42880</v>
          </cell>
          <cell r="I371">
            <v>97.08</v>
          </cell>
        </row>
        <row r="371">
          <cell r="K371">
            <v>42880</v>
          </cell>
          <cell r="L371">
            <v>116.72</v>
          </cell>
        </row>
        <row r="371">
          <cell r="N371">
            <v>42907</v>
          </cell>
          <cell r="O371">
            <v>96.42</v>
          </cell>
        </row>
        <row r="372">
          <cell r="B372">
            <v>42908</v>
          </cell>
          <cell r="C372">
            <v>96.97</v>
          </cell>
        </row>
        <row r="372">
          <cell r="E372">
            <v>42881</v>
          </cell>
          <cell r="F372">
            <v>129.08</v>
          </cell>
        </row>
        <row r="372">
          <cell r="H372">
            <v>42881</v>
          </cell>
          <cell r="I372">
            <v>97.04</v>
          </cell>
        </row>
        <row r="372">
          <cell r="K372">
            <v>42881</v>
          </cell>
          <cell r="L372">
            <v>116.56</v>
          </cell>
        </row>
        <row r="372">
          <cell r="N372">
            <v>42908</v>
          </cell>
          <cell r="O372">
            <v>96.07</v>
          </cell>
        </row>
        <row r="373">
          <cell r="B373">
            <v>42909</v>
          </cell>
          <cell r="C373">
            <v>96.97</v>
          </cell>
        </row>
        <row r="373">
          <cell r="E373">
            <v>42884</v>
          </cell>
          <cell r="F373">
            <v>129.05</v>
          </cell>
        </row>
        <row r="373">
          <cell r="H373">
            <v>42884</v>
          </cell>
          <cell r="I373">
            <v>97.02</v>
          </cell>
        </row>
        <row r="373">
          <cell r="K373">
            <v>42884</v>
          </cell>
          <cell r="L373">
            <v>116.68</v>
          </cell>
        </row>
        <row r="373">
          <cell r="N373">
            <v>42909</v>
          </cell>
          <cell r="O373">
            <v>95.26</v>
          </cell>
        </row>
        <row r="374">
          <cell r="B374">
            <v>42912</v>
          </cell>
          <cell r="C374">
            <v>97.02</v>
          </cell>
        </row>
        <row r="374">
          <cell r="E374">
            <v>42885</v>
          </cell>
          <cell r="F374">
            <v>129.86</v>
          </cell>
        </row>
        <row r="374">
          <cell r="H374">
            <v>42885</v>
          </cell>
          <cell r="I374">
            <v>97.19</v>
          </cell>
        </row>
        <row r="374">
          <cell r="K374">
            <v>42885</v>
          </cell>
          <cell r="L374">
            <v>117.2</v>
          </cell>
        </row>
        <row r="374">
          <cell r="N374">
            <v>42912</v>
          </cell>
          <cell r="O374">
            <v>95.05</v>
          </cell>
        </row>
        <row r="375">
          <cell r="B375">
            <v>42913</v>
          </cell>
          <cell r="C375">
            <v>97.28</v>
          </cell>
        </row>
        <row r="375">
          <cell r="E375">
            <v>42886</v>
          </cell>
          <cell r="F375">
            <v>130.31</v>
          </cell>
        </row>
        <row r="375">
          <cell r="H375">
            <v>42886</v>
          </cell>
          <cell r="I375">
            <v>97</v>
          </cell>
        </row>
        <row r="375">
          <cell r="K375">
            <v>42886</v>
          </cell>
          <cell r="L375">
            <v>117.52</v>
          </cell>
        </row>
        <row r="375">
          <cell r="N375">
            <v>42913</v>
          </cell>
          <cell r="O375">
            <v>94.96</v>
          </cell>
        </row>
        <row r="376">
          <cell r="B376">
            <v>42914</v>
          </cell>
          <cell r="C376">
            <v>96.99</v>
          </cell>
        </row>
        <row r="376">
          <cell r="E376">
            <v>42887</v>
          </cell>
          <cell r="F376">
            <v>128.89</v>
          </cell>
        </row>
        <row r="376">
          <cell r="H376">
            <v>42887</v>
          </cell>
          <cell r="I376">
            <v>97.15</v>
          </cell>
        </row>
        <row r="376">
          <cell r="K376">
            <v>42887</v>
          </cell>
          <cell r="L376">
            <v>117.92</v>
          </cell>
        </row>
        <row r="376">
          <cell r="N376">
            <v>42914</v>
          </cell>
          <cell r="O376">
            <v>94.85</v>
          </cell>
        </row>
        <row r="377">
          <cell r="B377">
            <v>42915</v>
          </cell>
          <cell r="C377">
            <v>97</v>
          </cell>
        </row>
        <row r="377">
          <cell r="E377">
            <v>42888</v>
          </cell>
          <cell r="F377">
            <v>129.86</v>
          </cell>
        </row>
        <row r="377">
          <cell r="H377">
            <v>42888</v>
          </cell>
          <cell r="I377">
            <v>96.8</v>
          </cell>
        </row>
        <row r="377">
          <cell r="K377">
            <v>42888</v>
          </cell>
          <cell r="L377">
            <v>118.44</v>
          </cell>
        </row>
        <row r="377">
          <cell r="N377">
            <v>42915</v>
          </cell>
          <cell r="O377">
            <v>94.97</v>
          </cell>
        </row>
        <row r="378">
          <cell r="B378">
            <v>42916</v>
          </cell>
          <cell r="C378">
            <v>96.95</v>
          </cell>
        </row>
        <row r="378">
          <cell r="E378">
            <v>42891</v>
          </cell>
          <cell r="F378">
            <v>129.51</v>
          </cell>
        </row>
        <row r="378">
          <cell r="H378">
            <v>42891</v>
          </cell>
          <cell r="I378">
            <v>96.65</v>
          </cell>
        </row>
        <row r="378">
          <cell r="K378">
            <v>42891</v>
          </cell>
          <cell r="L378">
            <v>118.91</v>
          </cell>
        </row>
        <row r="378">
          <cell r="N378">
            <v>42916</v>
          </cell>
          <cell r="O378">
            <v>95.26</v>
          </cell>
        </row>
        <row r="379">
          <cell r="B379">
            <v>42919</v>
          </cell>
          <cell r="C379">
            <v>96.74</v>
          </cell>
        </row>
        <row r="379">
          <cell r="E379">
            <v>42892</v>
          </cell>
          <cell r="F379">
            <v>129.52</v>
          </cell>
        </row>
        <row r="379">
          <cell r="H379">
            <v>42892</v>
          </cell>
          <cell r="I379">
            <v>96.38</v>
          </cell>
        </row>
        <row r="379">
          <cell r="K379">
            <v>42892</v>
          </cell>
          <cell r="L379">
            <v>117.47</v>
          </cell>
        </row>
        <row r="379">
          <cell r="N379">
            <v>42919</v>
          </cell>
          <cell r="O379">
            <v>95.05</v>
          </cell>
        </row>
        <row r="380">
          <cell r="B380">
            <v>42921</v>
          </cell>
          <cell r="C380">
            <v>96.76</v>
          </cell>
        </row>
        <row r="380">
          <cell r="E380">
            <v>42893</v>
          </cell>
          <cell r="F380">
            <v>130.09</v>
          </cell>
        </row>
        <row r="380">
          <cell r="H380">
            <v>42893</v>
          </cell>
          <cell r="I380">
            <v>97.01</v>
          </cell>
        </row>
        <row r="380">
          <cell r="K380">
            <v>42893</v>
          </cell>
          <cell r="L380">
            <v>117.79</v>
          </cell>
        </row>
        <row r="380">
          <cell r="N380">
            <v>42921</v>
          </cell>
          <cell r="O380">
            <v>95.5</v>
          </cell>
        </row>
        <row r="381">
          <cell r="B381">
            <v>42922</v>
          </cell>
          <cell r="C381">
            <v>96.67</v>
          </cell>
        </row>
        <row r="381">
          <cell r="E381">
            <v>42894</v>
          </cell>
          <cell r="F381">
            <v>130.52</v>
          </cell>
        </row>
        <row r="381">
          <cell r="H381">
            <v>42894</v>
          </cell>
          <cell r="I381">
            <v>97.41</v>
          </cell>
        </row>
        <row r="381">
          <cell r="K381">
            <v>42894</v>
          </cell>
          <cell r="L381">
            <v>118.14</v>
          </cell>
        </row>
        <row r="381">
          <cell r="N381">
            <v>42922</v>
          </cell>
          <cell r="O381">
            <v>96</v>
          </cell>
        </row>
        <row r="382">
          <cell r="B382">
            <v>42923</v>
          </cell>
          <cell r="C382">
            <v>96.75</v>
          </cell>
        </row>
        <row r="382">
          <cell r="E382">
            <v>42895</v>
          </cell>
          <cell r="F382">
            <v>128.31</v>
          </cell>
        </row>
        <row r="382">
          <cell r="H382">
            <v>42895</v>
          </cell>
          <cell r="I382">
            <v>98.39</v>
          </cell>
        </row>
        <row r="382">
          <cell r="K382">
            <v>42895</v>
          </cell>
          <cell r="L382">
            <v>118.46</v>
          </cell>
        </row>
        <row r="382">
          <cell r="N382">
            <v>42923</v>
          </cell>
          <cell r="O382">
            <v>95.61</v>
          </cell>
        </row>
        <row r="383">
          <cell r="B383">
            <v>42926</v>
          </cell>
          <cell r="C383">
            <v>96.96</v>
          </cell>
        </row>
        <row r="383">
          <cell r="E383">
            <v>42898</v>
          </cell>
          <cell r="F383">
            <v>126.93</v>
          </cell>
        </row>
        <row r="383">
          <cell r="H383">
            <v>42898</v>
          </cell>
          <cell r="I383">
            <v>98.8</v>
          </cell>
        </row>
        <row r="383">
          <cell r="K383">
            <v>42898</v>
          </cell>
          <cell r="L383">
            <v>118.74</v>
          </cell>
        </row>
        <row r="383">
          <cell r="N383">
            <v>42926</v>
          </cell>
          <cell r="O383">
            <v>96.23</v>
          </cell>
        </row>
        <row r="384">
          <cell r="B384">
            <v>42927</v>
          </cell>
          <cell r="C384">
            <v>96.84</v>
          </cell>
        </row>
        <row r="384">
          <cell r="E384">
            <v>42899</v>
          </cell>
          <cell r="F384">
            <v>126.75</v>
          </cell>
        </row>
        <row r="384">
          <cell r="H384">
            <v>42899</v>
          </cell>
          <cell r="I384">
            <v>98.41</v>
          </cell>
        </row>
        <row r="384">
          <cell r="K384">
            <v>42899</v>
          </cell>
          <cell r="L384">
            <v>118.05</v>
          </cell>
        </row>
        <row r="384">
          <cell r="N384">
            <v>42927</v>
          </cell>
          <cell r="O384">
            <v>96.05</v>
          </cell>
        </row>
        <row r="385">
          <cell r="B385">
            <v>42928</v>
          </cell>
          <cell r="C385">
            <v>97.31</v>
          </cell>
        </row>
        <row r="385">
          <cell r="E385">
            <v>42900</v>
          </cell>
          <cell r="F385">
            <v>126.9</v>
          </cell>
        </row>
        <row r="385">
          <cell r="H385">
            <v>42900</v>
          </cell>
          <cell r="I385">
            <v>98.33</v>
          </cell>
        </row>
        <row r="385">
          <cell r="K385">
            <v>42900</v>
          </cell>
          <cell r="L385">
            <v>118.79</v>
          </cell>
        </row>
        <row r="385">
          <cell r="N385">
            <v>42928</v>
          </cell>
          <cell r="O385">
            <v>96.11</v>
          </cell>
        </row>
        <row r="386">
          <cell r="B386">
            <v>42929</v>
          </cell>
          <cell r="C386">
            <v>97</v>
          </cell>
        </row>
        <row r="386">
          <cell r="E386">
            <v>42901</v>
          </cell>
          <cell r="F386">
            <v>127.49</v>
          </cell>
        </row>
        <row r="386">
          <cell r="H386">
            <v>42901</v>
          </cell>
          <cell r="I386">
            <v>98.33</v>
          </cell>
        </row>
        <row r="386">
          <cell r="K386">
            <v>42901</v>
          </cell>
          <cell r="L386">
            <v>119.08</v>
          </cell>
        </row>
        <row r="386">
          <cell r="N386">
            <v>42929</v>
          </cell>
          <cell r="O386">
            <v>96.22</v>
          </cell>
        </row>
        <row r="387">
          <cell r="B387">
            <v>42930</v>
          </cell>
          <cell r="C387">
            <v>96.91</v>
          </cell>
        </row>
        <row r="387">
          <cell r="E387">
            <v>42902</v>
          </cell>
          <cell r="F387">
            <v>127.83</v>
          </cell>
        </row>
        <row r="387">
          <cell r="H387">
            <v>42902</v>
          </cell>
          <cell r="I387">
            <v>98.19</v>
          </cell>
        </row>
        <row r="387">
          <cell r="K387">
            <v>42902</v>
          </cell>
          <cell r="L387">
            <v>119.54</v>
          </cell>
        </row>
        <row r="387">
          <cell r="N387">
            <v>42930</v>
          </cell>
          <cell r="O387">
            <v>96.39</v>
          </cell>
        </row>
        <row r="388">
          <cell r="B388">
            <v>42933</v>
          </cell>
          <cell r="C388">
            <v>96.99</v>
          </cell>
        </row>
        <row r="388">
          <cell r="E388">
            <v>42905</v>
          </cell>
          <cell r="F388">
            <v>128.83</v>
          </cell>
        </row>
        <row r="388">
          <cell r="H388">
            <v>42905</v>
          </cell>
          <cell r="I388">
            <v>98.77</v>
          </cell>
        </row>
        <row r="388">
          <cell r="K388">
            <v>42905</v>
          </cell>
          <cell r="L388">
            <v>120.06</v>
          </cell>
        </row>
        <row r="388">
          <cell r="N388">
            <v>42933</v>
          </cell>
          <cell r="O388">
            <v>96.07</v>
          </cell>
        </row>
        <row r="389">
          <cell r="B389">
            <v>42934</v>
          </cell>
          <cell r="C389">
            <v>97.38</v>
          </cell>
        </row>
        <row r="389">
          <cell r="E389">
            <v>42906</v>
          </cell>
          <cell r="F389">
            <v>129.34</v>
          </cell>
        </row>
        <row r="389">
          <cell r="H389">
            <v>42906</v>
          </cell>
          <cell r="I389">
            <v>98.36</v>
          </cell>
        </row>
        <row r="389">
          <cell r="K389">
            <v>42906</v>
          </cell>
          <cell r="L389">
            <v>119.81</v>
          </cell>
        </row>
        <row r="389">
          <cell r="N389">
            <v>42934</v>
          </cell>
          <cell r="O389">
            <v>96.37</v>
          </cell>
        </row>
        <row r="390">
          <cell r="B390">
            <v>42935</v>
          </cell>
          <cell r="C390">
            <v>97.53</v>
          </cell>
        </row>
        <row r="390">
          <cell r="E390">
            <v>42907</v>
          </cell>
          <cell r="F390">
            <v>130.08</v>
          </cell>
        </row>
        <row r="390">
          <cell r="H390">
            <v>42907</v>
          </cell>
          <cell r="I390">
            <v>98.84</v>
          </cell>
        </row>
        <row r="390">
          <cell r="K390">
            <v>42907</v>
          </cell>
          <cell r="L390">
            <v>119.15</v>
          </cell>
        </row>
        <row r="390">
          <cell r="N390">
            <v>42935</v>
          </cell>
          <cell r="O390">
            <v>96.23</v>
          </cell>
        </row>
        <row r="391">
          <cell r="B391">
            <v>42936</v>
          </cell>
          <cell r="C391">
            <v>97.24</v>
          </cell>
        </row>
        <row r="391">
          <cell r="E391">
            <v>42908</v>
          </cell>
          <cell r="F391">
            <v>129.14</v>
          </cell>
        </row>
        <row r="391">
          <cell r="H391">
            <v>42908</v>
          </cell>
          <cell r="I391">
            <v>99.16</v>
          </cell>
        </row>
        <row r="391">
          <cell r="K391">
            <v>42908</v>
          </cell>
          <cell r="L391">
            <v>118.64</v>
          </cell>
        </row>
        <row r="391">
          <cell r="N391">
            <v>42936</v>
          </cell>
          <cell r="O391">
            <v>95.94</v>
          </cell>
        </row>
        <row r="392">
          <cell r="B392">
            <v>42937</v>
          </cell>
          <cell r="C392">
            <v>97.04</v>
          </cell>
        </row>
        <row r="392">
          <cell r="E392">
            <v>42909</v>
          </cell>
          <cell r="F392">
            <v>128.4</v>
          </cell>
        </row>
        <row r="392">
          <cell r="H392">
            <v>42909</v>
          </cell>
          <cell r="I392">
            <v>99.45</v>
          </cell>
        </row>
        <row r="392">
          <cell r="K392">
            <v>42909</v>
          </cell>
          <cell r="L392">
            <v>118.38</v>
          </cell>
        </row>
        <row r="392">
          <cell r="N392">
            <v>42937</v>
          </cell>
          <cell r="O392">
            <v>96.35</v>
          </cell>
        </row>
        <row r="393">
          <cell r="B393">
            <v>42940</v>
          </cell>
          <cell r="C393">
            <v>97.1</v>
          </cell>
        </row>
        <row r="393">
          <cell r="E393">
            <v>42912</v>
          </cell>
          <cell r="F393">
            <v>127.34</v>
          </cell>
        </row>
        <row r="393">
          <cell r="H393">
            <v>42912</v>
          </cell>
          <cell r="I393">
            <v>99.87</v>
          </cell>
        </row>
        <row r="393">
          <cell r="K393">
            <v>42912</v>
          </cell>
          <cell r="L393">
            <v>118.7</v>
          </cell>
        </row>
        <row r="393">
          <cell r="N393">
            <v>42940</v>
          </cell>
          <cell r="O393">
            <v>96.45</v>
          </cell>
        </row>
        <row r="394">
          <cell r="B394">
            <v>42941</v>
          </cell>
          <cell r="C394">
            <v>96.87</v>
          </cell>
        </row>
        <row r="394">
          <cell r="E394">
            <v>42913</v>
          </cell>
          <cell r="F394">
            <v>126.51</v>
          </cell>
        </row>
        <row r="394">
          <cell r="H394">
            <v>42913</v>
          </cell>
          <cell r="I394">
            <v>100.26</v>
          </cell>
        </row>
        <row r="394">
          <cell r="K394">
            <v>42913</v>
          </cell>
          <cell r="L394">
            <v>119.08</v>
          </cell>
        </row>
        <row r="394">
          <cell r="N394">
            <v>42941</v>
          </cell>
          <cell r="O394">
            <v>95.96</v>
          </cell>
        </row>
        <row r="395">
          <cell r="B395">
            <v>42942</v>
          </cell>
          <cell r="C395">
            <v>97.19</v>
          </cell>
        </row>
        <row r="395">
          <cell r="E395">
            <v>42914</v>
          </cell>
          <cell r="F395">
            <v>126.57</v>
          </cell>
        </row>
        <row r="395">
          <cell r="H395">
            <v>42914</v>
          </cell>
          <cell r="I395">
            <v>100.22</v>
          </cell>
        </row>
        <row r="395">
          <cell r="K395">
            <v>42914</v>
          </cell>
          <cell r="L395">
            <v>119.05</v>
          </cell>
        </row>
        <row r="395">
          <cell r="N395">
            <v>42942</v>
          </cell>
          <cell r="O395">
            <v>96.01</v>
          </cell>
        </row>
        <row r="396">
          <cell r="B396">
            <v>42943</v>
          </cell>
          <cell r="C396">
            <v>97.32</v>
          </cell>
        </row>
        <row r="396">
          <cell r="E396">
            <v>42915</v>
          </cell>
          <cell r="F396">
            <v>125.48</v>
          </cell>
        </row>
        <row r="396">
          <cell r="H396">
            <v>42915</v>
          </cell>
          <cell r="I396">
            <v>99.9</v>
          </cell>
        </row>
        <row r="396">
          <cell r="K396">
            <v>42915</v>
          </cell>
          <cell r="L396">
            <v>119.08</v>
          </cell>
        </row>
        <row r="396">
          <cell r="N396">
            <v>42943</v>
          </cell>
          <cell r="O396">
            <v>96.22</v>
          </cell>
        </row>
        <row r="397">
          <cell r="B397">
            <v>42944</v>
          </cell>
          <cell r="C397">
            <v>97.68</v>
          </cell>
        </row>
        <row r="397">
          <cell r="E397">
            <v>42916</v>
          </cell>
          <cell r="F397">
            <v>125.38</v>
          </cell>
        </row>
        <row r="397">
          <cell r="H397">
            <v>42916</v>
          </cell>
          <cell r="I397">
            <v>99.73</v>
          </cell>
        </row>
        <row r="397">
          <cell r="K397">
            <v>42916</v>
          </cell>
          <cell r="L397">
            <v>119.32</v>
          </cell>
        </row>
        <row r="397">
          <cell r="N397">
            <v>42944</v>
          </cell>
          <cell r="O397">
            <v>96.99</v>
          </cell>
        </row>
        <row r="398">
          <cell r="B398">
            <v>42947</v>
          </cell>
          <cell r="C398">
            <v>97.24</v>
          </cell>
        </row>
        <row r="398">
          <cell r="E398">
            <v>42919</v>
          </cell>
          <cell r="F398">
            <v>124.39</v>
          </cell>
        </row>
        <row r="398">
          <cell r="H398">
            <v>42919</v>
          </cell>
          <cell r="I398">
            <v>99.84</v>
          </cell>
        </row>
        <row r="398">
          <cell r="K398">
            <v>42919</v>
          </cell>
          <cell r="L398">
            <v>119.69</v>
          </cell>
        </row>
        <row r="398">
          <cell r="N398">
            <v>42947</v>
          </cell>
          <cell r="O398">
            <v>97</v>
          </cell>
        </row>
        <row r="399">
          <cell r="B399">
            <v>42948</v>
          </cell>
          <cell r="C399">
            <v>97.23</v>
          </cell>
        </row>
        <row r="399">
          <cell r="E399">
            <v>42920</v>
          </cell>
          <cell r="F399">
            <v>124.39</v>
          </cell>
        </row>
        <row r="399">
          <cell r="H399">
            <v>42920</v>
          </cell>
          <cell r="I399">
            <v>99.84</v>
          </cell>
        </row>
        <row r="399">
          <cell r="K399">
            <v>42920</v>
          </cell>
          <cell r="L399">
            <v>119.84</v>
          </cell>
        </row>
        <row r="399">
          <cell r="N399">
            <v>42948</v>
          </cell>
          <cell r="O399">
            <v>96.93</v>
          </cell>
        </row>
        <row r="400">
          <cell r="B400">
            <v>42949</v>
          </cell>
          <cell r="C400">
            <v>97.44</v>
          </cell>
        </row>
        <row r="400">
          <cell r="E400">
            <v>42921</v>
          </cell>
          <cell r="F400">
            <v>126.03</v>
          </cell>
        </row>
        <row r="400">
          <cell r="H400">
            <v>42921</v>
          </cell>
          <cell r="I400">
            <v>100.56</v>
          </cell>
        </row>
        <row r="400">
          <cell r="K400">
            <v>42921</v>
          </cell>
          <cell r="L400">
            <v>119.39</v>
          </cell>
        </row>
        <row r="400">
          <cell r="N400">
            <v>42949</v>
          </cell>
          <cell r="O400">
            <v>98.04</v>
          </cell>
        </row>
        <row r="401">
          <cell r="B401">
            <v>42950</v>
          </cell>
          <cell r="C401">
            <v>97.61</v>
          </cell>
        </row>
        <row r="401">
          <cell r="E401">
            <v>42922</v>
          </cell>
          <cell r="F401">
            <v>127.38</v>
          </cell>
        </row>
        <row r="401">
          <cell r="H401">
            <v>42922</v>
          </cell>
          <cell r="I401">
            <v>100.93</v>
          </cell>
        </row>
        <row r="401">
          <cell r="K401">
            <v>42922</v>
          </cell>
          <cell r="L401">
            <v>119.68</v>
          </cell>
        </row>
        <row r="401">
          <cell r="N401">
            <v>42950</v>
          </cell>
          <cell r="O401">
            <v>98.08</v>
          </cell>
        </row>
        <row r="402">
          <cell r="B402">
            <v>42951</v>
          </cell>
          <cell r="C402">
            <v>97.67</v>
          </cell>
        </row>
        <row r="402">
          <cell r="E402">
            <v>42923</v>
          </cell>
          <cell r="F402">
            <v>127.96</v>
          </cell>
        </row>
        <row r="402">
          <cell r="H402">
            <v>42923</v>
          </cell>
          <cell r="I402">
            <v>101.08</v>
          </cell>
        </row>
        <row r="402">
          <cell r="K402">
            <v>42923</v>
          </cell>
          <cell r="L402">
            <v>120.28</v>
          </cell>
        </row>
        <row r="402">
          <cell r="N402">
            <v>42951</v>
          </cell>
          <cell r="O402">
            <v>97.85</v>
          </cell>
        </row>
        <row r="403">
          <cell r="B403">
            <v>42954</v>
          </cell>
          <cell r="C403">
            <v>97.82</v>
          </cell>
        </row>
        <row r="403">
          <cell r="E403">
            <v>42926</v>
          </cell>
          <cell r="F403">
            <v>128.19</v>
          </cell>
        </row>
        <row r="403">
          <cell r="H403">
            <v>42926</v>
          </cell>
          <cell r="I403">
            <v>100.96</v>
          </cell>
        </row>
        <row r="403">
          <cell r="K403">
            <v>42926</v>
          </cell>
          <cell r="L403">
            <v>119.48</v>
          </cell>
        </row>
        <row r="403">
          <cell r="N403">
            <v>42954</v>
          </cell>
          <cell r="O403">
            <v>97.47</v>
          </cell>
        </row>
        <row r="404">
          <cell r="B404">
            <v>42955</v>
          </cell>
          <cell r="C404">
            <v>97.28</v>
          </cell>
        </row>
        <row r="404">
          <cell r="E404">
            <v>42927</v>
          </cell>
          <cell r="F404">
            <v>128.5</v>
          </cell>
        </row>
        <row r="404">
          <cell r="H404">
            <v>42927</v>
          </cell>
          <cell r="I404">
            <v>101</v>
          </cell>
        </row>
        <row r="404">
          <cell r="K404">
            <v>42927</v>
          </cell>
          <cell r="L404">
            <v>118.94</v>
          </cell>
        </row>
        <row r="404">
          <cell r="N404">
            <v>42955</v>
          </cell>
          <cell r="O404">
            <v>97.44</v>
          </cell>
        </row>
        <row r="405">
          <cell r="B405">
            <v>42956</v>
          </cell>
          <cell r="C405">
            <v>97.01</v>
          </cell>
        </row>
        <row r="405">
          <cell r="E405">
            <v>42928</v>
          </cell>
          <cell r="F405">
            <v>129.2</v>
          </cell>
        </row>
        <row r="405">
          <cell r="H405">
            <v>42928</v>
          </cell>
          <cell r="I405">
            <v>100.97</v>
          </cell>
        </row>
        <row r="405">
          <cell r="K405">
            <v>42928</v>
          </cell>
          <cell r="L405">
            <v>118.99</v>
          </cell>
        </row>
        <row r="405">
          <cell r="N405">
            <v>42956</v>
          </cell>
          <cell r="O405">
            <v>98.15</v>
          </cell>
        </row>
        <row r="406">
          <cell r="B406">
            <v>42957</v>
          </cell>
          <cell r="C406">
            <v>97.09</v>
          </cell>
        </row>
        <row r="406">
          <cell r="E406">
            <v>42929</v>
          </cell>
          <cell r="F406">
            <v>128.13</v>
          </cell>
        </row>
        <row r="406">
          <cell r="H406">
            <v>42929</v>
          </cell>
          <cell r="I406">
            <v>101.32</v>
          </cell>
        </row>
        <row r="406">
          <cell r="K406">
            <v>42929</v>
          </cell>
          <cell r="L406">
            <v>118.85</v>
          </cell>
        </row>
        <row r="406">
          <cell r="N406">
            <v>42957</v>
          </cell>
          <cell r="O406">
            <v>97.97</v>
          </cell>
        </row>
        <row r="407">
          <cell r="B407">
            <v>42958</v>
          </cell>
          <cell r="C407">
            <v>97.18</v>
          </cell>
        </row>
        <row r="407">
          <cell r="E407">
            <v>42930</v>
          </cell>
          <cell r="F407">
            <v>128.18</v>
          </cell>
        </row>
        <row r="407">
          <cell r="H407">
            <v>42930</v>
          </cell>
          <cell r="I407">
            <v>101.4</v>
          </cell>
        </row>
        <row r="407">
          <cell r="K407">
            <v>42930</v>
          </cell>
          <cell r="L407">
            <v>118.99</v>
          </cell>
        </row>
        <row r="407">
          <cell r="N407">
            <v>42958</v>
          </cell>
          <cell r="O407">
            <v>97.63</v>
          </cell>
        </row>
        <row r="408">
          <cell r="B408">
            <v>42961</v>
          </cell>
          <cell r="C408">
            <v>97.19</v>
          </cell>
        </row>
        <row r="408">
          <cell r="E408">
            <v>42933</v>
          </cell>
          <cell r="F408">
            <v>127.81</v>
          </cell>
        </row>
        <row r="408">
          <cell r="H408">
            <v>42933</v>
          </cell>
          <cell r="I408">
            <v>101.75</v>
          </cell>
        </row>
        <row r="408">
          <cell r="K408">
            <v>42933</v>
          </cell>
          <cell r="L408">
            <v>118.65</v>
          </cell>
        </row>
        <row r="408">
          <cell r="N408">
            <v>42961</v>
          </cell>
          <cell r="O408">
            <v>97.64</v>
          </cell>
        </row>
        <row r="409">
          <cell r="B409">
            <v>42962</v>
          </cell>
          <cell r="C409">
            <v>97.45</v>
          </cell>
        </row>
        <row r="409">
          <cell r="E409">
            <v>42934</v>
          </cell>
          <cell r="F409">
            <v>128.4</v>
          </cell>
        </row>
        <row r="409">
          <cell r="H409">
            <v>42934</v>
          </cell>
          <cell r="I409">
            <v>101.5</v>
          </cell>
        </row>
        <row r="409">
          <cell r="K409">
            <v>42934</v>
          </cell>
          <cell r="L409">
            <v>119.11</v>
          </cell>
        </row>
        <row r="409">
          <cell r="N409">
            <v>42962</v>
          </cell>
          <cell r="O409">
            <v>98.35</v>
          </cell>
        </row>
        <row r="410">
          <cell r="B410">
            <v>42963</v>
          </cell>
          <cell r="C410">
            <v>97.49</v>
          </cell>
        </row>
        <row r="410">
          <cell r="E410">
            <v>42935</v>
          </cell>
          <cell r="F410">
            <v>127.68</v>
          </cell>
        </row>
        <row r="410">
          <cell r="H410">
            <v>42935</v>
          </cell>
          <cell r="I410">
            <v>101.29</v>
          </cell>
        </row>
        <row r="410">
          <cell r="K410">
            <v>42935</v>
          </cell>
          <cell r="L410">
            <v>118.78</v>
          </cell>
        </row>
        <row r="410">
          <cell r="N410">
            <v>42963</v>
          </cell>
          <cell r="O410">
            <v>98.42</v>
          </cell>
        </row>
        <row r="411">
          <cell r="B411">
            <v>42964</v>
          </cell>
          <cell r="C411">
            <v>97.27</v>
          </cell>
        </row>
        <row r="411">
          <cell r="E411">
            <v>42936</v>
          </cell>
          <cell r="F411">
            <v>127.52</v>
          </cell>
        </row>
        <row r="411">
          <cell r="H411">
            <v>42936</v>
          </cell>
          <cell r="I411">
            <v>101.88</v>
          </cell>
        </row>
        <row r="411">
          <cell r="K411">
            <v>42936</v>
          </cell>
          <cell r="L411">
            <v>118.52</v>
          </cell>
        </row>
        <row r="411">
          <cell r="N411">
            <v>42964</v>
          </cell>
          <cell r="O411">
            <v>98.25</v>
          </cell>
        </row>
        <row r="412">
          <cell r="B412">
            <v>42965</v>
          </cell>
          <cell r="C412">
            <v>97.31</v>
          </cell>
        </row>
        <row r="412">
          <cell r="E412">
            <v>42937</v>
          </cell>
          <cell r="F412">
            <v>127.62</v>
          </cell>
        </row>
        <row r="412">
          <cell r="H412">
            <v>42937</v>
          </cell>
          <cell r="I412">
            <v>101.51</v>
          </cell>
        </row>
        <row r="412">
          <cell r="K412">
            <v>42937</v>
          </cell>
          <cell r="L412">
            <v>118.43</v>
          </cell>
        </row>
        <row r="412">
          <cell r="N412">
            <v>42965</v>
          </cell>
          <cell r="O412">
            <v>98.15</v>
          </cell>
        </row>
        <row r="413">
          <cell r="B413">
            <v>42968</v>
          </cell>
          <cell r="C413">
            <v>97.45</v>
          </cell>
        </row>
        <row r="413">
          <cell r="E413">
            <v>42940</v>
          </cell>
          <cell r="F413">
            <v>128.59</v>
          </cell>
        </row>
        <row r="413">
          <cell r="H413">
            <v>42940</v>
          </cell>
          <cell r="I413">
            <v>101.17</v>
          </cell>
        </row>
        <row r="413">
          <cell r="K413">
            <v>42940</v>
          </cell>
          <cell r="L413">
            <v>118.84</v>
          </cell>
        </row>
        <row r="413">
          <cell r="N413">
            <v>42968</v>
          </cell>
          <cell r="O413">
            <v>98.36</v>
          </cell>
        </row>
        <row r="414">
          <cell r="B414">
            <v>42969</v>
          </cell>
          <cell r="C414">
            <v>97.56</v>
          </cell>
        </row>
        <row r="414">
          <cell r="E414">
            <v>42941</v>
          </cell>
          <cell r="F414">
            <v>126.59</v>
          </cell>
        </row>
        <row r="414">
          <cell r="H414">
            <v>42941</v>
          </cell>
          <cell r="I414">
            <v>100.88</v>
          </cell>
        </row>
        <row r="414">
          <cell r="K414">
            <v>42941</v>
          </cell>
          <cell r="L414">
            <v>118.02</v>
          </cell>
        </row>
        <row r="414">
          <cell r="N414">
            <v>42969</v>
          </cell>
          <cell r="O414">
            <v>98.6</v>
          </cell>
        </row>
        <row r="415">
          <cell r="B415">
            <v>42970</v>
          </cell>
          <cell r="C415">
            <v>97.47</v>
          </cell>
        </row>
        <row r="415">
          <cell r="E415">
            <v>42942</v>
          </cell>
          <cell r="F415">
            <v>127.12</v>
          </cell>
        </row>
        <row r="415">
          <cell r="H415">
            <v>42942</v>
          </cell>
          <cell r="I415">
            <v>100.56</v>
          </cell>
        </row>
        <row r="415">
          <cell r="K415">
            <v>42942</v>
          </cell>
          <cell r="L415">
            <v>117.7</v>
          </cell>
        </row>
        <row r="415">
          <cell r="N415">
            <v>42970</v>
          </cell>
          <cell r="O415">
            <v>98.48</v>
          </cell>
        </row>
        <row r="416">
          <cell r="B416">
            <v>42971</v>
          </cell>
          <cell r="C416">
            <v>97.37</v>
          </cell>
        </row>
        <row r="416">
          <cell r="E416">
            <v>42943</v>
          </cell>
          <cell r="F416">
            <v>125.89</v>
          </cell>
        </row>
        <row r="416">
          <cell r="H416">
            <v>42943</v>
          </cell>
          <cell r="I416">
            <v>100.83</v>
          </cell>
        </row>
        <row r="416">
          <cell r="K416">
            <v>42943</v>
          </cell>
          <cell r="L416">
            <v>117.62</v>
          </cell>
        </row>
        <row r="416">
          <cell r="N416">
            <v>42971</v>
          </cell>
          <cell r="O416">
            <v>98.21</v>
          </cell>
        </row>
        <row r="417">
          <cell r="B417">
            <v>42972</v>
          </cell>
          <cell r="C417">
            <v>97.15</v>
          </cell>
        </row>
        <row r="417">
          <cell r="E417">
            <v>42944</v>
          </cell>
          <cell r="F417">
            <v>126.6</v>
          </cell>
        </row>
        <row r="417">
          <cell r="H417">
            <v>42944</v>
          </cell>
          <cell r="I417">
            <v>100.36</v>
          </cell>
        </row>
        <row r="417">
          <cell r="K417">
            <v>42944</v>
          </cell>
          <cell r="L417">
            <v>117.55</v>
          </cell>
        </row>
        <row r="417">
          <cell r="N417">
            <v>42972</v>
          </cell>
          <cell r="O417">
            <v>98.1</v>
          </cell>
        </row>
        <row r="418">
          <cell r="B418">
            <v>42975</v>
          </cell>
          <cell r="C418">
            <v>96.96</v>
          </cell>
        </row>
        <row r="418">
          <cell r="E418">
            <v>42947</v>
          </cell>
          <cell r="F418">
            <v>126.08</v>
          </cell>
        </row>
        <row r="418">
          <cell r="H418">
            <v>42947</v>
          </cell>
          <cell r="I418">
            <v>100.28</v>
          </cell>
        </row>
        <row r="418">
          <cell r="K418">
            <v>42947</v>
          </cell>
          <cell r="L418">
            <v>117.85</v>
          </cell>
        </row>
        <row r="418">
          <cell r="N418">
            <v>42975</v>
          </cell>
          <cell r="O418">
            <v>97.9</v>
          </cell>
        </row>
        <row r="419">
          <cell r="B419">
            <v>42976</v>
          </cell>
          <cell r="C419">
            <v>97.23</v>
          </cell>
        </row>
        <row r="419">
          <cell r="E419">
            <v>42948</v>
          </cell>
          <cell r="F419">
            <v>127.25</v>
          </cell>
        </row>
        <row r="419">
          <cell r="H419">
            <v>42948</v>
          </cell>
          <cell r="I419">
            <v>100.65</v>
          </cell>
        </row>
        <row r="419">
          <cell r="K419">
            <v>42948</v>
          </cell>
          <cell r="L419">
            <v>118.26</v>
          </cell>
        </row>
        <row r="419">
          <cell r="N419">
            <v>42976</v>
          </cell>
          <cell r="O419">
            <v>97.84</v>
          </cell>
        </row>
        <row r="420">
          <cell r="B420">
            <v>42977</v>
          </cell>
          <cell r="C420">
            <v>97.44</v>
          </cell>
        </row>
        <row r="420">
          <cell r="E420">
            <v>42949</v>
          </cell>
          <cell r="F420">
            <v>128.2</v>
          </cell>
        </row>
        <row r="420">
          <cell r="H420">
            <v>42949</v>
          </cell>
          <cell r="I420">
            <v>100.53</v>
          </cell>
        </row>
        <row r="420">
          <cell r="K420">
            <v>42949</v>
          </cell>
          <cell r="L420">
            <v>118.36</v>
          </cell>
        </row>
        <row r="420">
          <cell r="N420">
            <v>42977</v>
          </cell>
          <cell r="O420">
            <v>97.93</v>
          </cell>
        </row>
        <row r="421">
          <cell r="B421">
            <v>42978</v>
          </cell>
          <cell r="C421">
            <v>97.43</v>
          </cell>
        </row>
        <row r="421">
          <cell r="E421">
            <v>42950</v>
          </cell>
          <cell r="F421">
            <v>128.82</v>
          </cell>
        </row>
        <row r="421">
          <cell r="H421">
            <v>42950</v>
          </cell>
          <cell r="I421">
            <v>100.73</v>
          </cell>
        </row>
        <row r="421">
          <cell r="K421">
            <v>42950</v>
          </cell>
          <cell r="L421">
            <v>118.34</v>
          </cell>
        </row>
        <row r="421">
          <cell r="N421">
            <v>42978</v>
          </cell>
          <cell r="O421">
            <v>97.8</v>
          </cell>
        </row>
        <row r="422">
          <cell r="B422">
            <v>42979</v>
          </cell>
          <cell r="C422">
            <v>97.3</v>
          </cell>
        </row>
        <row r="422">
          <cell r="E422">
            <v>42951</v>
          </cell>
          <cell r="F422">
            <v>129.26</v>
          </cell>
        </row>
        <row r="422">
          <cell r="H422">
            <v>42951</v>
          </cell>
          <cell r="I422">
            <v>100.4</v>
          </cell>
        </row>
        <row r="422">
          <cell r="K422">
            <v>42951</v>
          </cell>
          <cell r="L422">
            <v>118.15</v>
          </cell>
        </row>
        <row r="422">
          <cell r="N422">
            <v>42979</v>
          </cell>
          <cell r="O422">
            <v>97.56</v>
          </cell>
        </row>
        <row r="423">
          <cell r="B423">
            <v>42983</v>
          </cell>
          <cell r="C423">
            <v>97.02</v>
          </cell>
        </row>
        <row r="423">
          <cell r="E423">
            <v>42954</v>
          </cell>
          <cell r="F423">
            <v>129.79</v>
          </cell>
        </row>
        <row r="423">
          <cell r="H423">
            <v>42954</v>
          </cell>
          <cell r="I423">
            <v>100.86</v>
          </cell>
        </row>
        <row r="423">
          <cell r="K423">
            <v>42954</v>
          </cell>
          <cell r="L423">
            <v>118.56</v>
          </cell>
        </row>
        <row r="423">
          <cell r="N423">
            <v>42983</v>
          </cell>
          <cell r="O423">
            <v>97.9</v>
          </cell>
        </row>
        <row r="424">
          <cell r="B424">
            <v>42984</v>
          </cell>
          <cell r="C424">
            <v>97.02</v>
          </cell>
        </row>
        <row r="424">
          <cell r="E424">
            <v>42955</v>
          </cell>
          <cell r="F424">
            <v>129.3</v>
          </cell>
        </row>
        <row r="424">
          <cell r="H424">
            <v>42955</v>
          </cell>
          <cell r="I424">
            <v>100.77</v>
          </cell>
        </row>
        <row r="424">
          <cell r="K424">
            <v>42955</v>
          </cell>
          <cell r="L424">
            <v>118.75</v>
          </cell>
        </row>
        <row r="424">
          <cell r="N424">
            <v>42984</v>
          </cell>
          <cell r="O424">
            <v>98.06</v>
          </cell>
        </row>
        <row r="425">
          <cell r="B425">
            <v>42985</v>
          </cell>
          <cell r="C425">
            <v>97.01</v>
          </cell>
        </row>
        <row r="425">
          <cell r="E425">
            <v>42956</v>
          </cell>
          <cell r="F425">
            <v>129.36</v>
          </cell>
        </row>
        <row r="425">
          <cell r="H425">
            <v>42956</v>
          </cell>
          <cell r="I425">
            <v>100.32</v>
          </cell>
        </row>
        <row r="425">
          <cell r="K425">
            <v>42956</v>
          </cell>
          <cell r="L425">
            <v>118.79</v>
          </cell>
        </row>
        <row r="425">
          <cell r="N425">
            <v>42985</v>
          </cell>
          <cell r="O425">
            <v>98.31</v>
          </cell>
        </row>
        <row r="426">
          <cell r="B426">
            <v>42986</v>
          </cell>
          <cell r="C426">
            <v>97.5</v>
          </cell>
        </row>
        <row r="426">
          <cell r="E426">
            <v>42957</v>
          </cell>
          <cell r="F426">
            <v>128.94</v>
          </cell>
        </row>
        <row r="426">
          <cell r="H426">
            <v>42957</v>
          </cell>
          <cell r="I426">
            <v>99.71</v>
          </cell>
        </row>
        <row r="426">
          <cell r="K426">
            <v>42957</v>
          </cell>
          <cell r="L426">
            <v>118.1</v>
          </cell>
        </row>
        <row r="426">
          <cell r="N426">
            <v>42986</v>
          </cell>
          <cell r="O426">
            <v>98.12</v>
          </cell>
        </row>
        <row r="427">
          <cell r="B427">
            <v>42989</v>
          </cell>
          <cell r="C427">
            <v>97.6</v>
          </cell>
        </row>
        <row r="427">
          <cell r="E427">
            <v>42958</v>
          </cell>
          <cell r="F427">
            <v>129.28</v>
          </cell>
        </row>
        <row r="427">
          <cell r="H427">
            <v>42958</v>
          </cell>
          <cell r="I427">
            <v>99.56</v>
          </cell>
        </row>
        <row r="427">
          <cell r="K427">
            <v>42958</v>
          </cell>
          <cell r="L427">
            <v>118.14</v>
          </cell>
        </row>
        <row r="427">
          <cell r="N427">
            <v>42989</v>
          </cell>
          <cell r="O427">
            <v>98.17</v>
          </cell>
        </row>
        <row r="428">
          <cell r="B428">
            <v>42990</v>
          </cell>
          <cell r="C428">
            <v>97.76</v>
          </cell>
        </row>
        <row r="428">
          <cell r="E428">
            <v>42961</v>
          </cell>
          <cell r="F428">
            <v>130.36</v>
          </cell>
        </row>
        <row r="428">
          <cell r="H428">
            <v>42961</v>
          </cell>
          <cell r="I428">
            <v>99.53</v>
          </cell>
        </row>
        <row r="428">
          <cell r="K428">
            <v>42961</v>
          </cell>
          <cell r="L428">
            <v>118.24</v>
          </cell>
        </row>
        <row r="428">
          <cell r="N428">
            <v>42990</v>
          </cell>
          <cell r="O428">
            <v>98.09</v>
          </cell>
        </row>
        <row r="429">
          <cell r="B429">
            <v>42991</v>
          </cell>
          <cell r="C429">
            <v>97.64</v>
          </cell>
        </row>
        <row r="429">
          <cell r="E429">
            <v>42962</v>
          </cell>
          <cell r="F429">
            <v>131.89</v>
          </cell>
        </row>
        <row r="429">
          <cell r="H429">
            <v>42962</v>
          </cell>
          <cell r="I429">
            <v>98.95</v>
          </cell>
        </row>
        <row r="429">
          <cell r="K429">
            <v>42962</v>
          </cell>
          <cell r="L429">
            <v>117.84</v>
          </cell>
        </row>
        <row r="429">
          <cell r="N429">
            <v>42991</v>
          </cell>
          <cell r="O429">
            <v>97.92</v>
          </cell>
        </row>
        <row r="430">
          <cell r="B430">
            <v>42992</v>
          </cell>
          <cell r="C430">
            <v>97.93</v>
          </cell>
        </row>
        <row r="430">
          <cell r="E430">
            <v>42963</v>
          </cell>
          <cell r="F430">
            <v>131.49</v>
          </cell>
        </row>
        <row r="430">
          <cell r="H430">
            <v>42963</v>
          </cell>
          <cell r="I430">
            <v>99.18</v>
          </cell>
        </row>
        <row r="430">
          <cell r="K430">
            <v>42963</v>
          </cell>
          <cell r="L430">
            <v>117.8</v>
          </cell>
        </row>
        <row r="430">
          <cell r="N430">
            <v>42992</v>
          </cell>
          <cell r="O430">
            <v>97.87</v>
          </cell>
        </row>
        <row r="431">
          <cell r="B431">
            <v>42993</v>
          </cell>
          <cell r="C431">
            <v>97.87</v>
          </cell>
        </row>
        <row r="431">
          <cell r="E431">
            <v>42964</v>
          </cell>
          <cell r="F431">
            <v>130.7</v>
          </cell>
        </row>
        <row r="431">
          <cell r="H431">
            <v>42964</v>
          </cell>
          <cell r="I431">
            <v>98.94</v>
          </cell>
        </row>
        <row r="431">
          <cell r="K431">
            <v>42964</v>
          </cell>
          <cell r="L431">
            <v>117.86</v>
          </cell>
        </row>
        <row r="431">
          <cell r="N431">
            <v>42993</v>
          </cell>
          <cell r="O431">
            <v>97.64</v>
          </cell>
        </row>
        <row r="432">
          <cell r="B432">
            <v>42996</v>
          </cell>
          <cell r="C432">
            <v>97.66</v>
          </cell>
        </row>
        <row r="432">
          <cell r="E432">
            <v>42965</v>
          </cell>
          <cell r="F432">
            <v>131.56</v>
          </cell>
        </row>
        <row r="432">
          <cell r="H432">
            <v>42965</v>
          </cell>
          <cell r="I432">
            <v>98.29</v>
          </cell>
        </row>
        <row r="432">
          <cell r="K432">
            <v>42965</v>
          </cell>
          <cell r="L432">
            <v>118.18</v>
          </cell>
        </row>
        <row r="432">
          <cell r="N432">
            <v>42996</v>
          </cell>
          <cell r="O432">
            <v>97.47</v>
          </cell>
        </row>
        <row r="433">
          <cell r="B433">
            <v>42997</v>
          </cell>
          <cell r="C433">
            <v>97.58</v>
          </cell>
        </row>
        <row r="433">
          <cell r="E433">
            <v>42968</v>
          </cell>
          <cell r="F433">
            <v>131.68</v>
          </cell>
        </row>
        <row r="433">
          <cell r="H433">
            <v>42968</v>
          </cell>
          <cell r="I433">
            <v>98.17</v>
          </cell>
        </row>
        <row r="433">
          <cell r="K433">
            <v>42968</v>
          </cell>
          <cell r="L433">
            <v>117.92</v>
          </cell>
        </row>
        <row r="433">
          <cell r="N433">
            <v>42997</v>
          </cell>
          <cell r="O433">
            <v>97.46</v>
          </cell>
        </row>
        <row r="434">
          <cell r="B434">
            <v>42998</v>
          </cell>
          <cell r="C434">
            <v>97.43</v>
          </cell>
        </row>
        <row r="434">
          <cell r="E434">
            <v>42969</v>
          </cell>
          <cell r="F434">
            <v>132.26</v>
          </cell>
        </row>
        <row r="434">
          <cell r="H434">
            <v>42969</v>
          </cell>
          <cell r="I434">
            <v>98.34</v>
          </cell>
        </row>
        <row r="434">
          <cell r="K434">
            <v>42969</v>
          </cell>
          <cell r="L434">
            <v>118.52</v>
          </cell>
        </row>
        <row r="434">
          <cell r="N434">
            <v>42998</v>
          </cell>
          <cell r="O434">
            <v>97.41</v>
          </cell>
        </row>
        <row r="435">
          <cell r="B435">
            <v>42999</v>
          </cell>
          <cell r="C435">
            <v>97.54</v>
          </cell>
        </row>
        <row r="435">
          <cell r="E435">
            <v>42970</v>
          </cell>
          <cell r="F435">
            <v>131.96</v>
          </cell>
        </row>
        <row r="435">
          <cell r="H435">
            <v>42970</v>
          </cell>
          <cell r="I435">
            <v>98.4</v>
          </cell>
        </row>
        <row r="435">
          <cell r="K435">
            <v>42970</v>
          </cell>
          <cell r="L435">
            <v>117.96</v>
          </cell>
        </row>
        <row r="435">
          <cell r="N435">
            <v>42999</v>
          </cell>
          <cell r="O435">
            <v>97.52</v>
          </cell>
        </row>
        <row r="436">
          <cell r="B436">
            <v>43000</v>
          </cell>
          <cell r="C436">
            <v>97.47</v>
          </cell>
        </row>
        <row r="436">
          <cell r="E436">
            <v>42971</v>
          </cell>
          <cell r="F436">
            <v>131.99</v>
          </cell>
        </row>
        <row r="436">
          <cell r="H436">
            <v>42971</v>
          </cell>
          <cell r="I436">
            <v>98.64</v>
          </cell>
        </row>
        <row r="436">
          <cell r="K436">
            <v>42971</v>
          </cell>
          <cell r="L436">
            <v>117.87</v>
          </cell>
        </row>
        <row r="436">
          <cell r="N436">
            <v>43000</v>
          </cell>
          <cell r="O436">
            <v>97.16</v>
          </cell>
        </row>
        <row r="437">
          <cell r="B437">
            <v>43003</v>
          </cell>
          <cell r="C437">
            <v>97.11</v>
          </cell>
        </row>
        <row r="437">
          <cell r="E437">
            <v>42972</v>
          </cell>
          <cell r="F437">
            <v>131.04</v>
          </cell>
        </row>
        <row r="437">
          <cell r="H437">
            <v>42972</v>
          </cell>
          <cell r="I437">
            <v>99.01</v>
          </cell>
        </row>
        <row r="437">
          <cell r="K437">
            <v>42972</v>
          </cell>
          <cell r="L437">
            <v>117.84</v>
          </cell>
        </row>
        <row r="437">
          <cell r="N437">
            <v>43003</v>
          </cell>
          <cell r="O437">
            <v>96.84</v>
          </cell>
        </row>
        <row r="438">
          <cell r="B438">
            <v>43004</v>
          </cell>
          <cell r="C438">
            <v>97.06</v>
          </cell>
        </row>
        <row r="438">
          <cell r="E438">
            <v>42975</v>
          </cell>
          <cell r="F438">
            <v>131.34</v>
          </cell>
        </row>
        <row r="438">
          <cell r="H438">
            <v>42975</v>
          </cell>
          <cell r="I438">
            <v>99.38</v>
          </cell>
        </row>
        <row r="438">
          <cell r="K438">
            <v>42975</v>
          </cell>
          <cell r="L438">
            <v>117.69</v>
          </cell>
        </row>
        <row r="438">
          <cell r="N438">
            <v>43004</v>
          </cell>
          <cell r="O438">
            <v>96.58</v>
          </cell>
        </row>
        <row r="439">
          <cell r="B439">
            <v>43005</v>
          </cell>
          <cell r="C439">
            <v>97.21</v>
          </cell>
        </row>
        <row r="439">
          <cell r="E439">
            <v>42976</v>
          </cell>
          <cell r="F439">
            <v>131.23</v>
          </cell>
        </row>
        <row r="439">
          <cell r="H439">
            <v>42976</v>
          </cell>
          <cell r="I439">
            <v>99.39</v>
          </cell>
        </row>
        <row r="439">
          <cell r="K439">
            <v>42976</v>
          </cell>
          <cell r="L439">
            <v>117.48</v>
          </cell>
        </row>
        <row r="439">
          <cell r="N439">
            <v>43005</v>
          </cell>
          <cell r="O439">
            <v>95.52</v>
          </cell>
        </row>
        <row r="440">
          <cell r="B440">
            <v>43006</v>
          </cell>
          <cell r="C440">
            <v>97.27</v>
          </cell>
        </row>
        <row r="440">
          <cell r="E440">
            <v>42977</v>
          </cell>
          <cell r="F440">
            <v>132.02</v>
          </cell>
        </row>
        <row r="440">
          <cell r="H440">
            <v>42977</v>
          </cell>
          <cell r="I440">
            <v>99.06</v>
          </cell>
        </row>
        <row r="440">
          <cell r="K440">
            <v>42977</v>
          </cell>
          <cell r="L440">
            <v>117.53</v>
          </cell>
        </row>
        <row r="440">
          <cell r="N440">
            <v>43006</v>
          </cell>
          <cell r="O440">
            <v>95.44</v>
          </cell>
        </row>
        <row r="441">
          <cell r="B441">
            <v>43007</v>
          </cell>
          <cell r="C441">
            <v>97.47</v>
          </cell>
        </row>
        <row r="441">
          <cell r="E441">
            <v>42978</v>
          </cell>
          <cell r="F441">
            <v>131.77</v>
          </cell>
        </row>
        <row r="441">
          <cell r="H441">
            <v>42978</v>
          </cell>
          <cell r="I441">
            <v>99.14</v>
          </cell>
        </row>
        <row r="441">
          <cell r="K441">
            <v>42978</v>
          </cell>
          <cell r="L441">
            <v>117.54</v>
          </cell>
        </row>
        <row r="441">
          <cell r="N441">
            <v>43007</v>
          </cell>
          <cell r="O441">
            <v>95.44</v>
          </cell>
        </row>
        <row r="442">
          <cell r="B442">
            <v>43010</v>
          </cell>
          <cell r="C442">
            <v>97.26</v>
          </cell>
        </row>
        <row r="442">
          <cell r="E442">
            <v>42979</v>
          </cell>
          <cell r="F442">
            <v>131.15</v>
          </cell>
        </row>
        <row r="442">
          <cell r="H442">
            <v>42979</v>
          </cell>
          <cell r="I442">
            <v>99.62</v>
          </cell>
        </row>
        <row r="442">
          <cell r="K442">
            <v>42979</v>
          </cell>
          <cell r="L442">
            <v>117.22</v>
          </cell>
        </row>
        <row r="442">
          <cell r="N442">
            <v>43010</v>
          </cell>
          <cell r="O442">
            <v>94.66</v>
          </cell>
        </row>
        <row r="443">
          <cell r="B443">
            <v>43011</v>
          </cell>
          <cell r="C443">
            <v>97.39</v>
          </cell>
        </row>
        <row r="443">
          <cell r="E443">
            <v>42982</v>
          </cell>
          <cell r="F443">
            <v>131.18</v>
          </cell>
        </row>
        <row r="443">
          <cell r="H443">
            <v>42982</v>
          </cell>
          <cell r="I443">
            <v>99.57</v>
          </cell>
        </row>
        <row r="443">
          <cell r="K443">
            <v>42982</v>
          </cell>
          <cell r="L443">
            <v>117.59</v>
          </cell>
        </row>
        <row r="443">
          <cell r="N443">
            <v>43011</v>
          </cell>
          <cell r="O443">
            <v>94.73</v>
          </cell>
        </row>
        <row r="444">
          <cell r="B444">
            <v>43012</v>
          </cell>
          <cell r="C444">
            <v>97.27</v>
          </cell>
        </row>
        <row r="444">
          <cell r="E444">
            <v>42983</v>
          </cell>
          <cell r="F444">
            <v>130.47</v>
          </cell>
        </row>
        <row r="444">
          <cell r="H444">
            <v>42983</v>
          </cell>
          <cell r="I444">
            <v>98.64</v>
          </cell>
        </row>
        <row r="444">
          <cell r="K444">
            <v>42983</v>
          </cell>
          <cell r="L444">
            <v>117.44</v>
          </cell>
        </row>
        <row r="444">
          <cell r="N444">
            <v>43012</v>
          </cell>
          <cell r="O444">
            <v>95.16</v>
          </cell>
        </row>
        <row r="445">
          <cell r="B445">
            <v>43013</v>
          </cell>
          <cell r="C445">
            <v>97.2</v>
          </cell>
        </row>
        <row r="445">
          <cell r="E445">
            <v>42984</v>
          </cell>
          <cell r="F445">
            <v>129.52</v>
          </cell>
        </row>
        <row r="445">
          <cell r="H445">
            <v>42984</v>
          </cell>
          <cell r="I445">
            <v>99.01</v>
          </cell>
        </row>
        <row r="445">
          <cell r="K445">
            <v>42984</v>
          </cell>
          <cell r="L445">
            <v>117.46</v>
          </cell>
        </row>
        <row r="445">
          <cell r="N445">
            <v>43013</v>
          </cell>
          <cell r="O445">
            <v>95.36</v>
          </cell>
        </row>
        <row r="446">
          <cell r="B446">
            <v>43014</v>
          </cell>
          <cell r="C446">
            <v>97.41</v>
          </cell>
        </row>
        <row r="446">
          <cell r="E446">
            <v>42985</v>
          </cell>
          <cell r="F446">
            <v>129.76</v>
          </cell>
        </row>
        <row r="446">
          <cell r="H446">
            <v>42985</v>
          </cell>
          <cell r="I446">
            <v>98.69</v>
          </cell>
        </row>
        <row r="446">
          <cell r="K446">
            <v>42985</v>
          </cell>
          <cell r="L446">
            <v>117.97</v>
          </cell>
        </row>
        <row r="446">
          <cell r="N446">
            <v>43014</v>
          </cell>
          <cell r="O446">
            <v>95.41</v>
          </cell>
        </row>
        <row r="447">
          <cell r="B447">
            <v>43017</v>
          </cell>
          <cell r="C447">
            <v>97.17</v>
          </cell>
        </row>
        <row r="447">
          <cell r="E447">
            <v>42986</v>
          </cell>
          <cell r="F447">
            <v>130.37</v>
          </cell>
        </row>
        <row r="447">
          <cell r="H447">
            <v>42986</v>
          </cell>
          <cell r="I447">
            <v>98.89</v>
          </cell>
        </row>
        <row r="447">
          <cell r="K447">
            <v>42986</v>
          </cell>
          <cell r="L447">
            <v>118.3</v>
          </cell>
        </row>
        <row r="447">
          <cell r="N447">
            <v>43017</v>
          </cell>
          <cell r="O447">
            <v>95.47</v>
          </cell>
        </row>
        <row r="448">
          <cell r="B448">
            <v>43018</v>
          </cell>
          <cell r="C448">
            <v>97.12</v>
          </cell>
        </row>
        <row r="448">
          <cell r="E448">
            <v>42989</v>
          </cell>
          <cell r="F448">
            <v>131.14</v>
          </cell>
        </row>
        <row r="448">
          <cell r="H448">
            <v>42989</v>
          </cell>
          <cell r="I448">
            <v>99.02</v>
          </cell>
        </row>
        <row r="448">
          <cell r="K448">
            <v>42989</v>
          </cell>
          <cell r="L448">
            <v>118.74</v>
          </cell>
        </row>
        <row r="448">
          <cell r="N448">
            <v>43018</v>
          </cell>
          <cell r="O448">
            <v>95.43</v>
          </cell>
        </row>
        <row r="449">
          <cell r="B449">
            <v>43019</v>
          </cell>
          <cell r="C449">
            <v>97.02</v>
          </cell>
        </row>
        <row r="449">
          <cell r="E449">
            <v>42990</v>
          </cell>
          <cell r="F449">
            <v>130.1</v>
          </cell>
        </row>
        <row r="449">
          <cell r="H449">
            <v>42990</v>
          </cell>
          <cell r="I449">
            <v>99.51</v>
          </cell>
        </row>
        <row r="449">
          <cell r="K449">
            <v>42990</v>
          </cell>
          <cell r="L449">
            <v>118.74</v>
          </cell>
        </row>
        <row r="449">
          <cell r="N449">
            <v>43019</v>
          </cell>
          <cell r="O449">
            <v>95.65</v>
          </cell>
        </row>
        <row r="450">
          <cell r="B450">
            <v>43020</v>
          </cell>
          <cell r="C450">
            <v>97.17</v>
          </cell>
        </row>
        <row r="450">
          <cell r="E450">
            <v>42991</v>
          </cell>
          <cell r="F450">
            <v>129.07</v>
          </cell>
        </row>
        <row r="450">
          <cell r="H450">
            <v>42991</v>
          </cell>
          <cell r="I450">
            <v>99.41</v>
          </cell>
        </row>
        <row r="450">
          <cell r="K450">
            <v>42991</v>
          </cell>
          <cell r="L450">
            <v>119.47</v>
          </cell>
        </row>
        <row r="450">
          <cell r="N450">
            <v>43020</v>
          </cell>
          <cell r="O450">
            <v>95.55</v>
          </cell>
        </row>
        <row r="451">
          <cell r="B451">
            <v>43021</v>
          </cell>
          <cell r="C451">
            <v>97.17</v>
          </cell>
        </row>
        <row r="451">
          <cell r="E451">
            <v>42992</v>
          </cell>
          <cell r="F451">
            <v>128.96</v>
          </cell>
        </row>
        <row r="451">
          <cell r="H451">
            <v>42992</v>
          </cell>
          <cell r="I451">
            <v>99.12</v>
          </cell>
        </row>
        <row r="451">
          <cell r="K451">
            <v>42992</v>
          </cell>
          <cell r="L451">
            <v>119.23</v>
          </cell>
        </row>
        <row r="451">
          <cell r="N451">
            <v>43021</v>
          </cell>
          <cell r="O451">
            <v>96.06</v>
          </cell>
        </row>
        <row r="452">
          <cell r="B452">
            <v>43024</v>
          </cell>
          <cell r="C452">
            <v>97.24</v>
          </cell>
        </row>
        <row r="452">
          <cell r="E452">
            <v>42993</v>
          </cell>
          <cell r="F452">
            <v>128.93</v>
          </cell>
        </row>
        <row r="452">
          <cell r="H452">
            <v>42993</v>
          </cell>
          <cell r="I452">
            <v>99.11</v>
          </cell>
        </row>
        <row r="452">
          <cell r="K452">
            <v>42993</v>
          </cell>
          <cell r="L452">
            <v>119.47</v>
          </cell>
        </row>
        <row r="452">
          <cell r="N452">
            <v>43024</v>
          </cell>
          <cell r="O452">
            <v>96.25</v>
          </cell>
        </row>
        <row r="453">
          <cell r="B453">
            <v>43025</v>
          </cell>
          <cell r="C453">
            <v>97.27</v>
          </cell>
        </row>
        <row r="453">
          <cell r="E453">
            <v>42996</v>
          </cell>
          <cell r="F453">
            <v>130.18</v>
          </cell>
        </row>
        <row r="453">
          <cell r="H453">
            <v>42996</v>
          </cell>
          <cell r="I453">
            <v>98.58</v>
          </cell>
        </row>
        <row r="453">
          <cell r="K453">
            <v>42996</v>
          </cell>
          <cell r="L453">
            <v>119.58</v>
          </cell>
        </row>
        <row r="453">
          <cell r="N453">
            <v>43025</v>
          </cell>
          <cell r="O453">
            <v>96.25</v>
          </cell>
        </row>
        <row r="454">
          <cell r="B454">
            <v>43026</v>
          </cell>
          <cell r="C454">
            <v>97.24</v>
          </cell>
        </row>
        <row r="454">
          <cell r="E454">
            <v>42997</v>
          </cell>
          <cell r="F454">
            <v>131.2</v>
          </cell>
        </row>
        <row r="454">
          <cell r="H454">
            <v>42997</v>
          </cell>
          <cell r="I454">
            <v>98.4</v>
          </cell>
        </row>
        <row r="454">
          <cell r="K454">
            <v>42997</v>
          </cell>
          <cell r="L454">
            <v>120.11</v>
          </cell>
        </row>
        <row r="454">
          <cell r="N454">
            <v>43026</v>
          </cell>
          <cell r="O454">
            <v>95.83</v>
          </cell>
        </row>
        <row r="455">
          <cell r="B455">
            <v>43027</v>
          </cell>
          <cell r="C455">
            <v>97.49</v>
          </cell>
        </row>
        <row r="455">
          <cell r="E455">
            <v>42998</v>
          </cell>
          <cell r="F455">
            <v>131.15</v>
          </cell>
        </row>
        <row r="455">
          <cell r="H455">
            <v>42998</v>
          </cell>
          <cell r="I455">
            <v>97.88</v>
          </cell>
        </row>
        <row r="455">
          <cell r="K455">
            <v>42998</v>
          </cell>
          <cell r="L455">
            <v>119.98</v>
          </cell>
        </row>
        <row r="455">
          <cell r="N455">
            <v>43027</v>
          </cell>
          <cell r="O455">
            <v>96.1</v>
          </cell>
        </row>
        <row r="456">
          <cell r="B456">
            <v>43028</v>
          </cell>
          <cell r="C456">
            <v>97.54</v>
          </cell>
        </row>
        <row r="456">
          <cell r="E456">
            <v>42999</v>
          </cell>
          <cell r="F456">
            <v>131.1</v>
          </cell>
        </row>
        <row r="456">
          <cell r="H456">
            <v>42999</v>
          </cell>
          <cell r="I456">
            <v>98.11</v>
          </cell>
        </row>
        <row r="456">
          <cell r="K456">
            <v>42999</v>
          </cell>
          <cell r="L456">
            <v>120.09</v>
          </cell>
        </row>
        <row r="456">
          <cell r="N456">
            <v>43028</v>
          </cell>
          <cell r="O456">
            <v>96.09</v>
          </cell>
        </row>
        <row r="457">
          <cell r="B457">
            <v>43031</v>
          </cell>
          <cell r="C457">
            <v>97.42</v>
          </cell>
        </row>
        <row r="457">
          <cell r="E457">
            <v>43000</v>
          </cell>
          <cell r="F457">
            <v>130.04</v>
          </cell>
        </row>
        <row r="457">
          <cell r="H457">
            <v>43000</v>
          </cell>
          <cell r="I457">
            <v>98.58</v>
          </cell>
        </row>
        <row r="457">
          <cell r="K457">
            <v>43000</v>
          </cell>
          <cell r="L457">
            <v>120.27</v>
          </cell>
        </row>
        <row r="457">
          <cell r="N457">
            <v>43031</v>
          </cell>
          <cell r="O457">
            <v>96.19</v>
          </cell>
        </row>
        <row r="458">
          <cell r="B458">
            <v>43032</v>
          </cell>
          <cell r="C458">
            <v>97.48</v>
          </cell>
        </row>
        <row r="458">
          <cell r="E458">
            <v>43003</v>
          </cell>
          <cell r="F458">
            <v>128.13</v>
          </cell>
        </row>
        <row r="458">
          <cell r="H458">
            <v>43003</v>
          </cell>
          <cell r="I458">
            <v>98.97</v>
          </cell>
        </row>
        <row r="458">
          <cell r="K458">
            <v>43003</v>
          </cell>
          <cell r="L458">
            <v>120.16</v>
          </cell>
        </row>
        <row r="458">
          <cell r="N458">
            <v>43032</v>
          </cell>
          <cell r="O458">
            <v>96.29</v>
          </cell>
        </row>
        <row r="459">
          <cell r="B459">
            <v>43033</v>
          </cell>
          <cell r="C459">
            <v>97.47</v>
          </cell>
        </row>
        <row r="459">
          <cell r="E459">
            <v>43004</v>
          </cell>
          <cell r="F459">
            <v>127.81</v>
          </cell>
        </row>
        <row r="459">
          <cell r="H459">
            <v>43004</v>
          </cell>
          <cell r="I459">
            <v>99.13</v>
          </cell>
        </row>
        <row r="459">
          <cell r="K459">
            <v>43004</v>
          </cell>
          <cell r="L459">
            <v>120.66</v>
          </cell>
        </row>
        <row r="459">
          <cell r="N459">
            <v>43033</v>
          </cell>
          <cell r="O459">
            <v>96.24</v>
          </cell>
        </row>
        <row r="460">
          <cell r="B460">
            <v>43034</v>
          </cell>
          <cell r="C460">
            <v>97.73</v>
          </cell>
        </row>
        <row r="460">
          <cell r="E460">
            <v>43005</v>
          </cell>
          <cell r="F460">
            <v>128.13</v>
          </cell>
        </row>
        <row r="460">
          <cell r="H460">
            <v>43005</v>
          </cell>
          <cell r="I460">
            <v>99.35</v>
          </cell>
        </row>
        <row r="460">
          <cell r="K460">
            <v>43005</v>
          </cell>
          <cell r="L460">
            <v>120.24</v>
          </cell>
        </row>
        <row r="460">
          <cell r="N460">
            <v>43034</v>
          </cell>
          <cell r="O460">
            <v>96.03</v>
          </cell>
        </row>
        <row r="461">
          <cell r="B461">
            <v>43035</v>
          </cell>
          <cell r="C461">
            <v>98.13</v>
          </cell>
        </row>
        <row r="461">
          <cell r="E461">
            <v>43006</v>
          </cell>
          <cell r="F461">
            <v>129.71</v>
          </cell>
        </row>
        <row r="461">
          <cell r="H461">
            <v>43006</v>
          </cell>
          <cell r="I461">
            <v>99.32</v>
          </cell>
        </row>
        <row r="461">
          <cell r="K461">
            <v>43006</v>
          </cell>
          <cell r="L461">
            <v>120.04</v>
          </cell>
        </row>
        <row r="461">
          <cell r="N461">
            <v>43035</v>
          </cell>
          <cell r="O461">
            <v>95.54</v>
          </cell>
        </row>
        <row r="462">
          <cell r="B462">
            <v>43038</v>
          </cell>
          <cell r="C462">
            <v>98.26</v>
          </cell>
        </row>
        <row r="462">
          <cell r="E462">
            <v>43007</v>
          </cell>
          <cell r="F462">
            <v>130.01</v>
          </cell>
        </row>
        <row r="462">
          <cell r="H462">
            <v>43007</v>
          </cell>
          <cell r="I462">
            <v>98.99</v>
          </cell>
        </row>
        <row r="462">
          <cell r="K462">
            <v>43007</v>
          </cell>
          <cell r="L462">
            <v>119.83</v>
          </cell>
        </row>
        <row r="462">
          <cell r="N462">
            <v>43038</v>
          </cell>
          <cell r="O462">
            <v>96.22</v>
          </cell>
        </row>
        <row r="463">
          <cell r="B463">
            <v>43039</v>
          </cell>
          <cell r="C463">
            <v>98.4</v>
          </cell>
        </row>
        <row r="463">
          <cell r="E463">
            <v>43010</v>
          </cell>
          <cell r="F463">
            <v>129.43</v>
          </cell>
        </row>
        <row r="463">
          <cell r="H463">
            <v>43010</v>
          </cell>
          <cell r="I463">
            <v>99.56</v>
          </cell>
        </row>
        <row r="463">
          <cell r="K463">
            <v>43010</v>
          </cell>
          <cell r="L463">
            <v>119.98</v>
          </cell>
        </row>
        <row r="463">
          <cell r="N463">
            <v>43039</v>
          </cell>
          <cell r="O463">
            <v>95.76</v>
          </cell>
        </row>
        <row r="464">
          <cell r="B464">
            <v>43040</v>
          </cell>
          <cell r="C464">
            <v>98.53</v>
          </cell>
        </row>
        <row r="464">
          <cell r="E464">
            <v>43011</v>
          </cell>
          <cell r="F464">
            <v>129.73</v>
          </cell>
        </row>
        <row r="464">
          <cell r="H464">
            <v>43011</v>
          </cell>
          <cell r="I464">
            <v>99.61</v>
          </cell>
        </row>
        <row r="464">
          <cell r="K464">
            <v>43011</v>
          </cell>
          <cell r="L464">
            <v>119.66</v>
          </cell>
        </row>
        <row r="464">
          <cell r="N464">
            <v>43040</v>
          </cell>
          <cell r="O464">
            <v>96.27</v>
          </cell>
        </row>
        <row r="465">
          <cell r="B465">
            <v>43041</v>
          </cell>
          <cell r="C465">
            <v>98.29</v>
          </cell>
        </row>
        <row r="465">
          <cell r="E465">
            <v>43012</v>
          </cell>
          <cell r="F465">
            <v>129.93</v>
          </cell>
        </row>
        <row r="465">
          <cell r="H465">
            <v>43012</v>
          </cell>
          <cell r="I465">
            <v>99.45</v>
          </cell>
        </row>
        <row r="465">
          <cell r="K465">
            <v>43012</v>
          </cell>
          <cell r="L465">
            <v>119.18</v>
          </cell>
        </row>
        <row r="465">
          <cell r="N465">
            <v>43041</v>
          </cell>
          <cell r="O465">
            <v>96.69</v>
          </cell>
        </row>
        <row r="466">
          <cell r="B466">
            <v>43042</v>
          </cell>
          <cell r="C466">
            <v>98.26</v>
          </cell>
        </row>
        <row r="466">
          <cell r="E466">
            <v>43013</v>
          </cell>
          <cell r="F466">
            <v>130.23</v>
          </cell>
        </row>
        <row r="466">
          <cell r="H466">
            <v>43013</v>
          </cell>
          <cell r="I466">
            <v>98.74</v>
          </cell>
        </row>
        <row r="466">
          <cell r="K466">
            <v>43013</v>
          </cell>
          <cell r="L466">
            <v>119.22</v>
          </cell>
        </row>
        <row r="466">
          <cell r="N466">
            <v>43042</v>
          </cell>
          <cell r="O466">
            <v>96.98</v>
          </cell>
        </row>
        <row r="467">
          <cell r="B467">
            <v>43045</v>
          </cell>
          <cell r="C467">
            <v>98.61</v>
          </cell>
        </row>
        <row r="467">
          <cell r="E467">
            <v>43014</v>
          </cell>
          <cell r="F467">
            <v>130.79</v>
          </cell>
        </row>
        <row r="467">
          <cell r="H467">
            <v>43014</v>
          </cell>
          <cell r="I467">
            <v>98.73</v>
          </cell>
        </row>
        <row r="467">
          <cell r="K467">
            <v>43014</v>
          </cell>
          <cell r="L467">
            <v>119.3</v>
          </cell>
        </row>
        <row r="467">
          <cell r="N467">
            <v>43045</v>
          </cell>
          <cell r="O467">
            <v>97.41</v>
          </cell>
        </row>
        <row r="468">
          <cell r="B468">
            <v>43046</v>
          </cell>
          <cell r="C468">
            <v>98.75</v>
          </cell>
        </row>
        <row r="468">
          <cell r="E468">
            <v>43017</v>
          </cell>
          <cell r="F468">
            <v>131.75</v>
          </cell>
        </row>
        <row r="468">
          <cell r="H468">
            <v>43017</v>
          </cell>
          <cell r="I468">
            <v>98.48</v>
          </cell>
        </row>
        <row r="468">
          <cell r="K468">
            <v>43017</v>
          </cell>
          <cell r="L468">
            <v>119.39</v>
          </cell>
        </row>
        <row r="468">
          <cell r="N468">
            <v>43046</v>
          </cell>
          <cell r="O468">
            <v>98.17</v>
          </cell>
        </row>
        <row r="469">
          <cell r="B469">
            <v>43047</v>
          </cell>
          <cell r="C469">
            <v>98.66</v>
          </cell>
        </row>
        <row r="469">
          <cell r="E469">
            <v>43018</v>
          </cell>
          <cell r="F469">
            <v>131.85</v>
          </cell>
        </row>
        <row r="469">
          <cell r="H469">
            <v>43018</v>
          </cell>
          <cell r="I469">
            <v>98.74</v>
          </cell>
        </row>
        <row r="469">
          <cell r="K469">
            <v>43018</v>
          </cell>
          <cell r="L469">
            <v>119.47</v>
          </cell>
        </row>
        <row r="469">
          <cell r="N469">
            <v>43047</v>
          </cell>
          <cell r="O469">
            <v>98.08</v>
          </cell>
        </row>
        <row r="470">
          <cell r="B470">
            <v>43048</v>
          </cell>
          <cell r="C470">
            <v>98.19</v>
          </cell>
        </row>
        <row r="470">
          <cell r="E470">
            <v>43019</v>
          </cell>
          <cell r="F470">
            <v>132.72</v>
          </cell>
        </row>
        <row r="470">
          <cell r="H470">
            <v>43019</v>
          </cell>
          <cell r="I470">
            <v>98.06</v>
          </cell>
        </row>
        <row r="470">
          <cell r="K470">
            <v>43019</v>
          </cell>
          <cell r="L470">
            <v>119.12</v>
          </cell>
        </row>
        <row r="470">
          <cell r="N470">
            <v>43048</v>
          </cell>
          <cell r="O470">
            <v>97.52</v>
          </cell>
        </row>
        <row r="471">
          <cell r="B471">
            <v>43049</v>
          </cell>
          <cell r="C471">
            <v>98</v>
          </cell>
        </row>
        <row r="471">
          <cell r="E471">
            <v>43020</v>
          </cell>
          <cell r="F471">
            <v>133.25</v>
          </cell>
        </row>
        <row r="471">
          <cell r="H471">
            <v>43020</v>
          </cell>
          <cell r="I471">
            <v>97.71</v>
          </cell>
        </row>
        <row r="471">
          <cell r="K471">
            <v>43020</v>
          </cell>
          <cell r="L471">
            <v>118.67</v>
          </cell>
        </row>
        <row r="471">
          <cell r="N471">
            <v>43049</v>
          </cell>
          <cell r="O471">
            <v>97.5</v>
          </cell>
        </row>
        <row r="472">
          <cell r="B472">
            <v>43052</v>
          </cell>
          <cell r="C472">
            <v>98.09</v>
          </cell>
        </row>
        <row r="472">
          <cell r="E472">
            <v>43021</v>
          </cell>
          <cell r="F472">
            <v>133.18</v>
          </cell>
        </row>
        <row r="472">
          <cell r="H472">
            <v>43021</v>
          </cell>
          <cell r="I472">
            <v>98.13</v>
          </cell>
        </row>
        <row r="472">
          <cell r="K472">
            <v>43021</v>
          </cell>
          <cell r="L472">
            <v>118.52</v>
          </cell>
        </row>
        <row r="472">
          <cell r="N472">
            <v>43052</v>
          </cell>
          <cell r="O472">
            <v>97.53</v>
          </cell>
        </row>
        <row r="473">
          <cell r="B473">
            <v>43053</v>
          </cell>
          <cell r="C473">
            <v>98.25</v>
          </cell>
        </row>
        <row r="473">
          <cell r="E473">
            <v>43024</v>
          </cell>
          <cell r="F473">
            <v>133.54</v>
          </cell>
        </row>
        <row r="473">
          <cell r="H473">
            <v>43024</v>
          </cell>
          <cell r="I473">
            <v>97.66</v>
          </cell>
        </row>
        <row r="473">
          <cell r="K473">
            <v>43024</v>
          </cell>
          <cell r="L473">
            <v>118.48</v>
          </cell>
        </row>
        <row r="473">
          <cell r="N473">
            <v>43053</v>
          </cell>
          <cell r="O473">
            <v>97.33</v>
          </cell>
        </row>
        <row r="474">
          <cell r="B474">
            <v>43054</v>
          </cell>
          <cell r="C474">
            <v>98.15</v>
          </cell>
        </row>
        <row r="474">
          <cell r="E474">
            <v>43025</v>
          </cell>
          <cell r="F474">
            <v>133.21</v>
          </cell>
        </row>
        <row r="474">
          <cell r="H474">
            <v>43025</v>
          </cell>
          <cell r="I474">
            <v>97.5</v>
          </cell>
        </row>
        <row r="474">
          <cell r="K474">
            <v>43025</v>
          </cell>
          <cell r="L474">
            <v>119.26</v>
          </cell>
        </row>
        <row r="474">
          <cell r="N474">
            <v>43054</v>
          </cell>
          <cell r="O474">
            <v>97.33</v>
          </cell>
        </row>
        <row r="475">
          <cell r="B475">
            <v>43055</v>
          </cell>
          <cell r="C475">
            <v>98.28</v>
          </cell>
        </row>
        <row r="475">
          <cell r="E475">
            <v>43026</v>
          </cell>
          <cell r="F475">
            <v>133.36</v>
          </cell>
        </row>
        <row r="475">
          <cell r="H475">
            <v>43026</v>
          </cell>
          <cell r="I475">
            <v>98.28</v>
          </cell>
        </row>
        <row r="475">
          <cell r="K475">
            <v>43026</v>
          </cell>
          <cell r="L475">
            <v>119.56</v>
          </cell>
        </row>
        <row r="475">
          <cell r="N475">
            <v>43055</v>
          </cell>
          <cell r="O475">
            <v>96.49</v>
          </cell>
        </row>
        <row r="476">
          <cell r="B476">
            <v>43056</v>
          </cell>
          <cell r="C476">
            <v>98.67</v>
          </cell>
        </row>
        <row r="476">
          <cell r="E476">
            <v>43027</v>
          </cell>
          <cell r="F476">
            <v>132.97</v>
          </cell>
        </row>
        <row r="476">
          <cell r="H476">
            <v>43027</v>
          </cell>
          <cell r="I476">
            <v>98.71</v>
          </cell>
        </row>
        <row r="476">
          <cell r="K476">
            <v>43027</v>
          </cell>
          <cell r="L476">
            <v>119.64</v>
          </cell>
        </row>
        <row r="476">
          <cell r="N476">
            <v>43056</v>
          </cell>
          <cell r="O476">
            <v>96.3</v>
          </cell>
        </row>
        <row r="477">
          <cell r="B477">
            <v>43059</v>
          </cell>
          <cell r="C477">
            <v>98.52</v>
          </cell>
        </row>
        <row r="477">
          <cell r="E477">
            <v>43028</v>
          </cell>
          <cell r="F477">
            <v>133.06</v>
          </cell>
        </row>
        <row r="477">
          <cell r="H477">
            <v>43028</v>
          </cell>
          <cell r="I477">
            <v>98.62</v>
          </cell>
        </row>
        <row r="477">
          <cell r="K477">
            <v>43028</v>
          </cell>
          <cell r="L477">
            <v>119.94</v>
          </cell>
        </row>
        <row r="477">
          <cell r="N477">
            <v>43059</v>
          </cell>
          <cell r="O477">
            <v>95.63</v>
          </cell>
        </row>
        <row r="478">
          <cell r="B478">
            <v>43060</v>
          </cell>
          <cell r="C478">
            <v>98.7</v>
          </cell>
        </row>
        <row r="478">
          <cell r="E478">
            <v>43031</v>
          </cell>
          <cell r="F478">
            <v>133.66</v>
          </cell>
        </row>
        <row r="478">
          <cell r="H478">
            <v>43031</v>
          </cell>
          <cell r="I478">
            <v>98.97</v>
          </cell>
        </row>
        <row r="478">
          <cell r="K478">
            <v>43031</v>
          </cell>
          <cell r="L478">
            <v>120.4</v>
          </cell>
        </row>
        <row r="478">
          <cell r="N478">
            <v>43060</v>
          </cell>
          <cell r="O478">
            <v>95.22</v>
          </cell>
        </row>
        <row r="479">
          <cell r="B479">
            <v>43061</v>
          </cell>
          <cell r="C479">
            <v>98.63</v>
          </cell>
        </row>
        <row r="479">
          <cell r="E479">
            <v>43032</v>
          </cell>
          <cell r="F479">
            <v>134.52</v>
          </cell>
        </row>
        <row r="479">
          <cell r="H479">
            <v>43032</v>
          </cell>
          <cell r="I479">
            <v>99.08</v>
          </cell>
        </row>
        <row r="479">
          <cell r="K479">
            <v>43032</v>
          </cell>
          <cell r="L479">
            <v>120.26</v>
          </cell>
        </row>
        <row r="479">
          <cell r="N479">
            <v>43061</v>
          </cell>
          <cell r="O479">
            <v>95.34</v>
          </cell>
        </row>
        <row r="480">
          <cell r="B480">
            <v>43063</v>
          </cell>
          <cell r="C480">
            <v>98.67</v>
          </cell>
        </row>
        <row r="480">
          <cell r="E480">
            <v>43033</v>
          </cell>
          <cell r="F480">
            <v>134.65</v>
          </cell>
        </row>
        <row r="480">
          <cell r="H480">
            <v>43033</v>
          </cell>
          <cell r="I480">
            <v>99.25</v>
          </cell>
        </row>
        <row r="480">
          <cell r="K480">
            <v>43033</v>
          </cell>
          <cell r="L480">
            <v>120.49</v>
          </cell>
        </row>
        <row r="480">
          <cell r="N480">
            <v>43063</v>
          </cell>
          <cell r="O480">
            <v>95.36</v>
          </cell>
        </row>
        <row r="481">
          <cell r="B481">
            <v>43066</v>
          </cell>
          <cell r="C481">
            <v>98.76</v>
          </cell>
        </row>
        <row r="481">
          <cell r="E481">
            <v>43034</v>
          </cell>
          <cell r="F481">
            <v>134.46</v>
          </cell>
        </row>
        <row r="481">
          <cell r="H481">
            <v>43034</v>
          </cell>
          <cell r="I481">
            <v>98.58</v>
          </cell>
        </row>
        <row r="481">
          <cell r="K481">
            <v>43034</v>
          </cell>
          <cell r="L481">
            <v>120.94</v>
          </cell>
        </row>
        <row r="481">
          <cell r="N481">
            <v>43066</v>
          </cell>
          <cell r="O481">
            <v>95.44</v>
          </cell>
        </row>
        <row r="482">
          <cell r="B482">
            <v>43067</v>
          </cell>
          <cell r="C482">
            <v>98.68</v>
          </cell>
        </row>
        <row r="482">
          <cell r="E482">
            <v>43035</v>
          </cell>
          <cell r="F482">
            <v>136.25</v>
          </cell>
        </row>
        <row r="482">
          <cell r="H482">
            <v>43035</v>
          </cell>
          <cell r="I482">
            <v>97.6</v>
          </cell>
        </row>
        <row r="482">
          <cell r="K482">
            <v>43035</v>
          </cell>
          <cell r="L482">
            <v>120.79</v>
          </cell>
        </row>
        <row r="482">
          <cell r="N482">
            <v>43067</v>
          </cell>
          <cell r="O482">
            <v>94.97</v>
          </cell>
        </row>
        <row r="483">
          <cell r="B483">
            <v>43068</v>
          </cell>
          <cell r="C483">
            <v>98.72</v>
          </cell>
        </row>
        <row r="483">
          <cell r="E483">
            <v>43038</v>
          </cell>
          <cell r="F483">
            <v>135.77</v>
          </cell>
        </row>
        <row r="483">
          <cell r="H483">
            <v>43038</v>
          </cell>
          <cell r="I483">
            <v>97.05</v>
          </cell>
        </row>
        <row r="483">
          <cell r="K483">
            <v>43038</v>
          </cell>
          <cell r="L483">
            <v>120.09</v>
          </cell>
        </row>
        <row r="483">
          <cell r="N483">
            <v>43068</v>
          </cell>
          <cell r="O483">
            <v>94.45</v>
          </cell>
        </row>
        <row r="484">
          <cell r="B484">
            <v>43069</v>
          </cell>
          <cell r="C484">
            <v>98.62</v>
          </cell>
        </row>
        <row r="484">
          <cell r="E484">
            <v>43039</v>
          </cell>
          <cell r="F484">
            <v>137.01</v>
          </cell>
        </row>
        <row r="484">
          <cell r="H484">
            <v>43039</v>
          </cell>
          <cell r="I484">
            <v>97.1</v>
          </cell>
        </row>
        <row r="484">
          <cell r="K484">
            <v>43039</v>
          </cell>
          <cell r="L484">
            <v>119.95</v>
          </cell>
        </row>
        <row r="484">
          <cell r="N484">
            <v>43069</v>
          </cell>
          <cell r="O484">
            <v>94.68</v>
          </cell>
        </row>
        <row r="485">
          <cell r="B485">
            <v>43070</v>
          </cell>
          <cell r="C485">
            <v>98.38</v>
          </cell>
        </row>
        <row r="485">
          <cell r="E485">
            <v>43040</v>
          </cell>
          <cell r="F485">
            <v>137.47</v>
          </cell>
        </row>
        <row r="485">
          <cell r="H485">
            <v>43040</v>
          </cell>
          <cell r="I485">
            <v>96.9</v>
          </cell>
        </row>
        <row r="485">
          <cell r="K485">
            <v>43040</v>
          </cell>
          <cell r="L485">
            <v>120.2</v>
          </cell>
        </row>
        <row r="485">
          <cell r="N485">
            <v>43070</v>
          </cell>
          <cell r="O485">
            <v>95.15</v>
          </cell>
        </row>
        <row r="486">
          <cell r="B486">
            <v>43073</v>
          </cell>
          <cell r="C486">
            <v>98.35</v>
          </cell>
        </row>
        <row r="486">
          <cell r="E486">
            <v>43041</v>
          </cell>
          <cell r="F486">
            <v>138.5</v>
          </cell>
        </row>
        <row r="486">
          <cell r="H486">
            <v>43041</v>
          </cell>
          <cell r="I486">
            <v>96.42</v>
          </cell>
        </row>
        <row r="486">
          <cell r="K486">
            <v>43041</v>
          </cell>
          <cell r="L486">
            <v>120.76</v>
          </cell>
        </row>
        <row r="486">
          <cell r="N486">
            <v>43073</v>
          </cell>
          <cell r="O486">
            <v>94.63</v>
          </cell>
        </row>
        <row r="487">
          <cell r="B487">
            <v>43074</v>
          </cell>
          <cell r="C487">
            <v>98.55</v>
          </cell>
        </row>
        <row r="487">
          <cell r="E487">
            <v>43042</v>
          </cell>
          <cell r="F487">
            <v>138.84</v>
          </cell>
        </row>
        <row r="487">
          <cell r="H487">
            <v>43042</v>
          </cell>
          <cell r="I487">
            <v>96.06</v>
          </cell>
        </row>
        <row r="487">
          <cell r="K487">
            <v>43042</v>
          </cell>
          <cell r="L487">
            <v>121.15</v>
          </cell>
        </row>
        <row r="487">
          <cell r="N487">
            <v>43074</v>
          </cell>
          <cell r="O487">
            <v>94.95</v>
          </cell>
        </row>
        <row r="488">
          <cell r="B488">
            <v>43075</v>
          </cell>
          <cell r="C488">
            <v>98.39</v>
          </cell>
        </row>
        <row r="488">
          <cell r="E488">
            <v>43045</v>
          </cell>
          <cell r="F488">
            <v>138</v>
          </cell>
        </row>
        <row r="488">
          <cell r="H488">
            <v>43045</v>
          </cell>
          <cell r="I488">
            <v>95.6</v>
          </cell>
        </row>
        <row r="488">
          <cell r="K488">
            <v>43045</v>
          </cell>
          <cell r="L488">
            <v>120.45</v>
          </cell>
        </row>
        <row r="488">
          <cell r="N488">
            <v>43075</v>
          </cell>
          <cell r="O488">
            <v>95.36</v>
          </cell>
        </row>
        <row r="489">
          <cell r="B489">
            <v>43076</v>
          </cell>
          <cell r="C489">
            <v>98.06</v>
          </cell>
        </row>
        <row r="489">
          <cell r="E489">
            <v>43046</v>
          </cell>
          <cell r="F489">
            <v>139.01</v>
          </cell>
        </row>
        <row r="489">
          <cell r="H489">
            <v>43046</v>
          </cell>
          <cell r="I489">
            <v>95.86</v>
          </cell>
        </row>
        <row r="489">
          <cell r="K489">
            <v>43046</v>
          </cell>
          <cell r="L489">
            <v>120.65</v>
          </cell>
        </row>
        <row r="489">
          <cell r="N489">
            <v>43076</v>
          </cell>
          <cell r="O489">
            <v>95.23</v>
          </cell>
        </row>
        <row r="490">
          <cell r="B490">
            <v>43077</v>
          </cell>
          <cell r="C490">
            <v>97.9</v>
          </cell>
        </row>
        <row r="490">
          <cell r="E490">
            <v>43047</v>
          </cell>
          <cell r="F490">
            <v>139.03</v>
          </cell>
        </row>
        <row r="490">
          <cell r="H490">
            <v>43047</v>
          </cell>
          <cell r="I490">
            <v>95.83</v>
          </cell>
        </row>
        <row r="490">
          <cell r="K490">
            <v>43047</v>
          </cell>
          <cell r="L490">
            <v>120.6</v>
          </cell>
        </row>
        <row r="490">
          <cell r="N490">
            <v>43077</v>
          </cell>
          <cell r="O490">
            <v>95.41</v>
          </cell>
        </row>
        <row r="491">
          <cell r="B491">
            <v>43080</v>
          </cell>
          <cell r="C491">
            <v>97.75</v>
          </cell>
        </row>
        <row r="491">
          <cell r="E491">
            <v>43048</v>
          </cell>
          <cell r="F491">
            <v>137.24</v>
          </cell>
        </row>
        <row r="491">
          <cell r="H491">
            <v>43048</v>
          </cell>
          <cell r="I491">
            <v>96.19</v>
          </cell>
        </row>
        <row r="491">
          <cell r="K491">
            <v>43048</v>
          </cell>
          <cell r="L491">
            <v>120.52</v>
          </cell>
        </row>
        <row r="491">
          <cell r="N491">
            <v>43080</v>
          </cell>
          <cell r="O491">
            <v>95.81</v>
          </cell>
        </row>
        <row r="492">
          <cell r="B492">
            <v>43081</v>
          </cell>
          <cell r="C492">
            <v>97.75</v>
          </cell>
        </row>
        <row r="492">
          <cell r="E492">
            <v>43049</v>
          </cell>
          <cell r="F492">
            <v>137.37</v>
          </cell>
        </row>
        <row r="492">
          <cell r="H492">
            <v>43049</v>
          </cell>
          <cell r="I492">
            <v>96.17</v>
          </cell>
        </row>
        <row r="492">
          <cell r="K492">
            <v>43049</v>
          </cell>
          <cell r="L492">
            <v>120.9</v>
          </cell>
        </row>
        <row r="492">
          <cell r="N492">
            <v>43081</v>
          </cell>
          <cell r="O492">
            <v>96.12</v>
          </cell>
        </row>
        <row r="493">
          <cell r="B493">
            <v>43082</v>
          </cell>
          <cell r="C493">
            <v>97.77</v>
          </cell>
        </row>
        <row r="493">
          <cell r="E493">
            <v>43052</v>
          </cell>
          <cell r="F493">
            <v>138.37</v>
          </cell>
        </row>
        <row r="493">
          <cell r="H493">
            <v>43052</v>
          </cell>
          <cell r="I493">
            <v>95.89</v>
          </cell>
        </row>
        <row r="493">
          <cell r="K493">
            <v>43052</v>
          </cell>
          <cell r="L493">
            <v>120.75</v>
          </cell>
        </row>
        <row r="493">
          <cell r="N493">
            <v>43082</v>
          </cell>
          <cell r="O493">
            <v>95.48</v>
          </cell>
        </row>
        <row r="494">
          <cell r="B494">
            <v>43083</v>
          </cell>
          <cell r="C494">
            <v>97.86</v>
          </cell>
        </row>
        <row r="494">
          <cell r="E494">
            <v>43053</v>
          </cell>
          <cell r="F494">
            <v>138.92</v>
          </cell>
        </row>
        <row r="494">
          <cell r="H494">
            <v>43053</v>
          </cell>
          <cell r="I494">
            <v>95.75</v>
          </cell>
        </row>
        <row r="494">
          <cell r="K494">
            <v>43053</v>
          </cell>
          <cell r="L494">
            <v>121.68</v>
          </cell>
        </row>
        <row r="494">
          <cell r="N494">
            <v>43083</v>
          </cell>
          <cell r="O494">
            <v>95.98</v>
          </cell>
        </row>
        <row r="495">
          <cell r="B495">
            <v>43084</v>
          </cell>
          <cell r="C495">
            <v>97.82</v>
          </cell>
        </row>
        <row r="495">
          <cell r="E495">
            <v>43054</v>
          </cell>
          <cell r="F495">
            <v>138.19</v>
          </cell>
        </row>
        <row r="495">
          <cell r="H495">
            <v>43054</v>
          </cell>
          <cell r="I495">
            <v>95.94</v>
          </cell>
        </row>
        <row r="495">
          <cell r="K495">
            <v>43054</v>
          </cell>
          <cell r="L495">
            <v>121.63</v>
          </cell>
        </row>
        <row r="495">
          <cell r="N495">
            <v>43084</v>
          </cell>
          <cell r="O495">
            <v>95.17</v>
          </cell>
        </row>
        <row r="496">
          <cell r="B496">
            <v>43087</v>
          </cell>
          <cell r="C496">
            <v>97.72</v>
          </cell>
        </row>
        <row r="496">
          <cell r="E496">
            <v>43055</v>
          </cell>
          <cell r="F496">
            <v>138.52</v>
          </cell>
        </row>
        <row r="496">
          <cell r="H496">
            <v>43055</v>
          </cell>
          <cell r="I496">
            <v>96.32</v>
          </cell>
        </row>
        <row r="496">
          <cell r="K496">
            <v>43055</v>
          </cell>
          <cell r="L496">
            <v>122.11</v>
          </cell>
        </row>
        <row r="496">
          <cell r="N496">
            <v>43087</v>
          </cell>
          <cell r="O496">
            <v>94.7</v>
          </cell>
        </row>
        <row r="497">
          <cell r="B497">
            <v>43088</v>
          </cell>
          <cell r="C497">
            <v>97.65</v>
          </cell>
        </row>
        <row r="497">
          <cell r="E497">
            <v>43056</v>
          </cell>
          <cell r="F497">
            <v>136.74</v>
          </cell>
        </row>
        <row r="497">
          <cell r="H497">
            <v>43056</v>
          </cell>
          <cell r="I497">
            <v>96.47</v>
          </cell>
        </row>
        <row r="497">
          <cell r="K497">
            <v>43056</v>
          </cell>
          <cell r="L497">
            <v>122.2</v>
          </cell>
        </row>
        <row r="497">
          <cell r="N497">
            <v>43088</v>
          </cell>
          <cell r="O497">
            <v>94.92</v>
          </cell>
        </row>
        <row r="498">
          <cell r="B498">
            <v>43089</v>
          </cell>
          <cell r="C498">
            <v>97.66</v>
          </cell>
        </row>
        <row r="498">
          <cell r="E498">
            <v>43059</v>
          </cell>
          <cell r="F498">
            <v>137.39</v>
          </cell>
        </row>
        <row r="498">
          <cell r="H498">
            <v>43059</v>
          </cell>
          <cell r="I498">
            <v>96.73</v>
          </cell>
        </row>
        <row r="498">
          <cell r="K498">
            <v>43059</v>
          </cell>
          <cell r="L498">
            <v>122.57</v>
          </cell>
        </row>
        <row r="498">
          <cell r="N498">
            <v>43089</v>
          </cell>
          <cell r="O498">
            <v>94.83</v>
          </cell>
        </row>
        <row r="499">
          <cell r="B499">
            <v>43090</v>
          </cell>
          <cell r="C499">
            <v>97.63</v>
          </cell>
        </row>
        <row r="499">
          <cell r="E499">
            <v>43060</v>
          </cell>
          <cell r="F499">
            <v>138.59</v>
          </cell>
        </row>
        <row r="499">
          <cell r="H499">
            <v>43060</v>
          </cell>
          <cell r="I499">
            <v>96.7</v>
          </cell>
        </row>
        <row r="499">
          <cell r="K499">
            <v>43060</v>
          </cell>
          <cell r="L499">
            <v>121.84</v>
          </cell>
        </row>
        <row r="499">
          <cell r="N499">
            <v>43090</v>
          </cell>
          <cell r="O499">
            <v>94.75</v>
          </cell>
        </row>
        <row r="500">
          <cell r="B500">
            <v>43091</v>
          </cell>
          <cell r="C500">
            <v>97.57</v>
          </cell>
        </row>
        <row r="500">
          <cell r="E500">
            <v>43061</v>
          </cell>
          <cell r="F500">
            <v>137.43</v>
          </cell>
        </row>
        <row r="500">
          <cell r="H500">
            <v>43061</v>
          </cell>
          <cell r="I500">
            <v>96.61</v>
          </cell>
        </row>
        <row r="500">
          <cell r="K500">
            <v>43061</v>
          </cell>
          <cell r="L500">
            <v>121.75</v>
          </cell>
        </row>
        <row r="500">
          <cell r="N500">
            <v>43091</v>
          </cell>
          <cell r="O500">
            <v>94.73</v>
          </cell>
        </row>
        <row r="501">
          <cell r="B501">
            <v>43095</v>
          </cell>
          <cell r="C501">
            <v>97.69</v>
          </cell>
        </row>
        <row r="501">
          <cell r="E501">
            <v>43062</v>
          </cell>
          <cell r="F501">
            <v>137.39</v>
          </cell>
        </row>
        <row r="501">
          <cell r="H501">
            <v>43062</v>
          </cell>
          <cell r="I501">
            <v>96.65</v>
          </cell>
        </row>
        <row r="501">
          <cell r="K501">
            <v>43062</v>
          </cell>
          <cell r="L501">
            <v>121.75</v>
          </cell>
        </row>
        <row r="501">
          <cell r="N501">
            <v>43095</v>
          </cell>
          <cell r="O501">
            <v>94.59</v>
          </cell>
        </row>
        <row r="502">
          <cell r="B502">
            <v>43096</v>
          </cell>
          <cell r="C502">
            <v>97.64</v>
          </cell>
        </row>
        <row r="502">
          <cell r="E502">
            <v>43063</v>
          </cell>
          <cell r="F502">
            <v>138.18</v>
          </cell>
        </row>
        <row r="502">
          <cell r="H502">
            <v>43063</v>
          </cell>
          <cell r="I502">
            <v>96.27</v>
          </cell>
        </row>
        <row r="502">
          <cell r="K502">
            <v>43063</v>
          </cell>
          <cell r="L502">
            <v>121.85</v>
          </cell>
        </row>
        <row r="502">
          <cell r="N502">
            <v>43096</v>
          </cell>
          <cell r="O502">
            <v>94.67</v>
          </cell>
        </row>
        <row r="503">
          <cell r="B503">
            <v>43097</v>
          </cell>
          <cell r="C503">
            <v>97.9</v>
          </cell>
        </row>
        <row r="503">
          <cell r="E503">
            <v>43066</v>
          </cell>
          <cell r="F503">
            <v>138.5</v>
          </cell>
        </row>
        <row r="503">
          <cell r="H503">
            <v>43066</v>
          </cell>
          <cell r="I503">
            <v>96.13</v>
          </cell>
        </row>
        <row r="503">
          <cell r="K503">
            <v>43066</v>
          </cell>
          <cell r="L503">
            <v>122.35</v>
          </cell>
        </row>
        <row r="503">
          <cell r="N503">
            <v>43097</v>
          </cell>
          <cell r="O503">
            <v>94.74</v>
          </cell>
        </row>
        <row r="504">
          <cell r="B504">
            <v>43098</v>
          </cell>
          <cell r="C504">
            <v>97.83</v>
          </cell>
        </row>
        <row r="504">
          <cell r="E504">
            <v>43067</v>
          </cell>
          <cell r="F504">
            <v>137.23</v>
          </cell>
        </row>
        <row r="504">
          <cell r="H504">
            <v>43067</v>
          </cell>
          <cell r="I504">
            <v>96.62</v>
          </cell>
        </row>
        <row r="504">
          <cell r="K504">
            <v>43067</v>
          </cell>
          <cell r="L504">
            <v>123.61</v>
          </cell>
        </row>
        <row r="504">
          <cell r="N504">
            <v>43098</v>
          </cell>
          <cell r="O504">
            <v>94.85</v>
          </cell>
        </row>
        <row r="505">
          <cell r="B505">
            <v>43102</v>
          </cell>
          <cell r="C505">
            <v>97.92</v>
          </cell>
        </row>
        <row r="505">
          <cell r="E505">
            <v>43068</v>
          </cell>
          <cell r="F505">
            <v>134.17</v>
          </cell>
        </row>
        <row r="505">
          <cell r="H505">
            <v>43068</v>
          </cell>
          <cell r="I505">
            <v>96.91</v>
          </cell>
        </row>
        <row r="505">
          <cell r="K505">
            <v>43068</v>
          </cell>
          <cell r="L505">
            <v>124.59</v>
          </cell>
        </row>
        <row r="505">
          <cell r="N505">
            <v>43102</v>
          </cell>
          <cell r="O505">
            <v>95.04</v>
          </cell>
        </row>
        <row r="506">
          <cell r="B506">
            <v>43103</v>
          </cell>
          <cell r="C506">
            <v>98.21</v>
          </cell>
        </row>
        <row r="506">
          <cell r="E506">
            <v>43069</v>
          </cell>
          <cell r="F506">
            <v>134.62</v>
          </cell>
        </row>
        <row r="506">
          <cell r="H506">
            <v>43069</v>
          </cell>
          <cell r="I506">
            <v>96.9</v>
          </cell>
        </row>
        <row r="506">
          <cell r="K506">
            <v>43069</v>
          </cell>
          <cell r="L506">
            <v>125.35</v>
          </cell>
        </row>
        <row r="506">
          <cell r="N506">
            <v>43103</v>
          </cell>
          <cell r="O506">
            <v>95.77</v>
          </cell>
        </row>
        <row r="507">
          <cell r="B507">
            <v>43104</v>
          </cell>
          <cell r="C507">
            <v>98.02</v>
          </cell>
        </row>
        <row r="507">
          <cell r="E507">
            <v>43070</v>
          </cell>
          <cell r="F507">
            <v>134.07</v>
          </cell>
        </row>
        <row r="507">
          <cell r="H507">
            <v>43070</v>
          </cell>
          <cell r="I507">
            <v>97.04</v>
          </cell>
        </row>
        <row r="507">
          <cell r="K507">
            <v>43070</v>
          </cell>
          <cell r="L507">
            <v>124.89</v>
          </cell>
        </row>
        <row r="507">
          <cell r="N507">
            <v>43104</v>
          </cell>
          <cell r="O507">
            <v>96.02</v>
          </cell>
        </row>
        <row r="508">
          <cell r="B508">
            <v>43105</v>
          </cell>
          <cell r="C508">
            <v>98.3</v>
          </cell>
        </row>
        <row r="508">
          <cell r="E508">
            <v>43073</v>
          </cell>
          <cell r="F508">
            <v>130.93</v>
          </cell>
        </row>
        <row r="508">
          <cell r="H508">
            <v>43073</v>
          </cell>
          <cell r="I508">
            <v>97.85</v>
          </cell>
        </row>
        <row r="508">
          <cell r="K508">
            <v>43073</v>
          </cell>
          <cell r="L508">
            <v>125.52</v>
          </cell>
        </row>
        <row r="508">
          <cell r="N508">
            <v>43105</v>
          </cell>
          <cell r="O508">
            <v>96.42</v>
          </cell>
        </row>
        <row r="509">
          <cell r="B509">
            <v>43108</v>
          </cell>
          <cell r="C509">
            <v>98.2</v>
          </cell>
        </row>
        <row r="509">
          <cell r="E509">
            <v>43074</v>
          </cell>
          <cell r="F509">
            <v>132.25</v>
          </cell>
        </row>
        <row r="509">
          <cell r="H509">
            <v>43074</v>
          </cell>
          <cell r="I509">
            <v>97.68</v>
          </cell>
        </row>
        <row r="509">
          <cell r="K509">
            <v>43074</v>
          </cell>
          <cell r="L509">
            <v>125.88</v>
          </cell>
        </row>
        <row r="509">
          <cell r="N509">
            <v>43108</v>
          </cell>
          <cell r="O509">
            <v>96.41</v>
          </cell>
        </row>
        <row r="510">
          <cell r="B510">
            <v>43109</v>
          </cell>
          <cell r="C510">
            <v>98.27</v>
          </cell>
        </row>
        <row r="510">
          <cell r="E510">
            <v>43075</v>
          </cell>
          <cell r="F510">
            <v>133.76</v>
          </cell>
        </row>
        <row r="510">
          <cell r="H510">
            <v>43075</v>
          </cell>
          <cell r="I510">
            <v>97.46</v>
          </cell>
        </row>
        <row r="510">
          <cell r="K510">
            <v>43075</v>
          </cell>
          <cell r="L510">
            <v>126.17</v>
          </cell>
        </row>
        <row r="510">
          <cell r="N510">
            <v>43109</v>
          </cell>
          <cell r="O510">
            <v>97</v>
          </cell>
        </row>
        <row r="511">
          <cell r="B511">
            <v>43110</v>
          </cell>
          <cell r="C511">
            <v>98.07</v>
          </cell>
        </row>
        <row r="511">
          <cell r="E511">
            <v>43076</v>
          </cell>
          <cell r="F511">
            <v>134.16</v>
          </cell>
        </row>
        <row r="511">
          <cell r="H511">
            <v>43076</v>
          </cell>
          <cell r="I511">
            <v>97.57</v>
          </cell>
        </row>
        <row r="511">
          <cell r="K511">
            <v>43076</v>
          </cell>
          <cell r="L511">
            <v>126.17</v>
          </cell>
        </row>
        <row r="511">
          <cell r="N511">
            <v>43110</v>
          </cell>
          <cell r="O511">
            <v>96.98</v>
          </cell>
        </row>
        <row r="512">
          <cell r="B512">
            <v>43111</v>
          </cell>
          <cell r="C512">
            <v>97.93</v>
          </cell>
        </row>
        <row r="512">
          <cell r="E512">
            <v>43077</v>
          </cell>
          <cell r="F512">
            <v>133.38</v>
          </cell>
        </row>
        <row r="512">
          <cell r="H512">
            <v>43077</v>
          </cell>
          <cell r="I512">
            <v>97.86</v>
          </cell>
        </row>
        <row r="512">
          <cell r="K512">
            <v>43077</v>
          </cell>
          <cell r="L512">
            <v>126.56</v>
          </cell>
        </row>
        <row r="512">
          <cell r="N512">
            <v>43111</v>
          </cell>
          <cell r="O512">
            <v>96.41</v>
          </cell>
        </row>
        <row r="513">
          <cell r="B513">
            <v>43112</v>
          </cell>
          <cell r="C513">
            <v>97.78</v>
          </cell>
        </row>
        <row r="513">
          <cell r="E513">
            <v>43080</v>
          </cell>
          <cell r="F513">
            <v>133</v>
          </cell>
        </row>
        <row r="513">
          <cell r="H513">
            <v>43080</v>
          </cell>
          <cell r="I513">
            <v>97.98</v>
          </cell>
        </row>
        <row r="513">
          <cell r="K513">
            <v>43080</v>
          </cell>
          <cell r="L513">
            <v>126.14</v>
          </cell>
        </row>
        <row r="513">
          <cell r="N513">
            <v>43112</v>
          </cell>
          <cell r="O513">
            <v>96.54</v>
          </cell>
        </row>
        <row r="514">
          <cell r="B514">
            <v>43116</v>
          </cell>
          <cell r="C514">
            <v>97.86</v>
          </cell>
        </row>
        <row r="514">
          <cell r="E514">
            <v>43081</v>
          </cell>
          <cell r="F514">
            <v>131.91</v>
          </cell>
        </row>
        <row r="514">
          <cell r="H514">
            <v>43081</v>
          </cell>
          <cell r="I514">
            <v>98.18</v>
          </cell>
        </row>
        <row r="514">
          <cell r="K514">
            <v>43081</v>
          </cell>
          <cell r="L514">
            <v>126.06</v>
          </cell>
        </row>
        <row r="514">
          <cell r="N514">
            <v>43116</v>
          </cell>
          <cell r="O514">
            <v>96.91</v>
          </cell>
        </row>
        <row r="515">
          <cell r="B515">
            <v>43117</v>
          </cell>
          <cell r="C515">
            <v>98.04</v>
          </cell>
        </row>
        <row r="515">
          <cell r="E515">
            <v>43082</v>
          </cell>
          <cell r="F515">
            <v>132.11</v>
          </cell>
        </row>
        <row r="515">
          <cell r="H515">
            <v>43082</v>
          </cell>
          <cell r="I515">
            <v>98.24</v>
          </cell>
        </row>
        <row r="515">
          <cell r="K515">
            <v>43082</v>
          </cell>
          <cell r="L515">
            <v>125.9</v>
          </cell>
        </row>
        <row r="515">
          <cell r="N515">
            <v>43117</v>
          </cell>
          <cell r="O515">
            <v>96.67</v>
          </cell>
        </row>
        <row r="516">
          <cell r="B516">
            <v>43118</v>
          </cell>
          <cell r="C516">
            <v>98.16</v>
          </cell>
        </row>
        <row r="516">
          <cell r="E516">
            <v>43083</v>
          </cell>
          <cell r="F516">
            <v>132.98</v>
          </cell>
        </row>
        <row r="516">
          <cell r="H516">
            <v>43083</v>
          </cell>
          <cell r="I516">
            <v>97.63</v>
          </cell>
        </row>
        <row r="516">
          <cell r="K516">
            <v>43083</v>
          </cell>
          <cell r="L516">
            <v>125.59</v>
          </cell>
        </row>
        <row r="516">
          <cell r="N516">
            <v>43118</v>
          </cell>
          <cell r="O516">
            <v>96.9</v>
          </cell>
        </row>
        <row r="517">
          <cell r="B517">
            <v>43119</v>
          </cell>
          <cell r="C517">
            <v>97.98</v>
          </cell>
        </row>
        <row r="517">
          <cell r="E517">
            <v>43084</v>
          </cell>
          <cell r="F517">
            <v>132.67</v>
          </cell>
        </row>
        <row r="517">
          <cell r="H517">
            <v>43084</v>
          </cell>
          <cell r="I517">
            <v>98.1</v>
          </cell>
        </row>
        <row r="517">
          <cell r="K517">
            <v>43084</v>
          </cell>
          <cell r="L517">
            <v>126.33</v>
          </cell>
        </row>
        <row r="517">
          <cell r="N517">
            <v>43119</v>
          </cell>
          <cell r="O517">
            <v>96.09</v>
          </cell>
        </row>
        <row r="518">
          <cell r="B518">
            <v>43122</v>
          </cell>
          <cell r="C518">
            <v>98</v>
          </cell>
        </row>
        <row r="518">
          <cell r="E518">
            <v>43087</v>
          </cell>
          <cell r="F518">
            <v>131.46</v>
          </cell>
        </row>
        <row r="518">
          <cell r="H518">
            <v>43087</v>
          </cell>
          <cell r="I518">
            <v>98.53</v>
          </cell>
        </row>
        <row r="518">
          <cell r="K518">
            <v>43087</v>
          </cell>
          <cell r="L518">
            <v>126.59</v>
          </cell>
        </row>
        <row r="518">
          <cell r="N518">
            <v>43122</v>
          </cell>
          <cell r="O518">
            <v>96.38</v>
          </cell>
        </row>
        <row r="519">
          <cell r="B519">
            <v>43123</v>
          </cell>
          <cell r="C519">
            <v>98.01</v>
          </cell>
        </row>
        <row r="519">
          <cell r="E519">
            <v>43088</v>
          </cell>
          <cell r="F519">
            <v>131.33</v>
          </cell>
        </row>
        <row r="519">
          <cell r="H519">
            <v>43088</v>
          </cell>
          <cell r="I519">
            <v>98.59</v>
          </cell>
        </row>
        <row r="519">
          <cell r="K519">
            <v>43088</v>
          </cell>
          <cell r="L519">
            <v>126.8</v>
          </cell>
        </row>
        <row r="519">
          <cell r="N519">
            <v>43123</v>
          </cell>
          <cell r="O519">
            <v>96.68</v>
          </cell>
        </row>
        <row r="520">
          <cell r="B520">
            <v>43124</v>
          </cell>
          <cell r="C520">
            <v>98.05</v>
          </cell>
        </row>
        <row r="520">
          <cell r="E520">
            <v>43089</v>
          </cell>
          <cell r="F520">
            <v>131.04</v>
          </cell>
        </row>
        <row r="520">
          <cell r="H520">
            <v>43089</v>
          </cell>
          <cell r="I520">
            <v>99.03</v>
          </cell>
        </row>
        <row r="520">
          <cell r="K520">
            <v>43089</v>
          </cell>
          <cell r="L520">
            <v>126.33</v>
          </cell>
        </row>
        <row r="520">
          <cell r="N520">
            <v>43124</v>
          </cell>
          <cell r="O520">
            <v>97.15</v>
          </cell>
        </row>
        <row r="521">
          <cell r="B521">
            <v>43125</v>
          </cell>
          <cell r="C521">
            <v>97.86</v>
          </cell>
        </row>
        <row r="521">
          <cell r="E521">
            <v>43090</v>
          </cell>
          <cell r="F521">
            <v>129.73</v>
          </cell>
        </row>
        <row r="521">
          <cell r="H521">
            <v>43090</v>
          </cell>
          <cell r="I521">
            <v>98.35</v>
          </cell>
        </row>
        <row r="521">
          <cell r="K521">
            <v>43090</v>
          </cell>
          <cell r="L521">
            <v>125.13</v>
          </cell>
        </row>
        <row r="521">
          <cell r="N521">
            <v>43125</v>
          </cell>
          <cell r="O521">
            <v>96.89</v>
          </cell>
        </row>
        <row r="522">
          <cell r="B522">
            <v>43126</v>
          </cell>
          <cell r="C522">
            <v>97.7</v>
          </cell>
        </row>
        <row r="522">
          <cell r="E522">
            <v>43091</v>
          </cell>
          <cell r="F522">
            <v>129.36</v>
          </cell>
        </row>
        <row r="522">
          <cell r="H522">
            <v>43091</v>
          </cell>
          <cell r="I522">
            <v>98.21</v>
          </cell>
        </row>
        <row r="522">
          <cell r="K522">
            <v>43091</v>
          </cell>
          <cell r="L522">
            <v>125.22</v>
          </cell>
        </row>
        <row r="522">
          <cell r="N522">
            <v>43126</v>
          </cell>
          <cell r="O522">
            <v>97.51</v>
          </cell>
        </row>
        <row r="523">
          <cell r="B523">
            <v>43129</v>
          </cell>
          <cell r="C523">
            <v>97.59</v>
          </cell>
        </row>
        <row r="523">
          <cell r="E523">
            <v>43094</v>
          </cell>
          <cell r="F523">
            <v>129.35</v>
          </cell>
        </row>
        <row r="523">
          <cell r="H523">
            <v>43094</v>
          </cell>
          <cell r="I523">
            <v>98.2</v>
          </cell>
        </row>
        <row r="523">
          <cell r="K523">
            <v>43094</v>
          </cell>
          <cell r="L523">
            <v>125.21</v>
          </cell>
        </row>
        <row r="523">
          <cell r="N523">
            <v>43129</v>
          </cell>
          <cell r="O523">
            <v>97.49</v>
          </cell>
        </row>
        <row r="524">
          <cell r="B524">
            <v>43130</v>
          </cell>
          <cell r="C524">
            <v>97.29</v>
          </cell>
        </row>
        <row r="524">
          <cell r="E524">
            <v>43095</v>
          </cell>
          <cell r="F524">
            <v>128.67</v>
          </cell>
        </row>
        <row r="524">
          <cell r="H524">
            <v>43095</v>
          </cell>
          <cell r="I524">
            <v>98.02</v>
          </cell>
        </row>
        <row r="524">
          <cell r="K524">
            <v>43095</v>
          </cell>
          <cell r="L524">
            <v>124.91</v>
          </cell>
        </row>
        <row r="524">
          <cell r="N524">
            <v>43130</v>
          </cell>
          <cell r="O524">
            <v>97.22</v>
          </cell>
        </row>
        <row r="525">
          <cell r="B525">
            <v>43131</v>
          </cell>
          <cell r="C525">
            <v>97.3</v>
          </cell>
        </row>
        <row r="525">
          <cell r="E525">
            <v>43096</v>
          </cell>
          <cell r="F525">
            <v>129.4</v>
          </cell>
        </row>
        <row r="525">
          <cell r="H525">
            <v>43096</v>
          </cell>
          <cell r="I525">
            <v>97.86</v>
          </cell>
        </row>
        <row r="525">
          <cell r="K525">
            <v>43096</v>
          </cell>
          <cell r="L525">
            <v>124.99</v>
          </cell>
        </row>
        <row r="525">
          <cell r="N525">
            <v>43131</v>
          </cell>
          <cell r="O525">
            <v>97.92</v>
          </cell>
        </row>
        <row r="526">
          <cell r="B526">
            <v>43132</v>
          </cell>
          <cell r="C526">
            <v>97.52</v>
          </cell>
        </row>
        <row r="526">
          <cell r="E526">
            <v>43097</v>
          </cell>
          <cell r="F526">
            <v>129.38</v>
          </cell>
        </row>
        <row r="526">
          <cell r="H526">
            <v>43097</v>
          </cell>
          <cell r="I526">
            <v>97.78</v>
          </cell>
        </row>
        <row r="526">
          <cell r="K526">
            <v>43097</v>
          </cell>
          <cell r="L526">
            <v>124.68</v>
          </cell>
        </row>
        <row r="526">
          <cell r="N526">
            <v>43132</v>
          </cell>
          <cell r="O526">
            <v>97.96</v>
          </cell>
        </row>
        <row r="527">
          <cell r="B527">
            <v>43133</v>
          </cell>
          <cell r="C527">
            <v>97.82</v>
          </cell>
        </row>
        <row r="527">
          <cell r="E527">
            <v>43098</v>
          </cell>
          <cell r="F527">
            <v>129.51</v>
          </cell>
        </row>
        <row r="527">
          <cell r="H527">
            <v>43098</v>
          </cell>
          <cell r="I527">
            <v>97.82</v>
          </cell>
        </row>
        <row r="527">
          <cell r="K527">
            <v>43098</v>
          </cell>
          <cell r="L527">
            <v>124.3</v>
          </cell>
        </row>
        <row r="527">
          <cell r="N527">
            <v>43133</v>
          </cell>
          <cell r="O527">
            <v>98.01</v>
          </cell>
        </row>
        <row r="528">
          <cell r="B528">
            <v>43136</v>
          </cell>
          <cell r="C528">
            <v>97.74</v>
          </cell>
        </row>
        <row r="528">
          <cell r="E528">
            <v>43101</v>
          </cell>
          <cell r="F528">
            <v>129.5</v>
          </cell>
        </row>
        <row r="528">
          <cell r="H528">
            <v>43101</v>
          </cell>
          <cell r="I528">
            <v>97.81</v>
          </cell>
        </row>
        <row r="528">
          <cell r="K528">
            <v>43101</v>
          </cell>
          <cell r="L528">
            <v>124.29</v>
          </cell>
        </row>
        <row r="528">
          <cell r="N528">
            <v>43136</v>
          </cell>
          <cell r="O528">
            <v>97.33</v>
          </cell>
        </row>
        <row r="529">
          <cell r="B529">
            <v>43137</v>
          </cell>
          <cell r="C529">
            <v>97.55</v>
          </cell>
        </row>
        <row r="529">
          <cell r="E529">
            <v>43102</v>
          </cell>
          <cell r="F529">
            <v>128.22</v>
          </cell>
        </row>
        <row r="529">
          <cell r="H529">
            <v>43102</v>
          </cell>
          <cell r="I529">
            <v>98.57</v>
          </cell>
        </row>
        <row r="529">
          <cell r="K529">
            <v>43102</v>
          </cell>
          <cell r="L529">
            <v>123.84</v>
          </cell>
        </row>
        <row r="529">
          <cell r="N529">
            <v>43137</v>
          </cell>
          <cell r="O529">
            <v>97.84</v>
          </cell>
        </row>
        <row r="530">
          <cell r="B530">
            <v>43138</v>
          </cell>
          <cell r="C530">
            <v>97.46</v>
          </cell>
        </row>
        <row r="530">
          <cell r="E530">
            <v>43103</v>
          </cell>
          <cell r="F530">
            <v>128.97</v>
          </cell>
        </row>
        <row r="530">
          <cell r="H530">
            <v>43103</v>
          </cell>
          <cell r="I530">
            <v>98.41</v>
          </cell>
        </row>
        <row r="530">
          <cell r="K530">
            <v>43103</v>
          </cell>
          <cell r="L530">
            <v>123.83</v>
          </cell>
        </row>
        <row r="530">
          <cell r="N530">
            <v>43138</v>
          </cell>
          <cell r="O530">
            <v>97.37</v>
          </cell>
        </row>
        <row r="531">
          <cell r="B531">
            <v>43139</v>
          </cell>
          <cell r="C531">
            <v>97.44</v>
          </cell>
        </row>
        <row r="531">
          <cell r="E531">
            <v>43104</v>
          </cell>
          <cell r="F531">
            <v>129.04</v>
          </cell>
        </row>
        <row r="531">
          <cell r="H531">
            <v>43104</v>
          </cell>
          <cell r="I531">
            <v>98.07</v>
          </cell>
        </row>
        <row r="531">
          <cell r="K531">
            <v>43104</v>
          </cell>
          <cell r="L531">
            <v>123.64</v>
          </cell>
        </row>
        <row r="531">
          <cell r="N531">
            <v>43139</v>
          </cell>
          <cell r="O531">
            <v>96.47</v>
          </cell>
        </row>
        <row r="532">
          <cell r="B532">
            <v>43140</v>
          </cell>
          <cell r="C532">
            <v>97.54</v>
          </cell>
        </row>
        <row r="532">
          <cell r="E532">
            <v>43105</v>
          </cell>
          <cell r="F532">
            <v>130.09</v>
          </cell>
        </row>
        <row r="532">
          <cell r="H532">
            <v>43105</v>
          </cell>
          <cell r="I532">
            <v>98.15</v>
          </cell>
        </row>
        <row r="532">
          <cell r="K532">
            <v>43105</v>
          </cell>
          <cell r="L532">
            <v>124.34</v>
          </cell>
        </row>
        <row r="532">
          <cell r="N532">
            <v>43140</v>
          </cell>
          <cell r="O532">
            <v>97.12</v>
          </cell>
        </row>
        <row r="533">
          <cell r="B533">
            <v>43143</v>
          </cell>
          <cell r="C533">
            <v>97.45</v>
          </cell>
        </row>
        <row r="533">
          <cell r="E533">
            <v>43108</v>
          </cell>
          <cell r="F533">
            <v>131.07</v>
          </cell>
        </row>
        <row r="533">
          <cell r="H533">
            <v>43108</v>
          </cell>
          <cell r="I533">
            <v>98.07</v>
          </cell>
        </row>
        <row r="533">
          <cell r="K533">
            <v>43108</v>
          </cell>
          <cell r="L533">
            <v>124.84</v>
          </cell>
        </row>
        <row r="533">
          <cell r="N533">
            <v>43143</v>
          </cell>
          <cell r="O533">
            <v>97.38</v>
          </cell>
        </row>
        <row r="534">
          <cell r="B534">
            <v>43144</v>
          </cell>
          <cell r="C534">
            <v>97.26</v>
          </cell>
        </row>
        <row r="534">
          <cell r="E534">
            <v>43109</v>
          </cell>
          <cell r="F534">
            <v>131.88</v>
          </cell>
        </row>
        <row r="534">
          <cell r="H534">
            <v>43109</v>
          </cell>
          <cell r="I534">
            <v>98.03</v>
          </cell>
        </row>
        <row r="534">
          <cell r="K534">
            <v>43109</v>
          </cell>
          <cell r="L534">
            <v>124.92</v>
          </cell>
        </row>
        <row r="534">
          <cell r="N534">
            <v>43144</v>
          </cell>
          <cell r="O534">
            <v>97.55</v>
          </cell>
        </row>
        <row r="535">
          <cell r="B535">
            <v>43145</v>
          </cell>
          <cell r="C535">
            <v>97.19</v>
          </cell>
        </row>
        <row r="535">
          <cell r="E535">
            <v>43110</v>
          </cell>
          <cell r="F535">
            <v>130.61</v>
          </cell>
        </row>
        <row r="535">
          <cell r="H535">
            <v>43110</v>
          </cell>
          <cell r="I535">
            <v>98.44</v>
          </cell>
        </row>
        <row r="535">
          <cell r="K535">
            <v>43110</v>
          </cell>
          <cell r="L535">
            <v>124.56</v>
          </cell>
        </row>
        <row r="535">
          <cell r="N535">
            <v>43145</v>
          </cell>
          <cell r="O535">
            <v>97.47</v>
          </cell>
        </row>
        <row r="536">
          <cell r="B536">
            <v>43146</v>
          </cell>
          <cell r="C536">
            <v>97.09</v>
          </cell>
        </row>
        <row r="536">
          <cell r="E536">
            <v>43111</v>
          </cell>
          <cell r="F536">
            <v>129.77</v>
          </cell>
        </row>
        <row r="536">
          <cell r="H536">
            <v>43111</v>
          </cell>
          <cell r="I536">
            <v>98.56</v>
          </cell>
        </row>
        <row r="536">
          <cell r="K536">
            <v>43111</v>
          </cell>
          <cell r="L536">
            <v>124.55</v>
          </cell>
        </row>
        <row r="536">
          <cell r="N536">
            <v>43146</v>
          </cell>
          <cell r="O536">
            <v>97.57</v>
          </cell>
        </row>
        <row r="537">
          <cell r="B537">
            <v>43147</v>
          </cell>
          <cell r="C537">
            <v>97.18</v>
          </cell>
        </row>
        <row r="537">
          <cell r="E537">
            <v>43112</v>
          </cell>
          <cell r="F537">
            <v>129.73</v>
          </cell>
        </row>
        <row r="537">
          <cell r="H537">
            <v>43112</v>
          </cell>
          <cell r="I537">
            <v>99.05</v>
          </cell>
        </row>
        <row r="537">
          <cell r="K537">
            <v>43112</v>
          </cell>
          <cell r="L537">
            <v>125.07</v>
          </cell>
        </row>
        <row r="537">
          <cell r="N537">
            <v>43147</v>
          </cell>
          <cell r="O537">
            <v>97.18</v>
          </cell>
        </row>
        <row r="538">
          <cell r="B538">
            <v>43151</v>
          </cell>
          <cell r="C538">
            <v>97.02</v>
          </cell>
        </row>
        <row r="538">
          <cell r="E538">
            <v>43115</v>
          </cell>
          <cell r="F538">
            <v>129.48</v>
          </cell>
        </row>
        <row r="538">
          <cell r="H538">
            <v>43115</v>
          </cell>
          <cell r="I538">
            <v>99.42</v>
          </cell>
        </row>
        <row r="538">
          <cell r="K538">
            <v>43115</v>
          </cell>
          <cell r="L538">
            <v>124.53</v>
          </cell>
        </row>
        <row r="538">
          <cell r="N538">
            <v>43151</v>
          </cell>
          <cell r="O538">
            <v>97.5</v>
          </cell>
        </row>
        <row r="539">
          <cell r="B539">
            <v>43152</v>
          </cell>
          <cell r="C539">
            <v>97.02</v>
          </cell>
        </row>
        <row r="539">
          <cell r="E539">
            <v>43116</v>
          </cell>
          <cell r="F539">
            <v>130.42</v>
          </cell>
        </row>
        <row r="539">
          <cell r="H539">
            <v>43116</v>
          </cell>
          <cell r="I539">
            <v>99.52</v>
          </cell>
        </row>
        <row r="539">
          <cell r="K539">
            <v>43116</v>
          </cell>
          <cell r="L539">
            <v>124.91</v>
          </cell>
        </row>
        <row r="539">
          <cell r="N539">
            <v>43152</v>
          </cell>
          <cell r="O539">
            <v>96.75</v>
          </cell>
        </row>
        <row r="540">
          <cell r="B540">
            <v>43153</v>
          </cell>
          <cell r="C540">
            <v>96.48</v>
          </cell>
        </row>
        <row r="540">
          <cell r="E540">
            <v>43117</v>
          </cell>
          <cell r="F540">
            <v>132.28</v>
          </cell>
        </row>
        <row r="540">
          <cell r="H540">
            <v>43117</v>
          </cell>
          <cell r="I540">
            <v>99.67</v>
          </cell>
        </row>
        <row r="540">
          <cell r="K540">
            <v>43117</v>
          </cell>
          <cell r="L540">
            <v>125.91</v>
          </cell>
        </row>
        <row r="540">
          <cell r="N540">
            <v>43153</v>
          </cell>
          <cell r="O540">
            <v>97.03</v>
          </cell>
        </row>
        <row r="541">
          <cell r="B541">
            <v>43154</v>
          </cell>
          <cell r="C541">
            <v>96.2</v>
          </cell>
        </row>
        <row r="541">
          <cell r="E541">
            <v>43118</v>
          </cell>
          <cell r="F541">
            <v>132.17</v>
          </cell>
        </row>
        <row r="541">
          <cell r="H541">
            <v>43118</v>
          </cell>
          <cell r="I541">
            <v>99.53</v>
          </cell>
        </row>
        <row r="541">
          <cell r="K541">
            <v>43118</v>
          </cell>
          <cell r="L541">
            <v>126.31</v>
          </cell>
        </row>
        <row r="541">
          <cell r="N541">
            <v>43154</v>
          </cell>
          <cell r="O541">
            <v>97.36</v>
          </cell>
        </row>
        <row r="542">
          <cell r="B542">
            <v>43157</v>
          </cell>
          <cell r="C542">
            <v>96.24</v>
          </cell>
        </row>
        <row r="542">
          <cell r="E542">
            <v>43119</v>
          </cell>
          <cell r="F542">
            <v>132.45</v>
          </cell>
        </row>
        <row r="542">
          <cell r="H542">
            <v>43119</v>
          </cell>
          <cell r="I542">
            <v>99.51</v>
          </cell>
        </row>
        <row r="542">
          <cell r="K542">
            <v>43119</v>
          </cell>
          <cell r="L542">
            <v>127.18</v>
          </cell>
        </row>
        <row r="542">
          <cell r="N542">
            <v>43157</v>
          </cell>
          <cell r="O542">
            <v>97.62</v>
          </cell>
        </row>
        <row r="543">
          <cell r="B543">
            <v>43158</v>
          </cell>
          <cell r="C543">
            <v>96.15</v>
          </cell>
        </row>
        <row r="543">
          <cell r="E543">
            <v>43122</v>
          </cell>
          <cell r="F543">
            <v>132.22</v>
          </cell>
        </row>
        <row r="543">
          <cell r="H543">
            <v>43122</v>
          </cell>
          <cell r="I543">
            <v>99.2</v>
          </cell>
        </row>
        <row r="543">
          <cell r="K543">
            <v>43122</v>
          </cell>
          <cell r="L543">
            <v>127.42</v>
          </cell>
        </row>
        <row r="543">
          <cell r="N543">
            <v>43158</v>
          </cell>
          <cell r="O543">
            <v>97.81</v>
          </cell>
        </row>
        <row r="544">
          <cell r="B544">
            <v>43159</v>
          </cell>
          <cell r="C544">
            <v>96.18</v>
          </cell>
        </row>
        <row r="544">
          <cell r="E544">
            <v>43123</v>
          </cell>
          <cell r="F544">
            <v>132.01</v>
          </cell>
        </row>
        <row r="544">
          <cell r="H544">
            <v>43123</v>
          </cell>
          <cell r="I544">
            <v>98.41</v>
          </cell>
        </row>
        <row r="544">
          <cell r="K544">
            <v>43123</v>
          </cell>
          <cell r="L544">
            <v>127</v>
          </cell>
        </row>
        <row r="544">
          <cell r="N544">
            <v>43159</v>
          </cell>
          <cell r="O544">
            <v>98.36</v>
          </cell>
        </row>
        <row r="545">
          <cell r="B545">
            <v>43160</v>
          </cell>
          <cell r="C545">
            <v>96.38</v>
          </cell>
        </row>
        <row r="545">
          <cell r="E545">
            <v>43124</v>
          </cell>
          <cell r="F545">
            <v>131.33</v>
          </cell>
        </row>
        <row r="545">
          <cell r="H545">
            <v>43124</v>
          </cell>
          <cell r="I545">
            <v>98.14</v>
          </cell>
        </row>
        <row r="545">
          <cell r="K545">
            <v>43124</v>
          </cell>
          <cell r="L545">
            <v>126.79</v>
          </cell>
        </row>
        <row r="545">
          <cell r="N545">
            <v>43160</v>
          </cell>
          <cell r="O545">
            <v>97.79</v>
          </cell>
        </row>
        <row r="546">
          <cell r="B546">
            <v>43161</v>
          </cell>
          <cell r="C546">
            <v>96.22</v>
          </cell>
        </row>
        <row r="546">
          <cell r="E546">
            <v>43125</v>
          </cell>
          <cell r="F546">
            <v>132.15</v>
          </cell>
        </row>
        <row r="546">
          <cell r="H546">
            <v>43125</v>
          </cell>
          <cell r="I546">
            <v>97.36</v>
          </cell>
        </row>
        <row r="546">
          <cell r="K546">
            <v>43125</v>
          </cell>
          <cell r="L546">
            <v>127.28</v>
          </cell>
        </row>
        <row r="546">
          <cell r="N546">
            <v>43161</v>
          </cell>
          <cell r="O546">
            <v>96.9</v>
          </cell>
        </row>
        <row r="547">
          <cell r="B547">
            <v>43164</v>
          </cell>
          <cell r="C547">
            <v>96.43</v>
          </cell>
        </row>
        <row r="547">
          <cell r="E547">
            <v>43126</v>
          </cell>
          <cell r="F547">
            <v>132.78</v>
          </cell>
        </row>
        <row r="547">
          <cell r="H547">
            <v>43126</v>
          </cell>
          <cell r="I547">
            <v>97.93</v>
          </cell>
        </row>
        <row r="547">
          <cell r="K547">
            <v>43126</v>
          </cell>
          <cell r="L547">
            <v>128.16</v>
          </cell>
        </row>
        <row r="547">
          <cell r="N547">
            <v>43164</v>
          </cell>
          <cell r="O547">
            <v>97.6</v>
          </cell>
        </row>
        <row r="548">
          <cell r="B548">
            <v>43165</v>
          </cell>
          <cell r="C548">
            <v>96.25</v>
          </cell>
        </row>
        <row r="548">
          <cell r="E548">
            <v>43129</v>
          </cell>
          <cell r="F548">
            <v>131.78</v>
          </cell>
        </row>
        <row r="548">
          <cell r="H548">
            <v>43129</v>
          </cell>
          <cell r="I548">
            <v>97.88</v>
          </cell>
        </row>
        <row r="548">
          <cell r="K548">
            <v>43129</v>
          </cell>
          <cell r="L548">
            <v>128.65</v>
          </cell>
        </row>
        <row r="548">
          <cell r="N548">
            <v>43165</v>
          </cell>
          <cell r="O548">
            <v>97.12</v>
          </cell>
        </row>
        <row r="549">
          <cell r="B549">
            <v>43166</v>
          </cell>
          <cell r="C549">
            <v>96.44</v>
          </cell>
        </row>
        <row r="549">
          <cell r="E549">
            <v>43130</v>
          </cell>
          <cell r="F549">
            <v>132.6</v>
          </cell>
        </row>
        <row r="549">
          <cell r="H549">
            <v>43130</v>
          </cell>
          <cell r="I549">
            <v>97.49</v>
          </cell>
        </row>
        <row r="549">
          <cell r="K549">
            <v>43130</v>
          </cell>
          <cell r="L549">
            <v>128.55</v>
          </cell>
        </row>
        <row r="549">
          <cell r="N549">
            <v>43166</v>
          </cell>
          <cell r="O549">
            <v>96.58</v>
          </cell>
        </row>
        <row r="550">
          <cell r="B550">
            <v>43167</v>
          </cell>
          <cell r="C550">
            <v>96.4</v>
          </cell>
        </row>
        <row r="550">
          <cell r="E550">
            <v>43131</v>
          </cell>
          <cell r="F550">
            <v>133.06</v>
          </cell>
        </row>
        <row r="550">
          <cell r="H550">
            <v>43131</v>
          </cell>
          <cell r="I550">
            <v>96.85</v>
          </cell>
        </row>
        <row r="550">
          <cell r="K550">
            <v>43131</v>
          </cell>
          <cell r="L550">
            <v>128.03</v>
          </cell>
        </row>
        <row r="550">
          <cell r="N550">
            <v>43167</v>
          </cell>
          <cell r="O550">
            <v>97.28</v>
          </cell>
        </row>
        <row r="551">
          <cell r="B551">
            <v>43168</v>
          </cell>
          <cell r="C551">
            <v>96.41</v>
          </cell>
        </row>
        <row r="551">
          <cell r="E551">
            <v>43132</v>
          </cell>
          <cell r="F551">
            <v>132.67</v>
          </cell>
        </row>
        <row r="551">
          <cell r="H551">
            <v>43132</v>
          </cell>
          <cell r="I551">
            <v>96.94</v>
          </cell>
        </row>
        <row r="551">
          <cell r="K551">
            <v>43132</v>
          </cell>
          <cell r="L551">
            <v>128.13</v>
          </cell>
        </row>
        <row r="551">
          <cell r="N551">
            <v>43168</v>
          </cell>
          <cell r="O551">
            <v>97.39</v>
          </cell>
        </row>
        <row r="552">
          <cell r="B552">
            <v>43171</v>
          </cell>
          <cell r="C552">
            <v>96.5</v>
          </cell>
        </row>
        <row r="552">
          <cell r="E552">
            <v>43133</v>
          </cell>
          <cell r="F552">
            <v>132.63</v>
          </cell>
        </row>
        <row r="552">
          <cell r="H552">
            <v>43133</v>
          </cell>
          <cell r="I552">
            <v>96.37</v>
          </cell>
        </row>
        <row r="552">
          <cell r="K552">
            <v>43133</v>
          </cell>
          <cell r="L552">
            <v>127.99</v>
          </cell>
        </row>
        <row r="552">
          <cell r="N552">
            <v>43171</v>
          </cell>
          <cell r="O552">
            <v>96.99</v>
          </cell>
        </row>
        <row r="553">
          <cell r="B553">
            <v>43172</v>
          </cell>
          <cell r="C553">
            <v>96.62</v>
          </cell>
        </row>
        <row r="553">
          <cell r="E553">
            <v>43136</v>
          </cell>
          <cell r="F553">
            <v>132.18</v>
          </cell>
        </row>
        <row r="553">
          <cell r="H553">
            <v>43136</v>
          </cell>
          <cell r="I553">
            <v>96.5</v>
          </cell>
        </row>
        <row r="553">
          <cell r="K553">
            <v>43136</v>
          </cell>
          <cell r="L553">
            <v>127.13</v>
          </cell>
        </row>
        <row r="553">
          <cell r="N553">
            <v>43172</v>
          </cell>
          <cell r="O553">
            <v>97.08</v>
          </cell>
        </row>
        <row r="554">
          <cell r="B554">
            <v>43173</v>
          </cell>
          <cell r="C554">
            <v>96.86</v>
          </cell>
        </row>
        <row r="554">
          <cell r="E554">
            <v>43137</v>
          </cell>
          <cell r="F554">
            <v>133.09</v>
          </cell>
        </row>
        <row r="554">
          <cell r="H554">
            <v>43137</v>
          </cell>
          <cell r="I554">
            <v>97.12</v>
          </cell>
        </row>
        <row r="554">
          <cell r="K554">
            <v>43137</v>
          </cell>
          <cell r="L554">
            <v>128.13</v>
          </cell>
        </row>
        <row r="554">
          <cell r="N554">
            <v>43173</v>
          </cell>
          <cell r="O554">
            <v>97.2</v>
          </cell>
        </row>
        <row r="555">
          <cell r="B555">
            <v>43174</v>
          </cell>
          <cell r="C555">
            <v>97.01</v>
          </cell>
        </row>
        <row r="555">
          <cell r="E555">
            <v>43138</v>
          </cell>
          <cell r="F555">
            <v>133.03</v>
          </cell>
        </row>
        <row r="555">
          <cell r="H555">
            <v>43138</v>
          </cell>
          <cell r="I555">
            <v>97.29</v>
          </cell>
        </row>
        <row r="555">
          <cell r="K555">
            <v>43138</v>
          </cell>
          <cell r="L555">
            <v>128.48</v>
          </cell>
        </row>
        <row r="555">
          <cell r="N555">
            <v>43174</v>
          </cell>
          <cell r="O555">
            <v>97.53</v>
          </cell>
        </row>
        <row r="556">
          <cell r="B556">
            <v>43175</v>
          </cell>
          <cell r="C556">
            <v>97.09</v>
          </cell>
        </row>
        <row r="556">
          <cell r="E556">
            <v>43139</v>
          </cell>
          <cell r="F556">
            <v>131.42</v>
          </cell>
        </row>
        <row r="556">
          <cell r="H556">
            <v>43139</v>
          </cell>
          <cell r="I556">
            <v>97.56</v>
          </cell>
        </row>
        <row r="556">
          <cell r="K556">
            <v>43139</v>
          </cell>
          <cell r="L556">
            <v>127.91</v>
          </cell>
        </row>
        <row r="556">
          <cell r="N556">
            <v>43175</v>
          </cell>
          <cell r="O556">
            <v>97.27</v>
          </cell>
        </row>
        <row r="557">
          <cell r="B557">
            <v>43178</v>
          </cell>
          <cell r="C557">
            <v>97.28</v>
          </cell>
        </row>
        <row r="557">
          <cell r="E557">
            <v>43140</v>
          </cell>
          <cell r="F557">
            <v>132.14</v>
          </cell>
        </row>
        <row r="557">
          <cell r="H557">
            <v>43140</v>
          </cell>
          <cell r="I557">
            <v>97.45</v>
          </cell>
        </row>
        <row r="557">
          <cell r="K557">
            <v>43140</v>
          </cell>
          <cell r="L557">
            <v>128.7</v>
          </cell>
        </row>
        <row r="557">
          <cell r="N557">
            <v>43178</v>
          </cell>
          <cell r="O557">
            <v>96.89</v>
          </cell>
        </row>
        <row r="558">
          <cell r="B558">
            <v>43179</v>
          </cell>
          <cell r="C558">
            <v>97.31</v>
          </cell>
        </row>
        <row r="558">
          <cell r="E558">
            <v>43143</v>
          </cell>
          <cell r="F558">
            <v>132.69</v>
          </cell>
        </row>
        <row r="558">
          <cell r="H558">
            <v>43143</v>
          </cell>
          <cell r="I558">
            <v>97.38</v>
          </cell>
        </row>
        <row r="558">
          <cell r="K558">
            <v>43143</v>
          </cell>
          <cell r="L558">
            <v>128.02</v>
          </cell>
        </row>
        <row r="558">
          <cell r="N558">
            <v>43179</v>
          </cell>
          <cell r="O558">
            <v>96.95</v>
          </cell>
        </row>
        <row r="559">
          <cell r="B559">
            <v>43180</v>
          </cell>
          <cell r="C559">
            <v>97.27</v>
          </cell>
        </row>
        <row r="559">
          <cell r="E559">
            <v>43144</v>
          </cell>
          <cell r="F559">
            <v>133.25</v>
          </cell>
        </row>
        <row r="559">
          <cell r="H559">
            <v>43144</v>
          </cell>
          <cell r="I559">
            <v>97.42</v>
          </cell>
        </row>
        <row r="559">
          <cell r="K559">
            <v>43144</v>
          </cell>
          <cell r="L559">
            <v>128.63</v>
          </cell>
        </row>
        <row r="559">
          <cell r="N559">
            <v>43180</v>
          </cell>
          <cell r="O559">
            <v>96.49</v>
          </cell>
        </row>
        <row r="560">
          <cell r="B560">
            <v>43181</v>
          </cell>
          <cell r="C560">
            <v>97.15</v>
          </cell>
        </row>
        <row r="560">
          <cell r="E560">
            <v>43145</v>
          </cell>
          <cell r="F560">
            <v>132.75</v>
          </cell>
        </row>
        <row r="560">
          <cell r="H560">
            <v>43145</v>
          </cell>
          <cell r="I560">
            <v>97.08</v>
          </cell>
        </row>
        <row r="560">
          <cell r="K560">
            <v>43145</v>
          </cell>
          <cell r="L560">
            <v>128.43</v>
          </cell>
        </row>
        <row r="560">
          <cell r="N560">
            <v>43181</v>
          </cell>
          <cell r="O560">
            <v>96.19</v>
          </cell>
        </row>
        <row r="561">
          <cell r="B561">
            <v>43182</v>
          </cell>
          <cell r="C561">
            <v>97.18</v>
          </cell>
        </row>
        <row r="561">
          <cell r="E561">
            <v>43146</v>
          </cell>
          <cell r="F561">
            <v>133.03</v>
          </cell>
        </row>
        <row r="561">
          <cell r="H561">
            <v>43146</v>
          </cell>
          <cell r="I561">
            <v>96.84</v>
          </cell>
        </row>
        <row r="561">
          <cell r="K561">
            <v>43146</v>
          </cell>
          <cell r="L561">
            <v>128.73</v>
          </cell>
        </row>
        <row r="561">
          <cell r="N561">
            <v>43182</v>
          </cell>
          <cell r="O561">
            <v>96.16</v>
          </cell>
        </row>
        <row r="562">
          <cell r="B562">
            <v>43185</v>
          </cell>
          <cell r="C562">
            <v>97.38</v>
          </cell>
        </row>
        <row r="562">
          <cell r="E562">
            <v>43147</v>
          </cell>
          <cell r="F562">
            <v>132.52</v>
          </cell>
        </row>
        <row r="562">
          <cell r="H562">
            <v>43147</v>
          </cell>
          <cell r="I562">
            <v>96.87</v>
          </cell>
        </row>
        <row r="562">
          <cell r="K562">
            <v>43147</v>
          </cell>
          <cell r="L562">
            <v>129.14</v>
          </cell>
        </row>
        <row r="562">
          <cell r="N562">
            <v>43185</v>
          </cell>
          <cell r="O562">
            <v>96.26</v>
          </cell>
        </row>
        <row r="563">
          <cell r="B563">
            <v>43186</v>
          </cell>
          <cell r="C563">
            <v>97.25</v>
          </cell>
        </row>
        <row r="563">
          <cell r="E563">
            <v>43150</v>
          </cell>
          <cell r="F563">
            <v>132.53</v>
          </cell>
        </row>
        <row r="563">
          <cell r="H563">
            <v>43150</v>
          </cell>
          <cell r="I563">
            <v>96.82</v>
          </cell>
        </row>
        <row r="563">
          <cell r="K563">
            <v>43150</v>
          </cell>
          <cell r="L563">
            <v>129.18</v>
          </cell>
        </row>
        <row r="563">
          <cell r="N563">
            <v>43186</v>
          </cell>
          <cell r="O563">
            <v>96.44</v>
          </cell>
        </row>
        <row r="564">
          <cell r="B564">
            <v>43187</v>
          </cell>
          <cell r="C564">
            <v>97.21</v>
          </cell>
        </row>
        <row r="564">
          <cell r="E564">
            <v>43151</v>
          </cell>
          <cell r="F564">
            <v>132.67</v>
          </cell>
        </row>
        <row r="564">
          <cell r="H564">
            <v>43151</v>
          </cell>
          <cell r="I564">
            <v>96.39</v>
          </cell>
        </row>
        <row r="564">
          <cell r="K564">
            <v>43151</v>
          </cell>
          <cell r="L564">
            <v>129.12</v>
          </cell>
        </row>
        <row r="564">
          <cell r="N564">
            <v>43187</v>
          </cell>
          <cell r="O564">
            <v>96.07</v>
          </cell>
        </row>
        <row r="565">
          <cell r="B565">
            <v>43188</v>
          </cell>
          <cell r="C565">
            <v>97.27</v>
          </cell>
        </row>
        <row r="565">
          <cell r="E565">
            <v>43152</v>
          </cell>
          <cell r="F565">
            <v>132.97</v>
          </cell>
        </row>
        <row r="565">
          <cell r="H565">
            <v>43152</v>
          </cell>
          <cell r="I565">
            <v>96.4</v>
          </cell>
        </row>
        <row r="565">
          <cell r="K565">
            <v>43152</v>
          </cell>
          <cell r="L565">
            <v>128.89</v>
          </cell>
        </row>
        <row r="565">
          <cell r="N565">
            <v>43188</v>
          </cell>
          <cell r="O565">
            <v>96.32</v>
          </cell>
        </row>
        <row r="566">
          <cell r="B566">
            <v>43192</v>
          </cell>
          <cell r="C566">
            <v>97.29</v>
          </cell>
        </row>
        <row r="566">
          <cell r="E566">
            <v>43153</v>
          </cell>
          <cell r="F566">
            <v>134.29</v>
          </cell>
        </row>
        <row r="566">
          <cell r="H566">
            <v>43153</v>
          </cell>
          <cell r="I566">
            <v>96.32</v>
          </cell>
        </row>
        <row r="566">
          <cell r="K566">
            <v>43153</v>
          </cell>
          <cell r="L566">
            <v>129.06</v>
          </cell>
        </row>
        <row r="566">
          <cell r="N566">
            <v>43192</v>
          </cell>
          <cell r="O566">
            <v>96.43</v>
          </cell>
        </row>
        <row r="567">
          <cell r="B567">
            <v>43193</v>
          </cell>
          <cell r="C567">
            <v>97.13</v>
          </cell>
        </row>
        <row r="567">
          <cell r="E567">
            <v>43154</v>
          </cell>
          <cell r="F567">
            <v>134.24</v>
          </cell>
        </row>
        <row r="567">
          <cell r="H567">
            <v>43154</v>
          </cell>
          <cell r="I567">
            <v>96.04</v>
          </cell>
        </row>
        <row r="567">
          <cell r="K567">
            <v>43154</v>
          </cell>
          <cell r="L567">
            <v>128.94</v>
          </cell>
        </row>
        <row r="567">
          <cell r="N567">
            <v>43193</v>
          </cell>
          <cell r="O567">
            <v>96.39</v>
          </cell>
        </row>
        <row r="568">
          <cell r="B568">
            <v>43194</v>
          </cell>
          <cell r="C568">
            <v>97.7</v>
          </cell>
        </row>
        <row r="568">
          <cell r="E568">
            <v>43157</v>
          </cell>
          <cell r="F568">
            <v>134.24</v>
          </cell>
        </row>
        <row r="568">
          <cell r="H568">
            <v>43157</v>
          </cell>
          <cell r="I568">
            <v>96.73</v>
          </cell>
        </row>
        <row r="568">
          <cell r="K568">
            <v>43157</v>
          </cell>
          <cell r="L568">
            <v>129.28</v>
          </cell>
        </row>
        <row r="568">
          <cell r="N568">
            <v>43194</v>
          </cell>
          <cell r="O568">
            <v>96.28</v>
          </cell>
        </row>
        <row r="569">
          <cell r="B569">
            <v>43195</v>
          </cell>
          <cell r="C569">
            <v>97.91</v>
          </cell>
        </row>
        <row r="569">
          <cell r="E569">
            <v>43158</v>
          </cell>
          <cell r="F569">
            <v>134.26</v>
          </cell>
        </row>
        <row r="569">
          <cell r="H569">
            <v>43158</v>
          </cell>
          <cell r="I569">
            <v>96.6</v>
          </cell>
        </row>
        <row r="569">
          <cell r="K569">
            <v>43158</v>
          </cell>
          <cell r="L569">
            <v>129.16</v>
          </cell>
        </row>
        <row r="569">
          <cell r="N569">
            <v>43195</v>
          </cell>
          <cell r="O569">
            <v>96.22</v>
          </cell>
        </row>
        <row r="570">
          <cell r="B570">
            <v>43196</v>
          </cell>
          <cell r="C570">
            <v>97.94</v>
          </cell>
        </row>
        <row r="570">
          <cell r="E570">
            <v>43159</v>
          </cell>
          <cell r="F570">
            <v>134.84</v>
          </cell>
        </row>
        <row r="570">
          <cell r="H570">
            <v>43159</v>
          </cell>
          <cell r="I570">
            <v>96.75</v>
          </cell>
        </row>
        <row r="570">
          <cell r="K570">
            <v>43159</v>
          </cell>
          <cell r="L570">
            <v>129.8</v>
          </cell>
        </row>
        <row r="570">
          <cell r="N570">
            <v>43196</v>
          </cell>
          <cell r="O570">
            <v>95.72</v>
          </cell>
        </row>
        <row r="571">
          <cell r="B571">
            <v>43199</v>
          </cell>
          <cell r="C571">
            <v>97.82</v>
          </cell>
        </row>
        <row r="571">
          <cell r="E571">
            <v>43160</v>
          </cell>
          <cell r="F571">
            <v>134.6</v>
          </cell>
        </row>
        <row r="571">
          <cell r="H571">
            <v>43160</v>
          </cell>
          <cell r="I571">
            <v>96.48</v>
          </cell>
        </row>
        <row r="571">
          <cell r="K571">
            <v>43160</v>
          </cell>
          <cell r="L571">
            <v>129.36</v>
          </cell>
        </row>
        <row r="571">
          <cell r="N571">
            <v>43199</v>
          </cell>
          <cell r="O571">
            <v>96.24</v>
          </cell>
        </row>
        <row r="572">
          <cell r="B572">
            <v>43200</v>
          </cell>
          <cell r="C572">
            <v>97.41</v>
          </cell>
        </row>
        <row r="572">
          <cell r="E572">
            <v>43161</v>
          </cell>
          <cell r="F572">
            <v>133.75</v>
          </cell>
        </row>
        <row r="572">
          <cell r="H572">
            <v>43161</v>
          </cell>
          <cell r="I572">
            <v>96.1</v>
          </cell>
        </row>
        <row r="572">
          <cell r="K572">
            <v>43161</v>
          </cell>
          <cell r="L572">
            <v>129.38</v>
          </cell>
        </row>
        <row r="572">
          <cell r="N572">
            <v>43200</v>
          </cell>
          <cell r="O572">
            <v>96.09</v>
          </cell>
        </row>
        <row r="573">
          <cell r="B573">
            <v>43201</v>
          </cell>
          <cell r="C573">
            <v>97.46</v>
          </cell>
        </row>
        <row r="573">
          <cell r="E573">
            <v>43164</v>
          </cell>
          <cell r="F573">
            <v>132.49</v>
          </cell>
        </row>
        <row r="573">
          <cell r="H573">
            <v>43164</v>
          </cell>
          <cell r="I573">
            <v>95.76</v>
          </cell>
        </row>
        <row r="573">
          <cell r="K573">
            <v>43164</v>
          </cell>
          <cell r="L573">
            <v>129.23</v>
          </cell>
        </row>
        <row r="573">
          <cell r="N573">
            <v>43201</v>
          </cell>
          <cell r="O573">
            <v>95.46</v>
          </cell>
        </row>
        <row r="574">
          <cell r="B574">
            <v>43202</v>
          </cell>
          <cell r="C574">
            <v>97.42</v>
          </cell>
        </row>
        <row r="574">
          <cell r="E574">
            <v>43165</v>
          </cell>
          <cell r="F574">
            <v>132.56</v>
          </cell>
        </row>
        <row r="574">
          <cell r="H574">
            <v>43165</v>
          </cell>
          <cell r="I574">
            <v>96.16</v>
          </cell>
        </row>
        <row r="574">
          <cell r="K574">
            <v>43165</v>
          </cell>
          <cell r="L574">
            <v>129.28</v>
          </cell>
        </row>
        <row r="574">
          <cell r="N574">
            <v>43202</v>
          </cell>
          <cell r="O574">
            <v>95.57</v>
          </cell>
        </row>
        <row r="575">
          <cell r="B575">
            <v>43203</v>
          </cell>
          <cell r="C575">
            <v>97.53</v>
          </cell>
        </row>
        <row r="575">
          <cell r="E575">
            <v>43166</v>
          </cell>
          <cell r="F575">
            <v>133.22</v>
          </cell>
        </row>
        <row r="575">
          <cell r="H575">
            <v>43166</v>
          </cell>
          <cell r="I575">
            <v>95.49</v>
          </cell>
        </row>
        <row r="575">
          <cell r="K575">
            <v>43166</v>
          </cell>
          <cell r="L575">
            <v>129.2</v>
          </cell>
        </row>
        <row r="575">
          <cell r="N575">
            <v>43203</v>
          </cell>
          <cell r="O575">
            <v>95.69</v>
          </cell>
        </row>
        <row r="576">
          <cell r="B576">
            <v>43206</v>
          </cell>
          <cell r="C576">
            <v>97.85</v>
          </cell>
        </row>
        <row r="576">
          <cell r="E576">
            <v>43167</v>
          </cell>
          <cell r="F576">
            <v>133.85</v>
          </cell>
        </row>
        <row r="576">
          <cell r="H576">
            <v>43167</v>
          </cell>
          <cell r="I576">
            <v>95.59</v>
          </cell>
        </row>
        <row r="576">
          <cell r="K576">
            <v>43167</v>
          </cell>
          <cell r="L576">
            <v>129.33</v>
          </cell>
        </row>
        <row r="576">
          <cell r="N576">
            <v>43206</v>
          </cell>
          <cell r="O576">
            <v>95.4</v>
          </cell>
        </row>
        <row r="577">
          <cell r="B577">
            <v>43207</v>
          </cell>
          <cell r="C577">
            <v>98.07</v>
          </cell>
        </row>
        <row r="577">
          <cell r="E577">
            <v>43168</v>
          </cell>
          <cell r="F577">
            <v>135.2</v>
          </cell>
        </row>
        <row r="577">
          <cell r="H577">
            <v>43168</v>
          </cell>
          <cell r="I577">
            <v>95.5</v>
          </cell>
        </row>
        <row r="577">
          <cell r="K577">
            <v>43168</v>
          </cell>
          <cell r="L577">
            <v>129.55</v>
          </cell>
        </row>
        <row r="577">
          <cell r="N577">
            <v>43207</v>
          </cell>
          <cell r="O577">
            <v>95.27</v>
          </cell>
        </row>
        <row r="578">
          <cell r="B578">
            <v>43208</v>
          </cell>
          <cell r="C578">
            <v>97.99</v>
          </cell>
        </row>
        <row r="578">
          <cell r="E578">
            <v>43171</v>
          </cell>
          <cell r="F578">
            <v>134.73</v>
          </cell>
        </row>
        <row r="578">
          <cell r="H578">
            <v>43171</v>
          </cell>
          <cell r="I578">
            <v>95.8</v>
          </cell>
        </row>
        <row r="578">
          <cell r="K578">
            <v>43171</v>
          </cell>
          <cell r="L578">
            <v>129</v>
          </cell>
        </row>
        <row r="578">
          <cell r="N578">
            <v>43208</v>
          </cell>
          <cell r="O578">
            <v>95.24</v>
          </cell>
        </row>
        <row r="579">
          <cell r="B579">
            <v>43209</v>
          </cell>
          <cell r="C579">
            <v>97.93</v>
          </cell>
        </row>
        <row r="579">
          <cell r="E579">
            <v>43172</v>
          </cell>
          <cell r="F579">
            <v>134.71</v>
          </cell>
        </row>
        <row r="579">
          <cell r="H579">
            <v>43172</v>
          </cell>
          <cell r="I579">
            <v>96.09</v>
          </cell>
        </row>
        <row r="579">
          <cell r="K579">
            <v>43172</v>
          </cell>
          <cell r="L579">
            <v>129.16</v>
          </cell>
        </row>
        <row r="579">
          <cell r="N579">
            <v>43209</v>
          </cell>
          <cell r="O579">
            <v>95.44</v>
          </cell>
        </row>
        <row r="580">
          <cell r="B580">
            <v>43210</v>
          </cell>
          <cell r="C580">
            <v>98.07</v>
          </cell>
        </row>
        <row r="580">
          <cell r="E580">
            <v>43173</v>
          </cell>
          <cell r="F580">
            <v>135.72</v>
          </cell>
        </row>
        <row r="580">
          <cell r="H580">
            <v>43173</v>
          </cell>
          <cell r="I580">
            <v>95.71</v>
          </cell>
        </row>
        <row r="580">
          <cell r="K580">
            <v>43173</v>
          </cell>
          <cell r="L580">
            <v>129.43</v>
          </cell>
        </row>
        <row r="580">
          <cell r="N580">
            <v>43210</v>
          </cell>
          <cell r="O580">
            <v>95.47</v>
          </cell>
        </row>
        <row r="581">
          <cell r="B581">
            <v>43213</v>
          </cell>
          <cell r="C581">
            <v>98.52</v>
          </cell>
        </row>
        <row r="581">
          <cell r="E581">
            <v>43174</v>
          </cell>
          <cell r="F581">
            <v>136.28</v>
          </cell>
        </row>
        <row r="581">
          <cell r="H581">
            <v>43174</v>
          </cell>
          <cell r="I581">
            <v>95.7</v>
          </cell>
        </row>
        <row r="581">
          <cell r="K581">
            <v>43174</v>
          </cell>
          <cell r="L581">
            <v>129.65</v>
          </cell>
        </row>
        <row r="581">
          <cell r="N581">
            <v>43213</v>
          </cell>
          <cell r="O581">
            <v>95.5</v>
          </cell>
        </row>
        <row r="582">
          <cell r="B582">
            <v>43214</v>
          </cell>
          <cell r="C582">
            <v>98.21</v>
          </cell>
        </row>
        <row r="582">
          <cell r="E582">
            <v>43175</v>
          </cell>
          <cell r="F582">
            <v>135.87</v>
          </cell>
        </row>
        <row r="582">
          <cell r="H582">
            <v>43175</v>
          </cell>
          <cell r="I582">
            <v>95.61</v>
          </cell>
        </row>
        <row r="582">
          <cell r="K582">
            <v>43175</v>
          </cell>
          <cell r="L582">
            <v>129.99</v>
          </cell>
        </row>
        <row r="582">
          <cell r="N582">
            <v>43214</v>
          </cell>
          <cell r="O582">
            <v>95</v>
          </cell>
        </row>
        <row r="583">
          <cell r="B583">
            <v>43215</v>
          </cell>
          <cell r="C583">
            <v>97.87</v>
          </cell>
        </row>
        <row r="583">
          <cell r="E583">
            <v>43178</v>
          </cell>
          <cell r="F583">
            <v>136.48</v>
          </cell>
        </row>
        <row r="583">
          <cell r="H583">
            <v>43178</v>
          </cell>
          <cell r="I583">
            <v>95.47</v>
          </cell>
        </row>
        <row r="583">
          <cell r="K583">
            <v>43178</v>
          </cell>
          <cell r="L583">
            <v>130.2</v>
          </cell>
        </row>
        <row r="583">
          <cell r="N583">
            <v>43215</v>
          </cell>
          <cell r="O583">
            <v>95.19</v>
          </cell>
        </row>
        <row r="584">
          <cell r="B584">
            <v>43216</v>
          </cell>
          <cell r="C584">
            <v>98.22</v>
          </cell>
        </row>
        <row r="584">
          <cell r="E584">
            <v>43179</v>
          </cell>
          <cell r="F584">
            <v>138.83</v>
          </cell>
        </row>
        <row r="584">
          <cell r="H584">
            <v>43179</v>
          </cell>
          <cell r="I584">
            <v>95.12</v>
          </cell>
        </row>
        <row r="584">
          <cell r="K584">
            <v>43179</v>
          </cell>
          <cell r="L584">
            <v>131.06</v>
          </cell>
        </row>
        <row r="584">
          <cell r="N584">
            <v>43216</v>
          </cell>
          <cell r="O584">
            <v>95.2</v>
          </cell>
        </row>
        <row r="585">
          <cell r="B585">
            <v>43217</v>
          </cell>
          <cell r="C585">
            <v>98.64</v>
          </cell>
        </row>
        <row r="585">
          <cell r="E585">
            <v>43180</v>
          </cell>
          <cell r="F585">
            <v>137.78</v>
          </cell>
        </row>
        <row r="585">
          <cell r="H585">
            <v>43180</v>
          </cell>
          <cell r="I585">
            <v>95.23</v>
          </cell>
        </row>
        <row r="585">
          <cell r="K585">
            <v>43180</v>
          </cell>
          <cell r="L585">
            <v>130.12</v>
          </cell>
        </row>
        <row r="585">
          <cell r="N585">
            <v>43217</v>
          </cell>
          <cell r="O585">
            <v>95.1</v>
          </cell>
        </row>
        <row r="586">
          <cell r="B586">
            <v>43220</v>
          </cell>
          <cell r="C586">
            <v>98.78</v>
          </cell>
        </row>
        <row r="586">
          <cell r="E586">
            <v>43181</v>
          </cell>
          <cell r="F586">
            <v>137.3</v>
          </cell>
        </row>
        <row r="586">
          <cell r="H586">
            <v>43181</v>
          </cell>
          <cell r="I586">
            <v>94.82</v>
          </cell>
        </row>
        <row r="586">
          <cell r="K586">
            <v>43181</v>
          </cell>
          <cell r="L586">
            <v>129.65</v>
          </cell>
        </row>
        <row r="586">
          <cell r="N586">
            <v>43220</v>
          </cell>
          <cell r="O586">
            <v>95.15</v>
          </cell>
        </row>
        <row r="587">
          <cell r="B587">
            <v>43221</v>
          </cell>
          <cell r="C587">
            <v>98.91</v>
          </cell>
        </row>
        <row r="587">
          <cell r="E587">
            <v>43182</v>
          </cell>
          <cell r="F587">
            <v>136.94</v>
          </cell>
        </row>
        <row r="587">
          <cell r="H587">
            <v>43182</v>
          </cell>
          <cell r="I587">
            <v>94.14</v>
          </cell>
        </row>
        <row r="587">
          <cell r="K587">
            <v>43182</v>
          </cell>
          <cell r="L587">
            <v>128.68</v>
          </cell>
        </row>
        <row r="587">
          <cell r="N587">
            <v>43221</v>
          </cell>
          <cell r="O587">
            <v>94.58</v>
          </cell>
        </row>
        <row r="588">
          <cell r="B588">
            <v>43222</v>
          </cell>
          <cell r="C588">
            <v>98.79</v>
          </cell>
        </row>
        <row r="588">
          <cell r="E588">
            <v>43185</v>
          </cell>
          <cell r="F588">
            <v>137.68</v>
          </cell>
        </row>
        <row r="588">
          <cell r="H588">
            <v>43185</v>
          </cell>
          <cell r="I588">
            <v>94.04</v>
          </cell>
        </row>
        <row r="588">
          <cell r="K588">
            <v>43185</v>
          </cell>
          <cell r="L588">
            <v>129.55</v>
          </cell>
        </row>
        <row r="588">
          <cell r="N588">
            <v>43222</v>
          </cell>
          <cell r="O588">
            <v>93.77</v>
          </cell>
        </row>
        <row r="589">
          <cell r="B589">
            <v>43223</v>
          </cell>
          <cell r="C589">
            <v>98.95</v>
          </cell>
        </row>
        <row r="589">
          <cell r="E589">
            <v>43186</v>
          </cell>
          <cell r="F589">
            <v>136.48</v>
          </cell>
        </row>
        <row r="589">
          <cell r="H589">
            <v>43186</v>
          </cell>
          <cell r="I589">
            <v>94.21</v>
          </cell>
        </row>
        <row r="589">
          <cell r="K589">
            <v>43186</v>
          </cell>
          <cell r="L589">
            <v>129.51</v>
          </cell>
        </row>
        <row r="589">
          <cell r="N589">
            <v>43223</v>
          </cell>
          <cell r="O589">
            <v>93.95</v>
          </cell>
        </row>
        <row r="590">
          <cell r="B590">
            <v>43224</v>
          </cell>
          <cell r="C590">
            <v>99.04</v>
          </cell>
        </row>
        <row r="590">
          <cell r="E590">
            <v>43187</v>
          </cell>
          <cell r="F590">
            <v>135.04</v>
          </cell>
        </row>
        <row r="590">
          <cell r="H590">
            <v>43187</v>
          </cell>
          <cell r="I590">
            <v>94.61</v>
          </cell>
        </row>
        <row r="590">
          <cell r="K590">
            <v>43187</v>
          </cell>
          <cell r="L590">
            <v>130.31</v>
          </cell>
        </row>
        <row r="590">
          <cell r="N590">
            <v>43224</v>
          </cell>
          <cell r="O590">
            <v>93.8</v>
          </cell>
        </row>
        <row r="591">
          <cell r="B591">
            <v>43227</v>
          </cell>
          <cell r="C591">
            <v>99.38</v>
          </cell>
        </row>
        <row r="591">
          <cell r="E591">
            <v>43188</v>
          </cell>
          <cell r="F591">
            <v>135.81</v>
          </cell>
        </row>
        <row r="591">
          <cell r="H591">
            <v>43188</v>
          </cell>
          <cell r="I591">
            <v>94.88</v>
          </cell>
        </row>
        <row r="591">
          <cell r="K591">
            <v>43188</v>
          </cell>
          <cell r="L591">
            <v>130.61</v>
          </cell>
        </row>
        <row r="591">
          <cell r="N591">
            <v>43227</v>
          </cell>
          <cell r="O591">
            <v>93.34</v>
          </cell>
        </row>
        <row r="592">
          <cell r="B592">
            <v>43228</v>
          </cell>
          <cell r="C592">
            <v>99.89</v>
          </cell>
        </row>
        <row r="592">
          <cell r="E592">
            <v>43189</v>
          </cell>
          <cell r="F592">
            <v>135.8</v>
          </cell>
        </row>
        <row r="592">
          <cell r="H592">
            <v>43189</v>
          </cell>
          <cell r="I592">
            <v>94.88</v>
          </cell>
        </row>
        <row r="592">
          <cell r="K592">
            <v>43189</v>
          </cell>
          <cell r="L592">
            <v>130.61</v>
          </cell>
        </row>
        <row r="592">
          <cell r="N592">
            <v>43228</v>
          </cell>
          <cell r="O592">
            <v>92.88</v>
          </cell>
        </row>
        <row r="593">
          <cell r="B593">
            <v>43229</v>
          </cell>
          <cell r="C593">
            <v>99.91</v>
          </cell>
        </row>
        <row r="593">
          <cell r="E593">
            <v>43192</v>
          </cell>
          <cell r="F593">
            <v>135.42</v>
          </cell>
        </row>
        <row r="593">
          <cell r="H593">
            <v>43192</v>
          </cell>
          <cell r="I593">
            <v>95.07</v>
          </cell>
        </row>
        <row r="593">
          <cell r="K593">
            <v>43192</v>
          </cell>
          <cell r="L593">
            <v>130.33</v>
          </cell>
        </row>
        <row r="593">
          <cell r="N593">
            <v>43229</v>
          </cell>
          <cell r="O593">
            <v>93.14</v>
          </cell>
        </row>
        <row r="594">
          <cell r="B594">
            <v>43230</v>
          </cell>
          <cell r="C594">
            <v>99.56</v>
          </cell>
        </row>
        <row r="594">
          <cell r="E594">
            <v>43193</v>
          </cell>
          <cell r="F594">
            <v>135.05</v>
          </cell>
        </row>
        <row r="594">
          <cell r="H594">
            <v>43193</v>
          </cell>
          <cell r="I594">
            <v>95.43</v>
          </cell>
        </row>
        <row r="594">
          <cell r="K594">
            <v>43193</v>
          </cell>
          <cell r="L594">
            <v>130.7</v>
          </cell>
        </row>
        <row r="594">
          <cell r="N594">
            <v>43230</v>
          </cell>
          <cell r="O594">
            <v>93.63</v>
          </cell>
        </row>
        <row r="595">
          <cell r="B595">
            <v>43231</v>
          </cell>
          <cell r="C595">
            <v>99.44</v>
          </cell>
        </row>
        <row r="595">
          <cell r="E595">
            <v>43194</v>
          </cell>
          <cell r="F595">
            <v>134.76</v>
          </cell>
        </row>
        <row r="595">
          <cell r="H595">
            <v>43194</v>
          </cell>
          <cell r="I595">
            <v>95.43</v>
          </cell>
        </row>
        <row r="595">
          <cell r="K595">
            <v>43194</v>
          </cell>
          <cell r="L595">
            <v>130.83</v>
          </cell>
        </row>
        <row r="595">
          <cell r="N595">
            <v>43231</v>
          </cell>
          <cell r="O595">
            <v>93.9</v>
          </cell>
        </row>
        <row r="596">
          <cell r="B596">
            <v>43234</v>
          </cell>
          <cell r="C596">
            <v>99.13</v>
          </cell>
        </row>
        <row r="596">
          <cell r="E596">
            <v>43195</v>
          </cell>
          <cell r="F596">
            <v>134.72</v>
          </cell>
        </row>
        <row r="596">
          <cell r="H596">
            <v>43195</v>
          </cell>
          <cell r="I596">
            <v>95.53</v>
          </cell>
        </row>
        <row r="596">
          <cell r="K596">
            <v>43195</v>
          </cell>
          <cell r="L596">
            <v>130.05</v>
          </cell>
        </row>
        <row r="596">
          <cell r="N596">
            <v>43234</v>
          </cell>
          <cell r="O596">
            <v>94.33</v>
          </cell>
        </row>
        <row r="597">
          <cell r="B597">
            <v>43235</v>
          </cell>
          <cell r="C597">
            <v>98.69</v>
          </cell>
        </row>
        <row r="597">
          <cell r="E597">
            <v>43196</v>
          </cell>
          <cell r="F597">
            <v>134.43</v>
          </cell>
        </row>
        <row r="597">
          <cell r="H597">
            <v>43196</v>
          </cell>
          <cell r="I597">
            <v>95.67</v>
          </cell>
        </row>
        <row r="597">
          <cell r="K597">
            <v>43196</v>
          </cell>
          <cell r="L597">
            <v>130.04</v>
          </cell>
        </row>
        <row r="597">
          <cell r="N597">
            <v>43235</v>
          </cell>
          <cell r="O597">
            <v>93.88</v>
          </cell>
        </row>
        <row r="598">
          <cell r="B598">
            <v>43236</v>
          </cell>
          <cell r="C598">
            <v>98.67</v>
          </cell>
        </row>
        <row r="598">
          <cell r="E598">
            <v>43199</v>
          </cell>
          <cell r="F598">
            <v>134.89</v>
          </cell>
        </row>
        <row r="598">
          <cell r="H598">
            <v>43199</v>
          </cell>
          <cell r="I598">
            <v>95.68</v>
          </cell>
        </row>
        <row r="598">
          <cell r="K598">
            <v>43199</v>
          </cell>
          <cell r="L598">
            <v>130.32</v>
          </cell>
        </row>
        <row r="598">
          <cell r="N598">
            <v>43236</v>
          </cell>
          <cell r="O598">
            <v>93.52</v>
          </cell>
        </row>
        <row r="599">
          <cell r="B599">
            <v>43237</v>
          </cell>
          <cell r="C599">
            <v>98.61</v>
          </cell>
        </row>
        <row r="599">
          <cell r="E599">
            <v>43200</v>
          </cell>
          <cell r="F599">
            <v>134.72</v>
          </cell>
        </row>
        <row r="599">
          <cell r="H599">
            <v>43200</v>
          </cell>
          <cell r="I599">
            <v>95.8</v>
          </cell>
        </row>
        <row r="599">
          <cell r="K599">
            <v>43200</v>
          </cell>
          <cell r="L599">
            <v>131.02</v>
          </cell>
        </row>
        <row r="599">
          <cell r="N599">
            <v>43237</v>
          </cell>
          <cell r="O599">
            <v>92.88</v>
          </cell>
        </row>
        <row r="600">
          <cell r="B600">
            <v>43238</v>
          </cell>
          <cell r="C600">
            <v>98.7</v>
          </cell>
        </row>
        <row r="600">
          <cell r="E600">
            <v>43201</v>
          </cell>
          <cell r="F600">
            <v>133.98</v>
          </cell>
        </row>
        <row r="600">
          <cell r="H600">
            <v>43201</v>
          </cell>
          <cell r="I600">
            <v>95.55</v>
          </cell>
        </row>
        <row r="600">
          <cell r="K600">
            <v>43201</v>
          </cell>
          <cell r="L600">
            <v>130.36</v>
          </cell>
        </row>
        <row r="600">
          <cell r="N600">
            <v>43238</v>
          </cell>
          <cell r="O600">
            <v>92.77</v>
          </cell>
        </row>
        <row r="601">
          <cell r="B601">
            <v>43241</v>
          </cell>
          <cell r="C601">
            <v>98.62</v>
          </cell>
        </row>
        <row r="601">
          <cell r="E601">
            <v>43202</v>
          </cell>
          <cell r="F601">
            <v>134.52</v>
          </cell>
        </row>
        <row r="601">
          <cell r="H601">
            <v>43202</v>
          </cell>
          <cell r="I601">
            <v>95.5</v>
          </cell>
        </row>
        <row r="601">
          <cell r="K601">
            <v>43202</v>
          </cell>
          <cell r="L601">
            <v>130.62</v>
          </cell>
        </row>
        <row r="601">
          <cell r="N601">
            <v>43241</v>
          </cell>
          <cell r="O601">
            <v>92.66</v>
          </cell>
        </row>
        <row r="602">
          <cell r="B602">
            <v>43242</v>
          </cell>
          <cell r="C602">
            <v>98.49</v>
          </cell>
        </row>
        <row r="602">
          <cell r="E602">
            <v>43203</v>
          </cell>
          <cell r="F602">
            <v>134.18</v>
          </cell>
        </row>
        <row r="602">
          <cell r="H602">
            <v>43203</v>
          </cell>
          <cell r="I602">
            <v>95.51</v>
          </cell>
        </row>
        <row r="602">
          <cell r="K602">
            <v>43203</v>
          </cell>
          <cell r="L602">
            <v>130.08</v>
          </cell>
        </row>
        <row r="602">
          <cell r="N602">
            <v>43242</v>
          </cell>
          <cell r="O602">
            <v>93.12</v>
          </cell>
        </row>
        <row r="603">
          <cell r="B603">
            <v>43243</v>
          </cell>
          <cell r="C603">
            <v>98.94</v>
          </cell>
        </row>
        <row r="603">
          <cell r="E603">
            <v>43206</v>
          </cell>
          <cell r="F603">
            <v>134.1</v>
          </cell>
        </row>
        <row r="603">
          <cell r="H603">
            <v>43206</v>
          </cell>
          <cell r="I603">
            <v>95.63</v>
          </cell>
        </row>
        <row r="603">
          <cell r="K603">
            <v>43206</v>
          </cell>
          <cell r="L603">
            <v>130.85</v>
          </cell>
        </row>
        <row r="603">
          <cell r="N603">
            <v>43243</v>
          </cell>
          <cell r="O603">
            <v>93.33</v>
          </cell>
        </row>
        <row r="604">
          <cell r="B604">
            <v>43244</v>
          </cell>
          <cell r="C604">
            <v>99.06</v>
          </cell>
        </row>
        <row r="604">
          <cell r="E604">
            <v>43207</v>
          </cell>
          <cell r="F604">
            <v>135.52</v>
          </cell>
        </row>
        <row r="604">
          <cell r="H604">
            <v>43207</v>
          </cell>
          <cell r="I604">
            <v>95.14</v>
          </cell>
        </row>
        <row r="604">
          <cell r="K604">
            <v>43207</v>
          </cell>
          <cell r="L604">
            <v>131.08</v>
          </cell>
        </row>
        <row r="604">
          <cell r="N604">
            <v>43244</v>
          </cell>
          <cell r="O604">
            <v>93.14</v>
          </cell>
        </row>
        <row r="605">
          <cell r="B605">
            <v>43245</v>
          </cell>
          <cell r="C605">
            <v>99.37</v>
          </cell>
        </row>
        <row r="605">
          <cell r="E605">
            <v>43208</v>
          </cell>
          <cell r="F605">
            <v>135.68</v>
          </cell>
        </row>
        <row r="605">
          <cell r="H605">
            <v>43208</v>
          </cell>
          <cell r="I605">
            <v>95.33</v>
          </cell>
        </row>
        <row r="605">
          <cell r="K605">
            <v>43208</v>
          </cell>
          <cell r="L605">
            <v>130.72</v>
          </cell>
        </row>
        <row r="605">
          <cell r="N605">
            <v>43245</v>
          </cell>
          <cell r="O605">
            <v>93.13</v>
          </cell>
        </row>
        <row r="606">
          <cell r="B606">
            <v>43249</v>
          </cell>
          <cell r="C606">
            <v>99.58</v>
          </cell>
        </row>
        <row r="606">
          <cell r="E606">
            <v>43209</v>
          </cell>
          <cell r="F606">
            <v>135.85</v>
          </cell>
        </row>
        <row r="606">
          <cell r="H606">
            <v>43209</v>
          </cell>
          <cell r="I606">
            <v>94.81</v>
          </cell>
        </row>
        <row r="606">
          <cell r="K606">
            <v>43209</v>
          </cell>
          <cell r="L606">
            <v>130.67</v>
          </cell>
        </row>
        <row r="606">
          <cell r="N606">
            <v>43249</v>
          </cell>
          <cell r="O606">
            <v>92.21</v>
          </cell>
        </row>
        <row r="607">
          <cell r="B607">
            <v>43250</v>
          </cell>
          <cell r="C607">
            <v>99.72</v>
          </cell>
        </row>
        <row r="607">
          <cell r="E607">
            <v>43210</v>
          </cell>
          <cell r="F607">
            <v>136.52</v>
          </cell>
        </row>
        <row r="607">
          <cell r="H607">
            <v>43210</v>
          </cell>
          <cell r="I607">
            <v>94.65</v>
          </cell>
        </row>
        <row r="607">
          <cell r="K607">
            <v>43210</v>
          </cell>
          <cell r="L607">
            <v>130.51</v>
          </cell>
        </row>
        <row r="607">
          <cell r="N607">
            <v>43250</v>
          </cell>
          <cell r="O607">
            <v>92.13</v>
          </cell>
        </row>
        <row r="608">
          <cell r="B608">
            <v>43251</v>
          </cell>
          <cell r="C608">
            <v>99.7</v>
          </cell>
        </row>
        <row r="608">
          <cell r="E608">
            <v>43213</v>
          </cell>
          <cell r="F608">
            <v>135.69</v>
          </cell>
        </row>
        <row r="608">
          <cell r="H608">
            <v>43213</v>
          </cell>
          <cell r="I608">
            <v>94.4</v>
          </cell>
        </row>
        <row r="608">
          <cell r="K608">
            <v>43213</v>
          </cell>
          <cell r="L608">
            <v>130.82</v>
          </cell>
        </row>
        <row r="608">
          <cell r="N608">
            <v>43251</v>
          </cell>
          <cell r="O608">
            <v>91.77</v>
          </cell>
        </row>
        <row r="609">
          <cell r="B609">
            <v>43252</v>
          </cell>
          <cell r="C609">
            <v>99.55</v>
          </cell>
        </row>
        <row r="609">
          <cell r="E609">
            <v>43214</v>
          </cell>
          <cell r="F609">
            <v>134.01</v>
          </cell>
        </row>
        <row r="609">
          <cell r="H609">
            <v>43214</v>
          </cell>
          <cell r="I609">
            <v>94.43</v>
          </cell>
        </row>
        <row r="609">
          <cell r="K609">
            <v>43214</v>
          </cell>
          <cell r="L609">
            <v>131.18</v>
          </cell>
        </row>
        <row r="609">
          <cell r="N609">
            <v>43252</v>
          </cell>
          <cell r="O609">
            <v>92.19</v>
          </cell>
        </row>
        <row r="610">
          <cell r="B610">
            <v>43255</v>
          </cell>
          <cell r="C610">
            <v>99.35</v>
          </cell>
        </row>
        <row r="610">
          <cell r="E610">
            <v>43215</v>
          </cell>
          <cell r="F610">
            <v>133.07</v>
          </cell>
        </row>
        <row r="610">
          <cell r="H610">
            <v>43215</v>
          </cell>
          <cell r="I610">
            <v>94.91</v>
          </cell>
        </row>
        <row r="610">
          <cell r="K610">
            <v>43215</v>
          </cell>
          <cell r="L610">
            <v>131.81</v>
          </cell>
        </row>
        <row r="610">
          <cell r="N610">
            <v>43255</v>
          </cell>
          <cell r="O610">
            <v>91.87</v>
          </cell>
        </row>
        <row r="611">
          <cell r="B611">
            <v>43256</v>
          </cell>
          <cell r="C611">
            <v>99.22</v>
          </cell>
        </row>
        <row r="611">
          <cell r="E611">
            <v>43216</v>
          </cell>
          <cell r="F611">
            <v>133.32</v>
          </cell>
        </row>
        <row r="611">
          <cell r="H611">
            <v>43216</v>
          </cell>
          <cell r="I611">
            <v>93.94</v>
          </cell>
        </row>
        <row r="611">
          <cell r="K611">
            <v>43216</v>
          </cell>
          <cell r="L611">
            <v>132.87</v>
          </cell>
        </row>
        <row r="611">
          <cell r="N611">
            <v>43256</v>
          </cell>
          <cell r="O611">
            <v>91.06</v>
          </cell>
        </row>
        <row r="612">
          <cell r="B612">
            <v>43257</v>
          </cell>
          <cell r="C612">
            <v>99.06</v>
          </cell>
        </row>
        <row r="612">
          <cell r="E612">
            <v>43217</v>
          </cell>
          <cell r="F612">
            <v>132.46</v>
          </cell>
        </row>
        <row r="612">
          <cell r="H612">
            <v>43217</v>
          </cell>
          <cell r="I612">
            <v>93.74</v>
          </cell>
        </row>
        <row r="612">
          <cell r="K612">
            <v>43217</v>
          </cell>
          <cell r="L612">
            <v>134.36</v>
          </cell>
        </row>
        <row r="612">
          <cell r="N612">
            <v>43257</v>
          </cell>
          <cell r="O612">
            <v>91.23</v>
          </cell>
        </row>
        <row r="613">
          <cell r="B613">
            <v>43258</v>
          </cell>
          <cell r="C613">
            <v>98.94</v>
          </cell>
        </row>
        <row r="613">
          <cell r="E613">
            <v>43220</v>
          </cell>
          <cell r="F613">
            <v>134.18</v>
          </cell>
        </row>
        <row r="613">
          <cell r="H613">
            <v>43220</v>
          </cell>
          <cell r="I613">
            <v>93.1</v>
          </cell>
        </row>
        <row r="613">
          <cell r="K613">
            <v>43220</v>
          </cell>
          <cell r="L613">
            <v>134.08</v>
          </cell>
        </row>
        <row r="613">
          <cell r="N613">
            <v>43258</v>
          </cell>
          <cell r="O613">
            <v>91.85</v>
          </cell>
        </row>
        <row r="614">
          <cell r="B614">
            <v>43259</v>
          </cell>
          <cell r="C614">
            <v>99.06</v>
          </cell>
        </row>
        <row r="614">
          <cell r="E614">
            <v>43221</v>
          </cell>
          <cell r="F614">
            <v>133.64</v>
          </cell>
        </row>
        <row r="614">
          <cell r="H614">
            <v>43221</v>
          </cell>
          <cell r="I614">
            <v>93.2</v>
          </cell>
        </row>
        <row r="614">
          <cell r="K614">
            <v>43221</v>
          </cell>
          <cell r="L614">
            <v>133.79</v>
          </cell>
        </row>
        <row r="614">
          <cell r="N614">
            <v>43259</v>
          </cell>
          <cell r="O614">
            <v>91.81</v>
          </cell>
        </row>
        <row r="615">
          <cell r="B615">
            <v>43262</v>
          </cell>
          <cell r="C615">
            <v>99.06</v>
          </cell>
        </row>
        <row r="615">
          <cell r="E615">
            <v>43222</v>
          </cell>
          <cell r="F615">
            <v>134.44</v>
          </cell>
        </row>
        <row r="615">
          <cell r="H615">
            <v>43222</v>
          </cell>
          <cell r="I615">
            <v>93.09</v>
          </cell>
        </row>
        <row r="615">
          <cell r="K615">
            <v>43222</v>
          </cell>
          <cell r="L615">
            <v>133.49</v>
          </cell>
        </row>
        <row r="615">
          <cell r="N615">
            <v>43262</v>
          </cell>
          <cell r="O615">
            <v>91.75</v>
          </cell>
        </row>
        <row r="616">
          <cell r="B616">
            <v>43263</v>
          </cell>
          <cell r="C616">
            <v>99.06</v>
          </cell>
        </row>
        <row r="616">
          <cell r="E616">
            <v>43223</v>
          </cell>
          <cell r="F616">
            <v>137.16</v>
          </cell>
        </row>
        <row r="616">
          <cell r="H616">
            <v>43223</v>
          </cell>
          <cell r="I616">
            <v>92.63</v>
          </cell>
        </row>
        <row r="616">
          <cell r="K616">
            <v>43223</v>
          </cell>
          <cell r="L616">
            <v>133.55</v>
          </cell>
        </row>
        <row r="616">
          <cell r="N616">
            <v>43263</v>
          </cell>
          <cell r="O616">
            <v>91.41</v>
          </cell>
        </row>
        <row r="617">
          <cell r="B617">
            <v>43264</v>
          </cell>
          <cell r="C617">
            <v>98.76</v>
          </cell>
        </row>
        <row r="617">
          <cell r="E617">
            <v>43224</v>
          </cell>
          <cell r="F617">
            <v>136.37</v>
          </cell>
        </row>
        <row r="617">
          <cell r="H617">
            <v>43224</v>
          </cell>
          <cell r="I617">
            <v>92.57</v>
          </cell>
        </row>
        <row r="617">
          <cell r="K617">
            <v>43224</v>
          </cell>
          <cell r="L617">
            <v>133.24</v>
          </cell>
        </row>
        <row r="617">
          <cell r="N617">
            <v>43264</v>
          </cell>
          <cell r="O617">
            <v>91.47</v>
          </cell>
        </row>
        <row r="618">
          <cell r="B618">
            <v>43265</v>
          </cell>
          <cell r="C618">
            <v>98.77</v>
          </cell>
        </row>
        <row r="618">
          <cell r="E618">
            <v>43227</v>
          </cell>
          <cell r="F618">
            <v>137.04</v>
          </cell>
        </row>
        <row r="618">
          <cell r="H618">
            <v>43227</v>
          </cell>
          <cell r="I618">
            <v>92.07</v>
          </cell>
        </row>
        <row r="618">
          <cell r="K618">
            <v>43227</v>
          </cell>
          <cell r="L618">
            <v>132.85</v>
          </cell>
        </row>
        <row r="618">
          <cell r="N618">
            <v>43265</v>
          </cell>
          <cell r="O618">
            <v>91.5</v>
          </cell>
        </row>
        <row r="619">
          <cell r="B619">
            <v>43266</v>
          </cell>
          <cell r="C619">
            <v>98.86</v>
          </cell>
        </row>
        <row r="619">
          <cell r="E619">
            <v>43228</v>
          </cell>
          <cell r="F619">
            <v>138.31</v>
          </cell>
        </row>
        <row r="619">
          <cell r="H619">
            <v>43228</v>
          </cell>
          <cell r="I619">
            <v>92.12</v>
          </cell>
        </row>
        <row r="619">
          <cell r="K619">
            <v>43228</v>
          </cell>
          <cell r="L619">
            <v>133.13</v>
          </cell>
        </row>
        <row r="619">
          <cell r="N619">
            <v>43266</v>
          </cell>
          <cell r="O619">
            <v>91.46</v>
          </cell>
        </row>
        <row r="620">
          <cell r="B620">
            <v>43269</v>
          </cell>
          <cell r="C620">
            <v>98.66</v>
          </cell>
        </row>
        <row r="620">
          <cell r="E620">
            <v>43229</v>
          </cell>
          <cell r="F620">
            <v>139.13</v>
          </cell>
        </row>
        <row r="620">
          <cell r="H620">
            <v>43229</v>
          </cell>
          <cell r="I620">
            <v>92.08</v>
          </cell>
        </row>
        <row r="620">
          <cell r="K620">
            <v>43229</v>
          </cell>
          <cell r="L620">
            <v>133.32</v>
          </cell>
        </row>
        <row r="620">
          <cell r="N620">
            <v>43269</v>
          </cell>
          <cell r="O620">
            <v>90.67</v>
          </cell>
        </row>
        <row r="621">
          <cell r="B621">
            <v>43270</v>
          </cell>
          <cell r="C621">
            <v>98.83</v>
          </cell>
        </row>
        <row r="621">
          <cell r="E621">
            <v>43230</v>
          </cell>
          <cell r="F621">
            <v>138.87</v>
          </cell>
        </row>
        <row r="621">
          <cell r="H621">
            <v>43230</v>
          </cell>
          <cell r="I621">
            <v>92.45</v>
          </cell>
        </row>
        <row r="621">
          <cell r="K621">
            <v>43230</v>
          </cell>
          <cell r="L621">
            <v>133.33</v>
          </cell>
        </row>
        <row r="621">
          <cell r="N621">
            <v>43270</v>
          </cell>
          <cell r="O621">
            <v>90.18</v>
          </cell>
        </row>
        <row r="622">
          <cell r="B622">
            <v>43271</v>
          </cell>
          <cell r="C622">
            <v>99.12</v>
          </cell>
        </row>
        <row r="622">
          <cell r="E622">
            <v>43231</v>
          </cell>
          <cell r="F622">
            <v>139.29</v>
          </cell>
        </row>
        <row r="622">
          <cell r="H622">
            <v>43231</v>
          </cell>
          <cell r="I622">
            <v>92.71</v>
          </cell>
        </row>
        <row r="622">
          <cell r="K622">
            <v>43231</v>
          </cell>
          <cell r="L622">
            <v>133.82</v>
          </cell>
        </row>
        <row r="622">
          <cell r="N622">
            <v>43271</v>
          </cell>
          <cell r="O622">
            <v>89.58</v>
          </cell>
        </row>
        <row r="623">
          <cell r="B623">
            <v>43272</v>
          </cell>
          <cell r="C623">
            <v>98.99</v>
          </cell>
        </row>
        <row r="623">
          <cell r="E623">
            <v>43234</v>
          </cell>
          <cell r="F623">
            <v>138.53</v>
          </cell>
        </row>
        <row r="623">
          <cell r="H623">
            <v>43234</v>
          </cell>
          <cell r="I623">
            <v>93.13</v>
          </cell>
        </row>
        <row r="623">
          <cell r="K623">
            <v>43234</v>
          </cell>
          <cell r="L623">
            <v>133.88</v>
          </cell>
        </row>
        <row r="623">
          <cell r="N623">
            <v>43272</v>
          </cell>
          <cell r="O623">
            <v>89.93</v>
          </cell>
        </row>
        <row r="624">
          <cell r="B624">
            <v>43273</v>
          </cell>
          <cell r="C624">
            <v>98.76</v>
          </cell>
        </row>
        <row r="624">
          <cell r="E624">
            <v>43235</v>
          </cell>
          <cell r="F624">
            <v>138.45</v>
          </cell>
        </row>
        <row r="624">
          <cell r="H624">
            <v>43235</v>
          </cell>
          <cell r="I624">
            <v>93.19</v>
          </cell>
        </row>
        <row r="624">
          <cell r="K624">
            <v>43235</v>
          </cell>
          <cell r="L624">
            <v>133.97</v>
          </cell>
        </row>
        <row r="624">
          <cell r="N624">
            <v>43273</v>
          </cell>
          <cell r="O624">
            <v>90.15</v>
          </cell>
        </row>
        <row r="625">
          <cell r="B625">
            <v>43276</v>
          </cell>
          <cell r="C625">
            <v>98.58</v>
          </cell>
        </row>
        <row r="625">
          <cell r="E625">
            <v>43236</v>
          </cell>
          <cell r="F625">
            <v>137.74</v>
          </cell>
        </row>
        <row r="625">
          <cell r="H625">
            <v>43236</v>
          </cell>
          <cell r="I625">
            <v>93.4</v>
          </cell>
        </row>
        <row r="625">
          <cell r="K625">
            <v>43236</v>
          </cell>
          <cell r="L625">
            <v>134.15</v>
          </cell>
        </row>
        <row r="625">
          <cell r="N625">
            <v>43276</v>
          </cell>
          <cell r="O625">
            <v>90.5</v>
          </cell>
        </row>
        <row r="626">
          <cell r="B626">
            <v>43277</v>
          </cell>
          <cell r="C626">
            <v>98.56</v>
          </cell>
        </row>
        <row r="626">
          <cell r="E626">
            <v>43237</v>
          </cell>
          <cell r="F626">
            <v>137.81</v>
          </cell>
        </row>
        <row r="626">
          <cell r="H626">
            <v>43237</v>
          </cell>
          <cell r="I626">
            <v>93.57</v>
          </cell>
        </row>
        <row r="626">
          <cell r="K626">
            <v>43237</v>
          </cell>
          <cell r="L626">
            <v>134.57</v>
          </cell>
        </row>
        <row r="626">
          <cell r="N626">
            <v>43277</v>
          </cell>
          <cell r="O626">
            <v>90.32</v>
          </cell>
        </row>
        <row r="627">
          <cell r="B627">
            <v>43278</v>
          </cell>
          <cell r="C627">
            <v>98.65</v>
          </cell>
        </row>
        <row r="627">
          <cell r="E627">
            <v>43238</v>
          </cell>
          <cell r="F627">
            <v>139.15</v>
          </cell>
        </row>
        <row r="627">
          <cell r="H627">
            <v>43238</v>
          </cell>
          <cell r="I627">
            <v>93.12</v>
          </cell>
        </row>
        <row r="627">
          <cell r="K627">
            <v>43238</v>
          </cell>
          <cell r="L627">
            <v>134.54</v>
          </cell>
        </row>
        <row r="627">
          <cell r="N627">
            <v>43278</v>
          </cell>
          <cell r="O627">
            <v>91.15</v>
          </cell>
        </row>
        <row r="628">
          <cell r="B628">
            <v>43279</v>
          </cell>
          <cell r="C628">
            <v>98.47</v>
          </cell>
        </row>
        <row r="628">
          <cell r="E628">
            <v>43241</v>
          </cell>
          <cell r="F628">
            <v>139.81</v>
          </cell>
        </row>
        <row r="628">
          <cell r="H628">
            <v>43241</v>
          </cell>
          <cell r="I628">
            <v>93.47</v>
          </cell>
        </row>
        <row r="628">
          <cell r="K628">
            <v>43241</v>
          </cell>
          <cell r="L628">
            <v>135.13</v>
          </cell>
        </row>
        <row r="628">
          <cell r="N628">
            <v>43279</v>
          </cell>
          <cell r="O628">
            <v>91.35</v>
          </cell>
        </row>
        <row r="629">
          <cell r="B629">
            <v>43280</v>
          </cell>
          <cell r="C629">
            <v>98.19</v>
          </cell>
        </row>
        <row r="629">
          <cell r="E629">
            <v>43242</v>
          </cell>
          <cell r="F629">
            <v>138.83</v>
          </cell>
        </row>
        <row r="629">
          <cell r="H629">
            <v>43242</v>
          </cell>
          <cell r="I629">
            <v>93.75</v>
          </cell>
        </row>
        <row r="629">
          <cell r="K629">
            <v>43242</v>
          </cell>
          <cell r="L629">
            <v>135.28</v>
          </cell>
        </row>
        <row r="629">
          <cell r="N629">
            <v>43280</v>
          </cell>
          <cell r="O629">
            <v>91.7</v>
          </cell>
        </row>
        <row r="630">
          <cell r="B630">
            <v>43283</v>
          </cell>
          <cell r="C630">
            <v>98.53</v>
          </cell>
        </row>
        <row r="630">
          <cell r="E630">
            <v>43243</v>
          </cell>
          <cell r="F630">
            <v>140.38</v>
          </cell>
        </row>
        <row r="630">
          <cell r="H630">
            <v>43243</v>
          </cell>
          <cell r="I630">
            <v>93.35</v>
          </cell>
        </row>
        <row r="630">
          <cell r="K630">
            <v>43243</v>
          </cell>
          <cell r="L630">
            <v>136.14</v>
          </cell>
        </row>
        <row r="630">
          <cell r="N630">
            <v>43283</v>
          </cell>
          <cell r="O630">
            <v>91.22</v>
          </cell>
        </row>
        <row r="631">
          <cell r="B631">
            <v>43284</v>
          </cell>
          <cell r="C631">
            <v>98.45</v>
          </cell>
        </row>
        <row r="631">
          <cell r="E631">
            <v>43244</v>
          </cell>
          <cell r="F631">
            <v>141.15</v>
          </cell>
        </row>
        <row r="631">
          <cell r="H631">
            <v>43244</v>
          </cell>
          <cell r="I631">
            <v>93.68</v>
          </cell>
        </row>
        <row r="631">
          <cell r="K631">
            <v>43244</v>
          </cell>
          <cell r="L631">
            <v>136.52</v>
          </cell>
        </row>
        <row r="631">
          <cell r="N631">
            <v>43284</v>
          </cell>
          <cell r="O631">
            <v>90.65</v>
          </cell>
        </row>
        <row r="632">
          <cell r="B632">
            <v>43286</v>
          </cell>
          <cell r="C632">
            <v>98.42</v>
          </cell>
        </row>
        <row r="632">
          <cell r="E632">
            <v>43245</v>
          </cell>
          <cell r="F632">
            <v>140.39</v>
          </cell>
        </row>
        <row r="632">
          <cell r="H632">
            <v>43245</v>
          </cell>
          <cell r="I632">
            <v>93.27</v>
          </cell>
        </row>
        <row r="632">
          <cell r="K632">
            <v>43245</v>
          </cell>
          <cell r="L632">
            <v>136.16</v>
          </cell>
        </row>
        <row r="632">
          <cell r="N632">
            <v>43286</v>
          </cell>
          <cell r="O632">
            <v>90.2</v>
          </cell>
        </row>
        <row r="633">
          <cell r="B633">
            <v>43287</v>
          </cell>
          <cell r="C633">
            <v>98.14</v>
          </cell>
        </row>
        <row r="633">
          <cell r="E633">
            <v>43248</v>
          </cell>
          <cell r="F633">
            <v>140.51</v>
          </cell>
        </row>
        <row r="633">
          <cell r="H633">
            <v>43248</v>
          </cell>
          <cell r="I633">
            <v>93.1</v>
          </cell>
        </row>
        <row r="633">
          <cell r="K633">
            <v>43248</v>
          </cell>
          <cell r="L633">
            <v>136.39</v>
          </cell>
        </row>
        <row r="633">
          <cell r="N633">
            <v>43287</v>
          </cell>
          <cell r="O633">
            <v>90.3</v>
          </cell>
        </row>
        <row r="634">
          <cell r="B634">
            <v>43290</v>
          </cell>
          <cell r="C634">
            <v>97.92</v>
          </cell>
        </row>
        <row r="634">
          <cell r="E634">
            <v>43249</v>
          </cell>
          <cell r="F634">
            <v>140.81</v>
          </cell>
        </row>
        <row r="634">
          <cell r="H634">
            <v>43249</v>
          </cell>
          <cell r="I634">
            <v>92.96</v>
          </cell>
        </row>
        <row r="634">
          <cell r="K634">
            <v>43249</v>
          </cell>
          <cell r="L634">
            <v>136.58</v>
          </cell>
        </row>
        <row r="634">
          <cell r="N634">
            <v>43290</v>
          </cell>
          <cell r="O634">
            <v>90.6</v>
          </cell>
        </row>
        <row r="635">
          <cell r="B635">
            <v>43291</v>
          </cell>
          <cell r="C635">
            <v>97.89</v>
          </cell>
        </row>
        <row r="635">
          <cell r="E635">
            <v>43250</v>
          </cell>
          <cell r="F635">
            <v>141.15</v>
          </cell>
        </row>
        <row r="635">
          <cell r="H635">
            <v>43250</v>
          </cell>
          <cell r="I635">
            <v>93.08</v>
          </cell>
        </row>
        <row r="635">
          <cell r="K635">
            <v>43250</v>
          </cell>
          <cell r="L635">
            <v>136.92</v>
          </cell>
        </row>
        <row r="635">
          <cell r="N635">
            <v>43291</v>
          </cell>
          <cell r="O635">
            <v>91.24</v>
          </cell>
        </row>
        <row r="636">
          <cell r="B636">
            <v>43292</v>
          </cell>
          <cell r="C636">
            <v>98.01</v>
          </cell>
        </row>
        <row r="636">
          <cell r="E636">
            <v>43251</v>
          </cell>
          <cell r="F636">
            <v>141.38</v>
          </cell>
        </row>
        <row r="636">
          <cell r="H636">
            <v>43251</v>
          </cell>
          <cell r="I636">
            <v>92.51</v>
          </cell>
        </row>
        <row r="636">
          <cell r="K636">
            <v>43251</v>
          </cell>
          <cell r="L636">
            <v>136.33</v>
          </cell>
        </row>
        <row r="636">
          <cell r="N636">
            <v>43292</v>
          </cell>
          <cell r="O636">
            <v>91.24</v>
          </cell>
        </row>
        <row r="637">
          <cell r="B637">
            <v>43293</v>
          </cell>
          <cell r="C637">
            <v>97.89</v>
          </cell>
        </row>
        <row r="637">
          <cell r="E637">
            <v>43252</v>
          </cell>
          <cell r="F637">
            <v>142.29</v>
          </cell>
        </row>
        <row r="637">
          <cell r="H637">
            <v>43252</v>
          </cell>
          <cell r="I637">
            <v>92.74</v>
          </cell>
        </row>
        <row r="637">
          <cell r="K637">
            <v>43252</v>
          </cell>
          <cell r="L637">
            <v>136.72</v>
          </cell>
        </row>
        <row r="637">
          <cell r="N637">
            <v>43293</v>
          </cell>
          <cell r="O637">
            <v>91.77</v>
          </cell>
        </row>
        <row r="638">
          <cell r="B638">
            <v>43294</v>
          </cell>
          <cell r="C638">
            <v>97.53</v>
          </cell>
        </row>
        <row r="638">
          <cell r="E638">
            <v>43255</v>
          </cell>
          <cell r="F638">
            <v>143.05</v>
          </cell>
        </row>
        <row r="638">
          <cell r="H638">
            <v>43255</v>
          </cell>
          <cell r="I638">
            <v>92.87</v>
          </cell>
        </row>
        <row r="638">
          <cell r="K638">
            <v>43255</v>
          </cell>
          <cell r="L638">
            <v>137.74</v>
          </cell>
        </row>
        <row r="638">
          <cell r="N638">
            <v>43294</v>
          </cell>
          <cell r="O638">
            <v>91.85</v>
          </cell>
        </row>
        <row r="639">
          <cell r="B639">
            <v>43297</v>
          </cell>
          <cell r="C639">
            <v>97.84</v>
          </cell>
        </row>
        <row r="639">
          <cell r="E639">
            <v>43256</v>
          </cell>
          <cell r="F639">
            <v>143.11</v>
          </cell>
        </row>
        <row r="639">
          <cell r="H639">
            <v>43256</v>
          </cell>
          <cell r="I639">
            <v>93.4</v>
          </cell>
        </row>
        <row r="639">
          <cell r="K639">
            <v>43256</v>
          </cell>
          <cell r="L639">
            <v>138.02</v>
          </cell>
        </row>
        <row r="639">
          <cell r="N639">
            <v>43297</v>
          </cell>
          <cell r="O639">
            <v>92.2</v>
          </cell>
        </row>
        <row r="640">
          <cell r="B640">
            <v>43298</v>
          </cell>
          <cell r="C640">
            <v>97.92</v>
          </cell>
        </row>
        <row r="640">
          <cell r="E640">
            <v>43257</v>
          </cell>
          <cell r="F640">
            <v>142.56</v>
          </cell>
        </row>
        <row r="640">
          <cell r="H640">
            <v>43257</v>
          </cell>
          <cell r="I640">
            <v>93.37</v>
          </cell>
        </row>
        <row r="640">
          <cell r="K640">
            <v>43257</v>
          </cell>
          <cell r="L640">
            <v>137.03</v>
          </cell>
        </row>
        <row r="640">
          <cell r="N640">
            <v>43298</v>
          </cell>
          <cell r="O640">
            <v>91.93</v>
          </cell>
        </row>
        <row r="641">
          <cell r="B641">
            <v>43299</v>
          </cell>
          <cell r="C641">
            <v>98.11</v>
          </cell>
        </row>
        <row r="641">
          <cell r="E641">
            <v>43258</v>
          </cell>
          <cell r="F641">
            <v>141.28</v>
          </cell>
        </row>
        <row r="641">
          <cell r="H641">
            <v>43258</v>
          </cell>
          <cell r="I641">
            <v>93.42</v>
          </cell>
        </row>
        <row r="641">
          <cell r="K641">
            <v>43258</v>
          </cell>
          <cell r="L641">
            <v>137.15</v>
          </cell>
        </row>
        <row r="641">
          <cell r="N641">
            <v>43299</v>
          </cell>
          <cell r="O641">
            <v>91.97</v>
          </cell>
        </row>
        <row r="642">
          <cell r="B642">
            <v>43300</v>
          </cell>
          <cell r="C642">
            <v>98.26</v>
          </cell>
        </row>
        <row r="642">
          <cell r="E642">
            <v>43259</v>
          </cell>
          <cell r="F642">
            <v>141.6</v>
          </cell>
        </row>
        <row r="642">
          <cell r="H642">
            <v>43259</v>
          </cell>
          <cell r="I642">
            <v>93.34</v>
          </cell>
        </row>
        <row r="642">
          <cell r="K642">
            <v>43259</v>
          </cell>
          <cell r="L642">
            <v>137.32</v>
          </cell>
        </row>
        <row r="642">
          <cell r="N642">
            <v>43300</v>
          </cell>
          <cell r="O642">
            <v>90.8</v>
          </cell>
        </row>
        <row r="643">
          <cell r="B643">
            <v>43301</v>
          </cell>
          <cell r="C643">
            <v>98.22</v>
          </cell>
        </row>
        <row r="643">
          <cell r="E643">
            <v>43262</v>
          </cell>
          <cell r="F643">
            <v>140.56</v>
          </cell>
        </row>
        <row r="643">
          <cell r="H643">
            <v>43262</v>
          </cell>
          <cell r="I643">
            <v>93.46</v>
          </cell>
        </row>
        <row r="643">
          <cell r="K643">
            <v>43262</v>
          </cell>
          <cell r="L643">
            <v>136.92</v>
          </cell>
        </row>
        <row r="643">
          <cell r="N643">
            <v>43301</v>
          </cell>
          <cell r="O643">
            <v>90.84</v>
          </cell>
        </row>
        <row r="644">
          <cell r="B644">
            <v>43304</v>
          </cell>
          <cell r="C644">
            <v>98.04</v>
          </cell>
        </row>
        <row r="644">
          <cell r="E644">
            <v>43263</v>
          </cell>
          <cell r="F644">
            <v>140.59</v>
          </cell>
        </row>
        <row r="644">
          <cell r="H644">
            <v>43263</v>
          </cell>
          <cell r="I644">
            <v>93</v>
          </cell>
        </row>
        <row r="644">
          <cell r="K644">
            <v>43263</v>
          </cell>
          <cell r="L644">
            <v>136.64</v>
          </cell>
        </row>
        <row r="644">
          <cell r="N644">
            <v>43304</v>
          </cell>
          <cell r="O644">
            <v>90.92</v>
          </cell>
        </row>
        <row r="645">
          <cell r="B645">
            <v>43305</v>
          </cell>
          <cell r="C645">
            <v>98.14</v>
          </cell>
        </row>
        <row r="645">
          <cell r="E645">
            <v>43264</v>
          </cell>
          <cell r="F645">
            <v>140.39</v>
          </cell>
        </row>
        <row r="645">
          <cell r="H645">
            <v>43264</v>
          </cell>
          <cell r="I645">
            <v>93.2</v>
          </cell>
        </row>
        <row r="645">
          <cell r="K645">
            <v>43264</v>
          </cell>
          <cell r="L645">
            <v>136.07</v>
          </cell>
        </row>
        <row r="645">
          <cell r="N645">
            <v>43305</v>
          </cell>
          <cell r="O645">
            <v>92.06</v>
          </cell>
        </row>
        <row r="646">
          <cell r="B646">
            <v>43306</v>
          </cell>
          <cell r="C646">
            <v>98.08</v>
          </cell>
        </row>
        <row r="646">
          <cell r="E646">
            <v>43265</v>
          </cell>
          <cell r="F646">
            <v>139.97</v>
          </cell>
        </row>
        <row r="646">
          <cell r="H646">
            <v>43265</v>
          </cell>
          <cell r="I646">
            <v>93</v>
          </cell>
        </row>
        <row r="646">
          <cell r="K646">
            <v>43265</v>
          </cell>
          <cell r="L646">
            <v>135.45</v>
          </cell>
        </row>
        <row r="646">
          <cell r="N646">
            <v>43306</v>
          </cell>
          <cell r="O646">
            <v>92.67</v>
          </cell>
        </row>
        <row r="647">
          <cell r="B647">
            <v>43307</v>
          </cell>
          <cell r="C647">
            <v>97.59</v>
          </cell>
        </row>
        <row r="647">
          <cell r="E647">
            <v>43266</v>
          </cell>
          <cell r="F647">
            <v>139.51</v>
          </cell>
        </row>
        <row r="647">
          <cell r="H647">
            <v>43266</v>
          </cell>
          <cell r="I647">
            <v>92.92</v>
          </cell>
        </row>
        <row r="647">
          <cell r="K647">
            <v>43266</v>
          </cell>
          <cell r="L647">
            <v>136.17</v>
          </cell>
        </row>
        <row r="647">
          <cell r="N647">
            <v>43307</v>
          </cell>
          <cell r="O647">
            <v>92.18</v>
          </cell>
        </row>
        <row r="648">
          <cell r="B648">
            <v>43308</v>
          </cell>
          <cell r="C648">
            <v>97.36</v>
          </cell>
        </row>
        <row r="648">
          <cell r="E648">
            <v>43269</v>
          </cell>
          <cell r="F648">
            <v>140.03</v>
          </cell>
        </row>
        <row r="648">
          <cell r="H648">
            <v>43269</v>
          </cell>
          <cell r="I648">
            <v>92.41</v>
          </cell>
        </row>
        <row r="648">
          <cell r="K648">
            <v>43269</v>
          </cell>
          <cell r="L648">
            <v>136.3</v>
          </cell>
        </row>
        <row r="648">
          <cell r="N648">
            <v>43308</v>
          </cell>
          <cell r="O648">
            <v>92.89</v>
          </cell>
        </row>
        <row r="649">
          <cell r="B649">
            <v>43311</v>
          </cell>
          <cell r="C649">
            <v>97.1</v>
          </cell>
        </row>
        <row r="649">
          <cell r="E649">
            <v>43270</v>
          </cell>
          <cell r="F649">
            <v>139.27</v>
          </cell>
        </row>
        <row r="649">
          <cell r="H649">
            <v>43270</v>
          </cell>
          <cell r="I649">
            <v>92.44</v>
          </cell>
        </row>
        <row r="649">
          <cell r="K649">
            <v>43270</v>
          </cell>
          <cell r="L649">
            <v>136.78</v>
          </cell>
        </row>
        <row r="649">
          <cell r="N649">
            <v>43311</v>
          </cell>
          <cell r="O649">
            <v>92.71</v>
          </cell>
        </row>
        <row r="650">
          <cell r="B650">
            <v>43312</v>
          </cell>
          <cell r="C650">
            <v>97.05</v>
          </cell>
        </row>
        <row r="650">
          <cell r="E650">
            <v>43271</v>
          </cell>
          <cell r="F650">
            <v>138.91</v>
          </cell>
        </row>
        <row r="650">
          <cell r="H650">
            <v>43271</v>
          </cell>
          <cell r="I650">
            <v>92</v>
          </cell>
        </row>
        <row r="650">
          <cell r="K650">
            <v>43271</v>
          </cell>
          <cell r="L650">
            <v>136.8</v>
          </cell>
        </row>
        <row r="650">
          <cell r="N650">
            <v>43312</v>
          </cell>
          <cell r="O650">
            <v>92.25</v>
          </cell>
        </row>
        <row r="651">
          <cell r="B651">
            <v>43313</v>
          </cell>
          <cell r="C651">
            <v>97.3</v>
          </cell>
        </row>
        <row r="651">
          <cell r="E651">
            <v>43272</v>
          </cell>
          <cell r="F651">
            <v>139.11</v>
          </cell>
        </row>
        <row r="651">
          <cell r="H651">
            <v>43272</v>
          </cell>
          <cell r="I651">
            <v>92.25</v>
          </cell>
        </row>
        <row r="651">
          <cell r="K651">
            <v>43272</v>
          </cell>
          <cell r="L651">
            <v>137.38</v>
          </cell>
        </row>
        <row r="651">
          <cell r="N651">
            <v>43313</v>
          </cell>
          <cell r="O651">
            <v>92.09</v>
          </cell>
        </row>
        <row r="652">
          <cell r="B652">
            <v>43314</v>
          </cell>
          <cell r="C652">
            <v>97.73</v>
          </cell>
        </row>
        <row r="652">
          <cell r="E652">
            <v>43273</v>
          </cell>
          <cell r="F652">
            <v>137.24</v>
          </cell>
        </row>
        <row r="652">
          <cell r="H652">
            <v>43273</v>
          </cell>
          <cell r="I652">
            <v>91.81</v>
          </cell>
        </row>
        <row r="652">
          <cell r="K652">
            <v>43273</v>
          </cell>
          <cell r="L652">
            <v>135.74</v>
          </cell>
        </row>
        <row r="652">
          <cell r="N652">
            <v>43314</v>
          </cell>
          <cell r="O652">
            <v>91.65</v>
          </cell>
        </row>
        <row r="653">
          <cell r="B653">
            <v>43315</v>
          </cell>
          <cell r="C653">
            <v>97.67</v>
          </cell>
        </row>
        <row r="653">
          <cell r="E653">
            <v>43276</v>
          </cell>
          <cell r="F653">
            <v>135.96</v>
          </cell>
        </row>
        <row r="653">
          <cell r="H653">
            <v>43276</v>
          </cell>
          <cell r="I653">
            <v>91.78</v>
          </cell>
        </row>
        <row r="653">
          <cell r="K653">
            <v>43276</v>
          </cell>
          <cell r="L653">
            <v>136.2</v>
          </cell>
        </row>
        <row r="653">
          <cell r="N653">
            <v>43315</v>
          </cell>
          <cell r="O653">
            <v>92.17</v>
          </cell>
        </row>
        <row r="654">
          <cell r="B654">
            <v>43318</v>
          </cell>
          <cell r="C654">
            <v>97.51</v>
          </cell>
        </row>
        <row r="654">
          <cell r="E654">
            <v>43277</v>
          </cell>
          <cell r="F654">
            <v>136.48</v>
          </cell>
        </row>
        <row r="654">
          <cell r="H654">
            <v>43277</v>
          </cell>
          <cell r="I654">
            <v>91.71</v>
          </cell>
        </row>
        <row r="654">
          <cell r="K654">
            <v>43277</v>
          </cell>
          <cell r="L654">
            <v>135.81</v>
          </cell>
        </row>
        <row r="654">
          <cell r="N654">
            <v>43318</v>
          </cell>
          <cell r="O654">
            <v>91.95</v>
          </cell>
        </row>
        <row r="655">
          <cell r="B655">
            <v>43319</v>
          </cell>
          <cell r="C655">
            <v>97.81</v>
          </cell>
        </row>
        <row r="655">
          <cell r="E655">
            <v>43278</v>
          </cell>
          <cell r="F655">
            <v>136.12</v>
          </cell>
        </row>
        <row r="655">
          <cell r="H655">
            <v>43278</v>
          </cell>
          <cell r="I655">
            <v>91.56</v>
          </cell>
        </row>
        <row r="655">
          <cell r="K655">
            <v>43278</v>
          </cell>
          <cell r="L655">
            <v>135.76</v>
          </cell>
        </row>
        <row r="655">
          <cell r="N655">
            <v>43319</v>
          </cell>
          <cell r="O655">
            <v>92.45</v>
          </cell>
        </row>
        <row r="656">
          <cell r="B656">
            <v>43320</v>
          </cell>
          <cell r="C656">
            <v>97.23</v>
          </cell>
        </row>
        <row r="656">
          <cell r="E656">
            <v>43279</v>
          </cell>
          <cell r="F656">
            <v>136.43</v>
          </cell>
        </row>
        <row r="656">
          <cell r="H656">
            <v>43279</v>
          </cell>
          <cell r="I656">
            <v>91.08</v>
          </cell>
        </row>
        <row r="656">
          <cell r="K656">
            <v>43279</v>
          </cell>
          <cell r="L656">
            <v>136.12</v>
          </cell>
        </row>
        <row r="656">
          <cell r="N656">
            <v>43320</v>
          </cell>
          <cell r="O656">
            <v>92.57</v>
          </cell>
        </row>
        <row r="657">
          <cell r="B657">
            <v>43321</v>
          </cell>
          <cell r="C657">
            <v>97.49</v>
          </cell>
        </row>
        <row r="657">
          <cell r="E657">
            <v>43280</v>
          </cell>
          <cell r="F657">
            <v>136.3</v>
          </cell>
        </row>
        <row r="657">
          <cell r="H657">
            <v>43280</v>
          </cell>
          <cell r="I657">
            <v>90.9</v>
          </cell>
        </row>
        <row r="657">
          <cell r="K657">
            <v>43280</v>
          </cell>
          <cell r="L657">
            <v>135.71</v>
          </cell>
        </row>
        <row r="657">
          <cell r="N657">
            <v>43321</v>
          </cell>
          <cell r="O657">
            <v>92.28</v>
          </cell>
        </row>
        <row r="658">
          <cell r="B658">
            <v>43322</v>
          </cell>
          <cell r="C658">
            <v>97.5</v>
          </cell>
        </row>
        <row r="658">
          <cell r="E658">
            <v>43283</v>
          </cell>
          <cell r="F658">
            <v>136.56</v>
          </cell>
        </row>
        <row r="658">
          <cell r="H658">
            <v>43283</v>
          </cell>
          <cell r="I658">
            <v>90.79</v>
          </cell>
        </row>
        <row r="658">
          <cell r="K658">
            <v>43283</v>
          </cell>
          <cell r="L658">
            <v>135.84</v>
          </cell>
        </row>
        <row r="658">
          <cell r="N658">
            <v>43322</v>
          </cell>
          <cell r="O658">
            <v>92.05</v>
          </cell>
        </row>
        <row r="659">
          <cell r="B659">
            <v>43325</v>
          </cell>
          <cell r="C659">
            <v>97.58</v>
          </cell>
        </row>
        <row r="659">
          <cell r="E659">
            <v>43284</v>
          </cell>
          <cell r="F659">
            <v>135.15</v>
          </cell>
        </row>
        <row r="659">
          <cell r="H659">
            <v>43284</v>
          </cell>
          <cell r="I659">
            <v>91.05</v>
          </cell>
        </row>
        <row r="659">
          <cell r="K659">
            <v>43284</v>
          </cell>
          <cell r="L659">
            <v>135.72</v>
          </cell>
        </row>
        <row r="659">
          <cell r="N659">
            <v>43325</v>
          </cell>
          <cell r="O659">
            <v>92.15</v>
          </cell>
        </row>
        <row r="660">
          <cell r="B660">
            <v>43326</v>
          </cell>
          <cell r="C660">
            <v>97.54</v>
          </cell>
        </row>
        <row r="660">
          <cell r="E660">
            <v>43285</v>
          </cell>
          <cell r="F660">
            <v>135.13</v>
          </cell>
        </row>
        <row r="660">
          <cell r="H660">
            <v>43285</v>
          </cell>
          <cell r="I660">
            <v>90.98</v>
          </cell>
        </row>
        <row r="660">
          <cell r="K660">
            <v>43285</v>
          </cell>
          <cell r="L660">
            <v>135.69</v>
          </cell>
        </row>
        <row r="660">
          <cell r="N660">
            <v>43326</v>
          </cell>
          <cell r="O660">
            <v>91.78</v>
          </cell>
        </row>
        <row r="661">
          <cell r="B661">
            <v>43327</v>
          </cell>
          <cell r="C661">
            <v>97.35</v>
          </cell>
        </row>
        <row r="661">
          <cell r="E661">
            <v>43286</v>
          </cell>
          <cell r="F661">
            <v>134.24</v>
          </cell>
        </row>
        <row r="661">
          <cell r="H661">
            <v>43286</v>
          </cell>
          <cell r="I661">
            <v>90.82</v>
          </cell>
        </row>
        <row r="661">
          <cell r="K661">
            <v>43286</v>
          </cell>
          <cell r="L661">
            <v>135.52</v>
          </cell>
        </row>
        <row r="661">
          <cell r="N661">
            <v>43327</v>
          </cell>
          <cell r="O661">
            <v>92.17</v>
          </cell>
        </row>
        <row r="662">
          <cell r="B662">
            <v>43328</v>
          </cell>
          <cell r="C662">
            <v>97.19</v>
          </cell>
        </row>
        <row r="662">
          <cell r="E662">
            <v>43287</v>
          </cell>
          <cell r="F662">
            <v>133.79</v>
          </cell>
        </row>
        <row r="662">
          <cell r="H662">
            <v>43287</v>
          </cell>
          <cell r="I662">
            <v>90.61</v>
          </cell>
        </row>
        <row r="662">
          <cell r="K662">
            <v>43287</v>
          </cell>
          <cell r="L662">
            <v>135.12</v>
          </cell>
        </row>
        <row r="662">
          <cell r="N662">
            <v>43328</v>
          </cell>
          <cell r="O662">
            <v>92.12</v>
          </cell>
        </row>
        <row r="663">
          <cell r="B663">
            <v>43329</v>
          </cell>
          <cell r="C663">
            <v>96.96</v>
          </cell>
        </row>
        <row r="663">
          <cell r="E663">
            <v>43290</v>
          </cell>
          <cell r="F663">
            <v>133.59</v>
          </cell>
        </row>
        <row r="663">
          <cell r="H663">
            <v>43290</v>
          </cell>
          <cell r="I663">
            <v>90.94</v>
          </cell>
        </row>
        <row r="663">
          <cell r="K663">
            <v>43290</v>
          </cell>
          <cell r="L663">
            <v>134.4</v>
          </cell>
        </row>
        <row r="663">
          <cell r="N663">
            <v>43329</v>
          </cell>
          <cell r="O663">
            <v>91.9</v>
          </cell>
        </row>
        <row r="664">
          <cell r="B664">
            <v>43332</v>
          </cell>
          <cell r="C664">
            <v>96.95</v>
          </cell>
        </row>
        <row r="664">
          <cell r="E664">
            <v>43291</v>
          </cell>
          <cell r="F664">
            <v>133.79</v>
          </cell>
        </row>
        <row r="664">
          <cell r="H664">
            <v>43291</v>
          </cell>
          <cell r="I664">
            <v>90.88</v>
          </cell>
        </row>
        <row r="664">
          <cell r="K664">
            <v>43291</v>
          </cell>
          <cell r="L664">
            <v>134.45</v>
          </cell>
        </row>
        <row r="664">
          <cell r="N664">
            <v>43332</v>
          </cell>
          <cell r="O664">
            <v>91.85</v>
          </cell>
        </row>
        <row r="665">
          <cell r="B665">
            <v>43333</v>
          </cell>
          <cell r="C665">
            <v>97.04</v>
          </cell>
        </row>
        <row r="665">
          <cell r="E665">
            <v>43292</v>
          </cell>
          <cell r="F665">
            <v>134.14</v>
          </cell>
        </row>
        <row r="665">
          <cell r="H665">
            <v>43292</v>
          </cell>
          <cell r="I665">
            <v>90.2</v>
          </cell>
        </row>
        <row r="665">
          <cell r="K665">
            <v>43292</v>
          </cell>
          <cell r="L665">
            <v>135.23</v>
          </cell>
        </row>
        <row r="665">
          <cell r="N665">
            <v>43333</v>
          </cell>
          <cell r="O665">
            <v>91.26</v>
          </cell>
        </row>
        <row r="666">
          <cell r="B666">
            <v>43334</v>
          </cell>
          <cell r="C666">
            <v>97.08</v>
          </cell>
        </row>
        <row r="666">
          <cell r="E666">
            <v>43293</v>
          </cell>
          <cell r="F666">
            <v>135.02</v>
          </cell>
        </row>
        <row r="666">
          <cell r="H666">
            <v>43293</v>
          </cell>
          <cell r="I666">
            <v>89.87</v>
          </cell>
        </row>
        <row r="666">
          <cell r="K666">
            <v>43293</v>
          </cell>
          <cell r="L666">
            <v>135.03</v>
          </cell>
        </row>
        <row r="666">
          <cell r="N666">
            <v>43334</v>
          </cell>
          <cell r="O666">
            <v>91.07</v>
          </cell>
        </row>
        <row r="667">
          <cell r="B667">
            <v>43335</v>
          </cell>
          <cell r="C667">
            <v>97.05</v>
          </cell>
        </row>
        <row r="667">
          <cell r="E667">
            <v>43294</v>
          </cell>
          <cell r="F667">
            <v>135.04</v>
          </cell>
        </row>
        <row r="667">
          <cell r="H667">
            <v>43294</v>
          </cell>
          <cell r="I667">
            <v>89.94</v>
          </cell>
        </row>
        <row r="667">
          <cell r="K667">
            <v>43294</v>
          </cell>
          <cell r="L667">
            <v>135.37</v>
          </cell>
        </row>
        <row r="667">
          <cell r="N667">
            <v>43335</v>
          </cell>
          <cell r="O667">
            <v>91.15</v>
          </cell>
        </row>
        <row r="668">
          <cell r="B668">
            <v>43336</v>
          </cell>
          <cell r="C668">
            <v>97.17</v>
          </cell>
        </row>
        <row r="668">
          <cell r="E668">
            <v>43297</v>
          </cell>
          <cell r="F668">
            <v>135.43</v>
          </cell>
        </row>
        <row r="668">
          <cell r="H668">
            <v>43297</v>
          </cell>
          <cell r="I668">
            <v>89.69</v>
          </cell>
        </row>
        <row r="668">
          <cell r="K668">
            <v>43297</v>
          </cell>
          <cell r="L668">
            <v>135.43</v>
          </cell>
        </row>
        <row r="668">
          <cell r="N668">
            <v>43336</v>
          </cell>
          <cell r="O668">
            <v>91.3</v>
          </cell>
        </row>
        <row r="669">
          <cell r="B669">
            <v>43339</v>
          </cell>
          <cell r="C669">
            <v>97.24</v>
          </cell>
        </row>
        <row r="669">
          <cell r="E669">
            <v>43298</v>
          </cell>
          <cell r="F669">
            <v>136.2</v>
          </cell>
        </row>
        <row r="669">
          <cell r="H669">
            <v>43298</v>
          </cell>
          <cell r="I669">
            <v>89.44</v>
          </cell>
        </row>
        <row r="669">
          <cell r="K669">
            <v>43298</v>
          </cell>
          <cell r="L669">
            <v>135.47</v>
          </cell>
        </row>
        <row r="669">
          <cell r="N669">
            <v>43339</v>
          </cell>
          <cell r="O669">
            <v>91.73</v>
          </cell>
        </row>
        <row r="670">
          <cell r="B670">
            <v>43340</v>
          </cell>
          <cell r="C670">
            <v>97.07</v>
          </cell>
        </row>
        <row r="670">
          <cell r="E670">
            <v>43299</v>
          </cell>
          <cell r="F670">
            <v>136.61</v>
          </cell>
        </row>
        <row r="670">
          <cell r="H670">
            <v>43299</v>
          </cell>
          <cell r="I670">
            <v>89.74</v>
          </cell>
        </row>
        <row r="670">
          <cell r="K670">
            <v>43299</v>
          </cell>
          <cell r="L670">
            <v>135.75</v>
          </cell>
        </row>
        <row r="670">
          <cell r="N670">
            <v>43340</v>
          </cell>
          <cell r="O670">
            <v>91.54</v>
          </cell>
        </row>
        <row r="671">
          <cell r="B671">
            <v>43341</v>
          </cell>
          <cell r="C671">
            <v>97.2</v>
          </cell>
        </row>
        <row r="671">
          <cell r="E671">
            <v>43300</v>
          </cell>
          <cell r="F671">
            <v>136.27</v>
          </cell>
        </row>
        <row r="671">
          <cell r="H671">
            <v>43300</v>
          </cell>
          <cell r="I671">
            <v>89.75</v>
          </cell>
        </row>
        <row r="671">
          <cell r="K671">
            <v>43300</v>
          </cell>
          <cell r="L671">
            <v>136.37</v>
          </cell>
        </row>
        <row r="671">
          <cell r="N671">
            <v>43341</v>
          </cell>
          <cell r="O671">
            <v>91.73</v>
          </cell>
        </row>
        <row r="672">
          <cell r="B672">
            <v>43342</v>
          </cell>
          <cell r="C672">
            <v>97.23</v>
          </cell>
        </row>
        <row r="672">
          <cell r="E672">
            <v>43301</v>
          </cell>
          <cell r="F672">
            <v>136.9</v>
          </cell>
        </row>
        <row r="672">
          <cell r="H672">
            <v>43301</v>
          </cell>
          <cell r="I672">
            <v>89.55</v>
          </cell>
        </row>
        <row r="672">
          <cell r="K672">
            <v>43301</v>
          </cell>
          <cell r="L672">
            <v>136.13</v>
          </cell>
        </row>
        <row r="672">
          <cell r="N672">
            <v>43342</v>
          </cell>
          <cell r="O672">
            <v>91.56</v>
          </cell>
        </row>
        <row r="673">
          <cell r="B673">
            <v>43343</v>
          </cell>
          <cell r="C673">
            <v>97.47</v>
          </cell>
        </row>
        <row r="673">
          <cell r="E673">
            <v>43304</v>
          </cell>
          <cell r="F673">
            <v>137.1</v>
          </cell>
        </row>
        <row r="673">
          <cell r="H673">
            <v>43304</v>
          </cell>
          <cell r="I673">
            <v>90.04</v>
          </cell>
        </row>
        <row r="673">
          <cell r="K673">
            <v>43304</v>
          </cell>
          <cell r="L673">
            <v>136.63</v>
          </cell>
        </row>
        <row r="673">
          <cell r="N673">
            <v>43343</v>
          </cell>
          <cell r="O673">
            <v>91.23</v>
          </cell>
        </row>
        <row r="674">
          <cell r="B674">
            <v>43347</v>
          </cell>
          <cell r="C674">
            <v>97.32</v>
          </cell>
        </row>
        <row r="674">
          <cell r="E674">
            <v>43305</v>
          </cell>
          <cell r="F674">
            <v>136.41</v>
          </cell>
        </row>
        <row r="674">
          <cell r="H674">
            <v>43305</v>
          </cell>
          <cell r="I674">
            <v>89.98</v>
          </cell>
        </row>
        <row r="674">
          <cell r="K674">
            <v>43305</v>
          </cell>
          <cell r="L674">
            <v>136.82</v>
          </cell>
        </row>
        <row r="674">
          <cell r="N674">
            <v>43347</v>
          </cell>
          <cell r="O674">
            <v>91.43</v>
          </cell>
        </row>
        <row r="675">
          <cell r="B675">
            <v>43348</v>
          </cell>
          <cell r="C675">
            <v>97</v>
          </cell>
        </row>
        <row r="675">
          <cell r="E675">
            <v>43306</v>
          </cell>
          <cell r="F675">
            <v>137.51</v>
          </cell>
        </row>
        <row r="675">
          <cell r="H675">
            <v>43306</v>
          </cell>
          <cell r="I675">
            <v>89.44</v>
          </cell>
        </row>
        <row r="675">
          <cell r="K675">
            <v>43306</v>
          </cell>
          <cell r="L675">
            <v>137.59</v>
          </cell>
        </row>
        <row r="675">
          <cell r="N675">
            <v>43348</v>
          </cell>
          <cell r="O675">
            <v>91.39</v>
          </cell>
        </row>
        <row r="676">
          <cell r="B676">
            <v>43349</v>
          </cell>
          <cell r="C676">
            <v>96.79</v>
          </cell>
        </row>
        <row r="676">
          <cell r="E676">
            <v>43307</v>
          </cell>
          <cell r="F676">
            <v>136.8</v>
          </cell>
        </row>
        <row r="676">
          <cell r="H676">
            <v>43307</v>
          </cell>
          <cell r="I676">
            <v>89.56</v>
          </cell>
        </row>
        <row r="676">
          <cell r="K676">
            <v>43307</v>
          </cell>
          <cell r="L676">
            <v>138.3</v>
          </cell>
        </row>
        <row r="676">
          <cell r="N676">
            <v>43349</v>
          </cell>
          <cell r="O676">
            <v>91.86</v>
          </cell>
        </row>
        <row r="677">
          <cell r="B677">
            <v>43350</v>
          </cell>
          <cell r="C677">
            <v>96.73</v>
          </cell>
        </row>
        <row r="677">
          <cell r="E677">
            <v>43308</v>
          </cell>
          <cell r="F677">
            <v>135.16</v>
          </cell>
        </row>
        <row r="677">
          <cell r="H677">
            <v>43308</v>
          </cell>
          <cell r="I677">
            <v>90.38</v>
          </cell>
        </row>
        <row r="677">
          <cell r="K677">
            <v>43308</v>
          </cell>
          <cell r="L677">
            <v>138.27</v>
          </cell>
        </row>
        <row r="677">
          <cell r="N677">
            <v>43350</v>
          </cell>
          <cell r="O677">
            <v>91.87</v>
          </cell>
        </row>
        <row r="678">
          <cell r="B678">
            <v>43353</v>
          </cell>
          <cell r="C678">
            <v>96.91</v>
          </cell>
        </row>
        <row r="678">
          <cell r="E678">
            <v>43311</v>
          </cell>
          <cell r="F678">
            <v>132.7</v>
          </cell>
        </row>
        <row r="678">
          <cell r="H678">
            <v>43311</v>
          </cell>
          <cell r="I678">
            <v>91.54</v>
          </cell>
        </row>
        <row r="678">
          <cell r="K678">
            <v>43311</v>
          </cell>
          <cell r="L678">
            <v>138.21</v>
          </cell>
        </row>
        <row r="678">
          <cell r="N678">
            <v>43353</v>
          </cell>
          <cell r="O678">
            <v>92.04</v>
          </cell>
        </row>
        <row r="679">
          <cell r="B679">
            <v>43354</v>
          </cell>
          <cell r="C679">
            <v>96.92</v>
          </cell>
        </row>
        <row r="679">
          <cell r="E679">
            <v>43312</v>
          </cell>
          <cell r="F679">
            <v>132.45</v>
          </cell>
        </row>
        <row r="679">
          <cell r="H679">
            <v>43312</v>
          </cell>
          <cell r="I679">
            <v>91.4</v>
          </cell>
        </row>
        <row r="679">
          <cell r="K679">
            <v>43312</v>
          </cell>
          <cell r="L679">
            <v>138.59</v>
          </cell>
        </row>
        <row r="679">
          <cell r="N679">
            <v>43354</v>
          </cell>
          <cell r="O679">
            <v>92.14</v>
          </cell>
        </row>
        <row r="680">
          <cell r="B680">
            <v>43355</v>
          </cell>
          <cell r="C680">
            <v>96.98</v>
          </cell>
        </row>
        <row r="680">
          <cell r="E680">
            <v>43313</v>
          </cell>
          <cell r="F680">
            <v>133.27</v>
          </cell>
        </row>
        <row r="680">
          <cell r="H680">
            <v>43313</v>
          </cell>
          <cell r="I680">
            <v>90.85</v>
          </cell>
        </row>
        <row r="680">
          <cell r="K680">
            <v>43313</v>
          </cell>
          <cell r="L680">
            <v>138.39</v>
          </cell>
        </row>
        <row r="680">
          <cell r="N680">
            <v>43355</v>
          </cell>
          <cell r="O680">
            <v>92.55</v>
          </cell>
        </row>
        <row r="681">
          <cell r="B681">
            <v>43356</v>
          </cell>
          <cell r="C681">
            <v>96.64</v>
          </cell>
        </row>
        <row r="681">
          <cell r="E681">
            <v>43314</v>
          </cell>
          <cell r="F681">
            <v>134.22</v>
          </cell>
        </row>
        <row r="681">
          <cell r="H681">
            <v>43314</v>
          </cell>
          <cell r="I681">
            <v>90.42</v>
          </cell>
        </row>
        <row r="681">
          <cell r="K681">
            <v>43314</v>
          </cell>
          <cell r="L681">
            <v>138.69</v>
          </cell>
        </row>
        <row r="681">
          <cell r="N681">
            <v>43356</v>
          </cell>
          <cell r="O681">
            <v>92.92</v>
          </cell>
        </row>
        <row r="682">
          <cell r="B682">
            <v>43357</v>
          </cell>
          <cell r="C682">
            <v>96.5</v>
          </cell>
        </row>
        <row r="682">
          <cell r="E682">
            <v>43315</v>
          </cell>
          <cell r="F682">
            <v>132.79</v>
          </cell>
        </row>
        <row r="682">
          <cell r="H682">
            <v>43315</v>
          </cell>
          <cell r="I682">
            <v>91.19</v>
          </cell>
        </row>
        <row r="682">
          <cell r="K682">
            <v>43315</v>
          </cell>
          <cell r="L682">
            <v>138.43</v>
          </cell>
        </row>
        <row r="682">
          <cell r="N682">
            <v>43357</v>
          </cell>
          <cell r="O682">
            <v>92.73</v>
          </cell>
        </row>
        <row r="683">
          <cell r="B683">
            <v>43360</v>
          </cell>
          <cell r="C683">
            <v>96.06</v>
          </cell>
        </row>
        <row r="683">
          <cell r="E683">
            <v>43318</v>
          </cell>
          <cell r="F683">
            <v>133.52</v>
          </cell>
        </row>
        <row r="683">
          <cell r="H683">
            <v>43318</v>
          </cell>
          <cell r="I683">
            <v>90.8</v>
          </cell>
        </row>
        <row r="683">
          <cell r="K683">
            <v>43318</v>
          </cell>
          <cell r="L683">
            <v>138.66</v>
          </cell>
        </row>
        <row r="683">
          <cell r="N683">
            <v>43360</v>
          </cell>
          <cell r="O683">
            <v>93.15</v>
          </cell>
        </row>
        <row r="684">
          <cell r="B684">
            <v>43361</v>
          </cell>
          <cell r="C684">
            <v>96.58</v>
          </cell>
        </row>
        <row r="684">
          <cell r="E684">
            <v>43319</v>
          </cell>
          <cell r="F684">
            <v>134.12</v>
          </cell>
        </row>
        <row r="684">
          <cell r="H684">
            <v>43319</v>
          </cell>
          <cell r="I684">
            <v>90.83</v>
          </cell>
        </row>
        <row r="684">
          <cell r="K684">
            <v>43319</v>
          </cell>
          <cell r="L684">
            <v>138.89</v>
          </cell>
        </row>
        <row r="684">
          <cell r="N684">
            <v>43361</v>
          </cell>
          <cell r="O684">
            <v>93.12</v>
          </cell>
        </row>
        <row r="685">
          <cell r="B685">
            <v>43362</v>
          </cell>
          <cell r="C685">
            <v>96.74</v>
          </cell>
        </row>
        <row r="685">
          <cell r="E685">
            <v>43320</v>
          </cell>
          <cell r="F685">
            <v>134.45</v>
          </cell>
        </row>
        <row r="685">
          <cell r="H685">
            <v>43320</v>
          </cell>
          <cell r="I685">
            <v>90.93</v>
          </cell>
        </row>
        <row r="685">
          <cell r="K685">
            <v>43320</v>
          </cell>
          <cell r="L685">
            <v>139.05</v>
          </cell>
        </row>
        <row r="685">
          <cell r="N685">
            <v>43362</v>
          </cell>
          <cell r="O685">
            <v>93.69</v>
          </cell>
        </row>
        <row r="686">
          <cell r="B686">
            <v>43363</v>
          </cell>
          <cell r="C686">
            <v>96.74</v>
          </cell>
        </row>
        <row r="686">
          <cell r="E686">
            <v>43321</v>
          </cell>
          <cell r="F686">
            <v>134.95</v>
          </cell>
        </row>
        <row r="686">
          <cell r="H686">
            <v>43321</v>
          </cell>
          <cell r="I686">
            <v>90.67</v>
          </cell>
        </row>
        <row r="686">
          <cell r="K686">
            <v>43321</v>
          </cell>
          <cell r="L686">
            <v>138.39</v>
          </cell>
        </row>
        <row r="686">
          <cell r="N686">
            <v>43363</v>
          </cell>
          <cell r="O686">
            <v>93.39</v>
          </cell>
        </row>
        <row r="687">
          <cell r="B687">
            <v>43364</v>
          </cell>
          <cell r="C687">
            <v>96.43</v>
          </cell>
        </row>
        <row r="687">
          <cell r="E687">
            <v>43322</v>
          </cell>
          <cell r="F687">
            <v>135.97</v>
          </cell>
        </row>
        <row r="687">
          <cell r="H687">
            <v>43322</v>
          </cell>
          <cell r="I687">
            <v>90.45</v>
          </cell>
        </row>
        <row r="687">
          <cell r="K687">
            <v>43322</v>
          </cell>
          <cell r="L687">
            <v>138.52</v>
          </cell>
        </row>
        <row r="687">
          <cell r="N687">
            <v>43364</v>
          </cell>
          <cell r="O687">
            <v>93.86</v>
          </cell>
        </row>
        <row r="688">
          <cell r="B688">
            <v>43367</v>
          </cell>
          <cell r="C688">
            <v>96.5</v>
          </cell>
        </row>
        <row r="688">
          <cell r="E688">
            <v>43325</v>
          </cell>
          <cell r="F688">
            <v>135.97</v>
          </cell>
        </row>
        <row r="688">
          <cell r="H688">
            <v>43325</v>
          </cell>
          <cell r="I688">
            <v>90.71</v>
          </cell>
        </row>
        <row r="688">
          <cell r="K688">
            <v>43325</v>
          </cell>
          <cell r="L688">
            <v>138.89</v>
          </cell>
        </row>
        <row r="688">
          <cell r="N688">
            <v>43367</v>
          </cell>
          <cell r="O688">
            <v>94.05</v>
          </cell>
        </row>
        <row r="689">
          <cell r="B689">
            <v>43368</v>
          </cell>
          <cell r="C689">
            <v>96.74</v>
          </cell>
        </row>
        <row r="689">
          <cell r="E689">
            <v>43326</v>
          </cell>
          <cell r="F689">
            <v>136.48</v>
          </cell>
        </row>
        <row r="689">
          <cell r="H689">
            <v>43326</v>
          </cell>
          <cell r="I689">
            <v>91.12</v>
          </cell>
        </row>
        <row r="689">
          <cell r="K689">
            <v>43326</v>
          </cell>
          <cell r="L689">
            <v>139.46</v>
          </cell>
        </row>
        <row r="689">
          <cell r="N689">
            <v>43368</v>
          </cell>
          <cell r="O689">
            <v>93.92</v>
          </cell>
        </row>
        <row r="690">
          <cell r="B690">
            <v>43369</v>
          </cell>
          <cell r="C690">
            <v>96.57</v>
          </cell>
        </row>
        <row r="690">
          <cell r="E690">
            <v>43327</v>
          </cell>
          <cell r="F690">
            <v>134.9</v>
          </cell>
        </row>
        <row r="690">
          <cell r="H690">
            <v>43327</v>
          </cell>
          <cell r="I690">
            <v>90.93</v>
          </cell>
        </row>
        <row r="690">
          <cell r="K690">
            <v>43327</v>
          </cell>
          <cell r="L690">
            <v>140.44</v>
          </cell>
        </row>
        <row r="690">
          <cell r="N690">
            <v>43369</v>
          </cell>
          <cell r="O690">
            <v>94.46</v>
          </cell>
        </row>
        <row r="691">
          <cell r="B691">
            <v>43370</v>
          </cell>
          <cell r="C691">
            <v>96.57</v>
          </cell>
        </row>
        <row r="691">
          <cell r="E691">
            <v>43328</v>
          </cell>
          <cell r="F691">
            <v>134.79</v>
          </cell>
        </row>
        <row r="691">
          <cell r="H691">
            <v>43328</v>
          </cell>
          <cell r="I691">
            <v>91.16</v>
          </cell>
        </row>
        <row r="691">
          <cell r="K691">
            <v>43328</v>
          </cell>
          <cell r="L691">
            <v>140.57</v>
          </cell>
        </row>
        <row r="691">
          <cell r="N691">
            <v>43370</v>
          </cell>
          <cell r="O691">
            <v>94.47</v>
          </cell>
        </row>
        <row r="692">
          <cell r="B692">
            <v>43371</v>
          </cell>
          <cell r="C692">
            <v>96.25</v>
          </cell>
        </row>
        <row r="692">
          <cell r="E692">
            <v>43329</v>
          </cell>
          <cell r="F692">
            <v>134.6</v>
          </cell>
        </row>
        <row r="692">
          <cell r="H692">
            <v>43329</v>
          </cell>
          <cell r="I692">
            <v>91.61</v>
          </cell>
        </row>
        <row r="692">
          <cell r="K692">
            <v>43329</v>
          </cell>
          <cell r="L692">
            <v>140.25</v>
          </cell>
        </row>
        <row r="692">
          <cell r="N692">
            <v>43371</v>
          </cell>
          <cell r="O692">
            <v>94.24</v>
          </cell>
        </row>
        <row r="693">
          <cell r="B693">
            <v>43374</v>
          </cell>
          <cell r="C693">
            <v>96.05</v>
          </cell>
        </row>
        <row r="693">
          <cell r="E693">
            <v>43332</v>
          </cell>
          <cell r="F693">
            <v>135.05</v>
          </cell>
        </row>
        <row r="693">
          <cell r="H693">
            <v>43332</v>
          </cell>
          <cell r="I693">
            <v>91.85</v>
          </cell>
        </row>
        <row r="693">
          <cell r="K693">
            <v>43332</v>
          </cell>
          <cell r="L693">
            <v>140.79</v>
          </cell>
        </row>
        <row r="693">
          <cell r="N693">
            <v>43374</v>
          </cell>
          <cell r="O693">
            <v>95.52</v>
          </cell>
        </row>
        <row r="694">
          <cell r="B694">
            <v>43375</v>
          </cell>
          <cell r="C694">
            <v>95.79</v>
          </cell>
        </row>
        <row r="694">
          <cell r="E694">
            <v>43333</v>
          </cell>
          <cell r="F694">
            <v>134.44</v>
          </cell>
        </row>
        <row r="694">
          <cell r="H694">
            <v>43333</v>
          </cell>
          <cell r="I694">
            <v>91.71</v>
          </cell>
        </row>
        <row r="694">
          <cell r="K694">
            <v>43333</v>
          </cell>
          <cell r="L694">
            <v>140.85</v>
          </cell>
        </row>
        <row r="694">
          <cell r="N694">
            <v>43375</v>
          </cell>
          <cell r="O694">
            <v>96.21</v>
          </cell>
        </row>
        <row r="695">
          <cell r="B695">
            <v>43376</v>
          </cell>
          <cell r="C695">
            <v>95.85</v>
          </cell>
        </row>
        <row r="695">
          <cell r="E695">
            <v>43334</v>
          </cell>
          <cell r="F695">
            <v>135.47</v>
          </cell>
        </row>
        <row r="695">
          <cell r="H695">
            <v>43334</v>
          </cell>
          <cell r="I695">
            <v>91.23</v>
          </cell>
        </row>
        <row r="695">
          <cell r="K695">
            <v>43334</v>
          </cell>
          <cell r="L695">
            <v>140.54</v>
          </cell>
        </row>
        <row r="695">
          <cell r="N695">
            <v>43376</v>
          </cell>
          <cell r="O695">
            <v>95.56</v>
          </cell>
        </row>
        <row r="696">
          <cell r="B696">
            <v>43377</v>
          </cell>
          <cell r="C696">
            <v>95.56</v>
          </cell>
        </row>
        <row r="696">
          <cell r="E696">
            <v>43335</v>
          </cell>
          <cell r="F696">
            <v>136.47</v>
          </cell>
        </row>
        <row r="696">
          <cell r="H696">
            <v>43335</v>
          </cell>
          <cell r="I696">
            <v>91.24</v>
          </cell>
        </row>
        <row r="696">
          <cell r="K696">
            <v>43335</v>
          </cell>
          <cell r="L696">
            <v>141.63</v>
          </cell>
        </row>
        <row r="696">
          <cell r="N696">
            <v>43377</v>
          </cell>
          <cell r="O696">
            <v>96.17</v>
          </cell>
        </row>
        <row r="697">
          <cell r="B697">
            <v>43378</v>
          </cell>
          <cell r="C697">
            <v>95.98</v>
          </cell>
        </row>
        <row r="697">
          <cell r="E697">
            <v>43336</v>
          </cell>
          <cell r="F697">
            <v>137.01</v>
          </cell>
        </row>
        <row r="697">
          <cell r="H697">
            <v>43336</v>
          </cell>
          <cell r="I697">
            <v>90.44</v>
          </cell>
        </row>
        <row r="697">
          <cell r="K697">
            <v>43336</v>
          </cell>
          <cell r="L697">
            <v>141.38</v>
          </cell>
        </row>
        <row r="697">
          <cell r="N697">
            <v>43378</v>
          </cell>
          <cell r="O697">
            <v>96.37</v>
          </cell>
        </row>
        <row r="698">
          <cell r="B698">
            <v>43381</v>
          </cell>
          <cell r="C698">
            <v>96.1</v>
          </cell>
        </row>
        <row r="698">
          <cell r="E698">
            <v>43339</v>
          </cell>
          <cell r="F698">
            <v>136.22</v>
          </cell>
        </row>
        <row r="698">
          <cell r="H698">
            <v>43339</v>
          </cell>
          <cell r="I698">
            <v>90.63</v>
          </cell>
        </row>
        <row r="698">
          <cell r="K698">
            <v>43339</v>
          </cell>
          <cell r="L698">
            <v>140.53</v>
          </cell>
        </row>
        <row r="698">
          <cell r="N698">
            <v>43381</v>
          </cell>
          <cell r="O698">
            <v>96.58</v>
          </cell>
        </row>
        <row r="699">
          <cell r="B699">
            <v>43382</v>
          </cell>
          <cell r="C699">
            <v>95.84</v>
          </cell>
        </row>
        <row r="699">
          <cell r="E699">
            <v>43340</v>
          </cell>
          <cell r="F699">
            <v>136.09</v>
          </cell>
        </row>
        <row r="699">
          <cell r="H699">
            <v>43340</v>
          </cell>
          <cell r="I699">
            <v>90.63</v>
          </cell>
        </row>
        <row r="699">
          <cell r="K699">
            <v>43340</v>
          </cell>
          <cell r="L699">
            <v>140.71</v>
          </cell>
        </row>
        <row r="699">
          <cell r="N699">
            <v>43382</v>
          </cell>
          <cell r="O699">
            <v>96.98</v>
          </cell>
        </row>
        <row r="700">
          <cell r="B700">
            <v>43383</v>
          </cell>
          <cell r="C700">
            <v>95.73</v>
          </cell>
        </row>
        <row r="700">
          <cell r="E700">
            <v>43341</v>
          </cell>
          <cell r="F700">
            <v>136.68</v>
          </cell>
        </row>
        <row r="700">
          <cell r="H700">
            <v>43341</v>
          </cell>
          <cell r="I700">
            <v>90.19</v>
          </cell>
        </row>
        <row r="700">
          <cell r="K700">
            <v>43341</v>
          </cell>
          <cell r="L700">
            <v>140.23</v>
          </cell>
        </row>
        <row r="700">
          <cell r="N700">
            <v>43383</v>
          </cell>
          <cell r="O700">
            <v>96.6</v>
          </cell>
        </row>
        <row r="701">
          <cell r="B701">
            <v>43384</v>
          </cell>
          <cell r="C701">
            <v>96.25</v>
          </cell>
        </row>
        <row r="701">
          <cell r="E701">
            <v>43342</v>
          </cell>
          <cell r="F701">
            <v>137.28</v>
          </cell>
        </row>
        <row r="701">
          <cell r="H701">
            <v>43342</v>
          </cell>
          <cell r="I701">
            <v>90.06</v>
          </cell>
        </row>
        <row r="701">
          <cell r="K701">
            <v>43342</v>
          </cell>
          <cell r="L701">
            <v>140.61</v>
          </cell>
        </row>
        <row r="701">
          <cell r="N701">
            <v>43384</v>
          </cell>
          <cell r="O701">
            <v>96.29</v>
          </cell>
        </row>
        <row r="702">
          <cell r="B702">
            <v>43385</v>
          </cell>
          <cell r="C702">
            <v>95.92</v>
          </cell>
        </row>
        <row r="702">
          <cell r="E702">
            <v>43343</v>
          </cell>
          <cell r="F702">
            <v>137.99</v>
          </cell>
        </row>
        <row r="702">
          <cell r="H702">
            <v>43343</v>
          </cell>
          <cell r="I702">
            <v>89.89</v>
          </cell>
        </row>
        <row r="702">
          <cell r="K702">
            <v>43343</v>
          </cell>
          <cell r="L702">
            <v>141.4</v>
          </cell>
        </row>
        <row r="702">
          <cell r="N702">
            <v>43385</v>
          </cell>
          <cell r="O702">
            <v>97.4</v>
          </cell>
        </row>
        <row r="703">
          <cell r="B703">
            <v>43388</v>
          </cell>
          <cell r="C703">
            <v>95.61</v>
          </cell>
        </row>
        <row r="703">
          <cell r="E703">
            <v>43346</v>
          </cell>
          <cell r="F703">
            <v>137.96</v>
          </cell>
        </row>
        <row r="703">
          <cell r="H703">
            <v>43346</v>
          </cell>
          <cell r="I703">
            <v>89.86</v>
          </cell>
        </row>
        <row r="703">
          <cell r="K703">
            <v>43346</v>
          </cell>
          <cell r="L703">
            <v>141.45</v>
          </cell>
        </row>
        <row r="703">
          <cell r="N703">
            <v>43388</v>
          </cell>
          <cell r="O703">
            <v>96.7</v>
          </cell>
        </row>
        <row r="704">
          <cell r="B704">
            <v>43389</v>
          </cell>
          <cell r="C704">
            <v>95.7</v>
          </cell>
        </row>
        <row r="704">
          <cell r="E704">
            <v>43347</v>
          </cell>
          <cell r="F704">
            <v>139.15</v>
          </cell>
        </row>
        <row r="704">
          <cell r="H704">
            <v>43347</v>
          </cell>
          <cell r="I704">
            <v>89.84</v>
          </cell>
        </row>
        <row r="704">
          <cell r="K704">
            <v>43347</v>
          </cell>
          <cell r="L704">
            <v>143.15</v>
          </cell>
        </row>
        <row r="704">
          <cell r="N704">
            <v>43389</v>
          </cell>
          <cell r="O704">
            <v>96.15</v>
          </cell>
        </row>
        <row r="705">
          <cell r="B705">
            <v>43390</v>
          </cell>
          <cell r="C705">
            <v>95.5</v>
          </cell>
        </row>
        <row r="705">
          <cell r="E705">
            <v>43348</v>
          </cell>
          <cell r="F705">
            <v>136.95</v>
          </cell>
        </row>
        <row r="705">
          <cell r="H705">
            <v>43348</v>
          </cell>
          <cell r="I705">
            <v>90.4</v>
          </cell>
        </row>
        <row r="705">
          <cell r="K705">
            <v>43348</v>
          </cell>
          <cell r="L705">
            <v>143.71</v>
          </cell>
        </row>
        <row r="705">
          <cell r="N705">
            <v>43390</v>
          </cell>
          <cell r="O705">
            <v>96.21</v>
          </cell>
        </row>
        <row r="706">
          <cell r="B706">
            <v>43391</v>
          </cell>
          <cell r="C706">
            <v>95.27</v>
          </cell>
        </row>
        <row r="706">
          <cell r="E706">
            <v>43349</v>
          </cell>
          <cell r="F706">
            <v>137.46</v>
          </cell>
        </row>
        <row r="706">
          <cell r="H706">
            <v>43349</v>
          </cell>
          <cell r="I706">
            <v>90.28</v>
          </cell>
        </row>
        <row r="706">
          <cell r="K706">
            <v>43349</v>
          </cell>
          <cell r="L706">
            <v>144.62</v>
          </cell>
        </row>
        <row r="706">
          <cell r="N706">
            <v>43391</v>
          </cell>
          <cell r="O706">
            <v>96.86</v>
          </cell>
        </row>
        <row r="707">
          <cell r="B707">
            <v>43392</v>
          </cell>
          <cell r="C707">
            <v>95.09</v>
          </cell>
        </row>
        <row r="707">
          <cell r="E707">
            <v>43350</v>
          </cell>
          <cell r="F707">
            <v>137.22</v>
          </cell>
        </row>
        <row r="707">
          <cell r="H707">
            <v>43350</v>
          </cell>
          <cell r="I707">
            <v>90.26</v>
          </cell>
        </row>
        <row r="707">
          <cell r="K707">
            <v>43350</v>
          </cell>
          <cell r="L707">
            <v>144.01</v>
          </cell>
        </row>
        <row r="707">
          <cell r="N707">
            <v>43392</v>
          </cell>
          <cell r="O707">
            <v>97.57</v>
          </cell>
        </row>
        <row r="708">
          <cell r="B708">
            <v>43395</v>
          </cell>
          <cell r="C708">
            <v>94.67</v>
          </cell>
        </row>
        <row r="708">
          <cell r="E708">
            <v>43353</v>
          </cell>
          <cell r="F708">
            <v>137.6</v>
          </cell>
        </row>
        <row r="708">
          <cell r="H708">
            <v>43353</v>
          </cell>
          <cell r="I708">
            <v>90.23</v>
          </cell>
        </row>
        <row r="708">
          <cell r="K708">
            <v>43353</v>
          </cell>
          <cell r="L708">
            <v>144.58</v>
          </cell>
        </row>
        <row r="708">
          <cell r="N708">
            <v>43395</v>
          </cell>
          <cell r="O708">
            <v>97.18</v>
          </cell>
        </row>
        <row r="709">
          <cell r="B709">
            <v>43396</v>
          </cell>
          <cell r="C709">
            <v>95.04</v>
          </cell>
        </row>
        <row r="709">
          <cell r="E709">
            <v>43354</v>
          </cell>
          <cell r="F709">
            <v>138.53</v>
          </cell>
        </row>
        <row r="709">
          <cell r="H709">
            <v>43354</v>
          </cell>
          <cell r="I709">
            <v>89.78</v>
          </cell>
        </row>
        <row r="709">
          <cell r="K709">
            <v>43354</v>
          </cell>
          <cell r="L709">
            <v>144.23</v>
          </cell>
        </row>
        <row r="709">
          <cell r="N709">
            <v>43396</v>
          </cell>
          <cell r="O709">
            <v>97.43</v>
          </cell>
        </row>
        <row r="710">
          <cell r="B710">
            <v>43397</v>
          </cell>
          <cell r="C710">
            <v>94.97</v>
          </cell>
        </row>
        <row r="710">
          <cell r="E710">
            <v>43355</v>
          </cell>
          <cell r="F710">
            <v>138</v>
          </cell>
        </row>
        <row r="710">
          <cell r="H710">
            <v>43355</v>
          </cell>
          <cell r="I710">
            <v>89.81</v>
          </cell>
        </row>
        <row r="710">
          <cell r="K710">
            <v>43355</v>
          </cell>
          <cell r="L710">
            <v>143.19</v>
          </cell>
        </row>
        <row r="710">
          <cell r="N710">
            <v>43397</v>
          </cell>
          <cell r="O710">
            <v>97.91</v>
          </cell>
        </row>
        <row r="711">
          <cell r="B711">
            <v>43398</v>
          </cell>
          <cell r="C711">
            <v>95.67</v>
          </cell>
        </row>
        <row r="711">
          <cell r="E711">
            <v>43356</v>
          </cell>
          <cell r="F711">
            <v>136.92</v>
          </cell>
        </row>
        <row r="711">
          <cell r="H711">
            <v>43356</v>
          </cell>
          <cell r="I711">
            <v>90.13</v>
          </cell>
        </row>
        <row r="711">
          <cell r="K711">
            <v>43356</v>
          </cell>
          <cell r="L711">
            <v>142.91</v>
          </cell>
        </row>
        <row r="711">
          <cell r="N711">
            <v>43398</v>
          </cell>
          <cell r="O711">
            <v>97.43</v>
          </cell>
        </row>
        <row r="712">
          <cell r="B712">
            <v>43399</v>
          </cell>
          <cell r="C712">
            <v>95.49</v>
          </cell>
        </row>
        <row r="712">
          <cell r="E712">
            <v>43357</v>
          </cell>
          <cell r="F712">
            <v>136.52</v>
          </cell>
        </row>
        <row r="712">
          <cell r="H712">
            <v>43357</v>
          </cell>
          <cell r="I712">
            <v>90.32</v>
          </cell>
        </row>
        <row r="712">
          <cell r="K712">
            <v>43357</v>
          </cell>
          <cell r="L712">
            <v>142.91</v>
          </cell>
        </row>
        <row r="712">
          <cell r="N712">
            <v>43399</v>
          </cell>
          <cell r="O712">
            <v>97.27</v>
          </cell>
        </row>
        <row r="713">
          <cell r="B713">
            <v>43402</v>
          </cell>
          <cell r="C713">
            <v>95.4</v>
          </cell>
        </row>
        <row r="713">
          <cell r="E713">
            <v>43360</v>
          </cell>
          <cell r="F713">
            <v>135.4</v>
          </cell>
        </row>
        <row r="713">
          <cell r="H713">
            <v>43360</v>
          </cell>
          <cell r="I713">
            <v>90.42</v>
          </cell>
        </row>
        <row r="713">
          <cell r="K713">
            <v>43360</v>
          </cell>
          <cell r="L713">
            <v>141.98</v>
          </cell>
        </row>
        <row r="713">
          <cell r="N713">
            <v>43402</v>
          </cell>
          <cell r="O713">
            <v>97.02</v>
          </cell>
        </row>
        <row r="714">
          <cell r="B714">
            <v>43403</v>
          </cell>
          <cell r="C714">
            <v>95.64</v>
          </cell>
        </row>
        <row r="714">
          <cell r="E714">
            <v>43361</v>
          </cell>
          <cell r="F714">
            <v>135.79</v>
          </cell>
        </row>
        <row r="714">
          <cell r="H714">
            <v>43361</v>
          </cell>
          <cell r="I714">
            <v>90.43</v>
          </cell>
        </row>
        <row r="714">
          <cell r="K714">
            <v>43361</v>
          </cell>
          <cell r="L714">
            <v>141.22</v>
          </cell>
        </row>
        <row r="714">
          <cell r="N714">
            <v>43403</v>
          </cell>
          <cell r="O714">
            <v>96.63</v>
          </cell>
        </row>
        <row r="715">
          <cell r="B715">
            <v>43404</v>
          </cell>
          <cell r="C715">
            <v>95.49</v>
          </cell>
        </row>
        <row r="715">
          <cell r="E715">
            <v>43362</v>
          </cell>
          <cell r="F715">
            <v>133.83</v>
          </cell>
        </row>
        <row r="715">
          <cell r="H715">
            <v>43362</v>
          </cell>
          <cell r="I715">
            <v>90.29</v>
          </cell>
        </row>
        <row r="715">
          <cell r="K715">
            <v>43362</v>
          </cell>
          <cell r="L715">
            <v>140.2</v>
          </cell>
        </row>
        <row r="715">
          <cell r="N715">
            <v>43404</v>
          </cell>
          <cell r="O715">
            <v>97.68</v>
          </cell>
        </row>
        <row r="716">
          <cell r="B716">
            <v>43405</v>
          </cell>
          <cell r="C716">
            <v>96.39</v>
          </cell>
        </row>
        <row r="716">
          <cell r="E716">
            <v>43363</v>
          </cell>
          <cell r="F716">
            <v>133.67</v>
          </cell>
        </row>
        <row r="716">
          <cell r="H716">
            <v>43363</v>
          </cell>
          <cell r="I716">
            <v>90.08</v>
          </cell>
        </row>
        <row r="716">
          <cell r="K716">
            <v>43363</v>
          </cell>
          <cell r="L716">
            <v>139.74</v>
          </cell>
        </row>
        <row r="716">
          <cell r="N716">
            <v>43405</v>
          </cell>
          <cell r="O716">
            <v>96.84</v>
          </cell>
        </row>
        <row r="717">
          <cell r="B717">
            <v>43406</v>
          </cell>
          <cell r="C717">
            <v>95.69</v>
          </cell>
        </row>
        <row r="717">
          <cell r="E717">
            <v>43364</v>
          </cell>
          <cell r="F717">
            <v>133.13</v>
          </cell>
        </row>
        <row r="717">
          <cell r="H717">
            <v>43364</v>
          </cell>
          <cell r="I717">
            <v>90.3</v>
          </cell>
        </row>
        <row r="717">
          <cell r="K717">
            <v>43364</v>
          </cell>
          <cell r="L717">
            <v>140.18</v>
          </cell>
        </row>
        <row r="717">
          <cell r="N717">
            <v>43406</v>
          </cell>
          <cell r="O717">
            <v>96.34</v>
          </cell>
        </row>
        <row r="718">
          <cell r="B718">
            <v>43409</v>
          </cell>
          <cell r="C718">
            <v>95.56</v>
          </cell>
        </row>
        <row r="718">
          <cell r="E718">
            <v>43367</v>
          </cell>
          <cell r="F718">
            <v>135.06</v>
          </cell>
        </row>
        <row r="718">
          <cell r="H718">
            <v>43367</v>
          </cell>
          <cell r="I718">
            <v>89.82</v>
          </cell>
        </row>
        <row r="718">
          <cell r="K718">
            <v>43367</v>
          </cell>
          <cell r="L718">
            <v>140.76</v>
          </cell>
        </row>
        <row r="718">
          <cell r="N718">
            <v>43409</v>
          </cell>
          <cell r="O718">
            <v>96.84</v>
          </cell>
        </row>
        <row r="719">
          <cell r="B719">
            <v>43410</v>
          </cell>
          <cell r="C719">
            <v>95.64</v>
          </cell>
        </row>
        <row r="719">
          <cell r="E719">
            <v>43368</v>
          </cell>
          <cell r="F719">
            <v>136.47</v>
          </cell>
        </row>
        <row r="719">
          <cell r="H719">
            <v>43368</v>
          </cell>
          <cell r="I719">
            <v>89.41</v>
          </cell>
        </row>
        <row r="719">
          <cell r="K719">
            <v>43368</v>
          </cell>
          <cell r="L719">
            <v>140.93</v>
          </cell>
        </row>
        <row r="719">
          <cell r="N719">
            <v>43410</v>
          </cell>
          <cell r="O719">
            <v>96.89</v>
          </cell>
        </row>
        <row r="720">
          <cell r="B720">
            <v>43411</v>
          </cell>
          <cell r="C720">
            <v>96</v>
          </cell>
        </row>
        <row r="720">
          <cell r="E720">
            <v>43369</v>
          </cell>
          <cell r="F720">
            <v>136.81</v>
          </cell>
        </row>
        <row r="720">
          <cell r="H720">
            <v>43369</v>
          </cell>
          <cell r="I720">
            <v>89.45</v>
          </cell>
        </row>
        <row r="720">
          <cell r="K720">
            <v>43369</v>
          </cell>
          <cell r="L720">
            <v>141.5</v>
          </cell>
        </row>
        <row r="720">
          <cell r="N720">
            <v>43411</v>
          </cell>
          <cell r="O720">
            <v>97.43</v>
          </cell>
        </row>
        <row r="721">
          <cell r="B721">
            <v>43412</v>
          </cell>
          <cell r="C721">
            <v>96.32</v>
          </cell>
        </row>
        <row r="721">
          <cell r="E721">
            <v>43370</v>
          </cell>
          <cell r="F721">
            <v>136.46</v>
          </cell>
        </row>
        <row r="721">
          <cell r="H721">
            <v>43370</v>
          </cell>
          <cell r="I721">
            <v>89</v>
          </cell>
        </row>
        <row r="721">
          <cell r="K721">
            <v>43370</v>
          </cell>
          <cell r="L721">
            <v>141.14</v>
          </cell>
        </row>
        <row r="721">
          <cell r="N721">
            <v>43412</v>
          </cell>
          <cell r="O721">
            <v>97.55</v>
          </cell>
        </row>
        <row r="722">
          <cell r="B722">
            <v>43413</v>
          </cell>
          <cell r="C722">
            <v>96.31</v>
          </cell>
        </row>
        <row r="722">
          <cell r="E722">
            <v>43371</v>
          </cell>
          <cell r="F722">
            <v>136.69</v>
          </cell>
        </row>
        <row r="722">
          <cell r="H722">
            <v>43371</v>
          </cell>
          <cell r="I722">
            <v>89.12</v>
          </cell>
        </row>
        <row r="722">
          <cell r="K722">
            <v>43371</v>
          </cell>
          <cell r="L722">
            <v>141.06</v>
          </cell>
        </row>
        <row r="722">
          <cell r="N722">
            <v>43413</v>
          </cell>
          <cell r="O722">
            <v>98.1</v>
          </cell>
        </row>
        <row r="723">
          <cell r="B723">
            <v>43416</v>
          </cell>
          <cell r="C723">
            <v>95.98</v>
          </cell>
        </row>
        <row r="723">
          <cell r="E723">
            <v>43374</v>
          </cell>
          <cell r="F723">
            <v>136.99</v>
          </cell>
        </row>
        <row r="723">
          <cell r="H723">
            <v>43374</v>
          </cell>
          <cell r="I723">
            <v>88.98</v>
          </cell>
        </row>
        <row r="723">
          <cell r="K723">
            <v>43374</v>
          </cell>
          <cell r="L723">
            <v>140.44</v>
          </cell>
        </row>
        <row r="723">
          <cell r="N723">
            <v>43416</v>
          </cell>
          <cell r="O723">
            <v>98.05</v>
          </cell>
        </row>
        <row r="724">
          <cell r="B724">
            <v>43417</v>
          </cell>
          <cell r="C724">
            <v>96.22</v>
          </cell>
        </row>
        <row r="724">
          <cell r="E724">
            <v>43375</v>
          </cell>
          <cell r="F724">
            <v>135.56</v>
          </cell>
        </row>
        <row r="724">
          <cell r="H724">
            <v>43375</v>
          </cell>
          <cell r="I724">
            <v>88.93</v>
          </cell>
        </row>
        <row r="724">
          <cell r="K724">
            <v>43375</v>
          </cell>
          <cell r="L724">
            <v>139.6</v>
          </cell>
        </row>
        <row r="724">
          <cell r="N724">
            <v>43417</v>
          </cell>
          <cell r="O724">
            <v>98.41</v>
          </cell>
        </row>
        <row r="725">
          <cell r="B725">
            <v>43418</v>
          </cell>
          <cell r="C725">
            <v>96.16</v>
          </cell>
        </row>
        <row r="725">
          <cell r="E725">
            <v>43376</v>
          </cell>
          <cell r="F725">
            <v>136.32</v>
          </cell>
        </row>
        <row r="725">
          <cell r="H725">
            <v>43376</v>
          </cell>
          <cell r="I725">
            <v>88.82</v>
          </cell>
        </row>
        <row r="725">
          <cell r="K725">
            <v>43376</v>
          </cell>
          <cell r="L725">
            <v>139.52</v>
          </cell>
        </row>
        <row r="725">
          <cell r="N725">
            <v>43418</v>
          </cell>
          <cell r="O725">
            <v>98.42</v>
          </cell>
        </row>
        <row r="726">
          <cell r="B726">
            <v>43419</v>
          </cell>
          <cell r="C726">
            <v>96.2</v>
          </cell>
        </row>
        <row r="726">
          <cell r="E726">
            <v>43377</v>
          </cell>
          <cell r="F726">
            <v>135.33</v>
          </cell>
        </row>
        <row r="726">
          <cell r="H726">
            <v>43377</v>
          </cell>
          <cell r="I726">
            <v>89.25</v>
          </cell>
        </row>
        <row r="726">
          <cell r="K726">
            <v>43377</v>
          </cell>
          <cell r="L726">
            <v>139</v>
          </cell>
        </row>
        <row r="726">
          <cell r="N726">
            <v>43419</v>
          </cell>
          <cell r="O726">
            <v>98.23</v>
          </cell>
        </row>
        <row r="727">
          <cell r="B727">
            <v>43420</v>
          </cell>
          <cell r="C727">
            <v>95.78</v>
          </cell>
        </row>
        <row r="727">
          <cell r="E727">
            <v>43378</v>
          </cell>
          <cell r="F727">
            <v>136.32</v>
          </cell>
        </row>
        <row r="727">
          <cell r="H727">
            <v>43378</v>
          </cell>
          <cell r="I727">
            <v>88.89</v>
          </cell>
        </row>
        <row r="727">
          <cell r="K727">
            <v>43378</v>
          </cell>
          <cell r="L727">
            <v>139.51</v>
          </cell>
        </row>
        <row r="727">
          <cell r="N727">
            <v>43420</v>
          </cell>
          <cell r="O727">
            <v>98.25</v>
          </cell>
        </row>
        <row r="728">
          <cell r="B728">
            <v>43423</v>
          </cell>
          <cell r="C728">
            <v>95.45</v>
          </cell>
        </row>
        <row r="728">
          <cell r="E728">
            <v>43381</v>
          </cell>
          <cell r="F728">
            <v>134.55</v>
          </cell>
        </row>
        <row r="728">
          <cell r="H728">
            <v>43381</v>
          </cell>
          <cell r="I728">
            <v>89.22</v>
          </cell>
        </row>
        <row r="728">
          <cell r="K728">
            <v>43381</v>
          </cell>
          <cell r="L728">
            <v>139.62</v>
          </cell>
        </row>
        <row r="728">
          <cell r="N728">
            <v>43423</v>
          </cell>
          <cell r="O728">
            <v>98.89</v>
          </cell>
        </row>
        <row r="729">
          <cell r="B729">
            <v>43424</v>
          </cell>
          <cell r="C729">
            <v>96.03</v>
          </cell>
        </row>
        <row r="729">
          <cell r="E729">
            <v>43382</v>
          </cell>
          <cell r="F729">
            <v>135.36</v>
          </cell>
        </row>
        <row r="729">
          <cell r="H729">
            <v>43382</v>
          </cell>
          <cell r="I729">
            <v>88.74</v>
          </cell>
        </row>
        <row r="729">
          <cell r="K729">
            <v>43382</v>
          </cell>
          <cell r="L729">
            <v>138.96</v>
          </cell>
        </row>
        <row r="729">
          <cell r="N729">
            <v>43424</v>
          </cell>
          <cell r="O729">
            <v>98.75</v>
          </cell>
        </row>
        <row r="730">
          <cell r="B730">
            <v>43425</v>
          </cell>
          <cell r="C730">
            <v>96.16</v>
          </cell>
        </row>
        <row r="730">
          <cell r="E730">
            <v>43383</v>
          </cell>
          <cell r="F730">
            <v>132.98</v>
          </cell>
        </row>
        <row r="730">
          <cell r="H730">
            <v>43383</v>
          </cell>
          <cell r="I730">
            <v>89.71</v>
          </cell>
        </row>
        <row r="730">
          <cell r="K730">
            <v>43383</v>
          </cell>
          <cell r="L730">
            <v>138.46</v>
          </cell>
        </row>
        <row r="730">
          <cell r="N730">
            <v>43425</v>
          </cell>
          <cell r="O730">
            <v>97.99</v>
          </cell>
        </row>
        <row r="731">
          <cell r="B731">
            <v>43427</v>
          </cell>
          <cell r="C731">
            <v>96.01</v>
          </cell>
        </row>
        <row r="731">
          <cell r="E731">
            <v>43384</v>
          </cell>
          <cell r="F731">
            <v>133.68</v>
          </cell>
        </row>
        <row r="731">
          <cell r="H731">
            <v>43384</v>
          </cell>
          <cell r="I731">
            <v>89.62</v>
          </cell>
        </row>
        <row r="731">
          <cell r="K731">
            <v>43384</v>
          </cell>
          <cell r="L731">
            <v>137.81</v>
          </cell>
        </row>
        <row r="731">
          <cell r="N731">
            <v>43427</v>
          </cell>
          <cell r="O731">
            <v>97.54</v>
          </cell>
        </row>
        <row r="732">
          <cell r="B732">
            <v>43430</v>
          </cell>
          <cell r="C732">
            <v>96.33</v>
          </cell>
        </row>
        <row r="732">
          <cell r="E732">
            <v>43385</v>
          </cell>
          <cell r="F732">
            <v>135.46</v>
          </cell>
        </row>
        <row r="732">
          <cell r="H732">
            <v>43385</v>
          </cell>
          <cell r="I732">
            <v>89.13</v>
          </cell>
        </row>
        <row r="732">
          <cell r="K732">
            <v>43385</v>
          </cell>
          <cell r="L732">
            <v>138.08</v>
          </cell>
        </row>
        <row r="732">
          <cell r="N732">
            <v>43430</v>
          </cell>
          <cell r="O732">
            <v>97.79</v>
          </cell>
        </row>
        <row r="733">
          <cell r="B733">
            <v>43431</v>
          </cell>
          <cell r="C733">
            <v>95.96</v>
          </cell>
        </row>
        <row r="733">
          <cell r="E733">
            <v>43388</v>
          </cell>
          <cell r="F733">
            <v>134.26</v>
          </cell>
        </row>
        <row r="733">
          <cell r="H733">
            <v>43388</v>
          </cell>
          <cell r="I733">
            <v>89.21</v>
          </cell>
        </row>
        <row r="733">
          <cell r="K733">
            <v>43388</v>
          </cell>
          <cell r="L733">
            <v>137.8</v>
          </cell>
        </row>
        <row r="733">
          <cell r="N733">
            <v>43431</v>
          </cell>
          <cell r="O733">
            <v>98.87</v>
          </cell>
        </row>
        <row r="734">
          <cell r="B734">
            <v>43432</v>
          </cell>
          <cell r="C734">
            <v>96.43</v>
          </cell>
        </row>
        <row r="734">
          <cell r="E734">
            <v>43389</v>
          </cell>
          <cell r="F734">
            <v>134.63</v>
          </cell>
        </row>
        <row r="734">
          <cell r="H734">
            <v>43389</v>
          </cell>
          <cell r="I734">
            <v>89.03</v>
          </cell>
        </row>
        <row r="734">
          <cell r="K734">
            <v>43389</v>
          </cell>
          <cell r="L734">
            <v>138.06</v>
          </cell>
        </row>
        <row r="734">
          <cell r="N734">
            <v>43432</v>
          </cell>
          <cell r="O734">
            <v>98.65</v>
          </cell>
        </row>
        <row r="735">
          <cell r="B735">
            <v>43433</v>
          </cell>
          <cell r="C735">
            <v>96.33</v>
          </cell>
        </row>
        <row r="735">
          <cell r="E735">
            <v>43390</v>
          </cell>
          <cell r="F735">
            <v>134.08</v>
          </cell>
        </row>
        <row r="735">
          <cell r="H735">
            <v>43390</v>
          </cell>
          <cell r="I735">
            <v>88.94</v>
          </cell>
        </row>
        <row r="735">
          <cell r="K735">
            <v>43390</v>
          </cell>
          <cell r="L735">
            <v>138.05</v>
          </cell>
        </row>
        <row r="735">
          <cell r="N735">
            <v>43433</v>
          </cell>
          <cell r="O735">
            <v>98.79</v>
          </cell>
        </row>
        <row r="736">
          <cell r="B736">
            <v>43434</v>
          </cell>
          <cell r="C736">
            <v>96.5</v>
          </cell>
        </row>
        <row r="736">
          <cell r="E736">
            <v>43391</v>
          </cell>
          <cell r="F736">
            <v>134.34</v>
          </cell>
        </row>
        <row r="736">
          <cell r="H736">
            <v>43391</v>
          </cell>
          <cell r="I736">
            <v>89.26</v>
          </cell>
        </row>
        <row r="736">
          <cell r="K736">
            <v>43391</v>
          </cell>
          <cell r="L736">
            <v>138.11</v>
          </cell>
        </row>
        <row r="736">
          <cell r="N736">
            <v>43434</v>
          </cell>
          <cell r="O736">
            <v>99.15</v>
          </cell>
        </row>
        <row r="737">
          <cell r="B737">
            <v>43437</v>
          </cell>
          <cell r="C737">
            <v>96.95</v>
          </cell>
        </row>
        <row r="737">
          <cell r="E737">
            <v>43392</v>
          </cell>
          <cell r="F737">
            <v>132.7</v>
          </cell>
        </row>
        <row r="737">
          <cell r="H737">
            <v>43392</v>
          </cell>
          <cell r="I737">
            <v>89.46</v>
          </cell>
        </row>
        <row r="737">
          <cell r="K737">
            <v>43392</v>
          </cell>
          <cell r="L737">
            <v>137.67</v>
          </cell>
        </row>
        <row r="737">
          <cell r="N737">
            <v>43437</v>
          </cell>
          <cell r="O737">
            <v>99.34</v>
          </cell>
        </row>
        <row r="738">
          <cell r="B738">
            <v>43438</v>
          </cell>
          <cell r="C738">
            <v>96.87</v>
          </cell>
        </row>
        <row r="738">
          <cell r="E738">
            <v>43395</v>
          </cell>
          <cell r="F738">
            <v>134.4</v>
          </cell>
        </row>
        <row r="738">
          <cell r="H738">
            <v>43395</v>
          </cell>
          <cell r="I738">
            <v>89.25</v>
          </cell>
        </row>
        <row r="738">
          <cell r="K738">
            <v>43395</v>
          </cell>
          <cell r="L738">
            <v>138.54</v>
          </cell>
        </row>
        <row r="738">
          <cell r="N738">
            <v>43438</v>
          </cell>
          <cell r="O738">
            <v>100.45</v>
          </cell>
        </row>
        <row r="739">
          <cell r="B739">
            <v>43440</v>
          </cell>
          <cell r="C739">
            <v>97.13</v>
          </cell>
        </row>
        <row r="739">
          <cell r="E739">
            <v>43396</v>
          </cell>
          <cell r="F739">
            <v>133.39</v>
          </cell>
        </row>
        <row r="739">
          <cell r="H739">
            <v>43396</v>
          </cell>
          <cell r="I739">
            <v>89.66</v>
          </cell>
        </row>
        <row r="739">
          <cell r="K739">
            <v>43396</v>
          </cell>
          <cell r="L739">
            <v>138.57</v>
          </cell>
        </row>
        <row r="739">
          <cell r="N739">
            <v>43440</v>
          </cell>
          <cell r="O739">
            <v>100.34</v>
          </cell>
        </row>
        <row r="740">
          <cell r="B740">
            <v>43441</v>
          </cell>
          <cell r="C740">
            <v>97.07</v>
          </cell>
        </row>
        <row r="740">
          <cell r="E740">
            <v>43397</v>
          </cell>
          <cell r="F740">
            <v>132.33</v>
          </cell>
        </row>
        <row r="740">
          <cell r="H740">
            <v>43397</v>
          </cell>
          <cell r="I740">
            <v>89.16</v>
          </cell>
        </row>
        <row r="740">
          <cell r="K740">
            <v>43397</v>
          </cell>
          <cell r="L740">
            <v>138.25</v>
          </cell>
        </row>
        <row r="740">
          <cell r="N740">
            <v>43441</v>
          </cell>
          <cell r="O740">
            <v>99.85</v>
          </cell>
        </row>
        <row r="741">
          <cell r="B741">
            <v>43444</v>
          </cell>
          <cell r="C741">
            <v>97.26</v>
          </cell>
        </row>
        <row r="741">
          <cell r="E741">
            <v>43398</v>
          </cell>
          <cell r="F741">
            <v>132.49</v>
          </cell>
        </row>
        <row r="741">
          <cell r="H741">
            <v>43398</v>
          </cell>
          <cell r="I741">
            <v>89.37</v>
          </cell>
        </row>
        <row r="741">
          <cell r="K741">
            <v>43398</v>
          </cell>
          <cell r="L741">
            <v>138.59</v>
          </cell>
        </row>
        <row r="741">
          <cell r="N741">
            <v>43444</v>
          </cell>
          <cell r="O741">
            <v>100.6</v>
          </cell>
        </row>
        <row r="742">
          <cell r="B742">
            <v>43445</v>
          </cell>
          <cell r="C742">
            <v>97.13</v>
          </cell>
        </row>
        <row r="742">
          <cell r="E742">
            <v>43399</v>
          </cell>
          <cell r="F742">
            <v>133.32</v>
          </cell>
        </row>
        <row r="742">
          <cell r="H742">
            <v>43399</v>
          </cell>
          <cell r="I742">
            <v>89.31</v>
          </cell>
        </row>
        <row r="742">
          <cell r="K742">
            <v>43399</v>
          </cell>
          <cell r="L742">
            <v>138.38</v>
          </cell>
        </row>
        <row r="742">
          <cell r="N742">
            <v>43445</v>
          </cell>
          <cell r="O742">
            <v>100.75</v>
          </cell>
        </row>
        <row r="743">
          <cell r="B743">
            <v>43446</v>
          </cell>
          <cell r="C743">
            <v>97.4</v>
          </cell>
        </row>
        <row r="743">
          <cell r="E743">
            <v>43402</v>
          </cell>
          <cell r="F743">
            <v>133.27</v>
          </cell>
        </row>
        <row r="743">
          <cell r="H743">
            <v>43402</v>
          </cell>
          <cell r="I743">
            <v>89.78</v>
          </cell>
        </row>
        <row r="743">
          <cell r="K743">
            <v>43402</v>
          </cell>
          <cell r="L743">
            <v>140.09</v>
          </cell>
        </row>
        <row r="743">
          <cell r="N743">
            <v>43446</v>
          </cell>
          <cell r="O743">
            <v>100.27</v>
          </cell>
        </row>
        <row r="744">
          <cell r="B744">
            <v>43447</v>
          </cell>
          <cell r="C744">
            <v>97.19</v>
          </cell>
        </row>
        <row r="744">
          <cell r="E744">
            <v>43403</v>
          </cell>
          <cell r="F744">
            <v>133.34</v>
          </cell>
        </row>
        <row r="744">
          <cell r="H744">
            <v>43403</v>
          </cell>
          <cell r="I744">
            <v>89.36</v>
          </cell>
        </row>
        <row r="744">
          <cell r="K744">
            <v>43403</v>
          </cell>
          <cell r="L744">
            <v>140.36</v>
          </cell>
        </row>
        <row r="744">
          <cell r="N744">
            <v>43447</v>
          </cell>
          <cell r="O744">
            <v>101.57</v>
          </cell>
        </row>
        <row r="745">
          <cell r="B745">
            <v>43448</v>
          </cell>
          <cell r="C745">
            <v>97.3</v>
          </cell>
        </row>
        <row r="745">
          <cell r="E745">
            <v>43404</v>
          </cell>
          <cell r="F745">
            <v>134.18</v>
          </cell>
        </row>
        <row r="745">
          <cell r="H745">
            <v>43404</v>
          </cell>
          <cell r="I745">
            <v>89.14</v>
          </cell>
        </row>
        <row r="745">
          <cell r="K745">
            <v>43404</v>
          </cell>
          <cell r="L745">
            <v>139.17</v>
          </cell>
        </row>
        <row r="745">
          <cell r="N745">
            <v>43448</v>
          </cell>
          <cell r="O745">
            <v>101.88</v>
          </cell>
        </row>
        <row r="746">
          <cell r="B746">
            <v>43451</v>
          </cell>
          <cell r="C746">
            <v>97.44</v>
          </cell>
        </row>
        <row r="746">
          <cell r="E746">
            <v>43405</v>
          </cell>
          <cell r="F746">
            <v>132.36</v>
          </cell>
        </row>
        <row r="746">
          <cell r="H746">
            <v>43405</v>
          </cell>
          <cell r="I746">
            <v>89.26</v>
          </cell>
        </row>
        <row r="746">
          <cell r="K746">
            <v>43405</v>
          </cell>
          <cell r="L746">
            <v>138.51</v>
          </cell>
        </row>
        <row r="746">
          <cell r="N746">
            <v>43451</v>
          </cell>
          <cell r="O746">
            <v>102.24</v>
          </cell>
        </row>
        <row r="747">
          <cell r="B747">
            <v>43452</v>
          </cell>
          <cell r="C747">
            <v>97.51</v>
          </cell>
        </row>
        <row r="747">
          <cell r="E747">
            <v>43406</v>
          </cell>
          <cell r="F747">
            <v>132.88</v>
          </cell>
        </row>
        <row r="747">
          <cell r="H747">
            <v>43406</v>
          </cell>
          <cell r="I747">
            <v>88.95</v>
          </cell>
        </row>
        <row r="747">
          <cell r="K747">
            <v>43406</v>
          </cell>
          <cell r="L747">
            <v>138.92</v>
          </cell>
        </row>
        <row r="747">
          <cell r="N747">
            <v>43452</v>
          </cell>
          <cell r="O747">
            <v>102.28</v>
          </cell>
        </row>
        <row r="748">
          <cell r="B748">
            <v>43453</v>
          </cell>
          <cell r="C748">
            <v>97.54</v>
          </cell>
        </row>
        <row r="748">
          <cell r="E748">
            <v>43409</v>
          </cell>
          <cell r="F748">
            <v>132.7</v>
          </cell>
        </row>
        <row r="748">
          <cell r="H748">
            <v>43409</v>
          </cell>
          <cell r="I748">
            <v>89.12</v>
          </cell>
        </row>
        <row r="748">
          <cell r="K748">
            <v>43409</v>
          </cell>
          <cell r="L748">
            <v>138.94</v>
          </cell>
        </row>
        <row r="748">
          <cell r="N748">
            <v>43453</v>
          </cell>
          <cell r="O748">
            <v>102.41</v>
          </cell>
        </row>
        <row r="749">
          <cell r="B749">
            <v>43454</v>
          </cell>
          <cell r="C749">
            <v>97.85</v>
          </cell>
        </row>
        <row r="749">
          <cell r="E749">
            <v>43410</v>
          </cell>
          <cell r="F749">
            <v>132.23</v>
          </cell>
        </row>
        <row r="749">
          <cell r="H749">
            <v>43410</v>
          </cell>
          <cell r="I749">
            <v>89.19</v>
          </cell>
        </row>
        <row r="749">
          <cell r="K749">
            <v>43410</v>
          </cell>
          <cell r="L749">
            <v>138.64</v>
          </cell>
        </row>
        <row r="749">
          <cell r="N749">
            <v>43454</v>
          </cell>
          <cell r="O749">
            <v>102.93</v>
          </cell>
        </row>
        <row r="750">
          <cell r="B750">
            <v>43455</v>
          </cell>
          <cell r="C750">
            <v>97.46</v>
          </cell>
        </row>
        <row r="750">
          <cell r="E750">
            <v>43411</v>
          </cell>
          <cell r="F750">
            <v>134.32</v>
          </cell>
        </row>
        <row r="750">
          <cell r="H750">
            <v>43411</v>
          </cell>
          <cell r="I750">
            <v>88.99</v>
          </cell>
        </row>
        <row r="750">
          <cell r="K750">
            <v>43411</v>
          </cell>
          <cell r="L750">
            <v>139.47</v>
          </cell>
        </row>
        <row r="750">
          <cell r="N750">
            <v>43455</v>
          </cell>
          <cell r="O750">
            <v>103.34</v>
          </cell>
        </row>
        <row r="751">
          <cell r="B751">
            <v>43458</v>
          </cell>
          <cell r="C751">
            <v>97.57</v>
          </cell>
        </row>
        <row r="751">
          <cell r="E751">
            <v>43412</v>
          </cell>
          <cell r="F751">
            <v>134.72</v>
          </cell>
        </row>
        <row r="751">
          <cell r="H751">
            <v>43412</v>
          </cell>
          <cell r="I751">
            <v>88.97</v>
          </cell>
        </row>
        <row r="751">
          <cell r="K751">
            <v>43412</v>
          </cell>
          <cell r="L751">
            <v>139.34</v>
          </cell>
        </row>
        <row r="751">
          <cell r="N751">
            <v>43458</v>
          </cell>
          <cell r="O751">
            <v>102.27</v>
          </cell>
        </row>
        <row r="752">
          <cell r="B752">
            <v>43460</v>
          </cell>
          <cell r="C752">
            <v>97.72</v>
          </cell>
        </row>
        <row r="752">
          <cell r="E752">
            <v>43413</v>
          </cell>
          <cell r="F752">
            <v>135.53</v>
          </cell>
        </row>
        <row r="752">
          <cell r="H752">
            <v>43413</v>
          </cell>
          <cell r="I752">
            <v>88.91</v>
          </cell>
        </row>
        <row r="752">
          <cell r="K752">
            <v>43413</v>
          </cell>
          <cell r="L752">
            <v>139.92</v>
          </cell>
        </row>
        <row r="752">
          <cell r="N752">
            <v>43460</v>
          </cell>
          <cell r="O752">
            <v>102.24</v>
          </cell>
        </row>
        <row r="753">
          <cell r="B753">
            <v>43461</v>
          </cell>
          <cell r="C753">
            <v>97.5</v>
          </cell>
        </row>
        <row r="753">
          <cell r="E753">
            <v>43416</v>
          </cell>
          <cell r="F753">
            <v>135.48</v>
          </cell>
        </row>
        <row r="753">
          <cell r="H753">
            <v>43416</v>
          </cell>
          <cell r="I753">
            <v>89.65</v>
          </cell>
        </row>
        <row r="753">
          <cell r="K753">
            <v>43416</v>
          </cell>
          <cell r="L753">
            <v>140.44</v>
          </cell>
        </row>
        <row r="753">
          <cell r="N753">
            <v>43461</v>
          </cell>
          <cell r="O753">
            <v>102.92</v>
          </cell>
        </row>
        <row r="754">
          <cell r="B754">
            <v>43462</v>
          </cell>
          <cell r="C754">
            <v>97.63</v>
          </cell>
        </row>
        <row r="754">
          <cell r="E754">
            <v>43417</v>
          </cell>
          <cell r="F754">
            <v>134.65</v>
          </cell>
        </row>
        <row r="754">
          <cell r="H754">
            <v>43417</v>
          </cell>
          <cell r="I754">
            <v>89.92</v>
          </cell>
        </row>
        <row r="754">
          <cell r="K754">
            <v>43417</v>
          </cell>
          <cell r="L754">
            <v>140.61</v>
          </cell>
        </row>
        <row r="754">
          <cell r="N754">
            <v>43462</v>
          </cell>
          <cell r="O754">
            <v>102.31</v>
          </cell>
        </row>
        <row r="755">
          <cell r="B755">
            <v>43465</v>
          </cell>
          <cell r="C755">
            <v>97.95</v>
          </cell>
        </row>
        <row r="755">
          <cell r="E755">
            <v>43418</v>
          </cell>
          <cell r="F755">
            <v>133.43</v>
          </cell>
        </row>
        <row r="755">
          <cell r="H755">
            <v>43418</v>
          </cell>
          <cell r="I755">
            <v>90.24</v>
          </cell>
        </row>
        <row r="755">
          <cell r="K755">
            <v>43418</v>
          </cell>
          <cell r="L755">
            <v>140.58</v>
          </cell>
        </row>
        <row r="755">
          <cell r="N755">
            <v>43465</v>
          </cell>
          <cell r="O755">
            <v>102.44</v>
          </cell>
        </row>
        <row r="756">
          <cell r="B756">
            <v>43467</v>
          </cell>
          <cell r="C756">
            <v>97.55</v>
          </cell>
        </row>
        <row r="756">
          <cell r="E756">
            <v>43419</v>
          </cell>
          <cell r="F756">
            <v>133.63</v>
          </cell>
        </row>
        <row r="756">
          <cell r="H756">
            <v>43419</v>
          </cell>
          <cell r="I756">
            <v>89.81</v>
          </cell>
        </row>
        <row r="756">
          <cell r="K756">
            <v>43419</v>
          </cell>
          <cell r="L756">
            <v>140.18</v>
          </cell>
        </row>
        <row r="756">
          <cell r="N756">
            <v>43467</v>
          </cell>
          <cell r="O756">
            <v>102.18</v>
          </cell>
        </row>
        <row r="757">
          <cell r="B757">
            <v>43468</v>
          </cell>
          <cell r="C757">
            <v>97.77</v>
          </cell>
        </row>
        <row r="757">
          <cell r="E757">
            <v>43420</v>
          </cell>
          <cell r="F757">
            <v>132.81</v>
          </cell>
        </row>
        <row r="757">
          <cell r="H757">
            <v>43420</v>
          </cell>
          <cell r="I757">
            <v>89.87</v>
          </cell>
        </row>
        <row r="757">
          <cell r="K757">
            <v>43420</v>
          </cell>
          <cell r="L757">
            <v>139.52</v>
          </cell>
        </row>
        <row r="757">
          <cell r="N757">
            <v>43468</v>
          </cell>
          <cell r="O757">
            <v>101.85</v>
          </cell>
        </row>
        <row r="758">
          <cell r="B758">
            <v>43469</v>
          </cell>
          <cell r="C758">
            <v>97.74</v>
          </cell>
        </row>
        <row r="758">
          <cell r="E758">
            <v>43423</v>
          </cell>
          <cell r="F758">
            <v>130.58</v>
          </cell>
        </row>
        <row r="758">
          <cell r="H758">
            <v>43423</v>
          </cell>
          <cell r="I758">
            <v>90.11</v>
          </cell>
        </row>
        <row r="758">
          <cell r="K758">
            <v>43423</v>
          </cell>
          <cell r="L758">
            <v>139.46</v>
          </cell>
        </row>
        <row r="758">
          <cell r="N758">
            <v>43469</v>
          </cell>
          <cell r="O758">
            <v>101.64</v>
          </cell>
        </row>
        <row r="759">
          <cell r="B759">
            <v>43472</v>
          </cell>
          <cell r="C759">
            <v>98.35</v>
          </cell>
        </row>
        <row r="759">
          <cell r="E759">
            <v>43424</v>
          </cell>
          <cell r="F759">
            <v>129.63</v>
          </cell>
        </row>
        <row r="759">
          <cell r="H759">
            <v>43424</v>
          </cell>
          <cell r="I759">
            <v>89.71</v>
          </cell>
        </row>
        <row r="759">
          <cell r="K759">
            <v>43424</v>
          </cell>
          <cell r="L759">
            <v>139.29</v>
          </cell>
        </row>
        <row r="759">
          <cell r="N759">
            <v>43472</v>
          </cell>
          <cell r="O759">
            <v>100.98</v>
          </cell>
        </row>
        <row r="760">
          <cell r="B760">
            <v>43473</v>
          </cell>
          <cell r="C760">
            <v>98.67</v>
          </cell>
        </row>
        <row r="760">
          <cell r="E760">
            <v>43425</v>
          </cell>
          <cell r="F760">
            <v>129.51</v>
          </cell>
        </row>
        <row r="760">
          <cell r="H760">
            <v>43425</v>
          </cell>
          <cell r="I760">
            <v>89.57</v>
          </cell>
        </row>
        <row r="760">
          <cell r="K760">
            <v>43425</v>
          </cell>
          <cell r="L760">
            <v>138.69</v>
          </cell>
        </row>
        <row r="760">
          <cell r="N760">
            <v>43473</v>
          </cell>
          <cell r="O760">
            <v>100.36</v>
          </cell>
        </row>
        <row r="761">
          <cell r="B761">
            <v>43474</v>
          </cell>
          <cell r="C761">
            <v>98.76</v>
          </cell>
        </row>
        <row r="761">
          <cell r="E761">
            <v>43426</v>
          </cell>
          <cell r="F761">
            <v>129.47</v>
          </cell>
        </row>
        <row r="761">
          <cell r="H761">
            <v>43426</v>
          </cell>
          <cell r="I761">
            <v>89.53</v>
          </cell>
        </row>
        <row r="761">
          <cell r="K761">
            <v>43426</v>
          </cell>
          <cell r="L761">
            <v>138.65</v>
          </cell>
        </row>
        <row r="761">
          <cell r="N761">
            <v>43474</v>
          </cell>
          <cell r="O761">
            <v>99.96</v>
          </cell>
        </row>
        <row r="762">
          <cell r="B762">
            <v>43475</v>
          </cell>
          <cell r="C762">
            <v>99</v>
          </cell>
        </row>
        <row r="762">
          <cell r="E762">
            <v>43427</v>
          </cell>
          <cell r="F762">
            <v>129.09</v>
          </cell>
        </row>
        <row r="762">
          <cell r="H762">
            <v>43427</v>
          </cell>
          <cell r="I762">
            <v>89.77</v>
          </cell>
        </row>
        <row r="762">
          <cell r="K762">
            <v>43427</v>
          </cell>
          <cell r="L762">
            <v>138.94</v>
          </cell>
        </row>
        <row r="762">
          <cell r="N762">
            <v>43475</v>
          </cell>
          <cell r="O762">
            <v>99.99</v>
          </cell>
        </row>
        <row r="763">
          <cell r="B763">
            <v>43476</v>
          </cell>
          <cell r="C763">
            <v>99.04</v>
          </cell>
        </row>
        <row r="763">
          <cell r="E763">
            <v>43430</v>
          </cell>
          <cell r="F763">
            <v>129.03</v>
          </cell>
        </row>
        <row r="763">
          <cell r="H763">
            <v>43430</v>
          </cell>
          <cell r="I763">
            <v>89.84</v>
          </cell>
        </row>
        <row r="763">
          <cell r="K763">
            <v>43430</v>
          </cell>
          <cell r="L763">
            <v>139.33</v>
          </cell>
        </row>
        <row r="763">
          <cell r="N763">
            <v>43476</v>
          </cell>
          <cell r="O763">
            <v>100.08</v>
          </cell>
        </row>
        <row r="764">
          <cell r="B764">
            <v>43479</v>
          </cell>
          <cell r="C764">
            <v>98.92</v>
          </cell>
        </row>
        <row r="764">
          <cell r="E764">
            <v>43431</v>
          </cell>
          <cell r="F764">
            <v>129.76</v>
          </cell>
        </row>
        <row r="764">
          <cell r="H764">
            <v>43431</v>
          </cell>
          <cell r="I764">
            <v>89.92</v>
          </cell>
        </row>
        <row r="764">
          <cell r="K764">
            <v>43431</v>
          </cell>
          <cell r="L764">
            <v>140.39</v>
          </cell>
        </row>
        <row r="764">
          <cell r="N764">
            <v>43479</v>
          </cell>
          <cell r="O764">
            <v>100.4</v>
          </cell>
        </row>
        <row r="765">
          <cell r="B765">
            <v>43480</v>
          </cell>
          <cell r="C765">
            <v>98.95</v>
          </cell>
        </row>
        <row r="765">
          <cell r="E765">
            <v>43432</v>
          </cell>
          <cell r="F765">
            <v>131.31</v>
          </cell>
        </row>
        <row r="765">
          <cell r="H765">
            <v>43432</v>
          </cell>
          <cell r="I765">
            <v>89.79</v>
          </cell>
        </row>
        <row r="765">
          <cell r="K765">
            <v>43432</v>
          </cell>
          <cell r="L765">
            <v>141.07</v>
          </cell>
        </row>
        <row r="765">
          <cell r="N765">
            <v>43480</v>
          </cell>
          <cell r="O765">
            <v>100.43</v>
          </cell>
        </row>
        <row r="766">
          <cell r="B766">
            <v>43481</v>
          </cell>
          <cell r="C766">
            <v>99.28</v>
          </cell>
        </row>
        <row r="766">
          <cell r="E766">
            <v>43433</v>
          </cell>
          <cell r="F766">
            <v>131.68</v>
          </cell>
        </row>
        <row r="766">
          <cell r="H766">
            <v>43433</v>
          </cell>
          <cell r="I766">
            <v>89.33</v>
          </cell>
        </row>
        <row r="766">
          <cell r="K766">
            <v>43433</v>
          </cell>
          <cell r="L766">
            <v>140.98</v>
          </cell>
        </row>
        <row r="766">
          <cell r="N766">
            <v>43481</v>
          </cell>
          <cell r="O766">
            <v>100.06</v>
          </cell>
        </row>
        <row r="767">
          <cell r="B767">
            <v>43482</v>
          </cell>
          <cell r="C767">
            <v>99.09</v>
          </cell>
        </row>
        <row r="767">
          <cell r="E767">
            <v>43434</v>
          </cell>
          <cell r="F767">
            <v>131.66</v>
          </cell>
        </row>
        <row r="767">
          <cell r="H767">
            <v>43434</v>
          </cell>
          <cell r="I767">
            <v>89.4</v>
          </cell>
        </row>
        <row r="767">
          <cell r="K767">
            <v>43434</v>
          </cell>
          <cell r="L767">
            <v>141.13</v>
          </cell>
        </row>
        <row r="767">
          <cell r="N767">
            <v>43482</v>
          </cell>
          <cell r="O767">
            <v>99.89</v>
          </cell>
        </row>
        <row r="768">
          <cell r="B768">
            <v>43483</v>
          </cell>
          <cell r="C768">
            <v>99.21</v>
          </cell>
        </row>
        <row r="768">
          <cell r="E768">
            <v>43437</v>
          </cell>
          <cell r="F768">
            <v>131.14</v>
          </cell>
        </row>
        <row r="768">
          <cell r="H768">
            <v>43437</v>
          </cell>
          <cell r="I768">
            <v>89.11</v>
          </cell>
        </row>
        <row r="768">
          <cell r="K768">
            <v>43437</v>
          </cell>
          <cell r="L768">
            <v>140.32</v>
          </cell>
        </row>
        <row r="768">
          <cell r="N768">
            <v>43483</v>
          </cell>
          <cell r="O768">
            <v>99.94</v>
          </cell>
        </row>
        <row r="769">
          <cell r="B769">
            <v>43487</v>
          </cell>
          <cell r="C769">
            <v>98.9</v>
          </cell>
        </row>
        <row r="769">
          <cell r="E769">
            <v>43438</v>
          </cell>
          <cell r="F769">
            <v>132.14</v>
          </cell>
        </row>
        <row r="769">
          <cell r="H769">
            <v>43438</v>
          </cell>
          <cell r="I769">
            <v>88.42</v>
          </cell>
        </row>
        <row r="769">
          <cell r="K769">
            <v>43438</v>
          </cell>
          <cell r="L769">
            <v>139.63</v>
          </cell>
        </row>
        <row r="769">
          <cell r="N769">
            <v>43487</v>
          </cell>
          <cell r="O769">
            <v>100.44</v>
          </cell>
        </row>
        <row r="770">
          <cell r="B770">
            <v>43488</v>
          </cell>
          <cell r="C770">
            <v>98.89</v>
          </cell>
        </row>
        <row r="770">
          <cell r="E770">
            <v>43439</v>
          </cell>
          <cell r="F770">
            <v>131.92</v>
          </cell>
        </row>
        <row r="770">
          <cell r="H770">
            <v>43439</v>
          </cell>
          <cell r="I770">
            <v>88.43</v>
          </cell>
        </row>
        <row r="770">
          <cell r="K770">
            <v>43439</v>
          </cell>
          <cell r="L770">
            <v>139.96</v>
          </cell>
        </row>
        <row r="770">
          <cell r="N770">
            <v>43488</v>
          </cell>
          <cell r="O770">
            <v>100.61</v>
          </cell>
        </row>
        <row r="771">
          <cell r="B771">
            <v>43489</v>
          </cell>
          <cell r="C771">
            <v>98.77</v>
          </cell>
        </row>
        <row r="771">
          <cell r="E771">
            <v>43440</v>
          </cell>
          <cell r="F771">
            <v>133.34</v>
          </cell>
        </row>
        <row r="771">
          <cell r="H771">
            <v>43440</v>
          </cell>
          <cell r="I771">
            <v>88.36</v>
          </cell>
        </row>
        <row r="771">
          <cell r="K771">
            <v>43440</v>
          </cell>
          <cell r="L771">
            <v>140.24</v>
          </cell>
        </row>
        <row r="771">
          <cell r="N771">
            <v>43489</v>
          </cell>
          <cell r="O771">
            <v>100.38</v>
          </cell>
        </row>
        <row r="772">
          <cell r="B772">
            <v>43490</v>
          </cell>
          <cell r="C772">
            <v>98.83</v>
          </cell>
        </row>
        <row r="772">
          <cell r="E772">
            <v>43441</v>
          </cell>
          <cell r="F772">
            <v>132.72</v>
          </cell>
        </row>
        <row r="772">
          <cell r="H772">
            <v>43441</v>
          </cell>
          <cell r="I772">
            <v>87.8</v>
          </cell>
        </row>
        <row r="772">
          <cell r="K772">
            <v>43441</v>
          </cell>
          <cell r="L772">
            <v>139.04</v>
          </cell>
        </row>
        <row r="772">
          <cell r="N772">
            <v>43490</v>
          </cell>
          <cell r="O772">
            <v>100.2</v>
          </cell>
        </row>
        <row r="773">
          <cell r="B773">
            <v>43493</v>
          </cell>
          <cell r="C773">
            <v>98.77</v>
          </cell>
        </row>
        <row r="773">
          <cell r="E773">
            <v>43444</v>
          </cell>
          <cell r="F773">
            <v>133.93</v>
          </cell>
        </row>
        <row r="773">
          <cell r="H773">
            <v>43444</v>
          </cell>
          <cell r="I773">
            <v>87.43</v>
          </cell>
        </row>
        <row r="773">
          <cell r="K773">
            <v>43444</v>
          </cell>
          <cell r="L773">
            <v>139.31</v>
          </cell>
        </row>
        <row r="773">
          <cell r="N773">
            <v>43493</v>
          </cell>
          <cell r="O773">
            <v>99.89</v>
          </cell>
        </row>
        <row r="774">
          <cell r="B774">
            <v>43494</v>
          </cell>
          <cell r="C774">
            <v>98.54</v>
          </cell>
        </row>
        <row r="774">
          <cell r="E774">
            <v>43445</v>
          </cell>
          <cell r="F774">
            <v>134.54</v>
          </cell>
        </row>
        <row r="774">
          <cell r="H774">
            <v>43445</v>
          </cell>
          <cell r="I774">
            <v>87.43</v>
          </cell>
        </row>
        <row r="774">
          <cell r="K774">
            <v>43445</v>
          </cell>
          <cell r="L774">
            <v>139.75</v>
          </cell>
        </row>
        <row r="774">
          <cell r="N774">
            <v>43494</v>
          </cell>
          <cell r="O774">
            <v>99.99</v>
          </cell>
        </row>
        <row r="775">
          <cell r="B775">
            <v>43495</v>
          </cell>
          <cell r="C775">
            <v>98.37</v>
          </cell>
        </row>
        <row r="775">
          <cell r="E775">
            <v>43446</v>
          </cell>
          <cell r="F775">
            <v>134.32</v>
          </cell>
        </row>
        <row r="775">
          <cell r="H775">
            <v>43446</v>
          </cell>
          <cell r="I775">
            <v>87.64</v>
          </cell>
        </row>
        <row r="775">
          <cell r="K775">
            <v>43446</v>
          </cell>
          <cell r="L775">
            <v>139.48</v>
          </cell>
        </row>
        <row r="775">
          <cell r="N775">
            <v>43495</v>
          </cell>
          <cell r="O775">
            <v>100.49</v>
          </cell>
        </row>
        <row r="776">
          <cell r="B776">
            <v>43496</v>
          </cell>
          <cell r="C776">
            <v>98.42</v>
          </cell>
        </row>
        <row r="776">
          <cell r="E776">
            <v>43447</v>
          </cell>
          <cell r="F776">
            <v>134.04</v>
          </cell>
        </row>
        <row r="776">
          <cell r="H776">
            <v>43447</v>
          </cell>
          <cell r="I776">
            <v>87.47</v>
          </cell>
        </row>
        <row r="776">
          <cell r="K776">
            <v>43447</v>
          </cell>
          <cell r="L776">
            <v>138.62</v>
          </cell>
        </row>
        <row r="776">
          <cell r="N776">
            <v>43496</v>
          </cell>
          <cell r="O776">
            <v>100.39</v>
          </cell>
        </row>
        <row r="777">
          <cell r="B777">
            <v>43497</v>
          </cell>
          <cell r="C777">
            <v>98.56</v>
          </cell>
        </row>
        <row r="777">
          <cell r="E777">
            <v>43448</v>
          </cell>
          <cell r="F777">
            <v>133.83</v>
          </cell>
        </row>
        <row r="777">
          <cell r="H777">
            <v>43448</v>
          </cell>
          <cell r="I777">
            <v>87.75</v>
          </cell>
        </row>
        <row r="777">
          <cell r="K777">
            <v>43448</v>
          </cell>
          <cell r="L777">
            <v>138.49</v>
          </cell>
        </row>
        <row r="777">
          <cell r="N777">
            <v>43497</v>
          </cell>
          <cell r="O777">
            <v>100.69</v>
          </cell>
        </row>
        <row r="778">
          <cell r="B778">
            <v>43500</v>
          </cell>
          <cell r="C778">
            <v>98.29</v>
          </cell>
        </row>
        <row r="778">
          <cell r="E778">
            <v>43451</v>
          </cell>
          <cell r="F778">
            <v>132.11</v>
          </cell>
        </row>
        <row r="778">
          <cell r="H778">
            <v>43451</v>
          </cell>
          <cell r="I778">
            <v>87.82</v>
          </cell>
        </row>
        <row r="778">
          <cell r="K778">
            <v>43451</v>
          </cell>
          <cell r="L778">
            <v>137.86</v>
          </cell>
        </row>
        <row r="778">
          <cell r="N778">
            <v>43500</v>
          </cell>
          <cell r="O778">
            <v>100.16</v>
          </cell>
        </row>
        <row r="779">
          <cell r="B779">
            <v>43501</v>
          </cell>
          <cell r="C779">
            <v>98.17</v>
          </cell>
        </row>
        <row r="779">
          <cell r="E779">
            <v>43452</v>
          </cell>
          <cell r="F779">
            <v>132.24</v>
          </cell>
        </row>
        <row r="779">
          <cell r="H779">
            <v>43452</v>
          </cell>
          <cell r="I779">
            <v>88.01</v>
          </cell>
        </row>
        <row r="779">
          <cell r="K779">
            <v>43452</v>
          </cell>
          <cell r="L779">
            <v>138.2</v>
          </cell>
        </row>
        <row r="779">
          <cell r="N779">
            <v>43501</v>
          </cell>
          <cell r="O779">
            <v>100.35</v>
          </cell>
        </row>
        <row r="780">
          <cell r="B780">
            <v>43502</v>
          </cell>
          <cell r="C780">
            <v>97.93</v>
          </cell>
        </row>
        <row r="780">
          <cell r="E780">
            <v>43453</v>
          </cell>
          <cell r="F780">
            <v>132.84</v>
          </cell>
        </row>
        <row r="780">
          <cell r="H780">
            <v>43453</v>
          </cell>
          <cell r="I780">
            <v>87.76</v>
          </cell>
        </row>
        <row r="780">
          <cell r="K780">
            <v>43453</v>
          </cell>
          <cell r="L780">
            <v>138.86</v>
          </cell>
        </row>
        <row r="780">
          <cell r="N780">
            <v>43502</v>
          </cell>
          <cell r="O780">
            <v>100.45</v>
          </cell>
        </row>
        <row r="781">
          <cell r="B781">
            <v>43503</v>
          </cell>
          <cell r="C781">
            <v>98.18</v>
          </cell>
        </row>
        <row r="781">
          <cell r="E781">
            <v>43454</v>
          </cell>
          <cell r="F781">
            <v>131.81</v>
          </cell>
        </row>
        <row r="781">
          <cell r="H781">
            <v>43454</v>
          </cell>
          <cell r="I781">
            <v>87.64</v>
          </cell>
        </row>
        <row r="781">
          <cell r="K781">
            <v>43454</v>
          </cell>
          <cell r="L781">
            <v>138.68</v>
          </cell>
        </row>
        <row r="781">
          <cell r="N781">
            <v>43503</v>
          </cell>
          <cell r="O781">
            <v>100.28</v>
          </cell>
        </row>
        <row r="782">
          <cell r="B782">
            <v>43504</v>
          </cell>
          <cell r="C782">
            <v>97.9</v>
          </cell>
        </row>
        <row r="782">
          <cell r="E782">
            <v>43455</v>
          </cell>
          <cell r="F782">
            <v>132.42</v>
          </cell>
        </row>
        <row r="782">
          <cell r="H782">
            <v>43455</v>
          </cell>
          <cell r="I782">
            <v>87.85</v>
          </cell>
        </row>
        <row r="782">
          <cell r="K782">
            <v>43455</v>
          </cell>
          <cell r="L782">
            <v>139.33</v>
          </cell>
        </row>
        <row r="782">
          <cell r="N782">
            <v>43504</v>
          </cell>
          <cell r="O782">
            <v>100.62</v>
          </cell>
        </row>
        <row r="783">
          <cell r="B783">
            <v>43507</v>
          </cell>
          <cell r="C783">
            <v>98.05</v>
          </cell>
        </row>
        <row r="783">
          <cell r="E783">
            <v>43458</v>
          </cell>
          <cell r="F783">
            <v>131.79</v>
          </cell>
        </row>
        <row r="783">
          <cell r="H783">
            <v>43458</v>
          </cell>
          <cell r="I783">
            <v>88.01</v>
          </cell>
        </row>
        <row r="783">
          <cell r="K783">
            <v>43458</v>
          </cell>
          <cell r="L783">
            <v>138.49</v>
          </cell>
        </row>
        <row r="783">
          <cell r="N783">
            <v>43507</v>
          </cell>
          <cell r="O783">
            <v>100.22</v>
          </cell>
        </row>
        <row r="784">
          <cell r="B784">
            <v>43508</v>
          </cell>
          <cell r="C784">
            <v>98.06</v>
          </cell>
        </row>
        <row r="784">
          <cell r="E784">
            <v>43459</v>
          </cell>
          <cell r="F784">
            <v>131.79</v>
          </cell>
        </row>
        <row r="784">
          <cell r="H784">
            <v>43459</v>
          </cell>
          <cell r="I784">
            <v>88</v>
          </cell>
        </row>
        <row r="784">
          <cell r="K784">
            <v>43459</v>
          </cell>
          <cell r="L784">
            <v>138.48</v>
          </cell>
        </row>
        <row r="784">
          <cell r="N784">
            <v>43508</v>
          </cell>
          <cell r="O784">
            <v>100.29</v>
          </cell>
        </row>
        <row r="785">
          <cell r="B785">
            <v>43509</v>
          </cell>
          <cell r="C785">
            <v>97.79</v>
          </cell>
        </row>
        <row r="785">
          <cell r="E785">
            <v>43460</v>
          </cell>
          <cell r="F785">
            <v>132.86</v>
          </cell>
        </row>
        <row r="785">
          <cell r="H785">
            <v>43460</v>
          </cell>
          <cell r="I785">
            <v>88.05</v>
          </cell>
        </row>
        <row r="785">
          <cell r="K785">
            <v>43460</v>
          </cell>
          <cell r="L785">
            <v>139.91</v>
          </cell>
        </row>
        <row r="785">
          <cell r="N785">
            <v>43509</v>
          </cell>
          <cell r="O785">
            <v>100.32</v>
          </cell>
        </row>
        <row r="786">
          <cell r="B786">
            <v>43510</v>
          </cell>
          <cell r="C786">
            <v>98.02</v>
          </cell>
        </row>
        <row r="786">
          <cell r="E786">
            <v>43461</v>
          </cell>
          <cell r="F786">
            <v>132.9</v>
          </cell>
        </row>
        <row r="786">
          <cell r="H786">
            <v>43461</v>
          </cell>
          <cell r="I786">
            <v>88.03</v>
          </cell>
        </row>
        <row r="786">
          <cell r="K786">
            <v>43461</v>
          </cell>
          <cell r="L786">
            <v>139.83</v>
          </cell>
        </row>
        <row r="786">
          <cell r="N786">
            <v>43510</v>
          </cell>
          <cell r="O786">
            <v>99.83</v>
          </cell>
        </row>
        <row r="787">
          <cell r="B787">
            <v>43511</v>
          </cell>
          <cell r="C787">
            <v>98.21</v>
          </cell>
        </row>
        <row r="787">
          <cell r="E787">
            <v>43462</v>
          </cell>
          <cell r="F787">
            <v>132.46</v>
          </cell>
        </row>
        <row r="787">
          <cell r="H787">
            <v>43462</v>
          </cell>
          <cell r="I787">
            <v>87.79</v>
          </cell>
        </row>
        <row r="787">
          <cell r="K787">
            <v>43462</v>
          </cell>
          <cell r="L787">
            <v>139.66</v>
          </cell>
        </row>
        <row r="787">
          <cell r="N787">
            <v>43511</v>
          </cell>
          <cell r="O787">
            <v>99.27</v>
          </cell>
        </row>
        <row r="788">
          <cell r="B788">
            <v>43515</v>
          </cell>
          <cell r="C788">
            <v>98.09</v>
          </cell>
        </row>
        <row r="788">
          <cell r="E788">
            <v>43465</v>
          </cell>
          <cell r="F788">
            <v>132.69</v>
          </cell>
        </row>
        <row r="788">
          <cell r="H788">
            <v>43465</v>
          </cell>
          <cell r="I788">
            <v>87.62</v>
          </cell>
        </row>
        <row r="788">
          <cell r="K788">
            <v>43465</v>
          </cell>
          <cell r="L788">
            <v>139.71</v>
          </cell>
        </row>
        <row r="788">
          <cell r="N788">
            <v>43515</v>
          </cell>
          <cell r="O788">
            <v>99.02</v>
          </cell>
        </row>
        <row r="789">
          <cell r="B789">
            <v>43516</v>
          </cell>
          <cell r="C789">
            <v>98.1</v>
          </cell>
        </row>
        <row r="789">
          <cell r="E789">
            <v>43466</v>
          </cell>
          <cell r="F789">
            <v>132.69</v>
          </cell>
        </row>
        <row r="789">
          <cell r="H789">
            <v>43466</v>
          </cell>
          <cell r="I789">
            <v>87.62</v>
          </cell>
        </row>
        <row r="789">
          <cell r="K789">
            <v>43466</v>
          </cell>
          <cell r="L789">
            <v>139.7</v>
          </cell>
        </row>
        <row r="789">
          <cell r="N789">
            <v>43516</v>
          </cell>
          <cell r="O789">
            <v>98.65</v>
          </cell>
        </row>
        <row r="790">
          <cell r="B790">
            <v>43517</v>
          </cell>
          <cell r="C790">
            <v>97.76</v>
          </cell>
        </row>
        <row r="790">
          <cell r="E790">
            <v>43467</v>
          </cell>
          <cell r="F790">
            <v>130.56</v>
          </cell>
        </row>
        <row r="790">
          <cell r="H790">
            <v>43467</v>
          </cell>
          <cell r="I790">
            <v>88.27</v>
          </cell>
        </row>
        <row r="790">
          <cell r="K790">
            <v>43467</v>
          </cell>
          <cell r="L790">
            <v>138.88</v>
          </cell>
        </row>
        <row r="790">
          <cell r="N790">
            <v>43517</v>
          </cell>
          <cell r="O790">
            <v>98.47</v>
          </cell>
        </row>
        <row r="791">
          <cell r="B791">
            <v>43518</v>
          </cell>
          <cell r="C791">
            <v>98.01</v>
          </cell>
        </row>
        <row r="791">
          <cell r="E791">
            <v>43468</v>
          </cell>
          <cell r="F791">
            <v>129.81</v>
          </cell>
        </row>
        <row r="791">
          <cell r="H791">
            <v>43468</v>
          </cell>
          <cell r="I791">
            <v>87.79</v>
          </cell>
        </row>
        <row r="791">
          <cell r="K791">
            <v>43468</v>
          </cell>
          <cell r="L791">
            <v>138.17</v>
          </cell>
        </row>
        <row r="791">
          <cell r="N791">
            <v>43518</v>
          </cell>
          <cell r="O791">
            <v>98.11</v>
          </cell>
        </row>
        <row r="792">
          <cell r="B792">
            <v>43521</v>
          </cell>
          <cell r="C792">
            <v>98.76</v>
          </cell>
        </row>
        <row r="792">
          <cell r="E792">
            <v>43469</v>
          </cell>
          <cell r="F792">
            <v>128.67</v>
          </cell>
        </row>
        <row r="792">
          <cell r="H792">
            <v>43469</v>
          </cell>
          <cell r="I792">
            <v>88.04</v>
          </cell>
        </row>
        <row r="792">
          <cell r="K792">
            <v>43469</v>
          </cell>
          <cell r="L792">
            <v>138.05</v>
          </cell>
        </row>
        <row r="792">
          <cell r="N792">
            <v>43521</v>
          </cell>
          <cell r="O792">
            <v>98.39</v>
          </cell>
        </row>
        <row r="793">
          <cell r="B793">
            <v>43522</v>
          </cell>
          <cell r="C793">
            <v>98.41</v>
          </cell>
        </row>
        <row r="793">
          <cell r="E793">
            <v>43472</v>
          </cell>
          <cell r="F793">
            <v>128.55</v>
          </cell>
        </row>
        <row r="793">
          <cell r="H793">
            <v>43472</v>
          </cell>
          <cell r="I793">
            <v>88.18</v>
          </cell>
        </row>
        <row r="793">
          <cell r="K793">
            <v>43472</v>
          </cell>
          <cell r="L793">
            <v>138.48</v>
          </cell>
        </row>
        <row r="793">
          <cell r="N793">
            <v>43522</v>
          </cell>
          <cell r="O793">
            <v>99.09</v>
          </cell>
        </row>
        <row r="794">
          <cell r="B794">
            <v>43523</v>
          </cell>
          <cell r="C794">
            <v>98.68</v>
          </cell>
        </row>
        <row r="794">
          <cell r="E794">
            <v>43473</v>
          </cell>
          <cell r="F794">
            <v>128.9</v>
          </cell>
        </row>
        <row r="794">
          <cell r="H794">
            <v>43473</v>
          </cell>
          <cell r="I794">
            <v>88.19</v>
          </cell>
        </row>
        <row r="794">
          <cell r="K794">
            <v>43473</v>
          </cell>
          <cell r="L794">
            <v>138.78</v>
          </cell>
        </row>
        <row r="794">
          <cell r="N794">
            <v>43523</v>
          </cell>
          <cell r="O794">
            <v>98.68</v>
          </cell>
        </row>
        <row r="795">
          <cell r="B795">
            <v>43524</v>
          </cell>
          <cell r="C795">
            <v>98.7</v>
          </cell>
        </row>
        <row r="795">
          <cell r="E795">
            <v>43474</v>
          </cell>
          <cell r="F795">
            <v>128.35</v>
          </cell>
        </row>
        <row r="795">
          <cell r="H795">
            <v>43474</v>
          </cell>
          <cell r="I795">
            <v>88.33</v>
          </cell>
        </row>
        <row r="795">
          <cell r="K795">
            <v>43474</v>
          </cell>
          <cell r="L795">
            <v>138.49</v>
          </cell>
        </row>
        <row r="795">
          <cell r="N795">
            <v>43524</v>
          </cell>
          <cell r="O795">
            <v>98.79</v>
          </cell>
        </row>
        <row r="796">
          <cell r="B796">
            <v>43525</v>
          </cell>
          <cell r="C796">
            <v>98.58</v>
          </cell>
        </row>
        <row r="796">
          <cell r="E796">
            <v>43475</v>
          </cell>
          <cell r="F796">
            <v>128.13</v>
          </cell>
        </row>
        <row r="796">
          <cell r="H796">
            <v>43475</v>
          </cell>
          <cell r="I796">
            <v>87.66</v>
          </cell>
        </row>
        <row r="796">
          <cell r="K796">
            <v>43475</v>
          </cell>
          <cell r="L796">
            <v>137.96</v>
          </cell>
        </row>
        <row r="796">
          <cell r="N796">
            <v>43525</v>
          </cell>
          <cell r="O796">
            <v>98.69</v>
          </cell>
        </row>
        <row r="797">
          <cell r="B797">
            <v>43528</v>
          </cell>
          <cell r="C797">
            <v>98.36</v>
          </cell>
        </row>
        <row r="797">
          <cell r="E797">
            <v>43476</v>
          </cell>
          <cell r="F797">
            <v>127.7</v>
          </cell>
        </row>
        <row r="797">
          <cell r="H797">
            <v>43476</v>
          </cell>
          <cell r="I797">
            <v>88.07</v>
          </cell>
        </row>
        <row r="797">
          <cell r="K797">
            <v>43476</v>
          </cell>
          <cell r="L797">
            <v>137.59</v>
          </cell>
        </row>
        <row r="797">
          <cell r="N797">
            <v>43528</v>
          </cell>
          <cell r="O797">
            <v>99.08</v>
          </cell>
        </row>
        <row r="798">
          <cell r="B798">
            <v>43529</v>
          </cell>
          <cell r="C798">
            <v>98.37</v>
          </cell>
        </row>
        <row r="798">
          <cell r="E798">
            <v>43479</v>
          </cell>
          <cell r="F798">
            <v>128.17</v>
          </cell>
        </row>
        <row r="798">
          <cell r="H798">
            <v>43479</v>
          </cell>
          <cell r="I798">
            <v>88.04</v>
          </cell>
        </row>
        <row r="798">
          <cell r="K798">
            <v>43479</v>
          </cell>
          <cell r="L798">
            <v>137.45</v>
          </cell>
        </row>
        <row r="798">
          <cell r="N798">
            <v>43529</v>
          </cell>
          <cell r="O798">
            <v>99.45</v>
          </cell>
        </row>
        <row r="799">
          <cell r="B799">
            <v>43530</v>
          </cell>
          <cell r="C799">
            <v>98.37</v>
          </cell>
        </row>
        <row r="799">
          <cell r="E799">
            <v>43480</v>
          </cell>
          <cell r="F799">
            <v>129.8</v>
          </cell>
        </row>
        <row r="799">
          <cell r="H799">
            <v>43480</v>
          </cell>
          <cell r="I799">
            <v>87.51</v>
          </cell>
        </row>
        <row r="799">
          <cell r="K799">
            <v>43480</v>
          </cell>
          <cell r="L799">
            <v>137.73</v>
          </cell>
        </row>
        <row r="799">
          <cell r="N799">
            <v>43530</v>
          </cell>
          <cell r="O799">
            <v>100.53</v>
          </cell>
        </row>
        <row r="800">
          <cell r="B800">
            <v>43531</v>
          </cell>
          <cell r="C800">
            <v>98.21</v>
          </cell>
        </row>
        <row r="800">
          <cell r="E800">
            <v>43481</v>
          </cell>
          <cell r="F800">
            <v>129.04</v>
          </cell>
        </row>
        <row r="800">
          <cell r="H800">
            <v>43481</v>
          </cell>
          <cell r="I800">
            <v>87.35</v>
          </cell>
        </row>
        <row r="800">
          <cell r="K800">
            <v>43481</v>
          </cell>
          <cell r="L800">
            <v>136.95</v>
          </cell>
        </row>
        <row r="800">
          <cell r="N800">
            <v>43531</v>
          </cell>
          <cell r="O800">
            <v>100.49</v>
          </cell>
        </row>
        <row r="801">
          <cell r="B801">
            <v>43532</v>
          </cell>
          <cell r="C801">
            <v>98.31</v>
          </cell>
        </row>
        <row r="801">
          <cell r="E801">
            <v>43482</v>
          </cell>
          <cell r="F801">
            <v>129.17</v>
          </cell>
        </row>
        <row r="801">
          <cell r="H801">
            <v>43482</v>
          </cell>
          <cell r="I801">
            <v>87.48</v>
          </cell>
        </row>
        <row r="801">
          <cell r="K801">
            <v>43482</v>
          </cell>
          <cell r="L801">
            <v>137.89</v>
          </cell>
        </row>
        <row r="801">
          <cell r="N801">
            <v>43532</v>
          </cell>
          <cell r="O801">
            <v>100.34</v>
          </cell>
        </row>
        <row r="802">
          <cell r="B802">
            <v>43535</v>
          </cell>
          <cell r="C802">
            <v>98.59</v>
          </cell>
        </row>
        <row r="802">
          <cell r="E802">
            <v>43483</v>
          </cell>
          <cell r="F802">
            <v>128.61</v>
          </cell>
        </row>
        <row r="802">
          <cell r="H802">
            <v>43483</v>
          </cell>
          <cell r="I802">
            <v>87.82</v>
          </cell>
        </row>
        <row r="802">
          <cell r="K802">
            <v>43483</v>
          </cell>
          <cell r="L802">
            <v>138.72</v>
          </cell>
        </row>
        <row r="802">
          <cell r="N802">
            <v>43535</v>
          </cell>
          <cell r="O802">
            <v>100.18</v>
          </cell>
        </row>
        <row r="803">
          <cell r="B803">
            <v>43536</v>
          </cell>
          <cell r="C803">
            <v>98.58</v>
          </cell>
        </row>
        <row r="803">
          <cell r="E803">
            <v>43486</v>
          </cell>
          <cell r="F803">
            <v>128.6</v>
          </cell>
        </row>
        <row r="803">
          <cell r="H803">
            <v>43486</v>
          </cell>
          <cell r="I803">
            <v>87.83</v>
          </cell>
        </row>
        <row r="803">
          <cell r="K803">
            <v>43486</v>
          </cell>
          <cell r="L803">
            <v>138.72</v>
          </cell>
        </row>
        <row r="803">
          <cell r="N803">
            <v>43536</v>
          </cell>
          <cell r="O803">
            <v>100.45</v>
          </cell>
        </row>
        <row r="804">
          <cell r="B804">
            <v>43537</v>
          </cell>
          <cell r="C804">
            <v>98.76</v>
          </cell>
        </row>
        <row r="804">
          <cell r="E804">
            <v>43487</v>
          </cell>
          <cell r="F804">
            <v>129.96</v>
          </cell>
        </row>
        <row r="804">
          <cell r="H804">
            <v>43487</v>
          </cell>
          <cell r="I804">
            <v>87.55</v>
          </cell>
        </row>
        <row r="804">
          <cell r="K804">
            <v>43487</v>
          </cell>
          <cell r="L804">
            <v>138.99</v>
          </cell>
        </row>
        <row r="804">
          <cell r="N804">
            <v>43537</v>
          </cell>
          <cell r="O804">
            <v>100.87</v>
          </cell>
        </row>
        <row r="805">
          <cell r="B805">
            <v>43538</v>
          </cell>
          <cell r="C805">
            <v>98.66</v>
          </cell>
        </row>
        <row r="805">
          <cell r="E805">
            <v>43488</v>
          </cell>
          <cell r="F805">
            <v>130.83</v>
          </cell>
        </row>
        <row r="805">
          <cell r="H805">
            <v>43488</v>
          </cell>
          <cell r="I805">
            <v>87.63</v>
          </cell>
        </row>
        <row r="805">
          <cell r="K805">
            <v>43488</v>
          </cell>
          <cell r="L805">
            <v>139.35</v>
          </cell>
        </row>
        <row r="805">
          <cell r="N805">
            <v>43538</v>
          </cell>
          <cell r="O805">
            <v>101.06</v>
          </cell>
        </row>
        <row r="806">
          <cell r="B806">
            <v>43539</v>
          </cell>
          <cell r="C806">
            <v>98.83</v>
          </cell>
        </row>
        <row r="806">
          <cell r="E806">
            <v>43489</v>
          </cell>
          <cell r="F806">
            <v>129.41</v>
          </cell>
        </row>
        <row r="806">
          <cell r="H806">
            <v>43489</v>
          </cell>
          <cell r="I806">
            <v>87.56</v>
          </cell>
        </row>
        <row r="806">
          <cell r="K806">
            <v>43489</v>
          </cell>
          <cell r="L806">
            <v>138.88</v>
          </cell>
        </row>
        <row r="806">
          <cell r="N806">
            <v>43539</v>
          </cell>
          <cell r="O806">
            <v>101.31</v>
          </cell>
        </row>
        <row r="807">
          <cell r="B807">
            <v>43542</v>
          </cell>
          <cell r="C807">
            <v>98.78</v>
          </cell>
        </row>
        <row r="807">
          <cell r="E807">
            <v>43490</v>
          </cell>
          <cell r="F807">
            <v>128.34</v>
          </cell>
        </row>
        <row r="807">
          <cell r="H807">
            <v>43490</v>
          </cell>
          <cell r="I807">
            <v>87.55</v>
          </cell>
        </row>
        <row r="807">
          <cell r="K807">
            <v>43490</v>
          </cell>
          <cell r="L807">
            <v>138</v>
          </cell>
        </row>
        <row r="807">
          <cell r="N807">
            <v>43542</v>
          </cell>
          <cell r="O807">
            <v>101.11</v>
          </cell>
        </row>
        <row r="808">
          <cell r="B808">
            <v>43543</v>
          </cell>
          <cell r="C808">
            <v>98.68</v>
          </cell>
        </row>
        <row r="808">
          <cell r="E808">
            <v>43493</v>
          </cell>
          <cell r="F808">
            <v>128.12</v>
          </cell>
        </row>
        <row r="808">
          <cell r="H808">
            <v>43493</v>
          </cell>
          <cell r="I808">
            <v>87.42</v>
          </cell>
        </row>
        <row r="808">
          <cell r="K808">
            <v>43493</v>
          </cell>
          <cell r="L808">
            <v>137.56</v>
          </cell>
        </row>
        <row r="808">
          <cell r="N808">
            <v>43543</v>
          </cell>
          <cell r="O808">
            <v>101.63</v>
          </cell>
        </row>
        <row r="809">
          <cell r="B809">
            <v>43544</v>
          </cell>
          <cell r="C809">
            <v>98.46</v>
          </cell>
        </row>
        <row r="809">
          <cell r="E809">
            <v>43494</v>
          </cell>
          <cell r="F809">
            <v>127.66</v>
          </cell>
        </row>
        <row r="809">
          <cell r="H809">
            <v>43494</v>
          </cell>
          <cell r="I809">
            <v>87.5</v>
          </cell>
        </row>
        <row r="809">
          <cell r="K809">
            <v>43494</v>
          </cell>
          <cell r="L809">
            <v>137.99</v>
          </cell>
        </row>
        <row r="809">
          <cell r="N809">
            <v>43544</v>
          </cell>
          <cell r="O809">
            <v>102.01</v>
          </cell>
        </row>
        <row r="810">
          <cell r="B810">
            <v>43545</v>
          </cell>
          <cell r="C810">
            <v>98.47</v>
          </cell>
        </row>
        <row r="810">
          <cell r="E810">
            <v>43495</v>
          </cell>
          <cell r="F810">
            <v>128.22</v>
          </cell>
        </row>
        <row r="810">
          <cell r="H810">
            <v>43495</v>
          </cell>
          <cell r="I810">
            <v>87.74</v>
          </cell>
        </row>
        <row r="810">
          <cell r="K810">
            <v>43495</v>
          </cell>
          <cell r="L810">
            <v>137.2</v>
          </cell>
        </row>
        <row r="810">
          <cell r="N810">
            <v>43545</v>
          </cell>
          <cell r="O810">
            <v>101.69</v>
          </cell>
        </row>
        <row r="811">
          <cell r="B811">
            <v>43546</v>
          </cell>
          <cell r="C811">
            <v>98.47</v>
          </cell>
        </row>
        <row r="811">
          <cell r="E811">
            <v>43496</v>
          </cell>
          <cell r="F811">
            <v>128.91</v>
          </cell>
        </row>
        <row r="811">
          <cell r="H811">
            <v>43496</v>
          </cell>
          <cell r="I811">
            <v>87.56</v>
          </cell>
        </row>
        <row r="811">
          <cell r="K811">
            <v>43496</v>
          </cell>
          <cell r="L811">
            <v>137.57</v>
          </cell>
        </row>
        <row r="811">
          <cell r="N811">
            <v>43546</v>
          </cell>
          <cell r="O811">
            <v>102.89</v>
          </cell>
        </row>
        <row r="812">
          <cell r="B812">
            <v>43549</v>
          </cell>
          <cell r="C812">
            <v>98.76</v>
          </cell>
        </row>
        <row r="812">
          <cell r="E812">
            <v>43497</v>
          </cell>
          <cell r="F812">
            <v>128.77</v>
          </cell>
        </row>
        <row r="812">
          <cell r="H812">
            <v>43497</v>
          </cell>
          <cell r="I812">
            <v>87.31</v>
          </cell>
        </row>
        <row r="812">
          <cell r="K812">
            <v>43497</v>
          </cell>
          <cell r="L812">
            <v>137.16</v>
          </cell>
        </row>
        <row r="812">
          <cell r="N812">
            <v>43549</v>
          </cell>
          <cell r="O812">
            <v>102.27</v>
          </cell>
        </row>
        <row r="813">
          <cell r="B813">
            <v>43550</v>
          </cell>
          <cell r="C813">
            <v>98.57</v>
          </cell>
        </row>
        <row r="813">
          <cell r="E813">
            <v>43500</v>
          </cell>
          <cell r="F813">
            <v>128.74</v>
          </cell>
        </row>
        <row r="813">
          <cell r="H813">
            <v>43500</v>
          </cell>
          <cell r="I813">
            <v>86.92</v>
          </cell>
        </row>
        <row r="813">
          <cell r="K813">
            <v>43500</v>
          </cell>
          <cell r="L813">
            <v>137.03</v>
          </cell>
        </row>
        <row r="813">
          <cell r="N813">
            <v>43550</v>
          </cell>
          <cell r="O813">
            <v>101.94</v>
          </cell>
        </row>
        <row r="814">
          <cell r="B814">
            <v>43551</v>
          </cell>
          <cell r="C814">
            <v>98.55</v>
          </cell>
        </row>
        <row r="814">
          <cell r="E814">
            <v>43501</v>
          </cell>
          <cell r="F814">
            <v>128.91</v>
          </cell>
        </row>
        <row r="814">
          <cell r="H814">
            <v>43501</v>
          </cell>
          <cell r="I814">
            <v>86.53</v>
          </cell>
        </row>
        <row r="814">
          <cell r="K814">
            <v>43501</v>
          </cell>
          <cell r="L814">
            <v>137.33</v>
          </cell>
        </row>
        <row r="814">
          <cell r="N814">
            <v>43551</v>
          </cell>
          <cell r="O814">
            <v>101.64</v>
          </cell>
        </row>
        <row r="815">
          <cell r="B815">
            <v>43552</v>
          </cell>
          <cell r="C815">
            <v>98.4</v>
          </cell>
        </row>
        <row r="815">
          <cell r="E815">
            <v>43502</v>
          </cell>
          <cell r="F815">
            <v>128.84</v>
          </cell>
        </row>
        <row r="815">
          <cell r="H815">
            <v>43502</v>
          </cell>
          <cell r="I815">
            <v>87.14</v>
          </cell>
        </row>
        <row r="815">
          <cell r="K815">
            <v>43502</v>
          </cell>
          <cell r="L815">
            <v>137.15</v>
          </cell>
        </row>
        <row r="815">
          <cell r="N815">
            <v>43552</v>
          </cell>
          <cell r="O815">
            <v>101.34</v>
          </cell>
        </row>
        <row r="816">
          <cell r="B816">
            <v>43553</v>
          </cell>
          <cell r="C816">
            <v>98.4</v>
          </cell>
        </row>
        <row r="816">
          <cell r="E816">
            <v>43503</v>
          </cell>
          <cell r="F816">
            <v>130.31</v>
          </cell>
        </row>
        <row r="816">
          <cell r="H816">
            <v>43503</v>
          </cell>
          <cell r="I816">
            <v>86.68</v>
          </cell>
        </row>
        <row r="816">
          <cell r="K816">
            <v>43503</v>
          </cell>
          <cell r="L816">
            <v>138.5</v>
          </cell>
        </row>
        <row r="816">
          <cell r="N816">
            <v>43553</v>
          </cell>
          <cell r="O816">
            <v>101.76</v>
          </cell>
        </row>
        <row r="817">
          <cell r="B817">
            <v>43556</v>
          </cell>
          <cell r="C817">
            <v>98.34</v>
          </cell>
        </row>
        <row r="817">
          <cell r="E817">
            <v>43504</v>
          </cell>
          <cell r="F817">
            <v>131.37</v>
          </cell>
        </row>
        <row r="817">
          <cell r="H817">
            <v>43504</v>
          </cell>
          <cell r="I817">
            <v>86.27</v>
          </cell>
        </row>
        <row r="817">
          <cell r="K817">
            <v>43504</v>
          </cell>
          <cell r="L817">
            <v>138.9</v>
          </cell>
        </row>
        <row r="817">
          <cell r="N817">
            <v>43556</v>
          </cell>
          <cell r="O817">
            <v>101.95</v>
          </cell>
        </row>
        <row r="818">
          <cell r="B818">
            <v>43557</v>
          </cell>
          <cell r="C818">
            <v>98.37</v>
          </cell>
        </row>
        <row r="818">
          <cell r="E818">
            <v>43507</v>
          </cell>
          <cell r="F818">
            <v>131.17</v>
          </cell>
        </row>
        <row r="818">
          <cell r="H818">
            <v>43507</v>
          </cell>
          <cell r="I818">
            <v>86.28</v>
          </cell>
        </row>
        <row r="818">
          <cell r="K818">
            <v>43507</v>
          </cell>
          <cell r="L818">
            <v>139.22</v>
          </cell>
        </row>
        <row r="818">
          <cell r="N818">
            <v>43557</v>
          </cell>
          <cell r="O818">
            <v>102.36</v>
          </cell>
        </row>
        <row r="819">
          <cell r="B819">
            <v>43558</v>
          </cell>
          <cell r="C819">
            <v>98.71</v>
          </cell>
        </row>
        <row r="819">
          <cell r="E819">
            <v>43508</v>
          </cell>
          <cell r="F819">
            <v>129.92</v>
          </cell>
        </row>
        <row r="819">
          <cell r="H819">
            <v>43508</v>
          </cell>
          <cell r="I819">
            <v>86.3</v>
          </cell>
        </row>
        <row r="819">
          <cell r="K819">
            <v>43508</v>
          </cell>
          <cell r="L819">
            <v>139.99</v>
          </cell>
        </row>
        <row r="819">
          <cell r="N819">
            <v>43558</v>
          </cell>
          <cell r="O819">
            <v>102.3</v>
          </cell>
        </row>
        <row r="820">
          <cell r="B820">
            <v>43559</v>
          </cell>
          <cell r="C820">
            <v>98.5</v>
          </cell>
        </row>
        <row r="820">
          <cell r="E820">
            <v>43509</v>
          </cell>
          <cell r="F820">
            <v>129.17</v>
          </cell>
        </row>
        <row r="820">
          <cell r="H820">
            <v>43509</v>
          </cell>
          <cell r="I820">
            <v>85.96</v>
          </cell>
        </row>
        <row r="820">
          <cell r="K820">
            <v>43509</v>
          </cell>
          <cell r="L820">
            <v>139.61</v>
          </cell>
        </row>
        <row r="820">
          <cell r="N820">
            <v>43559</v>
          </cell>
          <cell r="O820">
            <v>101.84</v>
          </cell>
        </row>
        <row r="821">
          <cell r="B821">
            <v>43560</v>
          </cell>
          <cell r="C821">
            <v>98.58</v>
          </cell>
        </row>
        <row r="821">
          <cell r="E821">
            <v>43510</v>
          </cell>
          <cell r="F821">
            <v>129.38</v>
          </cell>
        </row>
        <row r="821">
          <cell r="H821">
            <v>43510</v>
          </cell>
          <cell r="I821">
            <v>85.65</v>
          </cell>
        </row>
        <row r="821">
          <cell r="K821">
            <v>43510</v>
          </cell>
          <cell r="L821">
            <v>139.93</v>
          </cell>
        </row>
        <row r="821">
          <cell r="N821">
            <v>43560</v>
          </cell>
          <cell r="O821">
            <v>101.31</v>
          </cell>
        </row>
        <row r="822">
          <cell r="B822">
            <v>43563</v>
          </cell>
          <cell r="C822">
            <v>98.72</v>
          </cell>
        </row>
        <row r="822">
          <cell r="E822">
            <v>43511</v>
          </cell>
          <cell r="F822">
            <v>128.37</v>
          </cell>
        </row>
        <row r="822">
          <cell r="H822">
            <v>43511</v>
          </cell>
          <cell r="I822">
            <v>85.83</v>
          </cell>
        </row>
        <row r="822">
          <cell r="K822">
            <v>43511</v>
          </cell>
          <cell r="L822">
            <v>139.64</v>
          </cell>
        </row>
        <row r="822">
          <cell r="N822">
            <v>43563</v>
          </cell>
          <cell r="O822">
            <v>101.69</v>
          </cell>
        </row>
        <row r="823">
          <cell r="B823">
            <v>43564</v>
          </cell>
          <cell r="C823">
            <v>98.75</v>
          </cell>
        </row>
        <row r="823">
          <cell r="E823">
            <v>43514</v>
          </cell>
          <cell r="F823">
            <v>128.33</v>
          </cell>
        </row>
        <row r="823">
          <cell r="H823">
            <v>43514</v>
          </cell>
          <cell r="I823">
            <v>85.81</v>
          </cell>
        </row>
        <row r="823">
          <cell r="K823">
            <v>43514</v>
          </cell>
          <cell r="L823">
            <v>139.53</v>
          </cell>
        </row>
        <row r="823">
          <cell r="N823">
            <v>43564</v>
          </cell>
          <cell r="O823">
            <v>102.09</v>
          </cell>
        </row>
        <row r="824">
          <cell r="B824">
            <v>43565</v>
          </cell>
          <cell r="C824">
            <v>98.71</v>
          </cell>
        </row>
        <row r="824">
          <cell r="E824">
            <v>43515</v>
          </cell>
          <cell r="F824">
            <v>127.41</v>
          </cell>
        </row>
        <row r="824">
          <cell r="H824">
            <v>43515</v>
          </cell>
          <cell r="I824">
            <v>86.06</v>
          </cell>
        </row>
        <row r="824">
          <cell r="K824">
            <v>43515</v>
          </cell>
          <cell r="L824">
            <v>139.15</v>
          </cell>
        </row>
        <row r="824">
          <cell r="N824">
            <v>43565</v>
          </cell>
          <cell r="O824">
            <v>101.26</v>
          </cell>
        </row>
        <row r="825">
          <cell r="B825">
            <v>43566</v>
          </cell>
          <cell r="C825">
            <v>98.32</v>
          </cell>
        </row>
        <row r="825">
          <cell r="E825">
            <v>43516</v>
          </cell>
          <cell r="F825">
            <v>126.42</v>
          </cell>
        </row>
        <row r="825">
          <cell r="H825">
            <v>43516</v>
          </cell>
          <cell r="I825">
            <v>86.35</v>
          </cell>
        </row>
        <row r="825">
          <cell r="K825">
            <v>43516</v>
          </cell>
          <cell r="L825">
            <v>139.37</v>
          </cell>
        </row>
        <row r="825">
          <cell r="N825">
            <v>43566</v>
          </cell>
          <cell r="O825">
            <v>101.46</v>
          </cell>
        </row>
        <row r="826">
          <cell r="B826">
            <v>43567</v>
          </cell>
          <cell r="C826">
            <v>98.6</v>
          </cell>
        </row>
        <row r="826">
          <cell r="E826">
            <v>43517</v>
          </cell>
          <cell r="F826">
            <v>127.3</v>
          </cell>
        </row>
        <row r="826">
          <cell r="H826">
            <v>43517</v>
          </cell>
          <cell r="I826">
            <v>86.2</v>
          </cell>
        </row>
        <row r="826">
          <cell r="K826">
            <v>43517</v>
          </cell>
          <cell r="L826">
            <v>139.43</v>
          </cell>
        </row>
        <row r="826">
          <cell r="N826">
            <v>43567</v>
          </cell>
          <cell r="O826">
            <v>102.06</v>
          </cell>
        </row>
        <row r="827">
          <cell r="B827">
            <v>43570</v>
          </cell>
          <cell r="C827">
            <v>98.69</v>
          </cell>
        </row>
        <row r="827">
          <cell r="E827">
            <v>43518</v>
          </cell>
          <cell r="F827">
            <v>127.63</v>
          </cell>
        </row>
        <row r="827">
          <cell r="H827">
            <v>43518</v>
          </cell>
          <cell r="I827">
            <v>85.69</v>
          </cell>
        </row>
        <row r="827">
          <cell r="K827">
            <v>43518</v>
          </cell>
          <cell r="L827">
            <v>140.29</v>
          </cell>
        </row>
        <row r="827">
          <cell r="N827">
            <v>43570</v>
          </cell>
          <cell r="O827">
            <v>102.31</v>
          </cell>
        </row>
        <row r="828">
          <cell r="B828">
            <v>43571</v>
          </cell>
          <cell r="C828">
            <v>98.9</v>
          </cell>
        </row>
        <row r="828">
          <cell r="E828">
            <v>43521</v>
          </cell>
          <cell r="F828">
            <v>127.11</v>
          </cell>
        </row>
        <row r="828">
          <cell r="H828">
            <v>43521</v>
          </cell>
          <cell r="I828">
            <v>85.47</v>
          </cell>
        </row>
        <row r="828">
          <cell r="K828">
            <v>43521</v>
          </cell>
          <cell r="L828">
            <v>139.41</v>
          </cell>
        </row>
        <row r="828">
          <cell r="N828">
            <v>43571</v>
          </cell>
          <cell r="O828">
            <v>102.16</v>
          </cell>
        </row>
        <row r="829">
          <cell r="B829">
            <v>43572</v>
          </cell>
          <cell r="C829">
            <v>99.04</v>
          </cell>
        </row>
        <row r="829">
          <cell r="E829">
            <v>43522</v>
          </cell>
          <cell r="F829">
            <v>127.35</v>
          </cell>
        </row>
        <row r="829">
          <cell r="H829">
            <v>43522</v>
          </cell>
          <cell r="I829">
            <v>85.24</v>
          </cell>
        </row>
        <row r="829">
          <cell r="K829">
            <v>43522</v>
          </cell>
          <cell r="L829">
            <v>138.98</v>
          </cell>
        </row>
        <row r="829">
          <cell r="N829">
            <v>43572</v>
          </cell>
          <cell r="O829">
            <v>102.65</v>
          </cell>
        </row>
        <row r="830">
          <cell r="B830">
            <v>43573</v>
          </cell>
          <cell r="C830">
            <v>99.02</v>
          </cell>
        </row>
        <row r="830">
          <cell r="E830">
            <v>43523</v>
          </cell>
          <cell r="F830">
            <v>128.46</v>
          </cell>
        </row>
        <row r="830">
          <cell r="H830">
            <v>43523</v>
          </cell>
          <cell r="I830">
            <v>84.2</v>
          </cell>
        </row>
        <row r="830">
          <cell r="K830">
            <v>43523</v>
          </cell>
          <cell r="L830">
            <v>140.02</v>
          </cell>
        </row>
        <row r="830">
          <cell r="N830">
            <v>43573</v>
          </cell>
          <cell r="O830">
            <v>103.01</v>
          </cell>
        </row>
        <row r="831">
          <cell r="B831">
            <v>43577</v>
          </cell>
          <cell r="C831">
            <v>99</v>
          </cell>
        </row>
        <row r="831">
          <cell r="E831">
            <v>43524</v>
          </cell>
          <cell r="F831">
            <v>129.13</v>
          </cell>
        </row>
        <row r="831">
          <cell r="H831">
            <v>43524</v>
          </cell>
          <cell r="I831">
            <v>83.61</v>
          </cell>
        </row>
        <row r="831">
          <cell r="K831">
            <v>43524</v>
          </cell>
          <cell r="L831">
            <v>140.29</v>
          </cell>
        </row>
        <row r="831">
          <cell r="N831">
            <v>43577</v>
          </cell>
          <cell r="O831">
            <v>103.39</v>
          </cell>
        </row>
        <row r="832">
          <cell r="B832">
            <v>43578</v>
          </cell>
          <cell r="C832">
            <v>99.02</v>
          </cell>
        </row>
        <row r="832">
          <cell r="E832">
            <v>43525</v>
          </cell>
          <cell r="F832">
            <v>128.85</v>
          </cell>
        </row>
        <row r="832">
          <cell r="H832">
            <v>43525</v>
          </cell>
          <cell r="I832">
            <v>82.97</v>
          </cell>
        </row>
        <row r="832">
          <cell r="K832">
            <v>43525</v>
          </cell>
          <cell r="L832">
            <v>140.48</v>
          </cell>
        </row>
        <row r="832">
          <cell r="N832">
            <v>43578</v>
          </cell>
          <cell r="O832">
            <v>102.51</v>
          </cell>
        </row>
        <row r="833">
          <cell r="B833">
            <v>43579</v>
          </cell>
          <cell r="C833">
            <v>99.19</v>
          </cell>
        </row>
        <row r="833">
          <cell r="E833">
            <v>43528</v>
          </cell>
          <cell r="F833">
            <v>127.61</v>
          </cell>
        </row>
        <row r="833">
          <cell r="H833">
            <v>43528</v>
          </cell>
          <cell r="I833">
            <v>83.04</v>
          </cell>
        </row>
        <row r="833">
          <cell r="K833">
            <v>43528</v>
          </cell>
          <cell r="L833">
            <v>140.7</v>
          </cell>
        </row>
        <row r="833">
          <cell r="N833">
            <v>43579</v>
          </cell>
          <cell r="O833">
            <v>102.26</v>
          </cell>
        </row>
        <row r="834">
          <cell r="B834">
            <v>43580</v>
          </cell>
          <cell r="C834">
            <v>99.57</v>
          </cell>
        </row>
        <row r="834">
          <cell r="E834">
            <v>43529</v>
          </cell>
          <cell r="F834">
            <v>128.42</v>
          </cell>
        </row>
        <row r="834">
          <cell r="H834">
            <v>43529</v>
          </cell>
          <cell r="I834">
            <v>82.75</v>
          </cell>
        </row>
        <row r="834">
          <cell r="K834">
            <v>43529</v>
          </cell>
          <cell r="L834">
            <v>140.38</v>
          </cell>
        </row>
        <row r="834">
          <cell r="N834">
            <v>43580</v>
          </cell>
          <cell r="O834">
            <v>102.79</v>
          </cell>
        </row>
        <row r="835">
          <cell r="B835">
            <v>43581</v>
          </cell>
          <cell r="C835">
            <v>99.51</v>
          </cell>
        </row>
        <row r="835">
          <cell r="E835">
            <v>43530</v>
          </cell>
          <cell r="F835">
            <v>129.05</v>
          </cell>
        </row>
        <row r="835">
          <cell r="H835">
            <v>43530</v>
          </cell>
          <cell r="I835">
            <v>82.65</v>
          </cell>
        </row>
        <row r="835">
          <cell r="K835">
            <v>43530</v>
          </cell>
          <cell r="L835">
            <v>140.38</v>
          </cell>
        </row>
        <row r="835">
          <cell r="N835">
            <v>43581</v>
          </cell>
          <cell r="O835">
            <v>102.25</v>
          </cell>
        </row>
        <row r="836">
          <cell r="B836">
            <v>43584</v>
          </cell>
          <cell r="C836">
            <v>99.4</v>
          </cell>
        </row>
        <row r="836">
          <cell r="E836">
            <v>43531</v>
          </cell>
          <cell r="F836">
            <v>129.7</v>
          </cell>
        </row>
        <row r="836">
          <cell r="H836">
            <v>43531</v>
          </cell>
          <cell r="I836">
            <v>82.45</v>
          </cell>
        </row>
        <row r="836">
          <cell r="K836">
            <v>43531</v>
          </cell>
          <cell r="L836">
            <v>140.3</v>
          </cell>
        </row>
        <row r="836">
          <cell r="N836">
            <v>43584</v>
          </cell>
          <cell r="O836">
            <v>102.12</v>
          </cell>
        </row>
        <row r="837">
          <cell r="B837">
            <v>43585</v>
          </cell>
          <cell r="C837">
            <v>99.5</v>
          </cell>
        </row>
        <row r="837">
          <cell r="E837">
            <v>43532</v>
          </cell>
          <cell r="F837">
            <v>129.65</v>
          </cell>
        </row>
        <row r="837">
          <cell r="H837">
            <v>43532</v>
          </cell>
          <cell r="I837">
            <v>82.17</v>
          </cell>
        </row>
        <row r="837">
          <cell r="K837">
            <v>43532</v>
          </cell>
          <cell r="L837">
            <v>140.18</v>
          </cell>
        </row>
        <row r="837">
          <cell r="N837">
            <v>43585</v>
          </cell>
          <cell r="O837">
            <v>102.59</v>
          </cell>
        </row>
        <row r="838">
          <cell r="B838">
            <v>43586</v>
          </cell>
          <cell r="C838">
            <v>100.03</v>
          </cell>
        </row>
        <row r="838">
          <cell r="E838">
            <v>43535</v>
          </cell>
          <cell r="F838">
            <v>129.37</v>
          </cell>
        </row>
        <row r="838">
          <cell r="H838">
            <v>43535</v>
          </cell>
          <cell r="I838">
            <v>82.33</v>
          </cell>
        </row>
        <row r="838">
          <cell r="K838">
            <v>43535</v>
          </cell>
          <cell r="L838">
            <v>140.44</v>
          </cell>
        </row>
        <row r="838">
          <cell r="N838">
            <v>43586</v>
          </cell>
          <cell r="O838">
            <v>102.77</v>
          </cell>
        </row>
        <row r="839">
          <cell r="B839">
            <v>43587</v>
          </cell>
          <cell r="C839">
            <v>100.16</v>
          </cell>
        </row>
        <row r="839">
          <cell r="E839">
            <v>43536</v>
          </cell>
          <cell r="F839">
            <v>129.53</v>
          </cell>
        </row>
        <row r="839">
          <cell r="H839">
            <v>43536</v>
          </cell>
          <cell r="I839">
            <v>82.09</v>
          </cell>
        </row>
        <row r="839">
          <cell r="K839">
            <v>43536</v>
          </cell>
          <cell r="L839">
            <v>139.98</v>
          </cell>
        </row>
        <row r="839">
          <cell r="N839">
            <v>43587</v>
          </cell>
          <cell r="O839">
            <v>102.45</v>
          </cell>
        </row>
        <row r="840">
          <cell r="B840">
            <v>43588</v>
          </cell>
          <cell r="C840">
            <v>100.16</v>
          </cell>
        </row>
        <row r="840">
          <cell r="E840">
            <v>43537</v>
          </cell>
          <cell r="F840">
            <v>128.95</v>
          </cell>
        </row>
        <row r="840">
          <cell r="H840">
            <v>43537</v>
          </cell>
          <cell r="I840">
            <v>82.15</v>
          </cell>
        </row>
        <row r="840">
          <cell r="K840">
            <v>43537</v>
          </cell>
          <cell r="L840">
            <v>139.89</v>
          </cell>
        </row>
        <row r="840">
          <cell r="N840">
            <v>43588</v>
          </cell>
          <cell r="O840">
            <v>101.53</v>
          </cell>
        </row>
        <row r="841">
          <cell r="B841">
            <v>43591</v>
          </cell>
          <cell r="C841">
            <v>99.9</v>
          </cell>
        </row>
        <row r="841">
          <cell r="E841">
            <v>43538</v>
          </cell>
          <cell r="F841">
            <v>129.61</v>
          </cell>
        </row>
        <row r="841">
          <cell r="H841">
            <v>43538</v>
          </cell>
          <cell r="I841">
            <v>81.8</v>
          </cell>
        </row>
        <row r="841">
          <cell r="K841">
            <v>43538</v>
          </cell>
          <cell r="L841">
            <v>139.78</v>
          </cell>
        </row>
        <row r="841">
          <cell r="N841">
            <v>43591</v>
          </cell>
          <cell r="O841">
            <v>101.03</v>
          </cell>
        </row>
        <row r="842">
          <cell r="B842">
            <v>43592</v>
          </cell>
          <cell r="C842">
            <v>99.88</v>
          </cell>
        </row>
        <row r="842">
          <cell r="E842">
            <v>43539</v>
          </cell>
          <cell r="F842">
            <v>129.49</v>
          </cell>
        </row>
        <row r="842">
          <cell r="H842">
            <v>43539</v>
          </cell>
          <cell r="I842">
            <v>81.95</v>
          </cell>
        </row>
        <row r="842">
          <cell r="K842">
            <v>43539</v>
          </cell>
          <cell r="L842">
            <v>139.21</v>
          </cell>
        </row>
        <row r="842">
          <cell r="N842">
            <v>43592</v>
          </cell>
          <cell r="O842">
            <v>101.27</v>
          </cell>
        </row>
        <row r="843">
          <cell r="B843">
            <v>43593</v>
          </cell>
          <cell r="C843">
            <v>99.69</v>
          </cell>
        </row>
        <row r="843">
          <cell r="E843">
            <v>43542</v>
          </cell>
          <cell r="F843">
            <v>128.98</v>
          </cell>
        </row>
        <row r="843">
          <cell r="H843">
            <v>43542</v>
          </cell>
          <cell r="I843">
            <v>81.96</v>
          </cell>
        </row>
        <row r="843">
          <cell r="K843">
            <v>43542</v>
          </cell>
          <cell r="L843">
            <v>139.1</v>
          </cell>
        </row>
        <row r="843">
          <cell r="N843">
            <v>43593</v>
          </cell>
          <cell r="O843">
            <v>101.56</v>
          </cell>
        </row>
        <row r="844">
          <cell r="B844">
            <v>43594</v>
          </cell>
          <cell r="C844">
            <v>99.98</v>
          </cell>
        </row>
        <row r="844">
          <cell r="E844">
            <v>43543</v>
          </cell>
          <cell r="F844">
            <v>129.47</v>
          </cell>
        </row>
        <row r="844">
          <cell r="H844">
            <v>43543</v>
          </cell>
          <cell r="I844">
            <v>82.14</v>
          </cell>
        </row>
        <row r="844">
          <cell r="K844">
            <v>43543</v>
          </cell>
          <cell r="L844">
            <v>139.09</v>
          </cell>
        </row>
        <row r="844">
          <cell r="N844">
            <v>43594</v>
          </cell>
          <cell r="O844">
            <v>101.51</v>
          </cell>
        </row>
        <row r="845">
          <cell r="B845">
            <v>43595</v>
          </cell>
          <cell r="C845">
            <v>100.14</v>
          </cell>
        </row>
        <row r="845">
          <cell r="E845">
            <v>43544</v>
          </cell>
          <cell r="F845">
            <v>130.49</v>
          </cell>
        </row>
        <row r="845">
          <cell r="H845">
            <v>43544</v>
          </cell>
          <cell r="I845">
            <v>81.46</v>
          </cell>
        </row>
        <row r="845">
          <cell r="K845">
            <v>43544</v>
          </cell>
          <cell r="L845">
            <v>138.91</v>
          </cell>
        </row>
        <row r="845">
          <cell r="N845">
            <v>43595</v>
          </cell>
          <cell r="O845">
            <v>101.67</v>
          </cell>
        </row>
        <row r="846">
          <cell r="B846">
            <v>43598</v>
          </cell>
          <cell r="C846">
            <v>100.09</v>
          </cell>
        </row>
        <row r="846">
          <cell r="E846">
            <v>43545</v>
          </cell>
          <cell r="F846">
            <v>130.34</v>
          </cell>
        </row>
        <row r="846">
          <cell r="H846">
            <v>43545</v>
          </cell>
          <cell r="I846">
            <v>81.96</v>
          </cell>
        </row>
        <row r="846">
          <cell r="K846">
            <v>43545</v>
          </cell>
          <cell r="L846">
            <v>139.51</v>
          </cell>
        </row>
        <row r="846">
          <cell r="N846">
            <v>43598</v>
          </cell>
          <cell r="O846">
            <v>102.08</v>
          </cell>
        </row>
        <row r="847">
          <cell r="B847">
            <v>43599</v>
          </cell>
          <cell r="C847">
            <v>99.94</v>
          </cell>
        </row>
        <row r="847">
          <cell r="E847">
            <v>43546</v>
          </cell>
          <cell r="F847">
            <v>131.03</v>
          </cell>
        </row>
        <row r="847">
          <cell r="H847">
            <v>43546</v>
          </cell>
          <cell r="I847">
            <v>81.61</v>
          </cell>
        </row>
        <row r="847">
          <cell r="K847">
            <v>43546</v>
          </cell>
          <cell r="L847">
            <v>139.26</v>
          </cell>
        </row>
        <row r="847">
          <cell r="N847">
            <v>43599</v>
          </cell>
          <cell r="O847">
            <v>101.91</v>
          </cell>
        </row>
        <row r="848">
          <cell r="B848">
            <v>43600</v>
          </cell>
          <cell r="C848">
            <v>100.07</v>
          </cell>
        </row>
        <row r="848">
          <cell r="E848">
            <v>43549</v>
          </cell>
          <cell r="F848">
            <v>131.72</v>
          </cell>
        </row>
        <row r="848">
          <cell r="H848">
            <v>43549</v>
          </cell>
          <cell r="I848">
            <v>81.1</v>
          </cell>
        </row>
        <row r="848">
          <cell r="K848">
            <v>43549</v>
          </cell>
          <cell r="L848">
            <v>139.17</v>
          </cell>
        </row>
        <row r="848">
          <cell r="N848">
            <v>43600</v>
          </cell>
          <cell r="O848">
            <v>102.08</v>
          </cell>
        </row>
        <row r="849">
          <cell r="B849">
            <v>43601</v>
          </cell>
          <cell r="C849">
            <v>99.98</v>
          </cell>
        </row>
        <row r="849">
          <cell r="E849">
            <v>43550</v>
          </cell>
          <cell r="F849">
            <v>130.98</v>
          </cell>
        </row>
        <row r="849">
          <cell r="H849">
            <v>43550</v>
          </cell>
          <cell r="I849">
            <v>81.15</v>
          </cell>
        </row>
        <row r="849">
          <cell r="K849">
            <v>43550</v>
          </cell>
          <cell r="L849">
            <v>139.23</v>
          </cell>
        </row>
        <row r="849">
          <cell r="N849">
            <v>43601</v>
          </cell>
          <cell r="O849">
            <v>102.35</v>
          </cell>
        </row>
        <row r="850">
          <cell r="B850">
            <v>43602</v>
          </cell>
          <cell r="C850">
            <v>99.9</v>
          </cell>
        </row>
        <row r="850">
          <cell r="E850">
            <v>43551</v>
          </cell>
          <cell r="F850">
            <v>130.86</v>
          </cell>
        </row>
        <row r="850">
          <cell r="H850">
            <v>43551</v>
          </cell>
          <cell r="I850">
            <v>81.2</v>
          </cell>
        </row>
        <row r="850">
          <cell r="K850">
            <v>43551</v>
          </cell>
          <cell r="L850">
            <v>139.8</v>
          </cell>
        </row>
        <row r="850">
          <cell r="N850">
            <v>43602</v>
          </cell>
          <cell r="O850">
            <v>103.04</v>
          </cell>
        </row>
        <row r="851">
          <cell r="B851">
            <v>43605</v>
          </cell>
          <cell r="C851">
            <v>99.68</v>
          </cell>
        </row>
        <row r="851">
          <cell r="E851">
            <v>43552</v>
          </cell>
          <cell r="F851">
            <v>131.02</v>
          </cell>
        </row>
        <row r="851">
          <cell r="H851">
            <v>43552</v>
          </cell>
          <cell r="I851">
            <v>81.14</v>
          </cell>
        </row>
        <row r="851">
          <cell r="K851">
            <v>43552</v>
          </cell>
          <cell r="L851">
            <v>140.16</v>
          </cell>
        </row>
        <row r="851">
          <cell r="N851">
            <v>43605</v>
          </cell>
          <cell r="O851">
            <v>103.18</v>
          </cell>
        </row>
        <row r="852">
          <cell r="B852">
            <v>43606</v>
          </cell>
          <cell r="C852">
            <v>99.6</v>
          </cell>
        </row>
        <row r="852">
          <cell r="E852">
            <v>43553</v>
          </cell>
          <cell r="F852">
            <v>130.62</v>
          </cell>
        </row>
        <row r="852">
          <cell r="H852">
            <v>43553</v>
          </cell>
          <cell r="I852">
            <v>81.24</v>
          </cell>
        </row>
        <row r="852">
          <cell r="K852">
            <v>43553</v>
          </cell>
          <cell r="L852">
            <v>140.08</v>
          </cell>
        </row>
        <row r="852">
          <cell r="N852">
            <v>43606</v>
          </cell>
          <cell r="O852">
            <v>102.89</v>
          </cell>
        </row>
        <row r="853">
          <cell r="B853">
            <v>43607</v>
          </cell>
          <cell r="C853">
            <v>99.75</v>
          </cell>
        </row>
        <row r="853">
          <cell r="E853">
            <v>43556</v>
          </cell>
          <cell r="F853">
            <v>129.77</v>
          </cell>
        </row>
        <row r="853">
          <cell r="H853">
            <v>43556</v>
          </cell>
          <cell r="I853">
            <v>81.95</v>
          </cell>
        </row>
        <row r="853">
          <cell r="K853">
            <v>43556</v>
          </cell>
          <cell r="L853">
            <v>140.02</v>
          </cell>
        </row>
        <row r="853">
          <cell r="N853">
            <v>43607</v>
          </cell>
          <cell r="O853">
            <v>103.36</v>
          </cell>
        </row>
        <row r="854">
          <cell r="B854">
            <v>43608</v>
          </cell>
          <cell r="C854">
            <v>99.75</v>
          </cell>
        </row>
        <row r="854">
          <cell r="E854">
            <v>43557</v>
          </cell>
          <cell r="F854">
            <v>129.9</v>
          </cell>
        </row>
        <row r="854">
          <cell r="H854">
            <v>43557</v>
          </cell>
          <cell r="I854">
            <v>81.82</v>
          </cell>
        </row>
        <row r="854">
          <cell r="K854">
            <v>43557</v>
          </cell>
          <cell r="L854">
            <v>139.5</v>
          </cell>
        </row>
        <row r="854">
          <cell r="N854">
            <v>43608</v>
          </cell>
          <cell r="O854">
            <v>104.09</v>
          </cell>
        </row>
        <row r="855">
          <cell r="B855">
            <v>43609</v>
          </cell>
          <cell r="C855">
            <v>99.86</v>
          </cell>
        </row>
        <row r="855">
          <cell r="E855">
            <v>43558</v>
          </cell>
          <cell r="F855">
            <v>129.41</v>
          </cell>
        </row>
        <row r="855">
          <cell r="H855">
            <v>43558</v>
          </cell>
          <cell r="I855">
            <v>82.27</v>
          </cell>
        </row>
        <row r="855">
          <cell r="K855">
            <v>43558</v>
          </cell>
          <cell r="L855">
            <v>139.97</v>
          </cell>
        </row>
        <row r="855">
          <cell r="N855">
            <v>43609</v>
          </cell>
          <cell r="O855">
            <v>103.46</v>
          </cell>
        </row>
        <row r="856">
          <cell r="B856">
            <v>43613</v>
          </cell>
          <cell r="C856">
            <v>99.81</v>
          </cell>
        </row>
        <row r="856">
          <cell r="E856">
            <v>43559</v>
          </cell>
          <cell r="F856">
            <v>127.76</v>
          </cell>
        </row>
        <row r="856">
          <cell r="H856">
            <v>43559</v>
          </cell>
          <cell r="I856">
            <v>82.76</v>
          </cell>
        </row>
        <row r="856">
          <cell r="K856">
            <v>43559</v>
          </cell>
          <cell r="L856">
            <v>139.78</v>
          </cell>
        </row>
        <row r="856">
          <cell r="N856">
            <v>43613</v>
          </cell>
          <cell r="O856">
            <v>103.05</v>
          </cell>
        </row>
        <row r="857">
          <cell r="B857">
            <v>43614</v>
          </cell>
          <cell r="C857">
            <v>99.91</v>
          </cell>
        </row>
        <row r="857">
          <cell r="E857">
            <v>43560</v>
          </cell>
          <cell r="F857">
            <v>127.27</v>
          </cell>
        </row>
        <row r="857">
          <cell r="H857">
            <v>43560</v>
          </cell>
          <cell r="I857">
            <v>82.47</v>
          </cell>
        </row>
        <row r="857">
          <cell r="K857">
            <v>43560</v>
          </cell>
          <cell r="L857">
            <v>139.61</v>
          </cell>
        </row>
        <row r="857">
          <cell r="N857">
            <v>43614</v>
          </cell>
          <cell r="O857">
            <v>103.36</v>
          </cell>
        </row>
        <row r="858">
          <cell r="B858">
            <v>43615</v>
          </cell>
          <cell r="C858">
            <v>100.22</v>
          </cell>
        </row>
        <row r="858">
          <cell r="E858">
            <v>43563</v>
          </cell>
          <cell r="F858">
            <v>127.07</v>
          </cell>
        </row>
        <row r="858">
          <cell r="H858">
            <v>43563</v>
          </cell>
          <cell r="I858">
            <v>82.62</v>
          </cell>
        </row>
        <row r="858">
          <cell r="K858">
            <v>43563</v>
          </cell>
          <cell r="L858">
            <v>139.12</v>
          </cell>
        </row>
        <row r="858">
          <cell r="N858">
            <v>43615</v>
          </cell>
          <cell r="O858">
            <v>103.93</v>
          </cell>
        </row>
        <row r="859">
          <cell r="B859">
            <v>43616</v>
          </cell>
          <cell r="C859">
            <v>100.2</v>
          </cell>
        </row>
        <row r="859">
          <cell r="E859">
            <v>43564</v>
          </cell>
          <cell r="F859">
            <v>128.05</v>
          </cell>
        </row>
        <row r="859">
          <cell r="H859">
            <v>43564</v>
          </cell>
          <cell r="I859">
            <v>82.17</v>
          </cell>
        </row>
        <row r="859">
          <cell r="K859">
            <v>43564</v>
          </cell>
          <cell r="L859">
            <v>139.02</v>
          </cell>
        </row>
        <row r="859">
          <cell r="N859">
            <v>43616</v>
          </cell>
          <cell r="O859">
            <v>103.98</v>
          </cell>
        </row>
        <row r="860">
          <cell r="B860">
            <v>43619</v>
          </cell>
          <cell r="C860">
            <v>100.09</v>
          </cell>
        </row>
        <row r="860">
          <cell r="E860">
            <v>43565</v>
          </cell>
          <cell r="F860">
            <v>128.11</v>
          </cell>
        </row>
        <row r="860">
          <cell r="H860">
            <v>43565</v>
          </cell>
          <cell r="I860">
            <v>82.41</v>
          </cell>
        </row>
        <row r="860">
          <cell r="K860">
            <v>43565</v>
          </cell>
          <cell r="L860">
            <v>139.01</v>
          </cell>
        </row>
        <row r="860">
          <cell r="N860">
            <v>43619</v>
          </cell>
          <cell r="O860">
            <v>103.7</v>
          </cell>
        </row>
        <row r="861">
          <cell r="B861">
            <v>43620</v>
          </cell>
          <cell r="C861">
            <v>100.49</v>
          </cell>
        </row>
        <row r="861">
          <cell r="E861">
            <v>43566</v>
          </cell>
          <cell r="F861">
            <v>128.02</v>
          </cell>
        </row>
        <row r="861">
          <cell r="H861">
            <v>43566</v>
          </cell>
          <cell r="I861">
            <v>82.55</v>
          </cell>
        </row>
        <row r="861">
          <cell r="K861">
            <v>43566</v>
          </cell>
          <cell r="L861">
            <v>139.67</v>
          </cell>
        </row>
        <row r="861">
          <cell r="N861">
            <v>43620</v>
          </cell>
          <cell r="O861">
            <v>103.51</v>
          </cell>
        </row>
        <row r="862">
          <cell r="B862">
            <v>43621</v>
          </cell>
          <cell r="C862">
            <v>100.38</v>
          </cell>
        </row>
        <row r="862">
          <cell r="E862">
            <v>43567</v>
          </cell>
          <cell r="F862">
            <v>127</v>
          </cell>
        </row>
        <row r="862">
          <cell r="H862">
            <v>43567</v>
          </cell>
          <cell r="I862">
            <v>82.71</v>
          </cell>
        </row>
        <row r="862">
          <cell r="K862">
            <v>43567</v>
          </cell>
          <cell r="L862">
            <v>139.34</v>
          </cell>
        </row>
        <row r="862">
          <cell r="N862">
            <v>43621</v>
          </cell>
          <cell r="O862">
            <v>104.27</v>
          </cell>
        </row>
        <row r="863">
          <cell r="B863">
            <v>43622</v>
          </cell>
          <cell r="C863">
            <v>100.44</v>
          </cell>
        </row>
        <row r="863">
          <cell r="E863">
            <v>43570</v>
          </cell>
          <cell r="F863">
            <v>127.53</v>
          </cell>
        </row>
        <row r="863">
          <cell r="H863">
            <v>43570</v>
          </cell>
          <cell r="I863">
            <v>82.47</v>
          </cell>
        </row>
        <row r="863">
          <cell r="K863">
            <v>43570</v>
          </cell>
          <cell r="L863">
            <v>139.31</v>
          </cell>
        </row>
        <row r="863">
          <cell r="N863">
            <v>43622</v>
          </cell>
          <cell r="O863">
            <v>104.98</v>
          </cell>
        </row>
        <row r="864">
          <cell r="B864">
            <v>43623</v>
          </cell>
          <cell r="C864">
            <v>100.3</v>
          </cell>
        </row>
        <row r="864">
          <cell r="E864">
            <v>43571</v>
          </cell>
          <cell r="F864">
            <v>126.65</v>
          </cell>
        </row>
        <row r="864">
          <cell r="H864">
            <v>43571</v>
          </cell>
          <cell r="I864">
            <v>82.33</v>
          </cell>
        </row>
        <row r="864">
          <cell r="K864">
            <v>43571</v>
          </cell>
          <cell r="L864">
            <v>138.44</v>
          </cell>
        </row>
        <row r="864">
          <cell r="N864">
            <v>43623</v>
          </cell>
          <cell r="O864">
            <v>105.17</v>
          </cell>
        </row>
        <row r="865">
          <cell r="B865">
            <v>43626</v>
          </cell>
          <cell r="C865">
            <v>100.28</v>
          </cell>
        </row>
        <row r="865">
          <cell r="E865">
            <v>43572</v>
          </cell>
          <cell r="F865">
            <v>125.78</v>
          </cell>
        </row>
        <row r="865">
          <cell r="H865">
            <v>43572</v>
          </cell>
          <cell r="I865">
            <v>82.5</v>
          </cell>
        </row>
        <row r="865">
          <cell r="K865">
            <v>43572</v>
          </cell>
          <cell r="L865">
            <v>137.78</v>
          </cell>
        </row>
        <row r="865">
          <cell r="N865">
            <v>43626</v>
          </cell>
          <cell r="O865">
            <v>104.85</v>
          </cell>
        </row>
        <row r="866">
          <cell r="B866">
            <v>43627</v>
          </cell>
          <cell r="C866">
            <v>100.17</v>
          </cell>
        </row>
        <row r="866">
          <cell r="E866">
            <v>43573</v>
          </cell>
          <cell r="F866">
            <v>125.73</v>
          </cell>
        </row>
        <row r="866">
          <cell r="H866">
            <v>43573</v>
          </cell>
          <cell r="I866">
            <v>82.7</v>
          </cell>
        </row>
        <row r="866">
          <cell r="K866">
            <v>43573</v>
          </cell>
          <cell r="L866">
            <v>138.28</v>
          </cell>
        </row>
        <row r="866">
          <cell r="N866">
            <v>43627</v>
          </cell>
          <cell r="O866">
            <v>104.95</v>
          </cell>
        </row>
        <row r="867">
          <cell r="B867">
            <v>43628</v>
          </cell>
          <cell r="C867">
            <v>100.1</v>
          </cell>
        </row>
        <row r="867">
          <cell r="E867">
            <v>43574</v>
          </cell>
          <cell r="F867">
            <v>125.73</v>
          </cell>
        </row>
        <row r="867">
          <cell r="H867">
            <v>43574</v>
          </cell>
          <cell r="I867">
            <v>82.7</v>
          </cell>
        </row>
        <row r="867">
          <cell r="K867">
            <v>43574</v>
          </cell>
          <cell r="L867">
            <v>138.27</v>
          </cell>
        </row>
        <row r="867">
          <cell r="N867">
            <v>43628</v>
          </cell>
          <cell r="O867">
            <v>104.75</v>
          </cell>
        </row>
        <row r="868">
          <cell r="B868">
            <v>43629</v>
          </cell>
          <cell r="C868">
            <v>100.21</v>
          </cell>
        </row>
        <row r="868">
          <cell r="E868">
            <v>43577</v>
          </cell>
          <cell r="F868">
            <v>126.85</v>
          </cell>
        </row>
        <row r="868">
          <cell r="H868">
            <v>43577</v>
          </cell>
          <cell r="I868">
            <v>82.09</v>
          </cell>
        </row>
        <row r="868">
          <cell r="K868">
            <v>43577</v>
          </cell>
          <cell r="L868">
            <v>137.87</v>
          </cell>
        </row>
        <row r="868">
          <cell r="N868">
            <v>43629</v>
          </cell>
          <cell r="O868">
            <v>104.26</v>
          </cell>
        </row>
        <row r="869">
          <cell r="B869">
            <v>43630</v>
          </cell>
          <cell r="C869">
            <v>100.22</v>
          </cell>
        </row>
        <row r="869">
          <cell r="E869">
            <v>43578</v>
          </cell>
          <cell r="F869">
            <v>126.86</v>
          </cell>
        </row>
        <row r="869">
          <cell r="H869">
            <v>43578</v>
          </cell>
          <cell r="I869">
            <v>81.77</v>
          </cell>
        </row>
        <row r="869">
          <cell r="K869">
            <v>43578</v>
          </cell>
          <cell r="L869">
            <v>138.25</v>
          </cell>
        </row>
        <row r="869">
          <cell r="N869">
            <v>43630</v>
          </cell>
          <cell r="O869">
            <v>104.5</v>
          </cell>
        </row>
        <row r="870">
          <cell r="B870">
            <v>43633</v>
          </cell>
          <cell r="C870">
            <v>100.5</v>
          </cell>
        </row>
        <row r="870">
          <cell r="E870">
            <v>43579</v>
          </cell>
          <cell r="F870">
            <v>127.06</v>
          </cell>
        </row>
        <row r="870">
          <cell r="H870">
            <v>43579</v>
          </cell>
          <cell r="I870">
            <v>81.42</v>
          </cell>
        </row>
        <row r="870">
          <cell r="K870">
            <v>43579</v>
          </cell>
          <cell r="L870">
            <v>138.56</v>
          </cell>
        </row>
        <row r="870">
          <cell r="N870">
            <v>43633</v>
          </cell>
          <cell r="O870">
            <v>104.14</v>
          </cell>
        </row>
        <row r="871">
          <cell r="B871">
            <v>43634</v>
          </cell>
          <cell r="C871">
            <v>100.76</v>
          </cell>
        </row>
        <row r="871">
          <cell r="E871">
            <v>43580</v>
          </cell>
          <cell r="F871">
            <v>129.02</v>
          </cell>
        </row>
        <row r="871">
          <cell r="H871">
            <v>43580</v>
          </cell>
          <cell r="I871">
            <v>81.27</v>
          </cell>
        </row>
        <row r="871">
          <cell r="K871">
            <v>43580</v>
          </cell>
          <cell r="L871">
            <v>138.35</v>
          </cell>
        </row>
        <row r="871">
          <cell r="N871">
            <v>43634</v>
          </cell>
          <cell r="O871">
            <v>104.39</v>
          </cell>
        </row>
        <row r="872">
          <cell r="B872">
            <v>43635</v>
          </cell>
          <cell r="C872">
            <v>100.51</v>
          </cell>
        </row>
        <row r="872">
          <cell r="E872">
            <v>43581</v>
          </cell>
          <cell r="F872">
            <v>129.35</v>
          </cell>
        </row>
        <row r="872">
          <cell r="H872">
            <v>43581</v>
          </cell>
          <cell r="I872">
            <v>81.19</v>
          </cell>
        </row>
        <row r="872">
          <cell r="K872">
            <v>43581</v>
          </cell>
          <cell r="L872">
            <v>137.86</v>
          </cell>
        </row>
        <row r="872">
          <cell r="N872">
            <v>43635</v>
          </cell>
          <cell r="O872">
            <v>104.36</v>
          </cell>
        </row>
        <row r="873">
          <cell r="B873">
            <v>43636</v>
          </cell>
          <cell r="C873">
            <v>100.56</v>
          </cell>
        </row>
        <row r="873">
          <cell r="E873">
            <v>43584</v>
          </cell>
          <cell r="F873">
            <v>129.1</v>
          </cell>
        </row>
        <row r="873">
          <cell r="H873">
            <v>43584</v>
          </cell>
          <cell r="I873">
            <v>81.22</v>
          </cell>
        </row>
        <row r="873">
          <cell r="K873">
            <v>43584</v>
          </cell>
          <cell r="L873">
            <v>137.42</v>
          </cell>
        </row>
        <row r="873">
          <cell r="N873">
            <v>43636</v>
          </cell>
          <cell r="O873">
            <v>104.9</v>
          </cell>
        </row>
        <row r="874">
          <cell r="B874">
            <v>43637</v>
          </cell>
          <cell r="C874">
            <v>100.6</v>
          </cell>
        </row>
        <row r="874">
          <cell r="E874">
            <v>43585</v>
          </cell>
          <cell r="F874">
            <v>129.44</v>
          </cell>
        </row>
        <row r="874">
          <cell r="H874">
            <v>43585</v>
          </cell>
          <cell r="I874">
            <v>81.38</v>
          </cell>
        </row>
        <row r="874">
          <cell r="K874">
            <v>43585</v>
          </cell>
          <cell r="L874">
            <v>137.88</v>
          </cell>
        </row>
        <row r="874">
          <cell r="N874">
            <v>43637</v>
          </cell>
          <cell r="O874">
            <v>105.44</v>
          </cell>
        </row>
        <row r="875">
          <cell r="B875">
            <v>43640</v>
          </cell>
          <cell r="C875">
            <v>100.8</v>
          </cell>
        </row>
        <row r="875">
          <cell r="E875">
            <v>43586</v>
          </cell>
          <cell r="F875">
            <v>129.44</v>
          </cell>
        </row>
        <row r="875">
          <cell r="H875">
            <v>43586</v>
          </cell>
          <cell r="I875">
            <v>81.75</v>
          </cell>
        </row>
        <row r="875">
          <cell r="K875">
            <v>43586</v>
          </cell>
          <cell r="L875">
            <v>137.69</v>
          </cell>
        </row>
        <row r="875">
          <cell r="N875">
            <v>43640</v>
          </cell>
          <cell r="O875">
            <v>106.4</v>
          </cell>
        </row>
        <row r="876">
          <cell r="B876">
            <v>43641</v>
          </cell>
          <cell r="C876">
            <v>100.39</v>
          </cell>
        </row>
        <row r="876">
          <cell r="E876">
            <v>43587</v>
          </cell>
          <cell r="F876">
            <v>130.57</v>
          </cell>
        </row>
        <row r="876">
          <cell r="H876">
            <v>43587</v>
          </cell>
          <cell r="I876">
            <v>81.47</v>
          </cell>
        </row>
        <row r="876">
          <cell r="K876">
            <v>43587</v>
          </cell>
          <cell r="L876">
            <v>139.05</v>
          </cell>
        </row>
        <row r="876">
          <cell r="N876">
            <v>43641</v>
          </cell>
          <cell r="O876">
            <v>106.18</v>
          </cell>
        </row>
        <row r="877">
          <cell r="B877">
            <v>43642</v>
          </cell>
          <cell r="C877">
            <v>100.05</v>
          </cell>
        </row>
        <row r="877">
          <cell r="E877">
            <v>43588</v>
          </cell>
          <cell r="F877">
            <v>130.33</v>
          </cell>
        </row>
        <row r="877">
          <cell r="H877">
            <v>43588</v>
          </cell>
          <cell r="I877">
            <v>81.17</v>
          </cell>
        </row>
        <row r="877">
          <cell r="K877">
            <v>43588</v>
          </cell>
          <cell r="L877">
            <v>139.14</v>
          </cell>
        </row>
        <row r="877">
          <cell r="N877">
            <v>43642</v>
          </cell>
          <cell r="O877">
            <v>106.55</v>
          </cell>
        </row>
        <row r="878">
          <cell r="B878">
            <v>43643</v>
          </cell>
          <cell r="C878">
            <v>100.03</v>
          </cell>
        </row>
        <row r="878">
          <cell r="E878">
            <v>43591</v>
          </cell>
          <cell r="F878">
            <v>130.94</v>
          </cell>
        </row>
        <row r="878">
          <cell r="H878">
            <v>43591</v>
          </cell>
          <cell r="I878">
            <v>80.74</v>
          </cell>
        </row>
        <row r="878">
          <cell r="K878">
            <v>43591</v>
          </cell>
          <cell r="L878">
            <v>138.99</v>
          </cell>
        </row>
        <row r="878">
          <cell r="N878">
            <v>43643</v>
          </cell>
          <cell r="O878">
            <v>105.37</v>
          </cell>
        </row>
        <row r="879">
          <cell r="B879">
            <v>43644</v>
          </cell>
          <cell r="C879">
            <v>99.85</v>
          </cell>
        </row>
        <row r="879">
          <cell r="E879">
            <v>43592</v>
          </cell>
          <cell r="F879">
            <v>131.33</v>
          </cell>
        </row>
        <row r="879">
          <cell r="H879">
            <v>43592</v>
          </cell>
          <cell r="I879">
            <v>80.53</v>
          </cell>
        </row>
        <row r="879">
          <cell r="K879">
            <v>43592</v>
          </cell>
          <cell r="L879">
            <v>138.75</v>
          </cell>
        </row>
        <row r="879">
          <cell r="N879">
            <v>43644</v>
          </cell>
          <cell r="O879">
            <v>104.58</v>
          </cell>
        </row>
        <row r="880">
          <cell r="B880">
            <v>43647</v>
          </cell>
          <cell r="C880">
            <v>99.93</v>
          </cell>
        </row>
        <row r="880">
          <cell r="E880">
            <v>43593</v>
          </cell>
          <cell r="F880">
            <v>131.85</v>
          </cell>
        </row>
        <row r="880">
          <cell r="H880">
            <v>43593</v>
          </cell>
          <cell r="I880">
            <v>80.48</v>
          </cell>
        </row>
        <row r="880">
          <cell r="K880">
            <v>43593</v>
          </cell>
          <cell r="L880">
            <v>138.61</v>
          </cell>
        </row>
        <row r="880">
          <cell r="N880">
            <v>43647</v>
          </cell>
          <cell r="O880">
            <v>105.46</v>
          </cell>
        </row>
        <row r="881">
          <cell r="B881">
            <v>43648</v>
          </cell>
          <cell r="C881">
            <v>99.67</v>
          </cell>
        </row>
        <row r="881">
          <cell r="E881">
            <v>43594</v>
          </cell>
          <cell r="F881">
            <v>131.58</v>
          </cell>
        </row>
        <row r="881">
          <cell r="H881">
            <v>43594</v>
          </cell>
          <cell r="I881">
            <v>80.33</v>
          </cell>
        </row>
        <row r="881">
          <cell r="K881">
            <v>43594</v>
          </cell>
          <cell r="L881">
            <v>138.35</v>
          </cell>
        </row>
        <row r="881">
          <cell r="N881">
            <v>43648</v>
          </cell>
          <cell r="O881">
            <v>105.89</v>
          </cell>
        </row>
        <row r="882">
          <cell r="B882">
            <v>43649</v>
          </cell>
          <cell r="C882">
            <v>99.83</v>
          </cell>
        </row>
        <row r="882">
          <cell r="E882">
            <v>43595</v>
          </cell>
          <cell r="F882">
            <v>133.05</v>
          </cell>
        </row>
        <row r="882">
          <cell r="H882">
            <v>43595</v>
          </cell>
          <cell r="I882">
            <v>80.36</v>
          </cell>
        </row>
        <row r="882">
          <cell r="K882">
            <v>43595</v>
          </cell>
          <cell r="L882">
            <v>138.29</v>
          </cell>
        </row>
        <row r="882">
          <cell r="N882">
            <v>43649</v>
          </cell>
          <cell r="O882">
            <v>105.89</v>
          </cell>
        </row>
        <row r="883">
          <cell r="B883">
            <v>43651</v>
          </cell>
          <cell r="C883">
            <v>99.9</v>
          </cell>
        </row>
        <row r="883">
          <cell r="E883">
            <v>43598</v>
          </cell>
          <cell r="F883">
            <v>133.59</v>
          </cell>
        </row>
        <row r="883">
          <cell r="H883">
            <v>43598</v>
          </cell>
          <cell r="I883">
            <v>79.75</v>
          </cell>
        </row>
        <row r="883">
          <cell r="K883">
            <v>43598</v>
          </cell>
          <cell r="L883">
            <v>137.99</v>
          </cell>
        </row>
        <row r="883">
          <cell r="N883">
            <v>43651</v>
          </cell>
          <cell r="O883">
            <v>105.21</v>
          </cell>
        </row>
        <row r="884">
          <cell r="B884">
            <v>43654</v>
          </cell>
          <cell r="C884">
            <v>99.85</v>
          </cell>
        </row>
        <row r="884">
          <cell r="E884">
            <v>43599</v>
          </cell>
          <cell r="F884">
            <v>133.84</v>
          </cell>
        </row>
        <row r="884">
          <cell r="H884">
            <v>43599</v>
          </cell>
          <cell r="I884">
            <v>79.7</v>
          </cell>
        </row>
        <row r="884">
          <cell r="K884">
            <v>43599</v>
          </cell>
          <cell r="L884">
            <v>137.66</v>
          </cell>
        </row>
        <row r="884">
          <cell r="N884">
            <v>43654</v>
          </cell>
          <cell r="O884">
            <v>105.51</v>
          </cell>
        </row>
        <row r="885">
          <cell r="B885">
            <v>43655</v>
          </cell>
          <cell r="C885">
            <v>99.81</v>
          </cell>
        </row>
        <row r="885">
          <cell r="E885">
            <v>43600</v>
          </cell>
          <cell r="F885">
            <v>134.16</v>
          </cell>
        </row>
        <row r="885">
          <cell r="H885">
            <v>43600</v>
          </cell>
          <cell r="I885">
            <v>79.72</v>
          </cell>
        </row>
        <row r="885">
          <cell r="K885">
            <v>43600</v>
          </cell>
          <cell r="L885">
            <v>137.79</v>
          </cell>
        </row>
        <row r="885">
          <cell r="N885">
            <v>43655</v>
          </cell>
          <cell r="O885">
            <v>105.89</v>
          </cell>
        </row>
        <row r="886">
          <cell r="B886">
            <v>43656</v>
          </cell>
          <cell r="C886">
            <v>99.98</v>
          </cell>
        </row>
        <row r="886">
          <cell r="E886">
            <v>43601</v>
          </cell>
          <cell r="F886">
            <v>135.15</v>
          </cell>
        </row>
        <row r="886">
          <cell r="H886">
            <v>43601</v>
          </cell>
          <cell r="I886">
            <v>79.15</v>
          </cell>
        </row>
        <row r="886">
          <cell r="K886">
            <v>43601</v>
          </cell>
          <cell r="L886">
            <v>138</v>
          </cell>
        </row>
        <row r="886">
          <cell r="N886">
            <v>43656</v>
          </cell>
          <cell r="O886">
            <v>106.15</v>
          </cell>
        </row>
        <row r="887">
          <cell r="B887">
            <v>43657</v>
          </cell>
          <cell r="C887">
            <v>99.95</v>
          </cell>
        </row>
        <row r="887">
          <cell r="E887">
            <v>43602</v>
          </cell>
          <cell r="F887">
            <v>135.59</v>
          </cell>
        </row>
        <row r="887">
          <cell r="H887">
            <v>43602</v>
          </cell>
          <cell r="I887">
            <v>78.94</v>
          </cell>
        </row>
        <row r="887">
          <cell r="K887">
            <v>43602</v>
          </cell>
          <cell r="L887">
            <v>138.16</v>
          </cell>
        </row>
        <row r="887">
          <cell r="N887">
            <v>43657</v>
          </cell>
          <cell r="O887">
            <v>106.66</v>
          </cell>
        </row>
        <row r="888">
          <cell r="B888">
            <v>43658</v>
          </cell>
          <cell r="C888">
            <v>99.93</v>
          </cell>
        </row>
        <row r="888">
          <cell r="E888">
            <v>43605</v>
          </cell>
          <cell r="F888">
            <v>135.62</v>
          </cell>
        </row>
        <row r="888">
          <cell r="H888">
            <v>43605</v>
          </cell>
          <cell r="I888">
            <v>78.82</v>
          </cell>
        </row>
        <row r="888">
          <cell r="K888">
            <v>43605</v>
          </cell>
          <cell r="L888">
            <v>137.99</v>
          </cell>
        </row>
        <row r="888">
          <cell r="N888">
            <v>43658</v>
          </cell>
          <cell r="O888">
            <v>106.56</v>
          </cell>
        </row>
        <row r="889">
          <cell r="B889">
            <v>43661</v>
          </cell>
          <cell r="C889">
            <v>99.67</v>
          </cell>
        </row>
        <row r="889">
          <cell r="E889">
            <v>43606</v>
          </cell>
          <cell r="F889">
            <v>135.41</v>
          </cell>
        </row>
        <row r="889">
          <cell r="H889">
            <v>43606</v>
          </cell>
          <cell r="I889">
            <v>78.96</v>
          </cell>
        </row>
        <row r="889">
          <cell r="K889">
            <v>43606</v>
          </cell>
          <cell r="L889">
            <v>138.65</v>
          </cell>
        </row>
        <row r="889">
          <cell r="N889">
            <v>43661</v>
          </cell>
          <cell r="O889">
            <v>107.01</v>
          </cell>
        </row>
        <row r="890">
          <cell r="B890">
            <v>43662</v>
          </cell>
          <cell r="C890">
            <v>99.82</v>
          </cell>
        </row>
        <row r="890">
          <cell r="E890">
            <v>43607</v>
          </cell>
          <cell r="F890">
            <v>136.82</v>
          </cell>
        </row>
        <row r="890">
          <cell r="H890">
            <v>43607</v>
          </cell>
          <cell r="I890">
            <v>78.49</v>
          </cell>
        </row>
        <row r="890">
          <cell r="K890">
            <v>43607</v>
          </cell>
          <cell r="L890">
            <v>138.59</v>
          </cell>
        </row>
        <row r="890">
          <cell r="N890">
            <v>43662</v>
          </cell>
          <cell r="O890">
            <v>106.79</v>
          </cell>
        </row>
        <row r="891">
          <cell r="B891">
            <v>43663</v>
          </cell>
          <cell r="C891">
            <v>99.93</v>
          </cell>
        </row>
        <row r="891">
          <cell r="E891">
            <v>43608</v>
          </cell>
          <cell r="F891">
            <v>136.68</v>
          </cell>
        </row>
        <row r="891">
          <cell r="H891">
            <v>43608</v>
          </cell>
          <cell r="I891">
            <v>78.7</v>
          </cell>
        </row>
        <row r="891">
          <cell r="K891">
            <v>43608</v>
          </cell>
          <cell r="L891">
            <v>138.98</v>
          </cell>
        </row>
        <row r="891">
          <cell r="N891">
            <v>43663</v>
          </cell>
          <cell r="O891">
            <v>106.65</v>
          </cell>
        </row>
        <row r="892">
          <cell r="B892">
            <v>43664</v>
          </cell>
          <cell r="C892">
            <v>99.93</v>
          </cell>
        </row>
        <row r="892">
          <cell r="E892">
            <v>43609</v>
          </cell>
          <cell r="F892">
            <v>136.87</v>
          </cell>
        </row>
        <row r="892">
          <cell r="H892">
            <v>43609</v>
          </cell>
          <cell r="I892">
            <v>78.99</v>
          </cell>
        </row>
        <row r="892">
          <cell r="K892">
            <v>43609</v>
          </cell>
          <cell r="L892">
            <v>138.93</v>
          </cell>
        </row>
        <row r="892">
          <cell r="N892">
            <v>43664</v>
          </cell>
          <cell r="O892">
            <v>106.86</v>
          </cell>
        </row>
        <row r="893">
          <cell r="B893">
            <v>43665</v>
          </cell>
          <cell r="C893">
            <v>99.9</v>
          </cell>
        </row>
        <row r="893">
          <cell r="E893">
            <v>43612</v>
          </cell>
          <cell r="F893">
            <v>136.94</v>
          </cell>
        </row>
        <row r="893">
          <cell r="H893">
            <v>43612</v>
          </cell>
          <cell r="I893">
            <v>79.05</v>
          </cell>
        </row>
        <row r="893">
          <cell r="K893">
            <v>43612</v>
          </cell>
          <cell r="L893">
            <v>138.61</v>
          </cell>
        </row>
        <row r="893">
          <cell r="N893">
            <v>43665</v>
          </cell>
          <cell r="O893">
            <v>106.78</v>
          </cell>
        </row>
        <row r="894">
          <cell r="B894">
            <v>43668</v>
          </cell>
          <cell r="C894">
            <v>99.74</v>
          </cell>
        </row>
        <row r="894">
          <cell r="E894">
            <v>43613</v>
          </cell>
          <cell r="F894">
            <v>137.98</v>
          </cell>
        </row>
        <row r="894">
          <cell r="H894">
            <v>43613</v>
          </cell>
          <cell r="I894">
            <v>78.84</v>
          </cell>
        </row>
        <row r="894">
          <cell r="K894">
            <v>43613</v>
          </cell>
          <cell r="L894">
            <v>138.67</v>
          </cell>
        </row>
        <row r="894">
          <cell r="N894">
            <v>43668</v>
          </cell>
          <cell r="O894">
            <v>107.37</v>
          </cell>
        </row>
        <row r="895">
          <cell r="B895">
            <v>43669</v>
          </cell>
          <cell r="C895">
            <v>99.57</v>
          </cell>
        </row>
        <row r="895">
          <cell r="E895">
            <v>43614</v>
          </cell>
          <cell r="F895">
            <v>137.47</v>
          </cell>
        </row>
        <row r="895">
          <cell r="H895">
            <v>43614</v>
          </cell>
          <cell r="I895">
            <v>78.73</v>
          </cell>
        </row>
        <row r="895">
          <cell r="K895">
            <v>43614</v>
          </cell>
          <cell r="L895">
            <v>138.61</v>
          </cell>
        </row>
        <row r="895">
          <cell r="N895">
            <v>43669</v>
          </cell>
          <cell r="O895">
            <v>107.61</v>
          </cell>
        </row>
        <row r="896">
          <cell r="B896">
            <v>43670</v>
          </cell>
          <cell r="C896">
            <v>100.01</v>
          </cell>
        </row>
        <row r="896">
          <cell r="E896">
            <v>43615</v>
          </cell>
          <cell r="F896">
            <v>139.69</v>
          </cell>
        </row>
        <row r="896">
          <cell r="H896">
            <v>43615</v>
          </cell>
          <cell r="I896">
            <v>78.39</v>
          </cell>
        </row>
        <row r="896">
          <cell r="K896">
            <v>43615</v>
          </cell>
          <cell r="L896">
            <v>138.76</v>
          </cell>
        </row>
        <row r="896">
          <cell r="N896">
            <v>43670</v>
          </cell>
          <cell r="O896">
            <v>106.98</v>
          </cell>
        </row>
        <row r="897">
          <cell r="B897">
            <v>43671</v>
          </cell>
          <cell r="C897">
            <v>100.49</v>
          </cell>
        </row>
        <row r="897">
          <cell r="E897">
            <v>43616</v>
          </cell>
          <cell r="F897">
            <v>139.7</v>
          </cell>
        </row>
        <row r="897">
          <cell r="H897">
            <v>43616</v>
          </cell>
          <cell r="I897">
            <v>77.5</v>
          </cell>
        </row>
        <row r="897">
          <cell r="K897">
            <v>43616</v>
          </cell>
          <cell r="L897">
            <v>137.95</v>
          </cell>
        </row>
        <row r="897">
          <cell r="N897">
            <v>43671</v>
          </cell>
          <cell r="O897">
            <v>107.65</v>
          </cell>
        </row>
        <row r="898">
          <cell r="B898">
            <v>43672</v>
          </cell>
          <cell r="C898">
            <v>100.21</v>
          </cell>
        </row>
        <row r="898">
          <cell r="E898">
            <v>43619</v>
          </cell>
          <cell r="F898">
            <v>138.07</v>
          </cell>
        </row>
        <row r="898">
          <cell r="H898">
            <v>43619</v>
          </cell>
          <cell r="I898">
            <v>78.25</v>
          </cell>
        </row>
        <row r="898">
          <cell r="K898">
            <v>43619</v>
          </cell>
          <cell r="L898">
            <v>138.15</v>
          </cell>
        </row>
        <row r="898">
          <cell r="N898">
            <v>43672</v>
          </cell>
          <cell r="O898">
            <v>106.76</v>
          </cell>
        </row>
        <row r="899">
          <cell r="B899">
            <v>43675</v>
          </cell>
          <cell r="C899">
            <v>100</v>
          </cell>
        </row>
        <row r="899">
          <cell r="E899">
            <v>43620</v>
          </cell>
          <cell r="F899">
            <v>137.49</v>
          </cell>
        </row>
        <row r="899">
          <cell r="H899">
            <v>43620</v>
          </cell>
          <cell r="I899">
            <v>78.59</v>
          </cell>
        </row>
        <row r="899">
          <cell r="K899">
            <v>43620</v>
          </cell>
          <cell r="L899">
            <v>137.74</v>
          </cell>
        </row>
        <row r="899">
          <cell r="N899">
            <v>43675</v>
          </cell>
          <cell r="O899">
            <v>107.08</v>
          </cell>
        </row>
        <row r="900">
          <cell r="B900">
            <v>43676</v>
          </cell>
          <cell r="C900">
            <v>100</v>
          </cell>
        </row>
        <row r="900">
          <cell r="E900">
            <v>43621</v>
          </cell>
          <cell r="F900">
            <v>139.28</v>
          </cell>
        </row>
        <row r="900">
          <cell r="H900">
            <v>43621</v>
          </cell>
          <cell r="I900">
            <v>77.9</v>
          </cell>
        </row>
        <row r="900">
          <cell r="K900">
            <v>43621</v>
          </cell>
          <cell r="L900">
            <v>138.6</v>
          </cell>
        </row>
        <row r="900">
          <cell r="N900">
            <v>43676</v>
          </cell>
          <cell r="O900">
            <v>106.07</v>
          </cell>
        </row>
        <row r="901">
          <cell r="B901">
            <v>43677</v>
          </cell>
          <cell r="C901">
            <v>100.1</v>
          </cell>
        </row>
        <row r="901">
          <cell r="E901">
            <v>43622</v>
          </cell>
          <cell r="F901">
            <v>139.78</v>
          </cell>
        </row>
        <row r="901">
          <cell r="H901">
            <v>43622</v>
          </cell>
          <cell r="I901">
            <v>77.57</v>
          </cell>
        </row>
        <row r="901">
          <cell r="K901">
            <v>43622</v>
          </cell>
          <cell r="L901">
            <v>138.94</v>
          </cell>
        </row>
        <row r="901">
          <cell r="N901">
            <v>43677</v>
          </cell>
          <cell r="O901">
            <v>105.61</v>
          </cell>
        </row>
        <row r="902">
          <cell r="B902">
            <v>43678</v>
          </cell>
          <cell r="C902">
            <v>100.28</v>
          </cell>
        </row>
        <row r="902">
          <cell r="E902">
            <v>43623</v>
          </cell>
          <cell r="F902">
            <v>140.86</v>
          </cell>
        </row>
        <row r="902">
          <cell r="H902">
            <v>43623</v>
          </cell>
          <cell r="I902">
            <v>77.42</v>
          </cell>
        </row>
        <row r="902">
          <cell r="K902">
            <v>43623</v>
          </cell>
          <cell r="L902">
            <v>138.97</v>
          </cell>
        </row>
        <row r="902">
          <cell r="N902">
            <v>43678</v>
          </cell>
          <cell r="O902">
            <v>106.1</v>
          </cell>
        </row>
        <row r="903">
          <cell r="B903">
            <v>43679</v>
          </cell>
          <cell r="C903">
            <v>100.74</v>
          </cell>
        </row>
        <row r="903">
          <cell r="E903">
            <v>43626</v>
          </cell>
          <cell r="F903">
            <v>141.33</v>
          </cell>
        </row>
        <row r="903">
          <cell r="H903">
            <v>43626</v>
          </cell>
          <cell r="I903">
            <v>77.6</v>
          </cell>
        </row>
        <row r="903">
          <cell r="K903">
            <v>43626</v>
          </cell>
          <cell r="L903">
            <v>138.15</v>
          </cell>
        </row>
        <row r="903">
          <cell r="N903">
            <v>43679</v>
          </cell>
          <cell r="O903">
            <v>106.67</v>
          </cell>
        </row>
        <row r="904">
          <cell r="B904">
            <v>43682</v>
          </cell>
          <cell r="C904">
            <v>100.68</v>
          </cell>
        </row>
        <row r="904">
          <cell r="E904">
            <v>43627</v>
          </cell>
          <cell r="F904">
            <v>140.36</v>
          </cell>
        </row>
        <row r="904">
          <cell r="H904">
            <v>43627</v>
          </cell>
          <cell r="I904">
            <v>78.03</v>
          </cell>
        </row>
        <row r="904">
          <cell r="K904">
            <v>43627</v>
          </cell>
          <cell r="L904">
            <v>138.08</v>
          </cell>
        </row>
        <row r="904">
          <cell r="N904">
            <v>43682</v>
          </cell>
          <cell r="O904">
            <v>106.14</v>
          </cell>
        </row>
        <row r="905">
          <cell r="B905">
            <v>43683</v>
          </cell>
          <cell r="C905">
            <v>100.53</v>
          </cell>
        </row>
        <row r="905">
          <cell r="E905">
            <v>43628</v>
          </cell>
          <cell r="F905">
            <v>141.62</v>
          </cell>
        </row>
        <row r="905">
          <cell r="H905">
            <v>43628</v>
          </cell>
          <cell r="I905">
            <v>77.64</v>
          </cell>
        </row>
        <row r="905">
          <cell r="K905">
            <v>43628</v>
          </cell>
          <cell r="L905">
            <v>138.4</v>
          </cell>
        </row>
        <row r="905">
          <cell r="N905">
            <v>43683</v>
          </cell>
          <cell r="O905">
            <v>106.51</v>
          </cell>
        </row>
        <row r="906">
          <cell r="B906">
            <v>43684</v>
          </cell>
          <cell r="C906">
            <v>101.32</v>
          </cell>
        </row>
        <row r="906">
          <cell r="E906">
            <v>43629</v>
          </cell>
          <cell r="F906">
            <v>139.82</v>
          </cell>
        </row>
        <row r="906">
          <cell r="H906">
            <v>43629</v>
          </cell>
          <cell r="I906">
            <v>77.8</v>
          </cell>
        </row>
        <row r="906">
          <cell r="K906">
            <v>43629</v>
          </cell>
          <cell r="L906">
            <v>138.74</v>
          </cell>
        </row>
        <row r="906">
          <cell r="N906">
            <v>43684</v>
          </cell>
          <cell r="O906">
            <v>106.5</v>
          </cell>
        </row>
        <row r="907">
          <cell r="B907">
            <v>43685</v>
          </cell>
          <cell r="C907">
            <v>101.09</v>
          </cell>
        </row>
        <row r="907">
          <cell r="E907">
            <v>43630</v>
          </cell>
          <cell r="F907">
            <v>140.37</v>
          </cell>
        </row>
        <row r="907">
          <cell r="H907">
            <v>43630</v>
          </cell>
          <cell r="I907">
            <v>77.49</v>
          </cell>
        </row>
        <row r="907">
          <cell r="K907">
            <v>43630</v>
          </cell>
          <cell r="L907">
            <v>138.97</v>
          </cell>
        </row>
        <row r="907">
          <cell r="N907">
            <v>43685</v>
          </cell>
          <cell r="O907">
            <v>106.3</v>
          </cell>
        </row>
        <row r="908">
          <cell r="B908">
            <v>43686</v>
          </cell>
          <cell r="C908">
            <v>101.2</v>
          </cell>
        </row>
        <row r="908">
          <cell r="E908">
            <v>43633</v>
          </cell>
          <cell r="F908">
            <v>139.81</v>
          </cell>
        </row>
        <row r="908">
          <cell r="H908">
            <v>43633</v>
          </cell>
          <cell r="I908">
            <v>77.12</v>
          </cell>
        </row>
        <row r="908">
          <cell r="K908">
            <v>43633</v>
          </cell>
          <cell r="L908">
            <v>138.53</v>
          </cell>
        </row>
        <row r="908">
          <cell r="N908">
            <v>43686</v>
          </cell>
          <cell r="O908">
            <v>106.73</v>
          </cell>
        </row>
        <row r="909">
          <cell r="B909">
            <v>43689</v>
          </cell>
          <cell r="C909">
            <v>101.27</v>
          </cell>
        </row>
        <row r="909">
          <cell r="E909">
            <v>43634</v>
          </cell>
          <cell r="F909">
            <v>139.47</v>
          </cell>
        </row>
        <row r="909">
          <cell r="H909">
            <v>43634</v>
          </cell>
          <cell r="I909">
            <v>77.72</v>
          </cell>
        </row>
        <row r="909">
          <cell r="K909">
            <v>43634</v>
          </cell>
          <cell r="L909">
            <v>138.43</v>
          </cell>
        </row>
        <row r="909">
          <cell r="N909">
            <v>43689</v>
          </cell>
          <cell r="O909">
            <v>106.5</v>
          </cell>
        </row>
        <row r="910">
          <cell r="B910">
            <v>43690</v>
          </cell>
          <cell r="C910">
            <v>101</v>
          </cell>
        </row>
        <row r="910">
          <cell r="E910">
            <v>43635</v>
          </cell>
          <cell r="F910">
            <v>140.89</v>
          </cell>
        </row>
        <row r="910">
          <cell r="H910">
            <v>43635</v>
          </cell>
          <cell r="I910">
            <v>77.46</v>
          </cell>
        </row>
        <row r="910">
          <cell r="K910">
            <v>43635</v>
          </cell>
          <cell r="L910">
            <v>138.55</v>
          </cell>
        </row>
        <row r="910">
          <cell r="N910">
            <v>43690</v>
          </cell>
          <cell r="O910">
            <v>106.95</v>
          </cell>
        </row>
        <row r="911">
          <cell r="B911">
            <v>43691</v>
          </cell>
          <cell r="C911">
            <v>101.49</v>
          </cell>
        </row>
        <row r="911">
          <cell r="E911">
            <v>43636</v>
          </cell>
          <cell r="F911">
            <v>140.33</v>
          </cell>
        </row>
        <row r="911">
          <cell r="H911">
            <v>43636</v>
          </cell>
          <cell r="I911">
            <v>77.4</v>
          </cell>
        </row>
        <row r="911">
          <cell r="K911">
            <v>43636</v>
          </cell>
          <cell r="L911">
            <v>138.2</v>
          </cell>
        </row>
        <row r="911">
          <cell r="N911">
            <v>43691</v>
          </cell>
          <cell r="O911">
            <v>106.81</v>
          </cell>
        </row>
        <row r="912">
          <cell r="B912">
            <v>43692</v>
          </cell>
          <cell r="C912">
            <v>102.12</v>
          </cell>
        </row>
        <row r="912">
          <cell r="E912">
            <v>43637</v>
          </cell>
          <cell r="F912">
            <v>139.36</v>
          </cell>
        </row>
        <row r="912">
          <cell r="H912">
            <v>43637</v>
          </cell>
          <cell r="I912">
            <v>77.28</v>
          </cell>
        </row>
        <row r="912">
          <cell r="K912">
            <v>43637</v>
          </cell>
          <cell r="L912">
            <v>138.29</v>
          </cell>
        </row>
        <row r="912">
          <cell r="N912">
            <v>43692</v>
          </cell>
          <cell r="O912">
            <v>107.39</v>
          </cell>
        </row>
        <row r="913">
          <cell r="B913">
            <v>43693</v>
          </cell>
          <cell r="C913">
            <v>102.06</v>
          </cell>
        </row>
        <row r="913">
          <cell r="E913">
            <v>43640</v>
          </cell>
          <cell r="F913">
            <v>140.21</v>
          </cell>
        </row>
        <row r="913">
          <cell r="H913">
            <v>43640</v>
          </cell>
          <cell r="I913">
            <v>77.11</v>
          </cell>
        </row>
        <row r="913">
          <cell r="K913">
            <v>43640</v>
          </cell>
          <cell r="L913">
            <v>138.13</v>
          </cell>
        </row>
        <row r="913">
          <cell r="N913">
            <v>43693</v>
          </cell>
          <cell r="O913">
            <v>106.86</v>
          </cell>
        </row>
        <row r="914">
          <cell r="B914">
            <v>43696</v>
          </cell>
          <cell r="C914">
            <v>102.14</v>
          </cell>
        </row>
        <row r="914">
          <cell r="E914">
            <v>43641</v>
          </cell>
          <cell r="F914">
            <v>139.03</v>
          </cell>
        </row>
        <row r="914">
          <cell r="H914">
            <v>43641</v>
          </cell>
          <cell r="I914">
            <v>77.14</v>
          </cell>
        </row>
        <row r="914">
          <cell r="K914">
            <v>43641</v>
          </cell>
          <cell r="L914">
            <v>137.73</v>
          </cell>
        </row>
        <row r="914">
          <cell r="N914">
            <v>43696</v>
          </cell>
          <cell r="O914">
            <v>107.15</v>
          </cell>
        </row>
        <row r="915">
          <cell r="B915">
            <v>43697</v>
          </cell>
          <cell r="C915">
            <v>102.2</v>
          </cell>
        </row>
        <row r="915">
          <cell r="E915">
            <v>43642</v>
          </cell>
          <cell r="F915">
            <v>137.94</v>
          </cell>
        </row>
        <row r="915">
          <cell r="H915">
            <v>43642</v>
          </cell>
          <cell r="I915">
            <v>77.78</v>
          </cell>
        </row>
        <row r="915">
          <cell r="K915">
            <v>43642</v>
          </cell>
          <cell r="L915">
            <v>137.52</v>
          </cell>
        </row>
        <row r="915">
          <cell r="N915">
            <v>43697</v>
          </cell>
          <cell r="O915">
            <v>107.13</v>
          </cell>
        </row>
        <row r="916">
          <cell r="B916">
            <v>43698</v>
          </cell>
          <cell r="C916">
            <v>102.2</v>
          </cell>
        </row>
        <row r="916">
          <cell r="E916">
            <v>43643</v>
          </cell>
          <cell r="F916">
            <v>137.78</v>
          </cell>
        </row>
        <row r="916">
          <cell r="H916">
            <v>43643</v>
          </cell>
          <cell r="I916">
            <v>77.76</v>
          </cell>
        </row>
        <row r="916">
          <cell r="K916">
            <v>43643</v>
          </cell>
          <cell r="L916">
            <v>137.42</v>
          </cell>
        </row>
        <row r="916">
          <cell r="N916">
            <v>43698</v>
          </cell>
          <cell r="O916">
            <v>107.13</v>
          </cell>
        </row>
        <row r="917">
          <cell r="B917">
            <v>43699</v>
          </cell>
          <cell r="C917">
            <v>102.38</v>
          </cell>
        </row>
        <row r="917">
          <cell r="E917">
            <v>43644</v>
          </cell>
          <cell r="F917">
            <v>136.9</v>
          </cell>
        </row>
        <row r="917">
          <cell r="H917">
            <v>43644</v>
          </cell>
          <cell r="I917">
            <v>77.84</v>
          </cell>
        </row>
        <row r="917">
          <cell r="K917">
            <v>43644</v>
          </cell>
          <cell r="L917">
            <v>136.58</v>
          </cell>
        </row>
        <row r="917">
          <cell r="N917">
            <v>43699</v>
          </cell>
          <cell r="O917">
            <v>106.96</v>
          </cell>
        </row>
        <row r="918">
          <cell r="B918">
            <v>43700</v>
          </cell>
          <cell r="C918">
            <v>102.75</v>
          </cell>
        </row>
        <row r="918">
          <cell r="E918">
            <v>43647</v>
          </cell>
          <cell r="F918">
            <v>137.68</v>
          </cell>
        </row>
        <row r="918">
          <cell r="H918">
            <v>43647</v>
          </cell>
          <cell r="I918">
            <v>77.99</v>
          </cell>
        </row>
        <row r="918">
          <cell r="K918">
            <v>43647</v>
          </cell>
          <cell r="L918">
            <v>136.86</v>
          </cell>
        </row>
        <row r="918">
          <cell r="N918">
            <v>43700</v>
          </cell>
          <cell r="O918">
            <v>107.33</v>
          </cell>
        </row>
        <row r="919">
          <cell r="B919">
            <v>43703</v>
          </cell>
          <cell r="C919">
            <v>102.82</v>
          </cell>
        </row>
        <row r="919">
          <cell r="E919">
            <v>43648</v>
          </cell>
          <cell r="F919">
            <v>139.02</v>
          </cell>
        </row>
        <row r="919">
          <cell r="H919">
            <v>43648</v>
          </cell>
          <cell r="I919">
            <v>77.61</v>
          </cell>
        </row>
        <row r="919">
          <cell r="K919">
            <v>43648</v>
          </cell>
          <cell r="L919">
            <v>136.98</v>
          </cell>
        </row>
        <row r="919">
          <cell r="N919">
            <v>43703</v>
          </cell>
          <cell r="O919">
            <v>107.21</v>
          </cell>
        </row>
        <row r="920">
          <cell r="B920">
            <v>43704</v>
          </cell>
          <cell r="C920">
            <v>102.91</v>
          </cell>
        </row>
        <row r="920">
          <cell r="E920">
            <v>43649</v>
          </cell>
          <cell r="F920">
            <v>139.1</v>
          </cell>
        </row>
        <row r="920">
          <cell r="H920">
            <v>43649</v>
          </cell>
          <cell r="I920">
            <v>77.41</v>
          </cell>
        </row>
        <row r="920">
          <cell r="K920">
            <v>43649</v>
          </cell>
          <cell r="L920">
            <v>137.14</v>
          </cell>
        </row>
        <row r="920">
          <cell r="N920">
            <v>43704</v>
          </cell>
          <cell r="O920">
            <v>107.91</v>
          </cell>
        </row>
        <row r="921">
          <cell r="B921">
            <v>43705</v>
          </cell>
          <cell r="C921">
            <v>102.94</v>
          </cell>
        </row>
        <row r="921">
          <cell r="E921">
            <v>43650</v>
          </cell>
          <cell r="F921">
            <v>139.02</v>
          </cell>
        </row>
        <row r="921">
          <cell r="H921">
            <v>43650</v>
          </cell>
          <cell r="I921">
            <v>77.44</v>
          </cell>
        </row>
        <row r="921">
          <cell r="K921">
            <v>43650</v>
          </cell>
          <cell r="L921">
            <v>137.05</v>
          </cell>
        </row>
        <row r="921">
          <cell r="N921">
            <v>43705</v>
          </cell>
          <cell r="O921">
            <v>107.57</v>
          </cell>
        </row>
        <row r="922">
          <cell r="B922">
            <v>43706</v>
          </cell>
          <cell r="C922">
            <v>102.69</v>
          </cell>
        </row>
        <row r="922">
          <cell r="E922">
            <v>43651</v>
          </cell>
          <cell r="F922">
            <v>138.99</v>
          </cell>
        </row>
        <row r="922">
          <cell r="H922">
            <v>43651</v>
          </cell>
          <cell r="I922">
            <v>77.46</v>
          </cell>
        </row>
        <row r="922">
          <cell r="K922">
            <v>43651</v>
          </cell>
          <cell r="L922">
            <v>137.21</v>
          </cell>
        </row>
        <row r="922">
          <cell r="N922">
            <v>43706</v>
          </cell>
          <cell r="O922">
            <v>107.44</v>
          </cell>
        </row>
        <row r="923">
          <cell r="B923">
            <v>43707</v>
          </cell>
          <cell r="C923">
            <v>102.64</v>
          </cell>
        </row>
        <row r="923">
          <cell r="E923">
            <v>43654</v>
          </cell>
          <cell r="F923">
            <v>139.84</v>
          </cell>
        </row>
        <row r="923">
          <cell r="H923">
            <v>43654</v>
          </cell>
          <cell r="I923">
            <v>77.75</v>
          </cell>
        </row>
        <row r="923">
          <cell r="K923">
            <v>43654</v>
          </cell>
          <cell r="L923">
            <v>137.46</v>
          </cell>
        </row>
        <row r="923">
          <cell r="N923">
            <v>43707</v>
          </cell>
          <cell r="O923">
            <v>107.64</v>
          </cell>
        </row>
        <row r="924">
          <cell r="B924">
            <v>43711</v>
          </cell>
          <cell r="C924">
            <v>102.56</v>
          </cell>
        </row>
        <row r="924">
          <cell r="E924">
            <v>43655</v>
          </cell>
          <cell r="F924">
            <v>140.5</v>
          </cell>
        </row>
        <row r="924">
          <cell r="H924">
            <v>43655</v>
          </cell>
          <cell r="I924">
            <v>77.34</v>
          </cell>
        </row>
        <row r="924">
          <cell r="K924">
            <v>43655</v>
          </cell>
          <cell r="L924">
            <v>137.48</v>
          </cell>
        </row>
        <row r="924">
          <cell r="N924">
            <v>43711</v>
          </cell>
          <cell r="O924">
            <v>108.5</v>
          </cell>
        </row>
        <row r="925">
          <cell r="B925">
            <v>43712</v>
          </cell>
          <cell r="C925">
            <v>101.79</v>
          </cell>
        </row>
        <row r="925">
          <cell r="E925">
            <v>43656</v>
          </cell>
          <cell r="F925">
            <v>140.76</v>
          </cell>
        </row>
        <row r="925">
          <cell r="H925">
            <v>43656</v>
          </cell>
          <cell r="I925">
            <v>76.95</v>
          </cell>
        </row>
        <row r="925">
          <cell r="K925">
            <v>43656</v>
          </cell>
          <cell r="L925">
            <v>137.31</v>
          </cell>
        </row>
        <row r="925">
          <cell r="N925">
            <v>43712</v>
          </cell>
          <cell r="O925">
            <v>108.88</v>
          </cell>
        </row>
        <row r="926">
          <cell r="B926">
            <v>43713</v>
          </cell>
          <cell r="C926">
            <v>101.68</v>
          </cell>
        </row>
        <row r="926">
          <cell r="E926">
            <v>43657</v>
          </cell>
          <cell r="F926">
            <v>140.91</v>
          </cell>
        </row>
        <row r="926">
          <cell r="H926">
            <v>43657</v>
          </cell>
          <cell r="I926">
            <v>76.7</v>
          </cell>
        </row>
        <row r="926">
          <cell r="K926">
            <v>43657</v>
          </cell>
          <cell r="L926">
            <v>137.55</v>
          </cell>
        </row>
        <row r="926">
          <cell r="N926">
            <v>43713</v>
          </cell>
          <cell r="O926">
            <v>108.51</v>
          </cell>
        </row>
        <row r="927">
          <cell r="B927">
            <v>43714</v>
          </cell>
          <cell r="C927">
            <v>101.27</v>
          </cell>
        </row>
        <row r="927">
          <cell r="E927">
            <v>43658</v>
          </cell>
          <cell r="F927">
            <v>140.11</v>
          </cell>
        </row>
        <row r="927">
          <cell r="H927">
            <v>43658</v>
          </cell>
          <cell r="I927">
            <v>77.34</v>
          </cell>
        </row>
        <row r="927">
          <cell r="K927">
            <v>43658</v>
          </cell>
          <cell r="L927">
            <v>138.09</v>
          </cell>
        </row>
        <row r="927">
          <cell r="N927">
            <v>43714</v>
          </cell>
          <cell r="O927">
            <v>108.84</v>
          </cell>
        </row>
        <row r="928">
          <cell r="B928">
            <v>43717</v>
          </cell>
          <cell r="C928">
            <v>101.36</v>
          </cell>
        </row>
        <row r="928">
          <cell r="E928">
            <v>43661</v>
          </cell>
          <cell r="F928">
            <v>140.72</v>
          </cell>
        </row>
        <row r="928">
          <cell r="H928">
            <v>43661</v>
          </cell>
          <cell r="I928">
            <v>77.55</v>
          </cell>
        </row>
        <row r="928">
          <cell r="K928">
            <v>43661</v>
          </cell>
          <cell r="L928">
            <v>137.57</v>
          </cell>
        </row>
        <row r="928">
          <cell r="N928">
            <v>43717</v>
          </cell>
          <cell r="O928">
            <v>107.69</v>
          </cell>
        </row>
        <row r="929">
          <cell r="B929">
            <v>43718</v>
          </cell>
          <cell r="C929">
            <v>101.14</v>
          </cell>
        </row>
        <row r="929">
          <cell r="E929">
            <v>43662</v>
          </cell>
          <cell r="F929">
            <v>140.41</v>
          </cell>
        </row>
        <row r="929">
          <cell r="H929">
            <v>43662</v>
          </cell>
          <cell r="I929">
            <v>77.82</v>
          </cell>
        </row>
        <row r="929">
          <cell r="K929">
            <v>43662</v>
          </cell>
          <cell r="L929">
            <v>137.46</v>
          </cell>
        </row>
        <row r="929">
          <cell r="N929">
            <v>43718</v>
          </cell>
          <cell r="O929">
            <v>106.81</v>
          </cell>
        </row>
        <row r="930">
          <cell r="B930">
            <v>43719</v>
          </cell>
          <cell r="C930">
            <v>100.89</v>
          </cell>
        </row>
        <row r="930">
          <cell r="E930">
            <v>43663</v>
          </cell>
          <cell r="F930">
            <v>141.7</v>
          </cell>
        </row>
        <row r="930">
          <cell r="H930">
            <v>43663</v>
          </cell>
          <cell r="I930">
            <v>77.58</v>
          </cell>
        </row>
        <row r="930">
          <cell r="K930">
            <v>43663</v>
          </cell>
          <cell r="L930">
            <v>137.26</v>
          </cell>
        </row>
        <row r="930">
          <cell r="N930">
            <v>43719</v>
          </cell>
          <cell r="O930">
            <v>105.69</v>
          </cell>
        </row>
        <row r="931">
          <cell r="B931">
            <v>43720</v>
          </cell>
          <cell r="C931">
            <v>101.1</v>
          </cell>
        </row>
        <row r="931">
          <cell r="E931">
            <v>43664</v>
          </cell>
          <cell r="F931">
            <v>141.67</v>
          </cell>
        </row>
        <row r="931">
          <cell r="H931">
            <v>43664</v>
          </cell>
          <cell r="I931">
            <v>77.64</v>
          </cell>
        </row>
        <row r="931">
          <cell r="K931">
            <v>43664</v>
          </cell>
          <cell r="L931">
            <v>137.68</v>
          </cell>
        </row>
        <row r="931">
          <cell r="N931">
            <v>43720</v>
          </cell>
          <cell r="O931">
            <v>106.52</v>
          </cell>
        </row>
        <row r="932">
          <cell r="B932">
            <v>43721</v>
          </cell>
          <cell r="C932">
            <v>101.31</v>
          </cell>
        </row>
        <row r="932">
          <cell r="E932">
            <v>43665</v>
          </cell>
          <cell r="F932">
            <v>140.27</v>
          </cell>
        </row>
        <row r="932">
          <cell r="H932">
            <v>43665</v>
          </cell>
          <cell r="I932">
            <v>78.04</v>
          </cell>
        </row>
        <row r="932">
          <cell r="K932">
            <v>43665</v>
          </cell>
          <cell r="L932">
            <v>137.19</v>
          </cell>
        </row>
        <row r="932">
          <cell r="N932">
            <v>43721</v>
          </cell>
          <cell r="O932">
            <v>106.37</v>
          </cell>
        </row>
        <row r="933">
          <cell r="B933">
            <v>43724</v>
          </cell>
          <cell r="C933">
            <v>101.27</v>
          </cell>
        </row>
        <row r="933">
          <cell r="E933">
            <v>43668</v>
          </cell>
          <cell r="F933">
            <v>140.51</v>
          </cell>
        </row>
        <row r="933">
          <cell r="H933">
            <v>43668</v>
          </cell>
          <cell r="I933">
            <v>78.01</v>
          </cell>
        </row>
        <row r="933">
          <cell r="K933">
            <v>43668</v>
          </cell>
          <cell r="L933">
            <v>136.96</v>
          </cell>
        </row>
        <row r="933">
          <cell r="N933">
            <v>43724</v>
          </cell>
          <cell r="O933">
            <v>105.94</v>
          </cell>
        </row>
        <row r="934">
          <cell r="B934">
            <v>43725</v>
          </cell>
          <cell r="C934">
            <v>101.32</v>
          </cell>
        </row>
        <row r="934">
          <cell r="E934">
            <v>43669</v>
          </cell>
          <cell r="F934">
            <v>139.07</v>
          </cell>
        </row>
        <row r="934">
          <cell r="H934">
            <v>43669</v>
          </cell>
          <cell r="I934">
            <v>78.49</v>
          </cell>
        </row>
        <row r="934">
          <cell r="K934">
            <v>43669</v>
          </cell>
          <cell r="L934">
            <v>137.52</v>
          </cell>
        </row>
        <row r="934">
          <cell r="N934">
            <v>43725</v>
          </cell>
          <cell r="O934">
            <v>106.52</v>
          </cell>
        </row>
        <row r="935">
          <cell r="B935">
            <v>43726</v>
          </cell>
          <cell r="C935">
            <v>101.45</v>
          </cell>
        </row>
        <row r="935">
          <cell r="E935">
            <v>43670</v>
          </cell>
          <cell r="F935">
            <v>137.94</v>
          </cell>
        </row>
        <row r="935">
          <cell r="H935">
            <v>43670</v>
          </cell>
          <cell r="I935">
            <v>78.68</v>
          </cell>
        </row>
        <row r="935">
          <cell r="K935">
            <v>43670</v>
          </cell>
          <cell r="L935">
            <v>137.72</v>
          </cell>
        </row>
        <row r="935">
          <cell r="N935">
            <v>43726</v>
          </cell>
          <cell r="O935">
            <v>106.78</v>
          </cell>
        </row>
        <row r="936">
          <cell r="B936">
            <v>43727</v>
          </cell>
          <cell r="C936">
            <v>101.93</v>
          </cell>
        </row>
        <row r="936">
          <cell r="E936">
            <v>43671</v>
          </cell>
          <cell r="F936">
            <v>138.85</v>
          </cell>
        </row>
        <row r="936">
          <cell r="H936">
            <v>43671</v>
          </cell>
          <cell r="I936">
            <v>78.74</v>
          </cell>
        </row>
        <row r="936">
          <cell r="K936">
            <v>43671</v>
          </cell>
          <cell r="L936">
            <v>137.54</v>
          </cell>
        </row>
        <row r="936">
          <cell r="N936">
            <v>43727</v>
          </cell>
          <cell r="O936">
            <v>107.1</v>
          </cell>
        </row>
        <row r="937">
          <cell r="B937">
            <v>43728</v>
          </cell>
          <cell r="C937">
            <v>102.08</v>
          </cell>
        </row>
        <row r="937">
          <cell r="E937">
            <v>43672</v>
          </cell>
          <cell r="F937">
            <v>138.56</v>
          </cell>
        </row>
        <row r="937">
          <cell r="H937">
            <v>43672</v>
          </cell>
          <cell r="I937">
            <v>78.39</v>
          </cell>
        </row>
        <row r="937">
          <cell r="K937">
            <v>43672</v>
          </cell>
          <cell r="L937">
            <v>137.45</v>
          </cell>
        </row>
        <row r="937">
          <cell r="N937">
            <v>43728</v>
          </cell>
          <cell r="O937">
            <v>106.71</v>
          </cell>
        </row>
        <row r="938">
          <cell r="B938">
            <v>43731</v>
          </cell>
          <cell r="C938">
            <v>102.09</v>
          </cell>
        </row>
        <row r="938">
          <cell r="E938">
            <v>43675</v>
          </cell>
          <cell r="F938">
            <v>137.66</v>
          </cell>
        </row>
        <row r="938">
          <cell r="H938">
            <v>43675</v>
          </cell>
          <cell r="I938">
            <v>78.65</v>
          </cell>
        </row>
        <row r="938">
          <cell r="K938">
            <v>43675</v>
          </cell>
          <cell r="L938">
            <v>137.51</v>
          </cell>
        </row>
        <row r="938">
          <cell r="N938">
            <v>43731</v>
          </cell>
          <cell r="O938">
            <v>106.72</v>
          </cell>
        </row>
        <row r="939">
          <cell r="B939">
            <v>43732</v>
          </cell>
          <cell r="C939">
            <v>101.99</v>
          </cell>
        </row>
        <row r="939">
          <cell r="E939">
            <v>43676</v>
          </cell>
          <cell r="F939">
            <v>136.44</v>
          </cell>
        </row>
        <row r="939">
          <cell r="H939">
            <v>43676</v>
          </cell>
          <cell r="I939">
            <v>78.31</v>
          </cell>
        </row>
        <row r="939">
          <cell r="K939">
            <v>43676</v>
          </cell>
          <cell r="L939">
            <v>136.92</v>
          </cell>
        </row>
        <row r="939">
          <cell r="N939">
            <v>43732</v>
          </cell>
          <cell r="O939">
            <v>107.19</v>
          </cell>
        </row>
        <row r="940">
          <cell r="B940">
            <v>43733</v>
          </cell>
          <cell r="C940">
            <v>102.07</v>
          </cell>
        </row>
        <row r="940">
          <cell r="E940">
            <v>43677</v>
          </cell>
          <cell r="F940">
            <v>135.55</v>
          </cell>
        </row>
        <row r="940">
          <cell r="H940">
            <v>43677</v>
          </cell>
          <cell r="I940">
            <v>77.73</v>
          </cell>
        </row>
        <row r="940">
          <cell r="K940">
            <v>43677</v>
          </cell>
          <cell r="L940">
            <v>136.75</v>
          </cell>
        </row>
        <row r="940">
          <cell r="N940">
            <v>43733</v>
          </cell>
          <cell r="O940">
            <v>106.32</v>
          </cell>
        </row>
        <row r="941">
          <cell r="B941">
            <v>43734</v>
          </cell>
          <cell r="C941">
            <v>102.37</v>
          </cell>
        </row>
        <row r="941">
          <cell r="E941">
            <v>43678</v>
          </cell>
          <cell r="F941">
            <v>138.21</v>
          </cell>
        </row>
        <row r="941">
          <cell r="H941">
            <v>43678</v>
          </cell>
          <cell r="I941">
            <v>77.22</v>
          </cell>
        </row>
        <row r="941">
          <cell r="K941">
            <v>43678</v>
          </cell>
          <cell r="L941">
            <v>137.48</v>
          </cell>
        </row>
        <row r="941">
          <cell r="N941">
            <v>43734</v>
          </cell>
          <cell r="O941">
            <v>107.11</v>
          </cell>
        </row>
        <row r="942">
          <cell r="B942">
            <v>43735</v>
          </cell>
          <cell r="C942">
            <v>102.45</v>
          </cell>
        </row>
        <row r="942">
          <cell r="E942">
            <v>43679</v>
          </cell>
          <cell r="F942">
            <v>138.27</v>
          </cell>
        </row>
        <row r="942">
          <cell r="H942">
            <v>43679</v>
          </cell>
          <cell r="I942">
            <v>76.51</v>
          </cell>
        </row>
        <row r="942">
          <cell r="K942">
            <v>43679</v>
          </cell>
          <cell r="L942">
            <v>136.26</v>
          </cell>
        </row>
        <row r="942">
          <cell r="N942">
            <v>43735</v>
          </cell>
          <cell r="O942">
            <v>107.07</v>
          </cell>
        </row>
        <row r="943">
          <cell r="B943">
            <v>43738</v>
          </cell>
          <cell r="C943">
            <v>102.49</v>
          </cell>
        </row>
        <row r="943">
          <cell r="E943">
            <v>43682</v>
          </cell>
          <cell r="F943">
            <v>138.51</v>
          </cell>
        </row>
        <row r="943">
          <cell r="H943">
            <v>43682</v>
          </cell>
          <cell r="I943">
            <v>76.89</v>
          </cell>
        </row>
        <row r="943">
          <cell r="K943">
            <v>43682</v>
          </cell>
          <cell r="L943">
            <v>135.34</v>
          </cell>
        </row>
        <row r="943">
          <cell r="N943">
            <v>43738</v>
          </cell>
          <cell r="O943">
            <v>107.03</v>
          </cell>
        </row>
        <row r="944">
          <cell r="B944">
            <v>43739</v>
          </cell>
          <cell r="C944">
            <v>102.16</v>
          </cell>
        </row>
        <row r="944">
          <cell r="E944">
            <v>43683</v>
          </cell>
          <cell r="F944">
            <v>140.77</v>
          </cell>
        </row>
        <row r="944">
          <cell r="H944">
            <v>43683</v>
          </cell>
          <cell r="I944">
            <v>76.71</v>
          </cell>
        </row>
        <row r="944">
          <cell r="K944">
            <v>43683</v>
          </cell>
          <cell r="L944">
            <v>135.64</v>
          </cell>
        </row>
        <row r="944">
          <cell r="N944">
            <v>43739</v>
          </cell>
          <cell r="O944">
            <v>107.28</v>
          </cell>
        </row>
        <row r="945">
          <cell r="B945">
            <v>43740</v>
          </cell>
          <cell r="C945">
            <v>101.95</v>
          </cell>
        </row>
        <row r="945">
          <cell r="E945">
            <v>43684</v>
          </cell>
          <cell r="F945">
            <v>141.64</v>
          </cell>
        </row>
        <row r="945">
          <cell r="H945">
            <v>43684</v>
          </cell>
          <cell r="I945">
            <v>76.72</v>
          </cell>
        </row>
        <row r="945">
          <cell r="K945">
            <v>43684</v>
          </cell>
          <cell r="L945">
            <v>135.48</v>
          </cell>
        </row>
        <row r="945">
          <cell r="N945">
            <v>43740</v>
          </cell>
          <cell r="O945">
            <v>106.5</v>
          </cell>
        </row>
        <row r="946">
          <cell r="B946">
            <v>43741</v>
          </cell>
          <cell r="C946">
            <v>101.92</v>
          </cell>
        </row>
        <row r="946">
          <cell r="E946">
            <v>43685</v>
          </cell>
          <cell r="F946">
            <v>143.45</v>
          </cell>
        </row>
        <row r="946">
          <cell r="H946">
            <v>43685</v>
          </cell>
          <cell r="I946">
            <v>76.42</v>
          </cell>
        </row>
        <row r="946">
          <cell r="K946">
            <v>43685</v>
          </cell>
          <cell r="L946">
            <v>135.97</v>
          </cell>
        </row>
        <row r="946">
          <cell r="N946">
            <v>43741</v>
          </cell>
          <cell r="O946">
            <v>106.81</v>
          </cell>
        </row>
        <row r="947">
          <cell r="B947">
            <v>43742</v>
          </cell>
          <cell r="C947">
            <v>102.04</v>
          </cell>
        </row>
        <row r="947">
          <cell r="E947">
            <v>43686</v>
          </cell>
          <cell r="F947">
            <v>145.92</v>
          </cell>
        </row>
        <row r="947">
          <cell r="H947">
            <v>43686</v>
          </cell>
          <cell r="I947">
            <v>75.69</v>
          </cell>
        </row>
        <row r="947">
          <cell r="K947">
            <v>43686</v>
          </cell>
          <cell r="L947">
            <v>135.52</v>
          </cell>
        </row>
        <row r="947">
          <cell r="N947">
            <v>43742</v>
          </cell>
          <cell r="O947">
            <v>107.19</v>
          </cell>
        </row>
        <row r="948">
          <cell r="B948">
            <v>43745</v>
          </cell>
          <cell r="C948">
            <v>101.71</v>
          </cell>
        </row>
        <row r="948">
          <cell r="E948">
            <v>43689</v>
          </cell>
          <cell r="F948">
            <v>146.4</v>
          </cell>
        </row>
        <row r="948">
          <cell r="H948">
            <v>43689</v>
          </cell>
          <cell r="I948">
            <v>75.6</v>
          </cell>
        </row>
        <row r="948">
          <cell r="K948">
            <v>43689</v>
          </cell>
          <cell r="L948">
            <v>135.1</v>
          </cell>
        </row>
        <row r="948">
          <cell r="N948">
            <v>43745</v>
          </cell>
          <cell r="O948">
            <v>106.99</v>
          </cell>
        </row>
        <row r="949">
          <cell r="B949">
            <v>43746</v>
          </cell>
          <cell r="C949">
            <v>101.68</v>
          </cell>
        </row>
        <row r="949">
          <cell r="E949">
            <v>43690</v>
          </cell>
          <cell r="F949">
            <v>146.77</v>
          </cell>
        </row>
        <row r="949">
          <cell r="H949">
            <v>43690</v>
          </cell>
          <cell r="I949">
            <v>75.78</v>
          </cell>
        </row>
        <row r="949">
          <cell r="K949">
            <v>43690</v>
          </cell>
          <cell r="L949">
            <v>135.01</v>
          </cell>
        </row>
        <row r="949">
          <cell r="N949">
            <v>43746</v>
          </cell>
          <cell r="O949">
            <v>107.06</v>
          </cell>
        </row>
        <row r="950">
          <cell r="B950">
            <v>43747</v>
          </cell>
          <cell r="C950">
            <v>101.81</v>
          </cell>
        </row>
        <row r="950">
          <cell r="E950">
            <v>43691</v>
          </cell>
          <cell r="F950">
            <v>147.42</v>
          </cell>
        </row>
        <row r="950">
          <cell r="H950">
            <v>43691</v>
          </cell>
          <cell r="I950">
            <v>75.31</v>
          </cell>
        </row>
        <row r="950">
          <cell r="K950">
            <v>43691</v>
          </cell>
          <cell r="L950">
            <v>134.88</v>
          </cell>
        </row>
        <row r="950">
          <cell r="N950">
            <v>43747</v>
          </cell>
          <cell r="O950">
            <v>107.63</v>
          </cell>
        </row>
        <row r="951">
          <cell r="B951">
            <v>43748</v>
          </cell>
          <cell r="C951">
            <v>101.89</v>
          </cell>
        </row>
        <row r="951">
          <cell r="E951">
            <v>43692</v>
          </cell>
          <cell r="F951">
            <v>149.41</v>
          </cell>
        </row>
        <row r="951">
          <cell r="H951">
            <v>43692</v>
          </cell>
          <cell r="I951">
            <v>75.21</v>
          </cell>
        </row>
        <row r="951">
          <cell r="K951">
            <v>43692</v>
          </cell>
          <cell r="L951">
            <v>135.36</v>
          </cell>
        </row>
        <row r="951">
          <cell r="N951">
            <v>43748</v>
          </cell>
          <cell r="O951">
            <v>107.91</v>
          </cell>
        </row>
        <row r="952">
          <cell r="B952">
            <v>43749</v>
          </cell>
          <cell r="C952">
            <v>101.54</v>
          </cell>
        </row>
        <row r="952">
          <cell r="E952">
            <v>43693</v>
          </cell>
          <cell r="F952">
            <v>148.51</v>
          </cell>
        </row>
        <row r="952">
          <cell r="H952">
            <v>43693</v>
          </cell>
          <cell r="I952">
            <v>75.25</v>
          </cell>
        </row>
        <row r="952">
          <cell r="K952">
            <v>43693</v>
          </cell>
          <cell r="L952">
            <v>135.36</v>
          </cell>
        </row>
        <row r="952">
          <cell r="N952">
            <v>43749</v>
          </cell>
          <cell r="O952">
            <v>107.59</v>
          </cell>
        </row>
        <row r="953">
          <cell r="B953">
            <v>43752</v>
          </cell>
          <cell r="C953">
            <v>101.61</v>
          </cell>
        </row>
        <row r="953">
          <cell r="E953">
            <v>43696</v>
          </cell>
          <cell r="F953">
            <v>147.15</v>
          </cell>
        </row>
        <row r="953">
          <cell r="H953">
            <v>43696</v>
          </cell>
          <cell r="I953">
            <v>75.55</v>
          </cell>
        </row>
        <row r="953">
          <cell r="K953">
            <v>43696</v>
          </cell>
          <cell r="L953">
            <v>135.19</v>
          </cell>
        </row>
        <row r="953">
          <cell r="N953">
            <v>43752</v>
          </cell>
          <cell r="O953">
            <v>107.84</v>
          </cell>
        </row>
        <row r="954">
          <cell r="B954">
            <v>43753</v>
          </cell>
          <cell r="C954">
            <v>101.38</v>
          </cell>
        </row>
        <row r="954">
          <cell r="E954">
            <v>43697</v>
          </cell>
          <cell r="F954">
            <v>148.5</v>
          </cell>
        </row>
        <row r="954">
          <cell r="H954">
            <v>43697</v>
          </cell>
          <cell r="I954">
            <v>75.36</v>
          </cell>
        </row>
        <row r="954">
          <cell r="K954">
            <v>43697</v>
          </cell>
          <cell r="L954">
            <v>134.86</v>
          </cell>
        </row>
        <row r="954">
          <cell r="N954">
            <v>43753</v>
          </cell>
          <cell r="O954">
            <v>107.79</v>
          </cell>
        </row>
        <row r="955">
          <cell r="B955">
            <v>43754</v>
          </cell>
          <cell r="C955">
            <v>100.99</v>
          </cell>
        </row>
        <row r="955">
          <cell r="E955">
            <v>43698</v>
          </cell>
          <cell r="F955">
            <v>148.71</v>
          </cell>
        </row>
        <row r="955">
          <cell r="H955">
            <v>43698</v>
          </cell>
          <cell r="I955">
            <v>75.43</v>
          </cell>
        </row>
        <row r="955">
          <cell r="K955">
            <v>43698</v>
          </cell>
          <cell r="L955">
            <v>135.13</v>
          </cell>
        </row>
        <row r="955">
          <cell r="N955">
            <v>43754</v>
          </cell>
          <cell r="O955">
            <v>107.26</v>
          </cell>
        </row>
        <row r="956">
          <cell r="B956">
            <v>43755</v>
          </cell>
          <cell r="C956">
            <v>100.84</v>
          </cell>
        </row>
        <row r="956">
          <cell r="E956">
            <v>43699</v>
          </cell>
          <cell r="F956">
            <v>148.2</v>
          </cell>
        </row>
        <row r="956">
          <cell r="H956">
            <v>43699</v>
          </cell>
          <cell r="I956">
            <v>75.38</v>
          </cell>
        </row>
        <row r="956">
          <cell r="K956">
            <v>43699</v>
          </cell>
          <cell r="L956">
            <v>135.63</v>
          </cell>
        </row>
        <row r="956">
          <cell r="N956">
            <v>43755</v>
          </cell>
          <cell r="O956">
            <v>106.34</v>
          </cell>
        </row>
        <row r="957">
          <cell r="B957">
            <v>43756</v>
          </cell>
          <cell r="C957">
            <v>100.74</v>
          </cell>
        </row>
        <row r="957">
          <cell r="E957">
            <v>43700</v>
          </cell>
          <cell r="F957">
            <v>148.96</v>
          </cell>
        </row>
        <row r="957">
          <cell r="H957">
            <v>43700</v>
          </cell>
          <cell r="I957">
            <v>75.35</v>
          </cell>
        </row>
        <row r="957">
          <cell r="K957">
            <v>43700</v>
          </cell>
          <cell r="L957">
            <v>135.27</v>
          </cell>
        </row>
        <row r="957">
          <cell r="N957">
            <v>43756</v>
          </cell>
          <cell r="O957">
            <v>106.62</v>
          </cell>
        </row>
        <row r="958">
          <cell r="B958">
            <v>43759</v>
          </cell>
          <cell r="C958">
            <v>100.8</v>
          </cell>
        </row>
        <row r="958">
          <cell r="E958">
            <v>43703</v>
          </cell>
          <cell r="F958">
            <v>149.85</v>
          </cell>
        </row>
        <row r="958">
          <cell r="H958">
            <v>43703</v>
          </cell>
          <cell r="I958">
            <v>75.17</v>
          </cell>
        </row>
        <row r="958">
          <cell r="K958">
            <v>43703</v>
          </cell>
          <cell r="L958">
            <v>135.72</v>
          </cell>
        </row>
        <row r="958">
          <cell r="N958">
            <v>43759</v>
          </cell>
          <cell r="O958">
            <v>106.01</v>
          </cell>
        </row>
        <row r="959">
          <cell r="B959">
            <v>43760</v>
          </cell>
          <cell r="C959">
            <v>100.69</v>
          </cell>
        </row>
        <row r="959">
          <cell r="E959">
            <v>43704</v>
          </cell>
          <cell r="F959">
            <v>151.64</v>
          </cell>
        </row>
        <row r="959">
          <cell r="H959">
            <v>43704</v>
          </cell>
          <cell r="I959">
            <v>74.93</v>
          </cell>
        </row>
        <row r="959">
          <cell r="K959">
            <v>43704</v>
          </cell>
          <cell r="L959">
            <v>135.83</v>
          </cell>
        </row>
        <row r="959">
          <cell r="N959">
            <v>43760</v>
          </cell>
          <cell r="O959">
            <v>105.7</v>
          </cell>
        </row>
        <row r="960">
          <cell r="B960">
            <v>43761</v>
          </cell>
          <cell r="C960">
            <v>100.79</v>
          </cell>
        </row>
        <row r="960">
          <cell r="E960">
            <v>43705</v>
          </cell>
          <cell r="F960">
            <v>150.42</v>
          </cell>
        </row>
        <row r="960">
          <cell r="H960">
            <v>43705</v>
          </cell>
          <cell r="I960">
            <v>75.18</v>
          </cell>
        </row>
        <row r="960">
          <cell r="K960">
            <v>43705</v>
          </cell>
          <cell r="L960">
            <v>135.82</v>
          </cell>
        </row>
        <row r="960">
          <cell r="N960">
            <v>43761</v>
          </cell>
          <cell r="O960">
            <v>105.69</v>
          </cell>
        </row>
        <row r="961">
          <cell r="B961">
            <v>43762</v>
          </cell>
          <cell r="C961">
            <v>101.07</v>
          </cell>
        </row>
        <row r="961">
          <cell r="E961">
            <v>43706</v>
          </cell>
          <cell r="F961">
            <v>149.66</v>
          </cell>
        </row>
        <row r="961">
          <cell r="H961">
            <v>43706</v>
          </cell>
          <cell r="I961">
            <v>75.19</v>
          </cell>
        </row>
        <row r="961">
          <cell r="K961">
            <v>43706</v>
          </cell>
          <cell r="L961">
            <v>135.97</v>
          </cell>
        </row>
        <row r="961">
          <cell r="N961">
            <v>43762</v>
          </cell>
          <cell r="O961">
            <v>106.17</v>
          </cell>
        </row>
        <row r="962">
          <cell r="B962">
            <v>43763</v>
          </cell>
          <cell r="C962">
            <v>101.29</v>
          </cell>
        </row>
        <row r="962">
          <cell r="E962">
            <v>43707</v>
          </cell>
          <cell r="F962">
            <v>148.3</v>
          </cell>
        </row>
        <row r="962">
          <cell r="H962">
            <v>43707</v>
          </cell>
          <cell r="I962">
            <v>75.02</v>
          </cell>
        </row>
        <row r="962">
          <cell r="K962">
            <v>43707</v>
          </cell>
          <cell r="L962">
            <v>135.69</v>
          </cell>
        </row>
        <row r="962">
          <cell r="N962">
            <v>43763</v>
          </cell>
          <cell r="O962">
            <v>105.72</v>
          </cell>
        </row>
        <row r="963">
          <cell r="B963">
            <v>43766</v>
          </cell>
          <cell r="C963">
            <v>101.25</v>
          </cell>
        </row>
        <row r="963">
          <cell r="E963">
            <v>43710</v>
          </cell>
          <cell r="F963">
            <v>148.3</v>
          </cell>
        </row>
        <row r="963">
          <cell r="H963">
            <v>43710</v>
          </cell>
          <cell r="I963">
            <v>75</v>
          </cell>
        </row>
        <row r="963">
          <cell r="K963">
            <v>43710</v>
          </cell>
          <cell r="L963">
            <v>135.74</v>
          </cell>
        </row>
        <row r="963">
          <cell r="N963">
            <v>43766</v>
          </cell>
          <cell r="O963">
            <v>105.22</v>
          </cell>
        </row>
        <row r="964">
          <cell r="B964">
            <v>43767</v>
          </cell>
          <cell r="C964">
            <v>100.76</v>
          </cell>
        </row>
        <row r="964">
          <cell r="E964">
            <v>43711</v>
          </cell>
          <cell r="F964">
            <v>148.96</v>
          </cell>
        </row>
        <row r="964">
          <cell r="H964">
            <v>43711</v>
          </cell>
          <cell r="I964">
            <v>74.55</v>
          </cell>
        </row>
        <row r="964">
          <cell r="K964">
            <v>43711</v>
          </cell>
          <cell r="L964">
            <v>135.39</v>
          </cell>
        </row>
        <row r="964">
          <cell r="N964">
            <v>43767</v>
          </cell>
          <cell r="O964">
            <v>104.83</v>
          </cell>
        </row>
        <row r="965">
          <cell r="B965">
            <v>43768</v>
          </cell>
          <cell r="C965">
            <v>100.77</v>
          </cell>
        </row>
        <row r="965">
          <cell r="E965">
            <v>43712</v>
          </cell>
          <cell r="F965">
            <v>148.24</v>
          </cell>
        </row>
        <row r="965">
          <cell r="H965">
            <v>43712</v>
          </cell>
          <cell r="I965">
            <v>74.84</v>
          </cell>
        </row>
        <row r="965">
          <cell r="K965">
            <v>43712</v>
          </cell>
          <cell r="L965">
            <v>135.4</v>
          </cell>
        </row>
        <row r="965">
          <cell r="N965">
            <v>43768</v>
          </cell>
          <cell r="O965">
            <v>105.56</v>
          </cell>
        </row>
        <row r="966">
          <cell r="B966">
            <v>43769</v>
          </cell>
          <cell r="C966">
            <v>100.67</v>
          </cell>
        </row>
        <row r="966">
          <cell r="E966">
            <v>43713</v>
          </cell>
          <cell r="F966">
            <v>145.86</v>
          </cell>
        </row>
        <row r="966">
          <cell r="H966">
            <v>43713</v>
          </cell>
          <cell r="I966">
            <v>75.46</v>
          </cell>
        </row>
        <row r="966">
          <cell r="K966">
            <v>43713</v>
          </cell>
          <cell r="L966">
            <v>135.48</v>
          </cell>
        </row>
        <row r="966">
          <cell r="N966">
            <v>43769</v>
          </cell>
          <cell r="O966">
            <v>105.61</v>
          </cell>
        </row>
        <row r="967">
          <cell r="B967">
            <v>43770</v>
          </cell>
          <cell r="C967">
            <v>100.98</v>
          </cell>
        </row>
        <row r="967">
          <cell r="E967">
            <v>43714</v>
          </cell>
          <cell r="F967">
            <v>145.47</v>
          </cell>
        </row>
        <row r="967">
          <cell r="H967">
            <v>43714</v>
          </cell>
          <cell r="I967">
            <v>75.53</v>
          </cell>
        </row>
        <row r="967">
          <cell r="K967">
            <v>43714</v>
          </cell>
          <cell r="L967">
            <v>135.52</v>
          </cell>
        </row>
        <row r="967">
          <cell r="N967">
            <v>43770</v>
          </cell>
          <cell r="O967">
            <v>105.41</v>
          </cell>
        </row>
        <row r="968">
          <cell r="B968">
            <v>43773</v>
          </cell>
          <cell r="C968">
            <v>101.1</v>
          </cell>
        </row>
        <row r="968">
          <cell r="E968">
            <v>43717</v>
          </cell>
          <cell r="F968">
            <v>138.33</v>
          </cell>
        </row>
        <row r="968">
          <cell r="H968">
            <v>43717</v>
          </cell>
          <cell r="I968">
            <v>76.63</v>
          </cell>
        </row>
        <row r="968">
          <cell r="K968">
            <v>43717</v>
          </cell>
          <cell r="L968">
            <v>135.53</v>
          </cell>
        </row>
        <row r="968">
          <cell r="N968">
            <v>43773</v>
          </cell>
          <cell r="O968">
            <v>105.42</v>
          </cell>
        </row>
        <row r="969">
          <cell r="B969">
            <v>43774</v>
          </cell>
          <cell r="C969">
            <v>101.25</v>
          </cell>
        </row>
        <row r="969">
          <cell r="E969">
            <v>43718</v>
          </cell>
          <cell r="F969">
            <v>132.76</v>
          </cell>
        </row>
        <row r="969">
          <cell r="H969">
            <v>43718</v>
          </cell>
          <cell r="I969">
            <v>77.39</v>
          </cell>
        </row>
        <row r="969">
          <cell r="K969">
            <v>43718</v>
          </cell>
          <cell r="L969">
            <v>134.82</v>
          </cell>
        </row>
        <row r="969">
          <cell r="N969">
            <v>43774</v>
          </cell>
          <cell r="O969">
            <v>104.97</v>
          </cell>
        </row>
        <row r="970">
          <cell r="B970">
            <v>43775</v>
          </cell>
          <cell r="C970">
            <v>101.24</v>
          </cell>
        </row>
        <row r="970">
          <cell r="E970">
            <v>43719</v>
          </cell>
          <cell r="F970">
            <v>130.88</v>
          </cell>
        </row>
        <row r="970">
          <cell r="H970">
            <v>43719</v>
          </cell>
          <cell r="I970">
            <v>77.11</v>
          </cell>
        </row>
        <row r="970">
          <cell r="K970">
            <v>43719</v>
          </cell>
          <cell r="L970">
            <v>134.65</v>
          </cell>
        </row>
        <row r="970">
          <cell r="N970">
            <v>43775</v>
          </cell>
          <cell r="O970">
            <v>105.5</v>
          </cell>
        </row>
        <row r="971">
          <cell r="B971">
            <v>43776</v>
          </cell>
          <cell r="C971">
            <v>100.66</v>
          </cell>
        </row>
        <row r="971">
          <cell r="E971">
            <v>43720</v>
          </cell>
          <cell r="F971">
            <v>132.58</v>
          </cell>
        </row>
        <row r="971">
          <cell r="H971">
            <v>43720</v>
          </cell>
          <cell r="I971">
            <v>76.88</v>
          </cell>
        </row>
        <row r="971">
          <cell r="K971">
            <v>43720</v>
          </cell>
          <cell r="L971">
            <v>134.41</v>
          </cell>
        </row>
        <row r="971">
          <cell r="N971">
            <v>43776</v>
          </cell>
          <cell r="O971">
            <v>105.95</v>
          </cell>
        </row>
        <row r="972">
          <cell r="B972">
            <v>43777</v>
          </cell>
          <cell r="C972">
            <v>101.68</v>
          </cell>
        </row>
        <row r="972">
          <cell r="E972">
            <v>43721</v>
          </cell>
          <cell r="F972">
            <v>131.34</v>
          </cell>
        </row>
        <row r="972">
          <cell r="H972">
            <v>43721</v>
          </cell>
          <cell r="I972">
            <v>76.92</v>
          </cell>
        </row>
        <row r="972">
          <cell r="K972">
            <v>43721</v>
          </cell>
          <cell r="L972">
            <v>133.66</v>
          </cell>
        </row>
        <row r="972">
          <cell r="N972">
            <v>43777</v>
          </cell>
          <cell r="O972">
            <v>106.3</v>
          </cell>
        </row>
        <row r="973">
          <cell r="B973">
            <v>43780</v>
          </cell>
          <cell r="C973">
            <v>101.98</v>
          </cell>
        </row>
        <row r="973">
          <cell r="E973">
            <v>43724</v>
          </cell>
          <cell r="F973">
            <v>130.23</v>
          </cell>
        </row>
        <row r="973">
          <cell r="H973">
            <v>43724</v>
          </cell>
          <cell r="I973">
            <v>76.57</v>
          </cell>
        </row>
        <row r="973">
          <cell r="K973">
            <v>43724</v>
          </cell>
          <cell r="L973">
            <v>133.44</v>
          </cell>
        </row>
        <row r="973">
          <cell r="N973">
            <v>43780</v>
          </cell>
          <cell r="O973">
            <v>106.22</v>
          </cell>
        </row>
        <row r="974">
          <cell r="B974">
            <v>43781</v>
          </cell>
          <cell r="C974">
            <v>102.36</v>
          </cell>
        </row>
        <row r="974">
          <cell r="E974">
            <v>43725</v>
          </cell>
          <cell r="F974">
            <v>134</v>
          </cell>
        </row>
        <row r="974">
          <cell r="H974">
            <v>43725</v>
          </cell>
          <cell r="I974">
            <v>75.85</v>
          </cell>
        </row>
        <row r="974">
          <cell r="K974">
            <v>43725</v>
          </cell>
          <cell r="L974">
            <v>133.23</v>
          </cell>
        </row>
        <row r="974">
          <cell r="N974">
            <v>43781</v>
          </cell>
          <cell r="O974">
            <v>106.14</v>
          </cell>
        </row>
        <row r="975">
          <cell r="B975">
            <v>43782</v>
          </cell>
          <cell r="C975">
            <v>102.52</v>
          </cell>
        </row>
        <row r="975">
          <cell r="E975">
            <v>43726</v>
          </cell>
          <cell r="F975">
            <v>134.25</v>
          </cell>
        </row>
        <row r="975">
          <cell r="H975">
            <v>43726</v>
          </cell>
          <cell r="I975">
            <v>75.46</v>
          </cell>
        </row>
        <row r="975">
          <cell r="K975">
            <v>43726</v>
          </cell>
          <cell r="L975">
            <v>133.68</v>
          </cell>
        </row>
        <row r="975">
          <cell r="N975">
            <v>43782</v>
          </cell>
          <cell r="O975">
            <v>106.29</v>
          </cell>
        </row>
        <row r="976">
          <cell r="B976">
            <v>43783</v>
          </cell>
          <cell r="C976">
            <v>102.46</v>
          </cell>
        </row>
        <row r="976">
          <cell r="E976">
            <v>43727</v>
          </cell>
          <cell r="F976">
            <v>134.7</v>
          </cell>
        </row>
        <row r="976">
          <cell r="H976">
            <v>43727</v>
          </cell>
          <cell r="I976">
            <v>75.48</v>
          </cell>
        </row>
        <row r="976">
          <cell r="K976">
            <v>43727</v>
          </cell>
          <cell r="L976">
            <v>134.14</v>
          </cell>
        </row>
        <row r="976">
          <cell r="N976">
            <v>43783</v>
          </cell>
          <cell r="O976">
            <v>106.52</v>
          </cell>
        </row>
        <row r="977">
          <cell r="B977">
            <v>43784</v>
          </cell>
          <cell r="C977">
            <v>102.72</v>
          </cell>
        </row>
        <row r="977">
          <cell r="E977">
            <v>43728</v>
          </cell>
          <cell r="F977">
            <v>134.16</v>
          </cell>
        </row>
        <row r="977">
          <cell r="H977">
            <v>43728</v>
          </cell>
          <cell r="I977">
            <v>75.79</v>
          </cell>
        </row>
        <row r="977">
          <cell r="K977">
            <v>43728</v>
          </cell>
          <cell r="L977">
            <v>133.76</v>
          </cell>
        </row>
        <row r="977">
          <cell r="N977">
            <v>43784</v>
          </cell>
          <cell r="O977">
            <v>106.89</v>
          </cell>
        </row>
        <row r="978">
          <cell r="B978">
            <v>43787</v>
          </cell>
          <cell r="C978">
            <v>102.75</v>
          </cell>
        </row>
        <row r="978">
          <cell r="E978">
            <v>43731</v>
          </cell>
          <cell r="F978">
            <v>134.6</v>
          </cell>
        </row>
        <row r="978">
          <cell r="H978">
            <v>43731</v>
          </cell>
          <cell r="I978">
            <v>75.72</v>
          </cell>
        </row>
        <row r="978">
          <cell r="K978">
            <v>43731</v>
          </cell>
          <cell r="L978">
            <v>133.91</v>
          </cell>
        </row>
        <row r="978">
          <cell r="N978">
            <v>43787</v>
          </cell>
          <cell r="O978">
            <v>107.03</v>
          </cell>
        </row>
        <row r="979">
          <cell r="B979">
            <v>43788</v>
          </cell>
          <cell r="C979">
            <v>103.07</v>
          </cell>
        </row>
        <row r="979">
          <cell r="E979">
            <v>43732</v>
          </cell>
          <cell r="F979">
            <v>135.57</v>
          </cell>
        </row>
        <row r="979">
          <cell r="H979">
            <v>43732</v>
          </cell>
          <cell r="I979">
            <v>76.27</v>
          </cell>
        </row>
        <row r="979">
          <cell r="K979">
            <v>43732</v>
          </cell>
          <cell r="L979">
            <v>134.67</v>
          </cell>
        </row>
        <row r="979">
          <cell r="N979">
            <v>43788</v>
          </cell>
          <cell r="O979">
            <v>106.82</v>
          </cell>
        </row>
        <row r="980">
          <cell r="B980">
            <v>43789</v>
          </cell>
          <cell r="C980">
            <v>103.19</v>
          </cell>
        </row>
        <row r="980">
          <cell r="E980">
            <v>43733</v>
          </cell>
          <cell r="F980">
            <v>134.94</v>
          </cell>
        </row>
        <row r="980">
          <cell r="H980">
            <v>43733</v>
          </cell>
          <cell r="I980">
            <v>76.42</v>
          </cell>
        </row>
        <row r="980">
          <cell r="K980">
            <v>43733</v>
          </cell>
          <cell r="L980">
            <v>135.14</v>
          </cell>
        </row>
        <row r="980">
          <cell r="N980">
            <v>43789</v>
          </cell>
          <cell r="O980">
            <v>106.58</v>
          </cell>
        </row>
        <row r="981">
          <cell r="B981">
            <v>43790</v>
          </cell>
          <cell r="C981">
            <v>103.57</v>
          </cell>
        </row>
        <row r="981">
          <cell r="E981">
            <v>43734</v>
          </cell>
          <cell r="F981">
            <v>135.91</v>
          </cell>
        </row>
        <row r="981">
          <cell r="H981">
            <v>43734</v>
          </cell>
          <cell r="I981">
            <v>76.62</v>
          </cell>
        </row>
        <row r="981">
          <cell r="K981">
            <v>43734</v>
          </cell>
          <cell r="L981">
            <v>135.52</v>
          </cell>
        </row>
        <row r="981">
          <cell r="N981">
            <v>43790</v>
          </cell>
          <cell r="O981">
            <v>106.79</v>
          </cell>
        </row>
        <row r="982">
          <cell r="B982">
            <v>43791</v>
          </cell>
          <cell r="C982">
            <v>103.28</v>
          </cell>
        </row>
        <row r="982">
          <cell r="E982">
            <v>43735</v>
          </cell>
          <cell r="F982">
            <v>133.6</v>
          </cell>
        </row>
        <row r="982">
          <cell r="H982">
            <v>43735</v>
          </cell>
          <cell r="I982">
            <v>77.01</v>
          </cell>
        </row>
        <row r="982">
          <cell r="K982">
            <v>43735</v>
          </cell>
          <cell r="L982">
            <v>135.99</v>
          </cell>
        </row>
        <row r="982">
          <cell r="N982">
            <v>43791</v>
          </cell>
          <cell r="O982">
            <v>106.72</v>
          </cell>
        </row>
        <row r="983">
          <cell r="B983">
            <v>43794</v>
          </cell>
          <cell r="C983">
            <v>103.52</v>
          </cell>
        </row>
        <row r="983">
          <cell r="E983">
            <v>43738</v>
          </cell>
          <cell r="F983">
            <v>133.99</v>
          </cell>
        </row>
        <row r="983">
          <cell r="H983">
            <v>43738</v>
          </cell>
          <cell r="I983">
            <v>76.85</v>
          </cell>
        </row>
        <row r="983">
          <cell r="K983">
            <v>43738</v>
          </cell>
          <cell r="L983">
            <v>136.3</v>
          </cell>
        </row>
        <row r="983">
          <cell r="N983">
            <v>43794</v>
          </cell>
          <cell r="O983">
            <v>105.55</v>
          </cell>
        </row>
        <row r="984">
          <cell r="B984">
            <v>43795</v>
          </cell>
          <cell r="C984">
            <v>103.5</v>
          </cell>
        </row>
        <row r="984">
          <cell r="E984">
            <v>43739</v>
          </cell>
          <cell r="F984">
            <v>135.33</v>
          </cell>
        </row>
        <row r="984">
          <cell r="H984">
            <v>43739</v>
          </cell>
          <cell r="I984">
            <v>77.1</v>
          </cell>
        </row>
        <row r="984">
          <cell r="K984">
            <v>43739</v>
          </cell>
          <cell r="L984">
            <v>136.89</v>
          </cell>
        </row>
        <row r="984">
          <cell r="N984">
            <v>43795</v>
          </cell>
          <cell r="O984">
            <v>105.64</v>
          </cell>
        </row>
        <row r="985">
          <cell r="B985">
            <v>43796</v>
          </cell>
          <cell r="C985">
            <v>103.73</v>
          </cell>
        </row>
        <row r="985">
          <cell r="E985">
            <v>43740</v>
          </cell>
          <cell r="F985">
            <v>135.88</v>
          </cell>
        </row>
        <row r="985">
          <cell r="H985">
            <v>43740</v>
          </cell>
          <cell r="I985">
            <v>76.5</v>
          </cell>
        </row>
        <row r="985">
          <cell r="K985">
            <v>43740</v>
          </cell>
          <cell r="L985">
            <v>136.3</v>
          </cell>
        </row>
        <row r="985">
          <cell r="N985">
            <v>43796</v>
          </cell>
          <cell r="O985">
            <v>105.31</v>
          </cell>
        </row>
        <row r="986">
          <cell r="B986">
            <v>43797</v>
          </cell>
          <cell r="C986">
            <v>103.73</v>
          </cell>
        </row>
        <row r="986">
          <cell r="E986">
            <v>43741</v>
          </cell>
          <cell r="F986">
            <v>136.84</v>
          </cell>
        </row>
        <row r="986">
          <cell r="H986">
            <v>43741</v>
          </cell>
          <cell r="I986">
            <v>76.24</v>
          </cell>
        </row>
        <row r="986">
          <cell r="K986">
            <v>43741</v>
          </cell>
          <cell r="L986">
            <v>136.24</v>
          </cell>
        </row>
        <row r="986">
          <cell r="N986">
            <v>43797</v>
          </cell>
          <cell r="O986">
            <v>105.32</v>
          </cell>
        </row>
        <row r="987">
          <cell r="B987">
            <v>43798</v>
          </cell>
          <cell r="C987">
            <v>103.84</v>
          </cell>
        </row>
        <row r="987">
          <cell r="E987">
            <v>43742</v>
          </cell>
          <cell r="F987">
            <v>137.43</v>
          </cell>
        </row>
        <row r="987">
          <cell r="H987">
            <v>43742</v>
          </cell>
          <cell r="I987">
            <v>76.05</v>
          </cell>
        </row>
        <row r="987">
          <cell r="K987">
            <v>43742</v>
          </cell>
          <cell r="L987">
            <v>136.63</v>
          </cell>
        </row>
        <row r="987">
          <cell r="N987">
            <v>43798</v>
          </cell>
          <cell r="O987">
            <v>105.43</v>
          </cell>
        </row>
        <row r="988">
          <cell r="B988">
            <v>43801</v>
          </cell>
          <cell r="C988">
            <v>103.92</v>
          </cell>
        </row>
        <row r="988">
          <cell r="E988">
            <v>43745</v>
          </cell>
          <cell r="F988">
            <v>137.45</v>
          </cell>
        </row>
        <row r="988">
          <cell r="H988">
            <v>43745</v>
          </cell>
          <cell r="I988">
            <v>76.17</v>
          </cell>
        </row>
        <row r="988">
          <cell r="K988">
            <v>43745</v>
          </cell>
          <cell r="L988">
            <v>137.14</v>
          </cell>
        </row>
        <row r="988">
          <cell r="N988">
            <v>43801</v>
          </cell>
          <cell r="O988">
            <v>105.41</v>
          </cell>
        </row>
        <row r="989">
          <cell r="B989">
            <v>43802</v>
          </cell>
          <cell r="C989">
            <v>103.43</v>
          </cell>
        </row>
        <row r="989">
          <cell r="E989">
            <v>43746</v>
          </cell>
          <cell r="F989">
            <v>137.4</v>
          </cell>
        </row>
        <row r="989">
          <cell r="H989">
            <v>43746</v>
          </cell>
          <cell r="I989">
            <v>75.86</v>
          </cell>
        </row>
        <row r="989">
          <cell r="K989">
            <v>43746</v>
          </cell>
          <cell r="L989">
            <v>137.32</v>
          </cell>
        </row>
        <row r="989">
          <cell r="N989">
            <v>43802</v>
          </cell>
          <cell r="O989">
            <v>105.01</v>
          </cell>
        </row>
        <row r="990">
          <cell r="B990">
            <v>43803</v>
          </cell>
          <cell r="C990">
            <v>103</v>
          </cell>
        </row>
        <row r="990">
          <cell r="E990">
            <v>43747</v>
          </cell>
          <cell r="F990">
            <v>138.59</v>
          </cell>
        </row>
        <row r="990">
          <cell r="H990">
            <v>43747</v>
          </cell>
          <cell r="I990">
            <v>75.79</v>
          </cell>
        </row>
        <row r="990">
          <cell r="K990">
            <v>43747</v>
          </cell>
          <cell r="L990">
            <v>137.72</v>
          </cell>
        </row>
        <row r="990">
          <cell r="N990">
            <v>43803</v>
          </cell>
          <cell r="O990">
            <v>104.79</v>
          </cell>
        </row>
        <row r="991">
          <cell r="B991">
            <v>43804</v>
          </cell>
          <cell r="C991">
            <v>102.88</v>
          </cell>
        </row>
        <row r="991">
          <cell r="E991">
            <v>43748</v>
          </cell>
          <cell r="F991">
            <v>138.49</v>
          </cell>
        </row>
        <row r="991">
          <cell r="H991">
            <v>43748</v>
          </cell>
          <cell r="I991">
            <v>76.27</v>
          </cell>
        </row>
        <row r="991">
          <cell r="K991">
            <v>43748</v>
          </cell>
          <cell r="L991">
            <v>138.07</v>
          </cell>
        </row>
        <row r="991">
          <cell r="N991">
            <v>43804</v>
          </cell>
          <cell r="O991">
            <v>105.02</v>
          </cell>
        </row>
        <row r="992">
          <cell r="B992">
            <v>43805</v>
          </cell>
          <cell r="C992">
            <v>103</v>
          </cell>
        </row>
        <row r="992">
          <cell r="E992">
            <v>43749</v>
          </cell>
          <cell r="F992">
            <v>137.38</v>
          </cell>
        </row>
        <row r="992">
          <cell r="H992">
            <v>43749</v>
          </cell>
          <cell r="I992">
            <v>76.81</v>
          </cell>
        </row>
        <row r="992">
          <cell r="K992">
            <v>43749</v>
          </cell>
          <cell r="L992">
            <v>138.82</v>
          </cell>
        </row>
        <row r="992">
          <cell r="N992">
            <v>43805</v>
          </cell>
          <cell r="O992">
            <v>104.81</v>
          </cell>
        </row>
        <row r="993">
          <cell r="B993">
            <v>43808</v>
          </cell>
          <cell r="C993">
            <v>102.88</v>
          </cell>
        </row>
        <row r="993">
          <cell r="E993">
            <v>43752</v>
          </cell>
          <cell r="F993">
            <v>137.54</v>
          </cell>
        </row>
        <row r="993">
          <cell r="H993">
            <v>43752</v>
          </cell>
          <cell r="I993">
            <v>76.66</v>
          </cell>
        </row>
        <row r="993">
          <cell r="K993">
            <v>43752</v>
          </cell>
          <cell r="L993">
            <v>138.75</v>
          </cell>
        </row>
        <row r="993">
          <cell r="N993">
            <v>43808</v>
          </cell>
          <cell r="O993">
            <v>104.5</v>
          </cell>
        </row>
        <row r="994">
          <cell r="B994">
            <v>43809</v>
          </cell>
          <cell r="C994">
            <v>102.96</v>
          </cell>
        </row>
        <row r="994">
          <cell r="E994">
            <v>43753</v>
          </cell>
          <cell r="F994">
            <v>137.11</v>
          </cell>
        </row>
        <row r="994">
          <cell r="H994">
            <v>43753</v>
          </cell>
          <cell r="I994">
            <v>76.73</v>
          </cell>
        </row>
        <row r="994">
          <cell r="K994">
            <v>43753</v>
          </cell>
          <cell r="L994">
            <v>139.02</v>
          </cell>
        </row>
        <row r="994">
          <cell r="N994">
            <v>43809</v>
          </cell>
          <cell r="O994">
            <v>104.59</v>
          </cell>
        </row>
        <row r="995">
          <cell r="B995">
            <v>43810</v>
          </cell>
          <cell r="C995">
            <v>103.5</v>
          </cell>
        </row>
        <row r="995">
          <cell r="E995">
            <v>43754</v>
          </cell>
          <cell r="F995">
            <v>135.56</v>
          </cell>
        </row>
        <row r="995">
          <cell r="H995">
            <v>43754</v>
          </cell>
          <cell r="I995">
            <v>76.66</v>
          </cell>
        </row>
        <row r="995">
          <cell r="K995">
            <v>43754</v>
          </cell>
          <cell r="L995">
            <v>139.2</v>
          </cell>
        </row>
        <row r="995">
          <cell r="N995">
            <v>43810</v>
          </cell>
          <cell r="O995">
            <v>104.95</v>
          </cell>
        </row>
        <row r="996">
          <cell r="B996">
            <v>43811</v>
          </cell>
          <cell r="C996">
            <v>103.54</v>
          </cell>
        </row>
        <row r="996">
          <cell r="E996">
            <v>43755</v>
          </cell>
          <cell r="F996">
            <v>135.74</v>
          </cell>
        </row>
        <row r="996">
          <cell r="H996">
            <v>43755</v>
          </cell>
          <cell r="I996">
            <v>76.85</v>
          </cell>
        </row>
        <row r="996">
          <cell r="K996">
            <v>43755</v>
          </cell>
          <cell r="L996">
            <v>139.16</v>
          </cell>
        </row>
        <row r="996">
          <cell r="N996">
            <v>43811</v>
          </cell>
          <cell r="O996">
            <v>105.04</v>
          </cell>
        </row>
        <row r="997">
          <cell r="B997">
            <v>43812</v>
          </cell>
          <cell r="C997">
            <v>103.58</v>
          </cell>
        </row>
        <row r="997">
          <cell r="E997">
            <v>43756</v>
          </cell>
          <cell r="F997">
            <v>135.33</v>
          </cell>
        </row>
        <row r="997">
          <cell r="H997">
            <v>43756</v>
          </cell>
          <cell r="I997">
            <v>76.94</v>
          </cell>
        </row>
        <row r="997">
          <cell r="K997">
            <v>43756</v>
          </cell>
          <cell r="L997">
            <v>139.12</v>
          </cell>
        </row>
        <row r="997">
          <cell r="N997">
            <v>43812</v>
          </cell>
          <cell r="O997">
            <v>105.48</v>
          </cell>
        </row>
        <row r="998">
          <cell r="B998">
            <v>43815</v>
          </cell>
          <cell r="C998">
            <v>103.35</v>
          </cell>
        </row>
        <row r="998">
          <cell r="E998">
            <v>43759</v>
          </cell>
          <cell r="F998">
            <v>134.55</v>
          </cell>
        </row>
        <row r="998">
          <cell r="H998">
            <v>43759</v>
          </cell>
          <cell r="I998">
            <v>76.71</v>
          </cell>
        </row>
        <row r="998">
          <cell r="K998">
            <v>43759</v>
          </cell>
          <cell r="L998">
            <v>138.94</v>
          </cell>
        </row>
        <row r="998">
          <cell r="N998">
            <v>43815</v>
          </cell>
          <cell r="O998">
            <v>105.15</v>
          </cell>
        </row>
        <row r="999">
          <cell r="B999">
            <v>43816</v>
          </cell>
          <cell r="C999">
            <v>103.4</v>
          </cell>
        </row>
        <row r="999">
          <cell r="E999">
            <v>43760</v>
          </cell>
          <cell r="F999">
            <v>130.53</v>
          </cell>
        </row>
        <row r="999">
          <cell r="H999">
            <v>43760</v>
          </cell>
          <cell r="I999">
            <v>77.33</v>
          </cell>
        </row>
        <row r="999">
          <cell r="K999">
            <v>43760</v>
          </cell>
          <cell r="L999">
            <v>138.95</v>
          </cell>
        </row>
        <row r="999">
          <cell r="N999">
            <v>43816</v>
          </cell>
          <cell r="O999">
            <v>104.57</v>
          </cell>
        </row>
        <row r="1000">
          <cell r="B1000">
            <v>43817</v>
          </cell>
          <cell r="C1000">
            <v>103.44</v>
          </cell>
        </row>
        <row r="1000">
          <cell r="E1000">
            <v>43761</v>
          </cell>
          <cell r="F1000">
            <v>129.55</v>
          </cell>
        </row>
        <row r="1000">
          <cell r="H1000">
            <v>43761</v>
          </cell>
          <cell r="I1000">
            <v>77.27</v>
          </cell>
        </row>
        <row r="1000">
          <cell r="K1000">
            <v>43761</v>
          </cell>
          <cell r="L1000">
            <v>139.18</v>
          </cell>
        </row>
        <row r="1000">
          <cell r="N1000">
            <v>43817</v>
          </cell>
          <cell r="O1000">
            <v>104.14</v>
          </cell>
        </row>
        <row r="1001">
          <cell r="B1001">
            <v>43818</v>
          </cell>
          <cell r="C1001">
            <v>103.41</v>
          </cell>
        </row>
        <row r="1001">
          <cell r="E1001">
            <v>43762</v>
          </cell>
          <cell r="F1001">
            <v>131.51</v>
          </cell>
        </row>
        <row r="1001">
          <cell r="H1001">
            <v>43762</v>
          </cell>
          <cell r="I1001">
            <v>76.23</v>
          </cell>
        </row>
        <row r="1001">
          <cell r="K1001">
            <v>43762</v>
          </cell>
          <cell r="L1001">
            <v>140.02</v>
          </cell>
        </row>
        <row r="1001">
          <cell r="N1001">
            <v>43818</v>
          </cell>
          <cell r="O1001">
            <v>104.43</v>
          </cell>
        </row>
        <row r="1002">
          <cell r="B1002">
            <v>43819</v>
          </cell>
          <cell r="C1002">
            <v>103.28</v>
          </cell>
        </row>
        <row r="1002">
          <cell r="E1002">
            <v>43763</v>
          </cell>
          <cell r="F1002">
            <v>130.97</v>
          </cell>
        </row>
        <row r="1002">
          <cell r="H1002">
            <v>43763</v>
          </cell>
          <cell r="I1002">
            <v>76.69</v>
          </cell>
        </row>
        <row r="1002">
          <cell r="K1002">
            <v>43763</v>
          </cell>
          <cell r="L1002">
            <v>139.72</v>
          </cell>
        </row>
        <row r="1002">
          <cell r="N1002">
            <v>43819</v>
          </cell>
          <cell r="O1002">
            <v>104.47</v>
          </cell>
        </row>
        <row r="1003">
          <cell r="B1003">
            <v>43822</v>
          </cell>
          <cell r="C1003">
            <v>103.29</v>
          </cell>
        </row>
        <row r="1003">
          <cell r="E1003">
            <v>43766</v>
          </cell>
          <cell r="F1003">
            <v>131.27</v>
          </cell>
        </row>
        <row r="1003">
          <cell r="H1003">
            <v>43766</v>
          </cell>
          <cell r="I1003">
            <v>76.92</v>
          </cell>
        </row>
        <row r="1003">
          <cell r="K1003">
            <v>43766</v>
          </cell>
          <cell r="L1003">
            <v>140.06</v>
          </cell>
        </row>
        <row r="1003">
          <cell r="N1003">
            <v>43822</v>
          </cell>
          <cell r="O1003">
            <v>104.61</v>
          </cell>
        </row>
        <row r="1004">
          <cell r="B1004">
            <v>43823</v>
          </cell>
          <cell r="C1004">
            <v>103.13</v>
          </cell>
        </row>
        <row r="1004">
          <cell r="E1004">
            <v>43767</v>
          </cell>
          <cell r="F1004">
            <v>132.22</v>
          </cell>
        </row>
        <row r="1004">
          <cell r="H1004">
            <v>43767</v>
          </cell>
          <cell r="I1004">
            <v>77.21</v>
          </cell>
        </row>
        <row r="1004">
          <cell r="K1004">
            <v>43767</v>
          </cell>
          <cell r="L1004">
            <v>140.25</v>
          </cell>
        </row>
        <row r="1004">
          <cell r="N1004">
            <v>43823</v>
          </cell>
          <cell r="O1004">
            <v>104.34</v>
          </cell>
        </row>
        <row r="1005">
          <cell r="B1005">
            <v>43824</v>
          </cell>
          <cell r="C1005">
            <v>103.13</v>
          </cell>
        </row>
        <row r="1005">
          <cell r="E1005">
            <v>43768</v>
          </cell>
          <cell r="F1005">
            <v>133.29</v>
          </cell>
        </row>
        <row r="1005">
          <cell r="H1005">
            <v>43768</v>
          </cell>
          <cell r="I1005">
            <v>76.43</v>
          </cell>
        </row>
        <row r="1005">
          <cell r="K1005">
            <v>43768</v>
          </cell>
          <cell r="L1005">
            <v>140.32</v>
          </cell>
        </row>
        <row r="1005">
          <cell r="N1005">
            <v>43824</v>
          </cell>
          <cell r="O1005">
            <v>104.34</v>
          </cell>
        </row>
        <row r="1006">
          <cell r="B1006">
            <v>43825</v>
          </cell>
          <cell r="C1006">
            <v>103.29</v>
          </cell>
        </row>
        <row r="1006">
          <cell r="E1006">
            <v>43769</v>
          </cell>
          <cell r="F1006">
            <v>132.39</v>
          </cell>
        </row>
        <row r="1006">
          <cell r="H1006">
            <v>43769</v>
          </cell>
          <cell r="I1006">
            <v>75.98</v>
          </cell>
        </row>
        <row r="1006">
          <cell r="K1006">
            <v>43769</v>
          </cell>
          <cell r="L1006">
            <v>140.13</v>
          </cell>
        </row>
        <row r="1006">
          <cell r="N1006">
            <v>43825</v>
          </cell>
          <cell r="O1006">
            <v>104.48</v>
          </cell>
        </row>
        <row r="1007">
          <cell r="B1007">
            <v>43826</v>
          </cell>
          <cell r="C1007">
            <v>103.43</v>
          </cell>
        </row>
        <row r="1007">
          <cell r="E1007">
            <v>43770</v>
          </cell>
          <cell r="F1007">
            <v>130.52</v>
          </cell>
        </row>
        <row r="1007">
          <cell r="H1007">
            <v>43770</v>
          </cell>
          <cell r="I1007">
            <v>75.98</v>
          </cell>
        </row>
        <row r="1007">
          <cell r="K1007">
            <v>43770</v>
          </cell>
          <cell r="L1007">
            <v>138.73</v>
          </cell>
        </row>
        <row r="1007">
          <cell r="N1007">
            <v>43826</v>
          </cell>
          <cell r="O1007">
            <v>104.99</v>
          </cell>
        </row>
        <row r="1008">
          <cell r="B1008">
            <v>43829</v>
          </cell>
          <cell r="C1008">
            <v>103.37</v>
          </cell>
        </row>
        <row r="1008">
          <cell r="E1008">
            <v>43773</v>
          </cell>
          <cell r="F1008">
            <v>127.55</v>
          </cell>
        </row>
        <row r="1008">
          <cell r="H1008">
            <v>43773</v>
          </cell>
          <cell r="I1008">
            <v>76.97</v>
          </cell>
        </row>
        <row r="1008">
          <cell r="K1008">
            <v>43773</v>
          </cell>
          <cell r="L1008">
            <v>138.14</v>
          </cell>
        </row>
        <row r="1008">
          <cell r="N1008">
            <v>43829</v>
          </cell>
          <cell r="O1008">
            <v>104.57</v>
          </cell>
        </row>
        <row r="1009">
          <cell r="B1009">
            <v>43830</v>
          </cell>
          <cell r="C1009">
            <v>103.18</v>
          </cell>
        </row>
        <row r="1009">
          <cell r="E1009">
            <v>43774</v>
          </cell>
          <cell r="F1009">
            <v>125.8</v>
          </cell>
        </row>
        <row r="1009">
          <cell r="H1009">
            <v>43774</v>
          </cell>
          <cell r="I1009">
            <v>77.87</v>
          </cell>
        </row>
        <row r="1009">
          <cell r="K1009">
            <v>43774</v>
          </cell>
          <cell r="L1009">
            <v>138.28</v>
          </cell>
        </row>
        <row r="1009">
          <cell r="N1009">
            <v>43830</v>
          </cell>
          <cell r="O1009">
            <v>104.56</v>
          </cell>
        </row>
        <row r="1010">
          <cell r="B1010">
            <v>43831</v>
          </cell>
          <cell r="C1010">
            <v>103.18</v>
          </cell>
        </row>
        <row r="1010">
          <cell r="E1010">
            <v>43775</v>
          </cell>
          <cell r="F1010">
            <v>126.48</v>
          </cell>
        </row>
        <row r="1010">
          <cell r="H1010">
            <v>43775</v>
          </cell>
          <cell r="I1010">
            <v>77.54</v>
          </cell>
        </row>
        <row r="1010">
          <cell r="K1010">
            <v>43775</v>
          </cell>
          <cell r="L1010">
            <v>138.56</v>
          </cell>
        </row>
        <row r="1010">
          <cell r="N1010">
            <v>43831</v>
          </cell>
          <cell r="O1010">
            <v>104.56</v>
          </cell>
        </row>
        <row r="1011">
          <cell r="B1011">
            <v>43832</v>
          </cell>
          <cell r="C1011">
            <v>103.2</v>
          </cell>
        </row>
        <row r="1011">
          <cell r="E1011">
            <v>43776</v>
          </cell>
          <cell r="F1011">
            <v>124.71</v>
          </cell>
        </row>
        <row r="1011">
          <cell r="H1011">
            <v>43776</v>
          </cell>
          <cell r="I1011">
            <v>78.16</v>
          </cell>
        </row>
        <row r="1011">
          <cell r="K1011">
            <v>43776</v>
          </cell>
          <cell r="L1011">
            <v>138.87</v>
          </cell>
        </row>
        <row r="1011">
          <cell r="N1011">
            <v>43832</v>
          </cell>
          <cell r="O1011">
            <v>105.61</v>
          </cell>
        </row>
        <row r="1012">
          <cell r="B1012">
            <v>43833</v>
          </cell>
          <cell r="C1012">
            <v>102.98</v>
          </cell>
        </row>
        <row r="1012">
          <cell r="E1012">
            <v>43777</v>
          </cell>
          <cell r="F1012">
            <v>124.54</v>
          </cell>
        </row>
        <row r="1012">
          <cell r="H1012">
            <v>43777</v>
          </cell>
          <cell r="I1012">
            <v>78.21</v>
          </cell>
        </row>
        <row r="1012">
          <cell r="K1012">
            <v>43777</v>
          </cell>
          <cell r="L1012">
            <v>138.43</v>
          </cell>
        </row>
        <row r="1012">
          <cell r="N1012">
            <v>43833</v>
          </cell>
          <cell r="O1012">
            <v>105.07</v>
          </cell>
        </row>
        <row r="1013">
          <cell r="B1013">
            <v>43836</v>
          </cell>
          <cell r="C1013">
            <v>103.28</v>
          </cell>
        </row>
        <row r="1013">
          <cell r="E1013">
            <v>43780</v>
          </cell>
          <cell r="F1013">
            <v>125.09</v>
          </cell>
        </row>
        <row r="1013">
          <cell r="H1013">
            <v>43780</v>
          </cell>
          <cell r="I1013">
            <v>77.93</v>
          </cell>
        </row>
        <row r="1013">
          <cell r="K1013">
            <v>43780</v>
          </cell>
          <cell r="L1013">
            <v>138.68</v>
          </cell>
        </row>
        <row r="1013">
          <cell r="N1013">
            <v>43836</v>
          </cell>
          <cell r="O1013">
            <v>105.26</v>
          </cell>
        </row>
        <row r="1014">
          <cell r="B1014">
            <v>43837</v>
          </cell>
          <cell r="C1014">
            <v>103.16</v>
          </cell>
        </row>
        <row r="1014">
          <cell r="E1014">
            <v>43781</v>
          </cell>
          <cell r="F1014">
            <v>125.92</v>
          </cell>
        </row>
        <row r="1014">
          <cell r="H1014">
            <v>43781</v>
          </cell>
          <cell r="I1014">
            <v>78.18</v>
          </cell>
        </row>
        <row r="1014">
          <cell r="K1014">
            <v>43781</v>
          </cell>
          <cell r="L1014">
            <v>138.69</v>
          </cell>
        </row>
        <row r="1014">
          <cell r="N1014">
            <v>43837</v>
          </cell>
          <cell r="O1014">
            <v>105.55</v>
          </cell>
        </row>
        <row r="1015">
          <cell r="B1015">
            <v>43838</v>
          </cell>
          <cell r="C1015">
            <v>103.45</v>
          </cell>
        </row>
        <row r="1015">
          <cell r="E1015">
            <v>43782</v>
          </cell>
          <cell r="F1015">
            <v>127.41</v>
          </cell>
        </row>
        <row r="1015">
          <cell r="H1015">
            <v>43782</v>
          </cell>
          <cell r="I1015">
            <v>77.68</v>
          </cell>
        </row>
        <row r="1015">
          <cell r="K1015">
            <v>43782</v>
          </cell>
          <cell r="L1015">
            <v>139.23</v>
          </cell>
        </row>
        <row r="1015">
          <cell r="N1015">
            <v>43838</v>
          </cell>
          <cell r="O1015">
            <v>105.71</v>
          </cell>
        </row>
        <row r="1016">
          <cell r="B1016">
            <v>43839</v>
          </cell>
          <cell r="C1016">
            <v>103.42</v>
          </cell>
        </row>
        <row r="1016">
          <cell r="E1016">
            <v>43783</v>
          </cell>
          <cell r="F1016">
            <v>127.93</v>
          </cell>
        </row>
        <row r="1016">
          <cell r="H1016">
            <v>43783</v>
          </cell>
          <cell r="I1016">
            <v>77.8</v>
          </cell>
        </row>
        <row r="1016">
          <cell r="K1016">
            <v>43783</v>
          </cell>
          <cell r="L1016">
            <v>140.06</v>
          </cell>
        </row>
        <row r="1016">
          <cell r="N1016">
            <v>43839</v>
          </cell>
          <cell r="O1016">
            <v>106.02</v>
          </cell>
        </row>
        <row r="1017">
          <cell r="B1017">
            <v>43840</v>
          </cell>
          <cell r="C1017">
            <v>103.41</v>
          </cell>
        </row>
        <row r="1017">
          <cell r="E1017">
            <v>43784</v>
          </cell>
          <cell r="F1017">
            <v>127.55</v>
          </cell>
        </row>
        <row r="1017">
          <cell r="H1017">
            <v>43784</v>
          </cell>
          <cell r="I1017">
            <v>78.16</v>
          </cell>
        </row>
        <row r="1017">
          <cell r="K1017">
            <v>43784</v>
          </cell>
          <cell r="L1017">
            <v>140.66</v>
          </cell>
        </row>
        <row r="1017">
          <cell r="N1017">
            <v>43840</v>
          </cell>
          <cell r="O1017">
            <v>106.15</v>
          </cell>
        </row>
        <row r="1018">
          <cell r="B1018">
            <v>43843</v>
          </cell>
          <cell r="C1018">
            <v>103.12</v>
          </cell>
        </row>
        <row r="1018">
          <cell r="E1018">
            <v>43787</v>
          </cell>
          <cell r="F1018">
            <v>128.84</v>
          </cell>
        </row>
        <row r="1018">
          <cell r="H1018">
            <v>43787</v>
          </cell>
          <cell r="I1018">
            <v>78.3</v>
          </cell>
        </row>
        <row r="1018">
          <cell r="K1018">
            <v>43787</v>
          </cell>
          <cell r="L1018">
            <v>141.34</v>
          </cell>
        </row>
        <row r="1018">
          <cell r="N1018">
            <v>43843</v>
          </cell>
          <cell r="O1018">
            <v>105.94</v>
          </cell>
        </row>
        <row r="1019">
          <cell r="B1019">
            <v>43844</v>
          </cell>
          <cell r="C1019">
            <v>102.87</v>
          </cell>
        </row>
        <row r="1019">
          <cell r="E1019">
            <v>43788</v>
          </cell>
          <cell r="F1019">
            <v>130.24</v>
          </cell>
        </row>
        <row r="1019">
          <cell r="H1019">
            <v>43788</v>
          </cell>
          <cell r="I1019">
            <v>77.4</v>
          </cell>
        </row>
        <row r="1019">
          <cell r="K1019">
            <v>43788</v>
          </cell>
          <cell r="L1019">
            <v>141.11</v>
          </cell>
        </row>
        <row r="1019">
          <cell r="N1019">
            <v>43844</v>
          </cell>
          <cell r="O1019">
            <v>105.59</v>
          </cell>
        </row>
        <row r="1020">
          <cell r="B1020">
            <v>43845</v>
          </cell>
          <cell r="C1020">
            <v>103.12</v>
          </cell>
        </row>
        <row r="1020">
          <cell r="E1020">
            <v>43789</v>
          </cell>
          <cell r="F1020">
            <v>130.86</v>
          </cell>
        </row>
        <row r="1020">
          <cell r="H1020">
            <v>43789</v>
          </cell>
          <cell r="I1020">
            <v>76.24</v>
          </cell>
        </row>
        <row r="1020">
          <cell r="K1020">
            <v>43789</v>
          </cell>
          <cell r="L1020">
            <v>140.28</v>
          </cell>
        </row>
        <row r="1020">
          <cell r="N1020">
            <v>43845</v>
          </cell>
          <cell r="O1020">
            <v>105.28</v>
          </cell>
        </row>
        <row r="1021">
          <cell r="B1021">
            <v>43846</v>
          </cell>
          <cell r="C1021">
            <v>103.24</v>
          </cell>
        </row>
        <row r="1021">
          <cell r="E1021">
            <v>43790</v>
          </cell>
          <cell r="F1021">
            <v>129.57</v>
          </cell>
        </row>
        <row r="1021">
          <cell r="H1021">
            <v>43790</v>
          </cell>
          <cell r="I1021">
            <v>76.45</v>
          </cell>
        </row>
        <row r="1021">
          <cell r="K1021">
            <v>43790</v>
          </cell>
          <cell r="L1021">
            <v>139.43</v>
          </cell>
        </row>
        <row r="1021">
          <cell r="N1021">
            <v>43846</v>
          </cell>
          <cell r="O1021">
            <v>104.67</v>
          </cell>
        </row>
        <row r="1022">
          <cell r="B1022">
            <v>43847</v>
          </cell>
          <cell r="C1022">
            <v>103.57</v>
          </cell>
        </row>
        <row r="1022">
          <cell r="E1022">
            <v>43791</v>
          </cell>
          <cell r="F1022">
            <v>128.65</v>
          </cell>
        </row>
        <row r="1022">
          <cell r="H1022">
            <v>43791</v>
          </cell>
          <cell r="I1022">
            <v>76.76</v>
          </cell>
        </row>
        <row r="1022">
          <cell r="K1022">
            <v>43791</v>
          </cell>
          <cell r="L1022">
            <v>139.83</v>
          </cell>
        </row>
        <row r="1022">
          <cell r="N1022">
            <v>43847</v>
          </cell>
          <cell r="O1022">
            <v>105</v>
          </cell>
        </row>
        <row r="1023">
          <cell r="B1023">
            <v>43850</v>
          </cell>
          <cell r="C1023">
            <v>103.57</v>
          </cell>
        </row>
        <row r="1023">
          <cell r="E1023">
            <v>43794</v>
          </cell>
          <cell r="F1023">
            <v>128.55</v>
          </cell>
        </row>
        <row r="1023">
          <cell r="H1023">
            <v>43794</v>
          </cell>
          <cell r="I1023">
            <v>76.81</v>
          </cell>
        </row>
        <row r="1023">
          <cell r="K1023">
            <v>43794</v>
          </cell>
          <cell r="L1023">
            <v>139.5</v>
          </cell>
        </row>
        <row r="1023">
          <cell r="N1023">
            <v>43850</v>
          </cell>
          <cell r="O1023">
            <v>105</v>
          </cell>
        </row>
        <row r="1024">
          <cell r="B1024">
            <v>43851</v>
          </cell>
          <cell r="C1024">
            <v>103.57</v>
          </cell>
        </row>
        <row r="1024">
          <cell r="E1024">
            <v>43795</v>
          </cell>
          <cell r="F1024">
            <v>129.83</v>
          </cell>
        </row>
        <row r="1024">
          <cell r="H1024">
            <v>43795</v>
          </cell>
          <cell r="I1024">
            <v>76.77</v>
          </cell>
        </row>
        <row r="1024">
          <cell r="K1024">
            <v>43795</v>
          </cell>
          <cell r="L1024">
            <v>140.67</v>
          </cell>
        </row>
        <row r="1024">
          <cell r="N1024">
            <v>43851</v>
          </cell>
          <cell r="O1024">
            <v>105.43</v>
          </cell>
        </row>
        <row r="1025">
          <cell r="B1025">
            <v>43852</v>
          </cell>
          <cell r="C1025">
            <v>103.45</v>
          </cell>
        </row>
        <row r="1025">
          <cell r="E1025">
            <v>43796</v>
          </cell>
          <cell r="F1025">
            <v>129.39</v>
          </cell>
        </row>
        <row r="1025">
          <cell r="H1025">
            <v>43796</v>
          </cell>
          <cell r="I1025">
            <v>76.7</v>
          </cell>
        </row>
        <row r="1025">
          <cell r="K1025">
            <v>43796</v>
          </cell>
          <cell r="L1025">
            <v>140.55</v>
          </cell>
        </row>
        <row r="1025">
          <cell r="N1025">
            <v>43852</v>
          </cell>
          <cell r="O1025">
            <v>105.42</v>
          </cell>
        </row>
        <row r="1026">
          <cell r="B1026">
            <v>43853</v>
          </cell>
          <cell r="C1026">
            <v>103.65</v>
          </cell>
        </row>
        <row r="1026">
          <cell r="E1026">
            <v>43797</v>
          </cell>
          <cell r="F1026">
            <v>129.42</v>
          </cell>
        </row>
        <row r="1026">
          <cell r="H1026">
            <v>43797</v>
          </cell>
          <cell r="I1026">
            <v>76.74</v>
          </cell>
        </row>
        <row r="1026">
          <cell r="K1026">
            <v>43797</v>
          </cell>
          <cell r="L1026">
            <v>140.48</v>
          </cell>
        </row>
        <row r="1026">
          <cell r="N1026">
            <v>43853</v>
          </cell>
          <cell r="O1026">
            <v>105.27</v>
          </cell>
        </row>
        <row r="1027">
          <cell r="B1027">
            <v>43854</v>
          </cell>
          <cell r="C1027">
            <v>103.75</v>
          </cell>
        </row>
        <row r="1027">
          <cell r="E1027">
            <v>43798</v>
          </cell>
          <cell r="F1027">
            <v>129.02</v>
          </cell>
        </row>
        <row r="1027">
          <cell r="H1027">
            <v>43798</v>
          </cell>
          <cell r="I1027">
            <v>76.7</v>
          </cell>
        </row>
        <row r="1027">
          <cell r="K1027">
            <v>43798</v>
          </cell>
          <cell r="L1027">
            <v>140.45</v>
          </cell>
        </row>
        <row r="1027">
          <cell r="N1027">
            <v>43854</v>
          </cell>
          <cell r="O1027">
            <v>105.62</v>
          </cell>
        </row>
        <row r="1028">
          <cell r="B1028">
            <v>43857</v>
          </cell>
          <cell r="C1028">
            <v>103.44</v>
          </cell>
        </row>
        <row r="1028">
          <cell r="E1028">
            <v>43801</v>
          </cell>
          <cell r="F1028">
            <v>128.04</v>
          </cell>
        </row>
        <row r="1028">
          <cell r="H1028">
            <v>43801</v>
          </cell>
          <cell r="I1028">
            <v>76.77</v>
          </cell>
        </row>
        <row r="1028">
          <cell r="K1028">
            <v>43801</v>
          </cell>
          <cell r="L1028">
            <v>140.52</v>
          </cell>
        </row>
        <row r="1028">
          <cell r="N1028">
            <v>43857</v>
          </cell>
          <cell r="O1028">
            <v>105.06</v>
          </cell>
        </row>
        <row r="1029">
          <cell r="B1029">
            <v>43858</v>
          </cell>
          <cell r="C1029">
            <v>103.21</v>
          </cell>
        </row>
        <row r="1029">
          <cell r="E1029">
            <v>43802</v>
          </cell>
          <cell r="F1029">
            <v>128.63</v>
          </cell>
        </row>
        <row r="1029">
          <cell r="H1029">
            <v>43802</v>
          </cell>
          <cell r="I1029">
            <v>76.36</v>
          </cell>
        </row>
        <row r="1029">
          <cell r="K1029">
            <v>43802</v>
          </cell>
          <cell r="L1029">
            <v>140.57</v>
          </cell>
        </row>
        <row r="1029">
          <cell r="N1029">
            <v>43858</v>
          </cell>
          <cell r="O1029">
            <v>105.39</v>
          </cell>
        </row>
        <row r="1030">
          <cell r="B1030">
            <v>43859</v>
          </cell>
          <cell r="C1030">
            <v>103.12</v>
          </cell>
        </row>
        <row r="1030">
          <cell r="E1030">
            <v>43803</v>
          </cell>
          <cell r="F1030">
            <v>128.32</v>
          </cell>
        </row>
        <row r="1030">
          <cell r="H1030">
            <v>43803</v>
          </cell>
          <cell r="I1030">
            <v>76.67</v>
          </cell>
        </row>
        <row r="1030">
          <cell r="K1030">
            <v>43803</v>
          </cell>
          <cell r="L1030">
            <v>141.15</v>
          </cell>
        </row>
        <row r="1030">
          <cell r="N1030">
            <v>43859</v>
          </cell>
          <cell r="O1030">
            <v>105.58</v>
          </cell>
        </row>
        <row r="1031">
          <cell r="B1031">
            <v>43860</v>
          </cell>
          <cell r="C1031">
            <v>103.14</v>
          </cell>
        </row>
        <row r="1031">
          <cell r="E1031">
            <v>43804</v>
          </cell>
          <cell r="F1031">
            <v>128.72</v>
          </cell>
        </row>
        <row r="1031">
          <cell r="H1031">
            <v>43804</v>
          </cell>
          <cell r="I1031">
            <v>76.81</v>
          </cell>
        </row>
        <row r="1031">
          <cell r="K1031">
            <v>43804</v>
          </cell>
          <cell r="L1031">
            <v>141.26</v>
          </cell>
        </row>
        <row r="1031">
          <cell r="N1031">
            <v>43860</v>
          </cell>
          <cell r="O1031">
            <v>106.37</v>
          </cell>
        </row>
        <row r="1032">
          <cell r="B1032">
            <v>43861</v>
          </cell>
          <cell r="C1032">
            <v>103.08</v>
          </cell>
        </row>
        <row r="1032">
          <cell r="E1032">
            <v>43805</v>
          </cell>
          <cell r="F1032">
            <v>128.76</v>
          </cell>
        </row>
        <row r="1032">
          <cell r="H1032">
            <v>43805</v>
          </cell>
          <cell r="I1032">
            <v>76.62</v>
          </cell>
        </row>
        <row r="1032">
          <cell r="K1032">
            <v>43805</v>
          </cell>
          <cell r="L1032">
            <v>140.8</v>
          </cell>
        </row>
        <row r="1032">
          <cell r="N1032">
            <v>43861</v>
          </cell>
          <cell r="O1032">
            <v>106.75</v>
          </cell>
        </row>
        <row r="1033">
          <cell r="B1033">
            <v>43864</v>
          </cell>
          <cell r="C1033">
            <v>103.3</v>
          </cell>
        </row>
        <row r="1033">
          <cell r="E1033">
            <v>43808</v>
          </cell>
          <cell r="F1033">
            <v>127.97</v>
          </cell>
        </row>
        <row r="1033">
          <cell r="H1033">
            <v>43808</v>
          </cell>
          <cell r="I1033">
            <v>76.94</v>
          </cell>
        </row>
        <row r="1033">
          <cell r="K1033">
            <v>43808</v>
          </cell>
          <cell r="L1033">
            <v>140.54</v>
          </cell>
        </row>
        <row r="1033">
          <cell r="N1033">
            <v>43864</v>
          </cell>
          <cell r="O1033">
            <v>106.78</v>
          </cell>
        </row>
        <row r="1034">
          <cell r="B1034">
            <v>43865</v>
          </cell>
          <cell r="C1034">
            <v>104.15</v>
          </cell>
        </row>
        <row r="1034">
          <cell r="E1034">
            <v>43809</v>
          </cell>
          <cell r="F1034">
            <v>128.54</v>
          </cell>
        </row>
        <row r="1034">
          <cell r="H1034">
            <v>43809</v>
          </cell>
          <cell r="I1034">
            <v>76.9</v>
          </cell>
        </row>
        <row r="1034">
          <cell r="K1034">
            <v>43809</v>
          </cell>
          <cell r="L1034">
            <v>140.72</v>
          </cell>
        </row>
        <row r="1034">
          <cell r="N1034">
            <v>43865</v>
          </cell>
          <cell r="O1034">
            <v>107.1</v>
          </cell>
        </row>
        <row r="1035">
          <cell r="B1035">
            <v>43866</v>
          </cell>
          <cell r="C1035">
            <v>104.02</v>
          </cell>
        </row>
        <row r="1035">
          <cell r="E1035">
            <v>43810</v>
          </cell>
          <cell r="F1035">
            <v>129.46</v>
          </cell>
        </row>
        <row r="1035">
          <cell r="H1035">
            <v>43810</v>
          </cell>
          <cell r="I1035">
            <v>76.75</v>
          </cell>
        </row>
        <row r="1035">
          <cell r="K1035">
            <v>43810</v>
          </cell>
          <cell r="L1035">
            <v>140.84</v>
          </cell>
        </row>
        <row r="1035">
          <cell r="N1035">
            <v>43866</v>
          </cell>
          <cell r="O1035">
            <v>106.59</v>
          </cell>
        </row>
        <row r="1036">
          <cell r="B1036">
            <v>43867</v>
          </cell>
          <cell r="C1036">
            <v>103.99</v>
          </cell>
        </row>
        <row r="1036">
          <cell r="E1036">
            <v>43811</v>
          </cell>
          <cell r="F1036">
            <v>128.44</v>
          </cell>
        </row>
        <row r="1036">
          <cell r="H1036">
            <v>43811</v>
          </cell>
          <cell r="I1036">
            <v>77.1</v>
          </cell>
        </row>
        <row r="1036">
          <cell r="K1036">
            <v>43811</v>
          </cell>
          <cell r="L1036">
            <v>140.34</v>
          </cell>
        </row>
        <row r="1036">
          <cell r="N1036">
            <v>43867</v>
          </cell>
          <cell r="O1036">
            <v>106.62</v>
          </cell>
        </row>
        <row r="1037">
          <cell r="B1037">
            <v>43868</v>
          </cell>
          <cell r="C1037">
            <v>104.34</v>
          </cell>
        </row>
        <row r="1037">
          <cell r="E1037">
            <v>43812</v>
          </cell>
          <cell r="F1037">
            <v>128.84</v>
          </cell>
        </row>
        <row r="1037">
          <cell r="H1037">
            <v>43812</v>
          </cell>
          <cell r="I1037">
            <v>76.69</v>
          </cell>
        </row>
        <row r="1037">
          <cell r="K1037">
            <v>43812</v>
          </cell>
          <cell r="L1037">
            <v>140</v>
          </cell>
        </row>
        <row r="1037">
          <cell r="N1037">
            <v>43868</v>
          </cell>
          <cell r="O1037">
            <v>107.44</v>
          </cell>
        </row>
        <row r="1038">
          <cell r="B1038">
            <v>43871</v>
          </cell>
          <cell r="C1038">
            <v>104.51</v>
          </cell>
        </row>
        <row r="1038">
          <cell r="E1038">
            <v>43815</v>
          </cell>
          <cell r="F1038">
            <v>128.55</v>
          </cell>
        </row>
        <row r="1038">
          <cell r="H1038">
            <v>43815</v>
          </cell>
          <cell r="I1038">
            <v>77.05</v>
          </cell>
        </row>
        <row r="1038">
          <cell r="K1038">
            <v>43815</v>
          </cell>
          <cell r="L1038">
            <v>140.64</v>
          </cell>
        </row>
        <row r="1038">
          <cell r="N1038">
            <v>43871</v>
          </cell>
          <cell r="O1038">
            <v>107.12</v>
          </cell>
        </row>
        <row r="1039">
          <cell r="B1039">
            <v>43872</v>
          </cell>
          <cell r="C1039">
            <v>104.44</v>
          </cell>
        </row>
        <row r="1039">
          <cell r="E1039">
            <v>43816</v>
          </cell>
          <cell r="F1039">
            <v>128.22</v>
          </cell>
        </row>
        <row r="1039">
          <cell r="H1039">
            <v>43816</v>
          </cell>
          <cell r="I1039">
            <v>77.58</v>
          </cell>
        </row>
        <row r="1039">
          <cell r="K1039">
            <v>43816</v>
          </cell>
          <cell r="L1039">
            <v>140.85</v>
          </cell>
        </row>
        <row r="1039">
          <cell r="N1039">
            <v>43872</v>
          </cell>
          <cell r="O1039">
            <v>107.07</v>
          </cell>
        </row>
        <row r="1040">
          <cell r="B1040">
            <v>43873</v>
          </cell>
          <cell r="C1040">
            <v>104.8</v>
          </cell>
        </row>
        <row r="1040">
          <cell r="E1040">
            <v>43817</v>
          </cell>
          <cell r="F1040">
            <v>127.59</v>
          </cell>
        </row>
        <row r="1040">
          <cell r="H1040">
            <v>43817</v>
          </cell>
          <cell r="I1040">
            <v>77.65</v>
          </cell>
        </row>
        <row r="1040">
          <cell r="K1040">
            <v>43817</v>
          </cell>
          <cell r="L1040">
            <v>140.93</v>
          </cell>
        </row>
        <row r="1040">
          <cell r="N1040">
            <v>43873</v>
          </cell>
          <cell r="O1040">
            <v>107.03</v>
          </cell>
        </row>
        <row r="1041">
          <cell r="B1041">
            <v>43874</v>
          </cell>
          <cell r="C1041">
            <v>105.22</v>
          </cell>
        </row>
        <row r="1041">
          <cell r="E1041">
            <v>43818</v>
          </cell>
          <cell r="F1041">
            <v>126.91</v>
          </cell>
        </row>
        <row r="1041">
          <cell r="H1041">
            <v>43818</v>
          </cell>
          <cell r="I1041">
            <v>77.16</v>
          </cell>
        </row>
        <row r="1041">
          <cell r="K1041">
            <v>43818</v>
          </cell>
          <cell r="L1041">
            <v>140.36</v>
          </cell>
        </row>
        <row r="1041">
          <cell r="N1041">
            <v>43874</v>
          </cell>
          <cell r="O1041">
            <v>106.64</v>
          </cell>
        </row>
        <row r="1042">
          <cell r="B1042">
            <v>43875</v>
          </cell>
          <cell r="C1042">
            <v>105.01</v>
          </cell>
        </row>
        <row r="1042">
          <cell r="E1042">
            <v>43819</v>
          </cell>
          <cell r="F1042">
            <v>127.13</v>
          </cell>
        </row>
        <row r="1042">
          <cell r="H1042">
            <v>43819</v>
          </cell>
          <cell r="I1042">
            <v>77.05</v>
          </cell>
        </row>
        <row r="1042">
          <cell r="K1042">
            <v>43819</v>
          </cell>
          <cell r="L1042">
            <v>140.11</v>
          </cell>
        </row>
        <row r="1042">
          <cell r="N1042">
            <v>43875</v>
          </cell>
          <cell r="O1042">
            <v>107.1</v>
          </cell>
        </row>
        <row r="1043">
          <cell r="B1043">
            <v>43878</v>
          </cell>
          <cell r="C1043">
            <v>105.01</v>
          </cell>
        </row>
        <row r="1043">
          <cell r="E1043">
            <v>43822</v>
          </cell>
          <cell r="F1043">
            <v>126.66</v>
          </cell>
        </row>
        <row r="1043">
          <cell r="H1043">
            <v>43822</v>
          </cell>
          <cell r="I1043">
            <v>77.12</v>
          </cell>
        </row>
        <row r="1043">
          <cell r="K1043">
            <v>43822</v>
          </cell>
          <cell r="L1043">
            <v>139.78</v>
          </cell>
        </row>
        <row r="1043">
          <cell r="N1043">
            <v>43878</v>
          </cell>
          <cell r="O1043">
            <v>107.09</v>
          </cell>
        </row>
        <row r="1044">
          <cell r="B1044">
            <v>43879</v>
          </cell>
          <cell r="C1044">
            <v>105.33</v>
          </cell>
        </row>
        <row r="1044">
          <cell r="E1044">
            <v>43823</v>
          </cell>
          <cell r="F1044">
            <v>127.07</v>
          </cell>
        </row>
        <row r="1044">
          <cell r="H1044">
            <v>43823</v>
          </cell>
          <cell r="I1044">
            <v>77.11</v>
          </cell>
        </row>
        <row r="1044">
          <cell r="K1044">
            <v>43823</v>
          </cell>
          <cell r="L1044">
            <v>139.8</v>
          </cell>
        </row>
        <row r="1044">
          <cell r="N1044">
            <v>43879</v>
          </cell>
          <cell r="O1044">
            <v>107.22</v>
          </cell>
        </row>
        <row r="1045">
          <cell r="B1045">
            <v>43880</v>
          </cell>
          <cell r="C1045">
            <v>105.92</v>
          </cell>
        </row>
        <row r="1045">
          <cell r="E1045">
            <v>43824</v>
          </cell>
          <cell r="F1045">
            <v>127.07</v>
          </cell>
        </row>
        <row r="1045">
          <cell r="H1045">
            <v>43824</v>
          </cell>
          <cell r="I1045">
            <v>77.11</v>
          </cell>
        </row>
        <row r="1045">
          <cell r="K1045">
            <v>43824</v>
          </cell>
          <cell r="L1045">
            <v>139.79</v>
          </cell>
        </row>
        <row r="1045">
          <cell r="N1045">
            <v>43880</v>
          </cell>
          <cell r="O1045">
            <v>107.06</v>
          </cell>
        </row>
        <row r="1046">
          <cell r="B1046">
            <v>43881</v>
          </cell>
          <cell r="C1046">
            <v>106.71</v>
          </cell>
        </row>
        <row r="1046">
          <cell r="E1046">
            <v>43825</v>
          </cell>
          <cell r="F1046">
            <v>127.05</v>
          </cell>
        </row>
        <row r="1046">
          <cell r="H1046">
            <v>43825</v>
          </cell>
          <cell r="I1046">
            <v>77.09</v>
          </cell>
        </row>
        <row r="1046">
          <cell r="K1046">
            <v>43825</v>
          </cell>
          <cell r="L1046">
            <v>139.83</v>
          </cell>
        </row>
        <row r="1046">
          <cell r="N1046">
            <v>43881</v>
          </cell>
          <cell r="O1046">
            <v>106.57</v>
          </cell>
        </row>
        <row r="1047">
          <cell r="B1047">
            <v>43882</v>
          </cell>
          <cell r="C1047">
            <v>107.28</v>
          </cell>
        </row>
        <row r="1047">
          <cell r="E1047">
            <v>43826</v>
          </cell>
          <cell r="F1047">
            <v>127.25</v>
          </cell>
        </row>
        <row r="1047">
          <cell r="H1047">
            <v>43826</v>
          </cell>
          <cell r="I1047">
            <v>76.95</v>
          </cell>
        </row>
        <row r="1047">
          <cell r="K1047">
            <v>43826</v>
          </cell>
          <cell r="L1047">
            <v>139.86</v>
          </cell>
        </row>
        <row r="1047">
          <cell r="N1047">
            <v>43882</v>
          </cell>
          <cell r="O1047">
            <v>107.03</v>
          </cell>
        </row>
        <row r="1048">
          <cell r="B1048">
            <v>43885</v>
          </cell>
          <cell r="C1048">
            <v>106.78</v>
          </cell>
        </row>
        <row r="1048">
          <cell r="E1048">
            <v>43829</v>
          </cell>
          <cell r="F1048">
            <v>126.9</v>
          </cell>
        </row>
        <row r="1048">
          <cell r="H1048">
            <v>43829</v>
          </cell>
          <cell r="I1048">
            <v>76.98</v>
          </cell>
        </row>
        <row r="1048">
          <cell r="K1048">
            <v>43829</v>
          </cell>
          <cell r="L1048">
            <v>139.96</v>
          </cell>
        </row>
        <row r="1048">
          <cell r="N1048">
            <v>43885</v>
          </cell>
          <cell r="O1048">
            <v>106.54</v>
          </cell>
        </row>
        <row r="1049">
          <cell r="B1049">
            <v>43886</v>
          </cell>
          <cell r="C1049">
            <v>105.82</v>
          </cell>
        </row>
        <row r="1049">
          <cell r="E1049">
            <v>43830</v>
          </cell>
          <cell r="F1049">
            <v>126.12</v>
          </cell>
        </row>
        <row r="1049">
          <cell r="H1049">
            <v>43830</v>
          </cell>
          <cell r="I1049">
            <v>76.98</v>
          </cell>
        </row>
        <row r="1049">
          <cell r="K1049">
            <v>43830</v>
          </cell>
          <cell r="L1049">
            <v>139.18</v>
          </cell>
        </row>
        <row r="1049">
          <cell r="N1049">
            <v>43886</v>
          </cell>
          <cell r="O1049">
            <v>106.79</v>
          </cell>
        </row>
        <row r="1050">
          <cell r="B1050">
            <v>43887</v>
          </cell>
          <cell r="C1050">
            <v>106.03</v>
          </cell>
        </row>
        <row r="1050">
          <cell r="E1050">
            <v>43831</v>
          </cell>
          <cell r="F1050">
            <v>126.11</v>
          </cell>
        </row>
        <row r="1050">
          <cell r="H1050">
            <v>43831</v>
          </cell>
          <cell r="I1050">
            <v>76.97</v>
          </cell>
        </row>
        <row r="1050">
          <cell r="K1050">
            <v>43831</v>
          </cell>
          <cell r="L1050">
            <v>139.18</v>
          </cell>
        </row>
        <row r="1050">
          <cell r="N1050">
            <v>43887</v>
          </cell>
          <cell r="O1050">
            <v>107.64</v>
          </cell>
        </row>
        <row r="1051">
          <cell r="B1051">
            <v>43888</v>
          </cell>
          <cell r="C1051">
            <v>105.44</v>
          </cell>
        </row>
        <row r="1051">
          <cell r="E1051">
            <v>43832</v>
          </cell>
          <cell r="F1051">
            <v>128.2</v>
          </cell>
        </row>
        <row r="1051">
          <cell r="H1051">
            <v>43832</v>
          </cell>
          <cell r="I1051">
            <v>76.53</v>
          </cell>
        </row>
        <row r="1051">
          <cell r="K1051">
            <v>43832</v>
          </cell>
          <cell r="L1051">
            <v>139.43</v>
          </cell>
        </row>
        <row r="1051">
          <cell r="N1051">
            <v>43888</v>
          </cell>
          <cell r="O1051">
            <v>106.79</v>
          </cell>
        </row>
        <row r="1052">
          <cell r="B1052">
            <v>43889</v>
          </cell>
          <cell r="C1052">
            <v>105.59</v>
          </cell>
        </row>
        <row r="1052">
          <cell r="E1052">
            <v>43833</v>
          </cell>
          <cell r="F1052">
            <v>128.2</v>
          </cell>
        </row>
        <row r="1052">
          <cell r="H1052">
            <v>43833</v>
          </cell>
          <cell r="I1052">
            <v>76.04</v>
          </cell>
        </row>
        <row r="1052">
          <cell r="K1052">
            <v>43833</v>
          </cell>
          <cell r="L1052">
            <v>139.36</v>
          </cell>
        </row>
        <row r="1052">
          <cell r="N1052">
            <v>43889</v>
          </cell>
          <cell r="O1052">
            <v>107.15</v>
          </cell>
        </row>
        <row r="1053">
          <cell r="B1053">
            <v>43892</v>
          </cell>
          <cell r="C1053">
            <v>105.27</v>
          </cell>
        </row>
        <row r="1053">
          <cell r="E1053">
            <v>43836</v>
          </cell>
          <cell r="F1053">
            <v>127.74</v>
          </cell>
        </row>
        <row r="1053">
          <cell r="H1053">
            <v>43836</v>
          </cell>
          <cell r="I1053">
            <v>75.9</v>
          </cell>
        </row>
        <row r="1053">
          <cell r="K1053">
            <v>43836</v>
          </cell>
          <cell r="L1053">
            <v>138.97</v>
          </cell>
        </row>
        <row r="1053">
          <cell r="N1053">
            <v>43892</v>
          </cell>
          <cell r="O1053">
            <v>108.2</v>
          </cell>
        </row>
        <row r="1054">
          <cell r="B1054">
            <v>43893</v>
          </cell>
          <cell r="C1054">
            <v>104.61</v>
          </cell>
        </row>
        <row r="1054">
          <cell r="E1054">
            <v>43837</v>
          </cell>
          <cell r="F1054">
            <v>127.85</v>
          </cell>
        </row>
        <row r="1054">
          <cell r="H1054">
            <v>43837</v>
          </cell>
          <cell r="I1054">
            <v>75.93</v>
          </cell>
        </row>
        <row r="1054">
          <cell r="K1054">
            <v>43837</v>
          </cell>
          <cell r="L1054">
            <v>138.38</v>
          </cell>
        </row>
        <row r="1054">
          <cell r="N1054">
            <v>43893</v>
          </cell>
          <cell r="O1054">
            <v>107.57</v>
          </cell>
        </row>
        <row r="1055">
          <cell r="B1055">
            <v>43894</v>
          </cell>
          <cell r="C1055">
            <v>105.12</v>
          </cell>
        </row>
        <row r="1055">
          <cell r="E1055">
            <v>43838</v>
          </cell>
          <cell r="F1055">
            <v>128.2</v>
          </cell>
        </row>
        <row r="1055">
          <cell r="H1055">
            <v>43838</v>
          </cell>
          <cell r="I1055">
            <v>75.8</v>
          </cell>
        </row>
        <row r="1055">
          <cell r="K1055">
            <v>43838</v>
          </cell>
          <cell r="L1055">
            <v>138.73</v>
          </cell>
        </row>
        <row r="1055">
          <cell r="N1055">
            <v>43894</v>
          </cell>
          <cell r="O1055">
            <v>108.56</v>
          </cell>
        </row>
        <row r="1056">
          <cell r="B1056">
            <v>43895</v>
          </cell>
          <cell r="C1056">
            <v>105.15</v>
          </cell>
        </row>
        <row r="1056">
          <cell r="E1056">
            <v>43839</v>
          </cell>
          <cell r="F1056">
            <v>129.18</v>
          </cell>
        </row>
        <row r="1056">
          <cell r="H1056">
            <v>43839</v>
          </cell>
          <cell r="I1056">
            <v>75.35</v>
          </cell>
        </row>
        <row r="1056">
          <cell r="K1056">
            <v>43839</v>
          </cell>
          <cell r="L1056">
            <v>138.96</v>
          </cell>
        </row>
        <row r="1056">
          <cell r="N1056">
            <v>43895</v>
          </cell>
          <cell r="O1056">
            <v>108.42</v>
          </cell>
        </row>
        <row r="1057">
          <cell r="B1057">
            <v>43896</v>
          </cell>
          <cell r="C1057">
            <v>105.05</v>
          </cell>
        </row>
        <row r="1057">
          <cell r="E1057">
            <v>43840</v>
          </cell>
          <cell r="F1057">
            <v>129.42</v>
          </cell>
        </row>
        <row r="1057">
          <cell r="H1057">
            <v>43840</v>
          </cell>
          <cell r="I1057">
            <v>75.49</v>
          </cell>
        </row>
        <row r="1057">
          <cell r="K1057">
            <v>43840</v>
          </cell>
          <cell r="L1057">
            <v>139.2</v>
          </cell>
        </row>
        <row r="1057">
          <cell r="N1057">
            <v>43896</v>
          </cell>
          <cell r="O1057">
            <v>107.67</v>
          </cell>
        </row>
        <row r="1058">
          <cell r="B1058">
            <v>43899</v>
          </cell>
          <cell r="C1058">
            <v>104.36</v>
          </cell>
        </row>
        <row r="1058">
          <cell r="E1058">
            <v>43843</v>
          </cell>
          <cell r="F1058">
            <v>130.14</v>
          </cell>
        </row>
        <row r="1058">
          <cell r="H1058">
            <v>43843</v>
          </cell>
          <cell r="I1058">
            <v>75.28</v>
          </cell>
        </row>
        <row r="1058">
          <cell r="K1058">
            <v>43843</v>
          </cell>
          <cell r="L1058">
            <v>139.48</v>
          </cell>
        </row>
        <row r="1058">
          <cell r="N1058">
            <v>43899</v>
          </cell>
          <cell r="O1058">
            <v>108.52</v>
          </cell>
        </row>
        <row r="1059">
          <cell r="B1059">
            <v>43900</v>
          </cell>
          <cell r="C1059">
            <v>104.51</v>
          </cell>
        </row>
        <row r="1059">
          <cell r="E1059">
            <v>43844</v>
          </cell>
          <cell r="F1059">
            <v>129.04</v>
          </cell>
        </row>
        <row r="1059">
          <cell r="H1059">
            <v>43844</v>
          </cell>
          <cell r="I1059">
            <v>75.5</v>
          </cell>
        </row>
        <row r="1059">
          <cell r="K1059">
            <v>43844</v>
          </cell>
          <cell r="L1059">
            <v>138.61</v>
          </cell>
        </row>
        <row r="1059">
          <cell r="N1059">
            <v>43900</v>
          </cell>
          <cell r="O1059">
            <v>110.96</v>
          </cell>
        </row>
        <row r="1060">
          <cell r="B1060">
            <v>43901</v>
          </cell>
          <cell r="C1060">
            <v>104.45</v>
          </cell>
        </row>
        <row r="1060">
          <cell r="E1060">
            <v>43845</v>
          </cell>
          <cell r="F1060">
            <v>128.6</v>
          </cell>
        </row>
        <row r="1060">
          <cell r="H1060">
            <v>43845</v>
          </cell>
          <cell r="I1060">
            <v>75.36</v>
          </cell>
        </row>
        <row r="1060">
          <cell r="K1060">
            <v>43845</v>
          </cell>
          <cell r="L1060">
            <v>138.07</v>
          </cell>
        </row>
        <row r="1060">
          <cell r="N1060">
            <v>43901</v>
          </cell>
          <cell r="O1060">
            <v>112.2</v>
          </cell>
        </row>
        <row r="1061">
          <cell r="B1061">
            <v>43902</v>
          </cell>
          <cell r="C1061">
            <v>104.7</v>
          </cell>
        </row>
        <row r="1061">
          <cell r="E1061">
            <v>43846</v>
          </cell>
          <cell r="F1061">
            <v>129.31</v>
          </cell>
        </row>
        <row r="1061">
          <cell r="H1061">
            <v>43846</v>
          </cell>
          <cell r="I1061">
            <v>75.5</v>
          </cell>
        </row>
        <row r="1061">
          <cell r="K1061">
            <v>43846</v>
          </cell>
          <cell r="L1061">
            <v>137.41</v>
          </cell>
        </row>
        <row r="1061">
          <cell r="N1061">
            <v>43902</v>
          </cell>
          <cell r="O1061">
            <v>113.81</v>
          </cell>
        </row>
        <row r="1062">
          <cell r="B1062">
            <v>43903</v>
          </cell>
          <cell r="C1062">
            <v>104.61</v>
          </cell>
        </row>
        <row r="1062">
          <cell r="E1062">
            <v>43847</v>
          </cell>
          <cell r="F1062">
            <v>129.79</v>
          </cell>
        </row>
        <row r="1062">
          <cell r="H1062">
            <v>43847</v>
          </cell>
          <cell r="I1062">
            <v>75.44</v>
          </cell>
        </row>
        <row r="1062">
          <cell r="K1062">
            <v>43847</v>
          </cell>
          <cell r="L1062">
            <v>136.9</v>
          </cell>
        </row>
        <row r="1062">
          <cell r="N1062">
            <v>43903</v>
          </cell>
          <cell r="O1062">
            <v>115.89</v>
          </cell>
        </row>
        <row r="1063">
          <cell r="B1063">
            <v>43906</v>
          </cell>
          <cell r="C1063">
            <v>104.11</v>
          </cell>
        </row>
        <row r="1063">
          <cell r="E1063">
            <v>43850</v>
          </cell>
          <cell r="F1063">
            <v>129.69</v>
          </cell>
        </row>
        <row r="1063">
          <cell r="H1063">
            <v>43850</v>
          </cell>
          <cell r="I1063">
            <v>75.45</v>
          </cell>
        </row>
        <row r="1063">
          <cell r="K1063">
            <v>43850</v>
          </cell>
          <cell r="L1063">
            <v>136.94</v>
          </cell>
        </row>
        <row r="1063">
          <cell r="N1063">
            <v>43906</v>
          </cell>
          <cell r="O1063">
            <v>116.48</v>
          </cell>
        </row>
        <row r="1064">
          <cell r="B1064">
            <v>43907</v>
          </cell>
          <cell r="C1064">
            <v>103.84</v>
          </cell>
        </row>
        <row r="1064">
          <cell r="E1064">
            <v>43851</v>
          </cell>
          <cell r="F1064">
            <v>130.47</v>
          </cell>
        </row>
        <row r="1064">
          <cell r="H1064">
            <v>43851</v>
          </cell>
          <cell r="I1064">
            <v>75.04</v>
          </cell>
        </row>
        <row r="1064">
          <cell r="K1064">
            <v>43851</v>
          </cell>
          <cell r="L1064">
            <v>136.93</v>
          </cell>
        </row>
        <row r="1064">
          <cell r="N1064">
            <v>43907</v>
          </cell>
          <cell r="O1064">
            <v>115.35</v>
          </cell>
        </row>
        <row r="1065">
          <cell r="B1065">
            <v>43908</v>
          </cell>
          <cell r="C1065">
            <v>103.65</v>
          </cell>
        </row>
        <row r="1065">
          <cell r="E1065">
            <v>43852</v>
          </cell>
          <cell r="F1065">
            <v>131.08</v>
          </cell>
        </row>
        <row r="1065">
          <cell r="H1065">
            <v>43852</v>
          </cell>
          <cell r="I1065">
            <v>75.17</v>
          </cell>
        </row>
        <row r="1065">
          <cell r="K1065">
            <v>43852</v>
          </cell>
          <cell r="L1065">
            <v>136.91</v>
          </cell>
        </row>
        <row r="1065">
          <cell r="N1065">
            <v>43908</v>
          </cell>
          <cell r="O1065">
            <v>119.1</v>
          </cell>
        </row>
        <row r="1066">
          <cell r="B1066">
            <v>43909</v>
          </cell>
          <cell r="C1066">
            <v>103.56</v>
          </cell>
        </row>
        <row r="1066">
          <cell r="E1066">
            <v>43853</v>
          </cell>
          <cell r="F1066">
            <v>131</v>
          </cell>
        </row>
        <row r="1066">
          <cell r="H1066">
            <v>43853</v>
          </cell>
          <cell r="I1066">
            <v>75.19</v>
          </cell>
        </row>
        <row r="1066">
          <cell r="K1066">
            <v>43853</v>
          </cell>
          <cell r="L1066">
            <v>137.11</v>
          </cell>
        </row>
        <row r="1066">
          <cell r="N1066">
            <v>43909</v>
          </cell>
          <cell r="O1066">
            <v>111.94</v>
          </cell>
        </row>
        <row r="1067">
          <cell r="B1067">
            <v>43910</v>
          </cell>
          <cell r="C1067">
            <v>104.24</v>
          </cell>
        </row>
        <row r="1067">
          <cell r="E1067">
            <v>43854</v>
          </cell>
          <cell r="F1067">
            <v>130.91</v>
          </cell>
        </row>
        <row r="1067">
          <cell r="H1067">
            <v>43854</v>
          </cell>
          <cell r="I1067">
            <v>75.01</v>
          </cell>
        </row>
        <row r="1067">
          <cell r="K1067">
            <v>43854</v>
          </cell>
          <cell r="L1067">
            <v>137</v>
          </cell>
        </row>
        <row r="1067">
          <cell r="N1067">
            <v>43910</v>
          </cell>
          <cell r="O1067">
            <v>112.34</v>
          </cell>
        </row>
        <row r="1068">
          <cell r="B1068">
            <v>43913</v>
          </cell>
          <cell r="C1068">
            <v>103.78</v>
          </cell>
        </row>
        <row r="1068">
          <cell r="E1068">
            <v>43857</v>
          </cell>
          <cell r="F1068">
            <v>131.1</v>
          </cell>
        </row>
        <row r="1068">
          <cell r="H1068">
            <v>43857</v>
          </cell>
          <cell r="I1068">
            <v>74.99</v>
          </cell>
        </row>
        <row r="1068">
          <cell r="K1068">
            <v>43857</v>
          </cell>
          <cell r="L1068">
            <v>137.19</v>
          </cell>
        </row>
        <row r="1068">
          <cell r="N1068">
            <v>43913</v>
          </cell>
          <cell r="O1068">
            <v>111.24</v>
          </cell>
        </row>
        <row r="1069">
          <cell r="B1069">
            <v>43914</v>
          </cell>
          <cell r="C1069">
            <v>104.25</v>
          </cell>
        </row>
        <row r="1069">
          <cell r="E1069">
            <v>43858</v>
          </cell>
          <cell r="F1069">
            <v>132.2</v>
          </cell>
        </row>
        <row r="1069">
          <cell r="H1069">
            <v>43858</v>
          </cell>
          <cell r="I1069">
            <v>74.62</v>
          </cell>
        </row>
        <row r="1069">
          <cell r="K1069">
            <v>43858</v>
          </cell>
          <cell r="L1069">
            <v>136.72</v>
          </cell>
        </row>
        <row r="1069">
          <cell r="N1069">
            <v>43914</v>
          </cell>
          <cell r="O1069">
            <v>112.7</v>
          </cell>
        </row>
        <row r="1070">
          <cell r="B1070">
            <v>43915</v>
          </cell>
          <cell r="C1070">
            <v>104.48</v>
          </cell>
        </row>
        <row r="1070">
          <cell r="E1070">
            <v>43859</v>
          </cell>
          <cell r="F1070">
            <v>132.8</v>
          </cell>
        </row>
        <row r="1070">
          <cell r="H1070">
            <v>43859</v>
          </cell>
          <cell r="I1070">
            <v>74.32</v>
          </cell>
        </row>
        <row r="1070">
          <cell r="K1070">
            <v>43859</v>
          </cell>
          <cell r="L1070">
            <v>136.43</v>
          </cell>
        </row>
        <row r="1070">
          <cell r="N1070">
            <v>43915</v>
          </cell>
          <cell r="O1070">
            <v>114.58</v>
          </cell>
        </row>
        <row r="1071">
          <cell r="B1071">
            <v>43916</v>
          </cell>
          <cell r="C1071">
            <v>104.23</v>
          </cell>
        </row>
        <row r="1071">
          <cell r="E1071">
            <v>43860</v>
          </cell>
          <cell r="F1071">
            <v>133.51</v>
          </cell>
        </row>
        <row r="1071">
          <cell r="H1071">
            <v>43860</v>
          </cell>
          <cell r="I1071">
            <v>73.84</v>
          </cell>
        </row>
        <row r="1071">
          <cell r="K1071">
            <v>43860</v>
          </cell>
          <cell r="L1071">
            <v>136.3</v>
          </cell>
        </row>
        <row r="1071">
          <cell r="N1071">
            <v>43916</v>
          </cell>
          <cell r="O1071">
            <v>114.31</v>
          </cell>
        </row>
        <row r="1072">
          <cell r="B1072">
            <v>43917</v>
          </cell>
          <cell r="C1072">
            <v>103.74</v>
          </cell>
        </row>
        <row r="1072">
          <cell r="E1072">
            <v>43861</v>
          </cell>
          <cell r="F1072">
            <v>133.08</v>
          </cell>
        </row>
        <row r="1072">
          <cell r="H1072">
            <v>43861</v>
          </cell>
          <cell r="I1072">
            <v>73.73</v>
          </cell>
        </row>
        <row r="1072">
          <cell r="K1072">
            <v>43861</v>
          </cell>
          <cell r="L1072">
            <v>135.53</v>
          </cell>
        </row>
        <row r="1072">
          <cell r="N1072">
            <v>43917</v>
          </cell>
          <cell r="O1072">
            <v>115.65</v>
          </cell>
        </row>
        <row r="1073">
          <cell r="B1073">
            <v>43920</v>
          </cell>
          <cell r="C1073">
            <v>103.84</v>
          </cell>
        </row>
        <row r="1073">
          <cell r="E1073">
            <v>43864</v>
          </cell>
          <cell r="F1073">
            <v>133.66</v>
          </cell>
        </row>
        <row r="1073">
          <cell r="H1073">
            <v>43864</v>
          </cell>
          <cell r="I1073">
            <v>73.13</v>
          </cell>
        </row>
        <row r="1073">
          <cell r="K1073">
            <v>43864</v>
          </cell>
          <cell r="L1073">
            <v>135.57</v>
          </cell>
        </row>
        <row r="1073">
          <cell r="N1073">
            <v>43920</v>
          </cell>
          <cell r="O1073">
            <v>116.98</v>
          </cell>
        </row>
        <row r="1074">
          <cell r="B1074">
            <v>43921</v>
          </cell>
          <cell r="C1074">
            <v>104.61</v>
          </cell>
        </row>
        <row r="1074">
          <cell r="E1074">
            <v>43865</v>
          </cell>
          <cell r="F1074">
            <v>133.84</v>
          </cell>
        </row>
        <row r="1074">
          <cell r="H1074">
            <v>43865</v>
          </cell>
          <cell r="I1074">
            <v>72.74</v>
          </cell>
        </row>
        <row r="1074">
          <cell r="K1074">
            <v>43865</v>
          </cell>
          <cell r="L1074">
            <v>136.05</v>
          </cell>
        </row>
        <row r="1074">
          <cell r="N1074">
            <v>43921</v>
          </cell>
          <cell r="O1074">
            <v>115.28</v>
          </cell>
        </row>
        <row r="1075">
          <cell r="B1075">
            <v>43922</v>
          </cell>
          <cell r="C1075">
            <v>104.8</v>
          </cell>
        </row>
        <row r="1075">
          <cell r="E1075">
            <v>43866</v>
          </cell>
          <cell r="F1075">
            <v>131.58</v>
          </cell>
        </row>
        <row r="1075">
          <cell r="H1075">
            <v>43866</v>
          </cell>
          <cell r="I1075">
            <v>73.6</v>
          </cell>
        </row>
        <row r="1075">
          <cell r="K1075">
            <v>43866</v>
          </cell>
          <cell r="L1075">
            <v>135.87</v>
          </cell>
        </row>
        <row r="1075">
          <cell r="N1075">
            <v>43922</v>
          </cell>
          <cell r="O1075">
            <v>117.99</v>
          </cell>
        </row>
        <row r="1076">
          <cell r="B1076">
            <v>43923</v>
          </cell>
          <cell r="C1076">
            <v>105.56</v>
          </cell>
        </row>
        <row r="1076">
          <cell r="E1076">
            <v>43867</v>
          </cell>
          <cell r="F1076">
            <v>132.01</v>
          </cell>
        </row>
        <row r="1076">
          <cell r="H1076">
            <v>43867</v>
          </cell>
          <cell r="I1076">
            <v>73.35</v>
          </cell>
        </row>
        <row r="1076">
          <cell r="K1076">
            <v>43867</v>
          </cell>
          <cell r="L1076">
            <v>135.93</v>
          </cell>
        </row>
        <row r="1076">
          <cell r="N1076">
            <v>43923</v>
          </cell>
          <cell r="O1076">
            <v>119.56</v>
          </cell>
        </row>
        <row r="1077">
          <cell r="B1077">
            <v>43924</v>
          </cell>
          <cell r="C1077">
            <v>105.94</v>
          </cell>
        </row>
        <row r="1077">
          <cell r="E1077">
            <v>43868</v>
          </cell>
          <cell r="F1077">
            <v>132.38</v>
          </cell>
        </row>
        <row r="1077">
          <cell r="H1077">
            <v>43868</v>
          </cell>
          <cell r="I1077">
            <v>72.85</v>
          </cell>
        </row>
        <row r="1077">
          <cell r="K1077">
            <v>43868</v>
          </cell>
          <cell r="L1077">
            <v>136.27</v>
          </cell>
        </row>
        <row r="1077">
          <cell r="N1077">
            <v>43924</v>
          </cell>
          <cell r="O1077">
            <v>121.22</v>
          </cell>
        </row>
        <row r="1078">
          <cell r="B1078">
            <v>43927</v>
          </cell>
          <cell r="C1078">
            <v>105.66</v>
          </cell>
        </row>
        <row r="1078">
          <cell r="E1078">
            <v>43871</v>
          </cell>
          <cell r="F1078">
            <v>134.02</v>
          </cell>
        </row>
        <row r="1078">
          <cell r="H1078">
            <v>43871</v>
          </cell>
          <cell r="I1078">
            <v>72.68</v>
          </cell>
        </row>
        <row r="1078">
          <cell r="K1078">
            <v>43871</v>
          </cell>
          <cell r="L1078">
            <v>135.91</v>
          </cell>
        </row>
        <row r="1078">
          <cell r="N1078">
            <v>43927</v>
          </cell>
          <cell r="O1078">
            <v>119.71</v>
          </cell>
        </row>
        <row r="1079">
          <cell r="B1079">
            <v>43928</v>
          </cell>
          <cell r="C1079">
            <v>105.8</v>
          </cell>
        </row>
        <row r="1079">
          <cell r="E1079">
            <v>43872</v>
          </cell>
          <cell r="F1079">
            <v>133.18</v>
          </cell>
        </row>
        <row r="1079">
          <cell r="H1079">
            <v>43872</v>
          </cell>
          <cell r="I1079">
            <v>72.97</v>
          </cell>
        </row>
        <row r="1079">
          <cell r="K1079">
            <v>43872</v>
          </cell>
          <cell r="L1079">
            <v>135.59</v>
          </cell>
        </row>
        <row r="1079">
          <cell r="N1079">
            <v>43928</v>
          </cell>
          <cell r="O1079">
            <v>119.24</v>
          </cell>
        </row>
        <row r="1080">
          <cell r="B1080">
            <v>43929</v>
          </cell>
          <cell r="C1080">
            <v>105.71</v>
          </cell>
        </row>
        <row r="1080">
          <cell r="E1080">
            <v>43873</v>
          </cell>
          <cell r="F1080">
            <v>133.5</v>
          </cell>
        </row>
        <row r="1080">
          <cell r="H1080">
            <v>43873</v>
          </cell>
          <cell r="I1080">
            <v>72.87</v>
          </cell>
        </row>
        <row r="1080">
          <cell r="K1080">
            <v>43873</v>
          </cell>
          <cell r="L1080">
            <v>136.45</v>
          </cell>
        </row>
        <row r="1080">
          <cell r="N1080">
            <v>43929</v>
          </cell>
          <cell r="O1080">
            <v>118.03</v>
          </cell>
        </row>
        <row r="1081">
          <cell r="B1081">
            <v>43930</v>
          </cell>
          <cell r="C1081">
            <v>105.49</v>
          </cell>
        </row>
        <row r="1081">
          <cell r="E1081">
            <v>43874</v>
          </cell>
          <cell r="F1081">
            <v>134.46</v>
          </cell>
        </row>
        <row r="1081">
          <cell r="H1081">
            <v>43874</v>
          </cell>
          <cell r="I1081">
            <v>72.6</v>
          </cell>
        </row>
        <row r="1081">
          <cell r="K1081">
            <v>43874</v>
          </cell>
          <cell r="L1081">
            <v>137.17</v>
          </cell>
        </row>
        <row r="1081">
          <cell r="N1081">
            <v>43930</v>
          </cell>
          <cell r="O1081">
            <v>114.65</v>
          </cell>
        </row>
        <row r="1082">
          <cell r="B1082">
            <v>43931</v>
          </cell>
          <cell r="C1082">
            <v>105.49</v>
          </cell>
        </row>
        <row r="1082">
          <cell r="E1082">
            <v>43875</v>
          </cell>
          <cell r="F1082">
            <v>134.96</v>
          </cell>
        </row>
        <row r="1082">
          <cell r="H1082">
            <v>43875</v>
          </cell>
          <cell r="I1082">
            <v>71.99</v>
          </cell>
        </row>
        <row r="1082">
          <cell r="K1082">
            <v>43875</v>
          </cell>
          <cell r="L1082">
            <v>137.13</v>
          </cell>
        </row>
        <row r="1082">
          <cell r="N1082">
            <v>43931</v>
          </cell>
          <cell r="O1082">
            <v>114.66</v>
          </cell>
        </row>
        <row r="1083">
          <cell r="B1083">
            <v>43934</v>
          </cell>
          <cell r="C1083">
            <v>105.6</v>
          </cell>
        </row>
        <row r="1083">
          <cell r="E1083">
            <v>43878</v>
          </cell>
          <cell r="F1083">
            <v>134.93</v>
          </cell>
        </row>
        <row r="1083">
          <cell r="H1083">
            <v>43878</v>
          </cell>
          <cell r="I1083">
            <v>72.01</v>
          </cell>
        </row>
        <row r="1083">
          <cell r="K1083">
            <v>43878</v>
          </cell>
          <cell r="L1083">
            <v>137.1</v>
          </cell>
        </row>
        <row r="1083">
          <cell r="N1083">
            <v>43934</v>
          </cell>
          <cell r="O1083">
            <v>116</v>
          </cell>
        </row>
        <row r="1084">
          <cell r="B1084">
            <v>43935</v>
          </cell>
          <cell r="C1084">
            <v>105.11</v>
          </cell>
        </row>
        <row r="1084">
          <cell r="E1084">
            <v>43879</v>
          </cell>
          <cell r="F1084">
            <v>134.91</v>
          </cell>
        </row>
        <row r="1084">
          <cell r="H1084">
            <v>43879</v>
          </cell>
          <cell r="I1084">
            <v>72.04</v>
          </cell>
        </row>
        <row r="1084">
          <cell r="K1084">
            <v>43879</v>
          </cell>
          <cell r="L1084">
            <v>137.02</v>
          </cell>
        </row>
        <row r="1084">
          <cell r="N1084">
            <v>43935</v>
          </cell>
          <cell r="O1084">
            <v>116.53</v>
          </cell>
        </row>
        <row r="1085">
          <cell r="B1085">
            <v>43936</v>
          </cell>
          <cell r="C1085">
            <v>105.27</v>
          </cell>
        </row>
        <row r="1085">
          <cell r="E1085">
            <v>43880</v>
          </cell>
          <cell r="F1085">
            <v>135.67</v>
          </cell>
        </row>
        <row r="1085">
          <cell r="H1085">
            <v>43880</v>
          </cell>
          <cell r="I1085">
            <v>71.96</v>
          </cell>
        </row>
        <row r="1085">
          <cell r="K1085">
            <v>43880</v>
          </cell>
          <cell r="L1085">
            <v>136.52</v>
          </cell>
        </row>
        <row r="1085">
          <cell r="N1085">
            <v>43936</v>
          </cell>
          <cell r="O1085">
            <v>118.44</v>
          </cell>
        </row>
        <row r="1086">
          <cell r="B1086">
            <v>43937</v>
          </cell>
          <cell r="C1086">
            <v>105.39</v>
          </cell>
        </row>
        <row r="1086">
          <cell r="E1086">
            <v>43881</v>
          </cell>
          <cell r="F1086">
            <v>134.31</v>
          </cell>
        </row>
        <row r="1086">
          <cell r="H1086">
            <v>43881</v>
          </cell>
          <cell r="I1086">
            <v>72.07</v>
          </cell>
        </row>
        <row r="1086">
          <cell r="K1086">
            <v>43881</v>
          </cell>
          <cell r="L1086">
            <v>136.3</v>
          </cell>
        </row>
        <row r="1086">
          <cell r="N1086">
            <v>43937</v>
          </cell>
          <cell r="O1086">
            <v>119.22</v>
          </cell>
        </row>
        <row r="1087">
          <cell r="B1087">
            <v>43938</v>
          </cell>
          <cell r="C1087">
            <v>105.57</v>
          </cell>
        </row>
        <row r="1087">
          <cell r="E1087">
            <v>43882</v>
          </cell>
          <cell r="F1087">
            <v>132.82</v>
          </cell>
        </row>
        <row r="1087">
          <cell r="H1087">
            <v>43882</v>
          </cell>
          <cell r="I1087">
            <v>72.22</v>
          </cell>
        </row>
        <row r="1087">
          <cell r="K1087">
            <v>43882</v>
          </cell>
          <cell r="L1087">
            <v>135.58</v>
          </cell>
        </row>
        <row r="1087">
          <cell r="N1087">
            <v>43938</v>
          </cell>
          <cell r="O1087">
            <v>118.57</v>
          </cell>
        </row>
        <row r="1088">
          <cell r="B1088">
            <v>43941</v>
          </cell>
          <cell r="C1088">
            <v>105.83</v>
          </cell>
        </row>
        <row r="1088">
          <cell r="E1088">
            <v>43885</v>
          </cell>
          <cell r="F1088">
            <v>132.61</v>
          </cell>
        </row>
        <row r="1088">
          <cell r="H1088">
            <v>43885</v>
          </cell>
          <cell r="I1088">
            <v>72.1</v>
          </cell>
        </row>
        <row r="1088">
          <cell r="K1088">
            <v>43885</v>
          </cell>
          <cell r="L1088">
            <v>135.45</v>
          </cell>
        </row>
        <row r="1088">
          <cell r="N1088">
            <v>43941</v>
          </cell>
          <cell r="O1088">
            <v>117.81</v>
          </cell>
        </row>
        <row r="1089">
          <cell r="B1089">
            <v>43942</v>
          </cell>
          <cell r="C1089">
            <v>105.57</v>
          </cell>
        </row>
        <row r="1089">
          <cell r="E1089">
            <v>43886</v>
          </cell>
          <cell r="F1089">
            <v>133.2</v>
          </cell>
        </row>
        <row r="1089">
          <cell r="H1089">
            <v>43886</v>
          </cell>
          <cell r="I1089">
            <v>71.98</v>
          </cell>
        </row>
        <row r="1089">
          <cell r="K1089">
            <v>43886</v>
          </cell>
          <cell r="L1089">
            <v>135.5</v>
          </cell>
        </row>
        <row r="1089">
          <cell r="N1089">
            <v>43942</v>
          </cell>
          <cell r="O1089">
            <v>116.68</v>
          </cell>
        </row>
        <row r="1090">
          <cell r="B1090">
            <v>43943</v>
          </cell>
          <cell r="C1090">
            <v>105.74</v>
          </cell>
        </row>
        <row r="1090">
          <cell r="E1090">
            <v>43887</v>
          </cell>
          <cell r="F1090">
            <v>133.75</v>
          </cell>
        </row>
        <row r="1090">
          <cell r="H1090">
            <v>43887</v>
          </cell>
          <cell r="I1090">
            <v>71.64</v>
          </cell>
        </row>
        <row r="1090">
          <cell r="K1090">
            <v>43887</v>
          </cell>
          <cell r="L1090">
            <v>135.86</v>
          </cell>
        </row>
        <row r="1090">
          <cell r="N1090">
            <v>43943</v>
          </cell>
          <cell r="O1090">
            <v>117.17</v>
          </cell>
        </row>
        <row r="1091">
          <cell r="B1091">
            <v>43944</v>
          </cell>
          <cell r="C1091">
            <v>105.74</v>
          </cell>
        </row>
        <row r="1091">
          <cell r="E1091">
            <v>43888</v>
          </cell>
          <cell r="F1091">
            <v>133.08</v>
          </cell>
        </row>
        <row r="1091">
          <cell r="H1091">
            <v>43888</v>
          </cell>
          <cell r="I1091">
            <v>71.89</v>
          </cell>
        </row>
        <row r="1091">
          <cell r="K1091">
            <v>43888</v>
          </cell>
          <cell r="L1091">
            <v>135.68</v>
          </cell>
        </row>
        <row r="1091">
          <cell r="N1091">
            <v>43944</v>
          </cell>
          <cell r="O1091">
            <v>115.65</v>
          </cell>
        </row>
        <row r="1092">
          <cell r="B1092">
            <v>43945</v>
          </cell>
          <cell r="C1092">
            <v>105.58</v>
          </cell>
        </row>
        <row r="1092">
          <cell r="E1092">
            <v>43889</v>
          </cell>
          <cell r="F1092">
            <v>134.89</v>
          </cell>
        </row>
        <row r="1092">
          <cell r="H1092">
            <v>43889</v>
          </cell>
          <cell r="I1092">
            <v>71.67</v>
          </cell>
        </row>
        <row r="1092">
          <cell r="K1092">
            <v>43889</v>
          </cell>
          <cell r="L1092">
            <v>135.71</v>
          </cell>
        </row>
        <row r="1092">
          <cell r="N1092">
            <v>43945</v>
          </cell>
          <cell r="O1092">
            <v>116.05</v>
          </cell>
        </row>
        <row r="1093">
          <cell r="B1093">
            <v>43948</v>
          </cell>
          <cell r="C1093">
            <v>105.19</v>
          </cell>
        </row>
        <row r="1093">
          <cell r="E1093">
            <v>43892</v>
          </cell>
          <cell r="F1093">
            <v>136.8</v>
          </cell>
        </row>
        <row r="1093">
          <cell r="H1093">
            <v>43892</v>
          </cell>
          <cell r="I1093">
            <v>71.2</v>
          </cell>
        </row>
        <row r="1093">
          <cell r="K1093">
            <v>43892</v>
          </cell>
          <cell r="L1093">
            <v>136.35</v>
          </cell>
        </row>
        <row r="1093">
          <cell r="N1093">
            <v>43948</v>
          </cell>
          <cell r="O1093">
            <v>113.42</v>
          </cell>
        </row>
        <row r="1094">
          <cell r="B1094">
            <v>43949</v>
          </cell>
          <cell r="C1094">
            <v>105.27</v>
          </cell>
        </row>
        <row r="1094">
          <cell r="E1094">
            <v>43893</v>
          </cell>
          <cell r="F1094">
            <v>137.41</v>
          </cell>
        </row>
        <row r="1094">
          <cell r="H1094">
            <v>43893</v>
          </cell>
          <cell r="I1094">
            <v>71.07</v>
          </cell>
        </row>
        <row r="1094">
          <cell r="K1094">
            <v>43893</v>
          </cell>
          <cell r="L1094">
            <v>135.72</v>
          </cell>
        </row>
        <row r="1094">
          <cell r="N1094">
            <v>43949</v>
          </cell>
          <cell r="O1094">
            <v>111.3</v>
          </cell>
        </row>
        <row r="1095">
          <cell r="B1095">
            <v>43950</v>
          </cell>
          <cell r="C1095">
            <v>106.65</v>
          </cell>
        </row>
        <row r="1095">
          <cell r="E1095">
            <v>43894</v>
          </cell>
          <cell r="F1095">
            <v>139.06</v>
          </cell>
        </row>
        <row r="1095">
          <cell r="H1095">
            <v>43894</v>
          </cell>
          <cell r="I1095">
            <v>71.23</v>
          </cell>
        </row>
        <row r="1095">
          <cell r="K1095">
            <v>43894</v>
          </cell>
          <cell r="L1095">
            <v>136.43</v>
          </cell>
        </row>
        <row r="1095">
          <cell r="N1095">
            <v>43950</v>
          </cell>
          <cell r="O1095">
            <v>108.54</v>
          </cell>
        </row>
        <row r="1096">
          <cell r="B1096">
            <v>43951</v>
          </cell>
          <cell r="C1096">
            <v>106.8</v>
          </cell>
        </row>
        <row r="1096">
          <cell r="E1096">
            <v>43895</v>
          </cell>
          <cell r="F1096">
            <v>139.39</v>
          </cell>
        </row>
        <row r="1096">
          <cell r="H1096">
            <v>43895</v>
          </cell>
          <cell r="I1096">
            <v>71.27</v>
          </cell>
        </row>
        <row r="1096">
          <cell r="K1096">
            <v>43895</v>
          </cell>
          <cell r="L1096">
            <v>136.67</v>
          </cell>
        </row>
        <row r="1096">
          <cell r="N1096">
            <v>43951</v>
          </cell>
          <cell r="O1096">
            <v>110.31</v>
          </cell>
        </row>
        <row r="1097">
          <cell r="B1097">
            <v>43952</v>
          </cell>
          <cell r="C1097">
            <v>106.48</v>
          </cell>
        </row>
        <row r="1097">
          <cell r="E1097">
            <v>43896</v>
          </cell>
          <cell r="F1097">
            <v>138.16</v>
          </cell>
        </row>
        <row r="1097">
          <cell r="H1097">
            <v>43896</v>
          </cell>
          <cell r="I1097">
            <v>71.51</v>
          </cell>
        </row>
        <row r="1097">
          <cell r="K1097">
            <v>43896</v>
          </cell>
          <cell r="L1097">
            <v>138.18</v>
          </cell>
        </row>
        <row r="1097">
          <cell r="N1097">
            <v>43952</v>
          </cell>
          <cell r="O1097">
            <v>111</v>
          </cell>
        </row>
        <row r="1098">
          <cell r="B1098">
            <v>43955</v>
          </cell>
          <cell r="C1098">
            <v>106.82</v>
          </cell>
        </row>
        <row r="1098">
          <cell r="E1098">
            <v>43899</v>
          </cell>
          <cell r="F1098">
            <v>137.93</v>
          </cell>
        </row>
        <row r="1098">
          <cell r="H1098">
            <v>43899</v>
          </cell>
          <cell r="I1098">
            <v>71.19</v>
          </cell>
        </row>
        <row r="1098">
          <cell r="K1098">
            <v>43899</v>
          </cell>
          <cell r="L1098">
            <v>141.29</v>
          </cell>
        </row>
        <row r="1098">
          <cell r="N1098">
            <v>43955</v>
          </cell>
          <cell r="O1098">
            <v>111.31</v>
          </cell>
        </row>
        <row r="1099">
          <cell r="B1099">
            <v>43956</v>
          </cell>
          <cell r="C1099">
            <v>107.42</v>
          </cell>
        </row>
        <row r="1099">
          <cell r="E1099">
            <v>43900</v>
          </cell>
          <cell r="F1099">
            <v>139.43</v>
          </cell>
        </row>
        <row r="1099">
          <cell r="H1099">
            <v>43900</v>
          </cell>
          <cell r="I1099">
            <v>70.78</v>
          </cell>
        </row>
        <row r="1099">
          <cell r="K1099">
            <v>43900</v>
          </cell>
          <cell r="L1099">
            <v>141.71</v>
          </cell>
        </row>
        <row r="1099">
          <cell r="N1099">
            <v>43956</v>
          </cell>
          <cell r="O1099">
            <v>111.64</v>
          </cell>
        </row>
        <row r="1100">
          <cell r="B1100">
            <v>43957</v>
          </cell>
          <cell r="C1100">
            <v>107</v>
          </cell>
        </row>
        <row r="1100">
          <cell r="E1100">
            <v>43901</v>
          </cell>
          <cell r="F1100">
            <v>139.58</v>
          </cell>
        </row>
        <row r="1100">
          <cell r="H1100">
            <v>43901</v>
          </cell>
          <cell r="I1100">
            <v>70.86</v>
          </cell>
        </row>
        <row r="1100">
          <cell r="K1100">
            <v>43901</v>
          </cell>
          <cell r="L1100">
            <v>141.93</v>
          </cell>
        </row>
        <row r="1100">
          <cell r="N1100">
            <v>43957</v>
          </cell>
          <cell r="O1100">
            <v>111.34</v>
          </cell>
        </row>
        <row r="1101">
          <cell r="B1101">
            <v>43958</v>
          </cell>
          <cell r="C1101">
            <v>108.02</v>
          </cell>
        </row>
        <row r="1101">
          <cell r="E1101">
            <v>43902</v>
          </cell>
          <cell r="F1101">
            <v>140.88</v>
          </cell>
        </row>
        <row r="1101">
          <cell r="H1101">
            <v>43902</v>
          </cell>
          <cell r="I1101">
            <v>69.78</v>
          </cell>
        </row>
        <row r="1101">
          <cell r="K1101">
            <v>43902</v>
          </cell>
          <cell r="L1101">
            <v>141.63</v>
          </cell>
        </row>
        <row r="1101">
          <cell r="N1101">
            <v>43958</v>
          </cell>
          <cell r="O1101">
            <v>110.83</v>
          </cell>
        </row>
        <row r="1102">
          <cell r="B1102">
            <v>43959</v>
          </cell>
          <cell r="C1102">
            <v>107.97</v>
          </cell>
        </row>
        <row r="1102">
          <cell r="E1102">
            <v>43903</v>
          </cell>
          <cell r="F1102">
            <v>139.87</v>
          </cell>
        </row>
        <row r="1102">
          <cell r="H1102">
            <v>43903</v>
          </cell>
          <cell r="I1102">
            <v>69.22</v>
          </cell>
        </row>
        <row r="1102">
          <cell r="K1102">
            <v>43903</v>
          </cell>
          <cell r="L1102">
            <v>142.67</v>
          </cell>
        </row>
        <row r="1102">
          <cell r="N1102">
            <v>43959</v>
          </cell>
          <cell r="O1102">
            <v>109.61</v>
          </cell>
        </row>
        <row r="1103">
          <cell r="B1103">
            <v>43962</v>
          </cell>
          <cell r="C1103">
            <v>107.8</v>
          </cell>
        </row>
        <row r="1103">
          <cell r="E1103">
            <v>43906</v>
          </cell>
          <cell r="F1103">
            <v>136.45</v>
          </cell>
        </row>
        <row r="1103">
          <cell r="H1103">
            <v>43906</v>
          </cell>
          <cell r="I1103">
            <v>70.52</v>
          </cell>
        </row>
        <row r="1103">
          <cell r="K1103">
            <v>43906</v>
          </cell>
          <cell r="L1103">
            <v>140.89</v>
          </cell>
        </row>
        <row r="1103">
          <cell r="N1103">
            <v>43962</v>
          </cell>
          <cell r="O1103">
            <v>110.13</v>
          </cell>
        </row>
        <row r="1104">
          <cell r="B1104">
            <v>43963</v>
          </cell>
          <cell r="C1104">
            <v>107.71</v>
          </cell>
        </row>
        <row r="1104">
          <cell r="E1104">
            <v>43907</v>
          </cell>
          <cell r="F1104">
            <v>138.28</v>
          </cell>
        </row>
        <row r="1104">
          <cell r="H1104">
            <v>43907</v>
          </cell>
          <cell r="I1104">
            <v>70.02</v>
          </cell>
        </row>
        <row r="1104">
          <cell r="K1104">
            <v>43907</v>
          </cell>
          <cell r="L1104">
            <v>142.61</v>
          </cell>
        </row>
        <row r="1104">
          <cell r="N1104">
            <v>43963</v>
          </cell>
          <cell r="O1104">
            <v>110.86</v>
          </cell>
        </row>
        <row r="1105">
          <cell r="B1105">
            <v>43964</v>
          </cell>
          <cell r="C1105">
            <v>107.02</v>
          </cell>
        </row>
        <row r="1105">
          <cell r="E1105">
            <v>43908</v>
          </cell>
          <cell r="F1105">
            <v>137.83</v>
          </cell>
        </row>
        <row r="1105">
          <cell r="H1105">
            <v>43908</v>
          </cell>
          <cell r="I1105">
            <v>69.89</v>
          </cell>
        </row>
        <row r="1105">
          <cell r="K1105">
            <v>43908</v>
          </cell>
          <cell r="L1105">
            <v>143.16</v>
          </cell>
        </row>
        <row r="1105">
          <cell r="N1105">
            <v>43964</v>
          </cell>
          <cell r="O1105">
            <v>112.09</v>
          </cell>
        </row>
        <row r="1106">
          <cell r="B1106">
            <v>43965</v>
          </cell>
          <cell r="C1106">
            <v>106.93</v>
          </cell>
        </row>
        <row r="1106">
          <cell r="E1106">
            <v>43909</v>
          </cell>
          <cell r="F1106">
            <v>137.28</v>
          </cell>
        </row>
        <row r="1106">
          <cell r="H1106">
            <v>43909</v>
          </cell>
          <cell r="I1106">
            <v>68.93</v>
          </cell>
        </row>
        <row r="1106">
          <cell r="K1106">
            <v>43909</v>
          </cell>
          <cell r="L1106">
            <v>142.15</v>
          </cell>
        </row>
        <row r="1106">
          <cell r="N1106">
            <v>43965</v>
          </cell>
          <cell r="O1106">
            <v>113.14</v>
          </cell>
        </row>
        <row r="1107">
          <cell r="B1107">
            <v>43966</v>
          </cell>
          <cell r="C1107">
            <v>107.18</v>
          </cell>
        </row>
        <row r="1107">
          <cell r="E1107">
            <v>43910</v>
          </cell>
          <cell r="F1107">
            <v>136.55</v>
          </cell>
        </row>
        <row r="1107">
          <cell r="H1107">
            <v>43910</v>
          </cell>
          <cell r="I1107">
            <v>68.6</v>
          </cell>
        </row>
        <row r="1107">
          <cell r="K1107">
            <v>43910</v>
          </cell>
          <cell r="L1107">
            <v>139.96</v>
          </cell>
        </row>
        <row r="1107">
          <cell r="N1107">
            <v>43966</v>
          </cell>
          <cell r="O1107">
            <v>111.93</v>
          </cell>
        </row>
        <row r="1108">
          <cell r="B1108">
            <v>43969</v>
          </cell>
          <cell r="C1108">
            <v>107.61</v>
          </cell>
        </row>
        <row r="1108">
          <cell r="E1108">
            <v>43913</v>
          </cell>
          <cell r="F1108">
            <v>138.44</v>
          </cell>
        </row>
        <row r="1108">
          <cell r="H1108">
            <v>43913</v>
          </cell>
          <cell r="I1108">
            <v>68.48</v>
          </cell>
        </row>
        <row r="1108">
          <cell r="K1108">
            <v>43913</v>
          </cell>
          <cell r="L1108">
            <v>138.44</v>
          </cell>
        </row>
        <row r="1108">
          <cell r="N1108">
            <v>43969</v>
          </cell>
          <cell r="O1108">
            <v>110.13</v>
          </cell>
        </row>
        <row r="1109">
          <cell r="B1109">
            <v>43970</v>
          </cell>
          <cell r="C1109">
            <v>107.51</v>
          </cell>
        </row>
        <row r="1109">
          <cell r="E1109">
            <v>43914</v>
          </cell>
          <cell r="F1109">
            <v>139.88</v>
          </cell>
        </row>
        <row r="1109">
          <cell r="H1109">
            <v>43914</v>
          </cell>
          <cell r="I1109">
            <v>68.18</v>
          </cell>
        </row>
        <row r="1109">
          <cell r="K1109">
            <v>43914</v>
          </cell>
          <cell r="L1109">
            <v>138.72</v>
          </cell>
        </row>
        <row r="1109">
          <cell r="N1109">
            <v>43970</v>
          </cell>
          <cell r="O1109">
            <v>110.45</v>
          </cell>
        </row>
        <row r="1110">
          <cell r="B1110">
            <v>43971</v>
          </cell>
          <cell r="C1110">
            <v>107.31</v>
          </cell>
        </row>
        <row r="1110">
          <cell r="E1110">
            <v>43915</v>
          </cell>
          <cell r="F1110">
            <v>140.52</v>
          </cell>
        </row>
        <row r="1110">
          <cell r="H1110">
            <v>43915</v>
          </cell>
          <cell r="I1110">
            <v>69.4</v>
          </cell>
        </row>
        <row r="1110">
          <cell r="K1110">
            <v>43915</v>
          </cell>
          <cell r="L1110">
            <v>140.66</v>
          </cell>
        </row>
        <row r="1110">
          <cell r="N1110">
            <v>43971</v>
          </cell>
          <cell r="O1110">
            <v>109.43</v>
          </cell>
        </row>
        <row r="1111">
          <cell r="B1111">
            <v>43972</v>
          </cell>
          <cell r="C1111">
            <v>107.19</v>
          </cell>
        </row>
        <row r="1111">
          <cell r="E1111">
            <v>43916</v>
          </cell>
          <cell r="F1111">
            <v>142.31</v>
          </cell>
        </row>
        <row r="1111">
          <cell r="H1111">
            <v>43916</v>
          </cell>
          <cell r="I1111">
            <v>69.13</v>
          </cell>
        </row>
        <row r="1111">
          <cell r="K1111">
            <v>43916</v>
          </cell>
          <cell r="L1111">
            <v>141.93</v>
          </cell>
        </row>
        <row r="1111">
          <cell r="N1111">
            <v>43972</v>
          </cell>
          <cell r="O1111">
            <v>109</v>
          </cell>
        </row>
        <row r="1112">
          <cell r="B1112">
            <v>43973</v>
          </cell>
          <cell r="C1112">
            <v>107.11</v>
          </cell>
        </row>
        <row r="1112">
          <cell r="E1112">
            <v>43917</v>
          </cell>
          <cell r="F1112">
            <v>142.91</v>
          </cell>
        </row>
        <row r="1112">
          <cell r="H1112">
            <v>43917</v>
          </cell>
          <cell r="I1112">
            <v>69.05</v>
          </cell>
        </row>
        <row r="1112">
          <cell r="K1112">
            <v>43917</v>
          </cell>
          <cell r="L1112">
            <v>142.16</v>
          </cell>
        </row>
        <row r="1112">
          <cell r="N1112">
            <v>43973</v>
          </cell>
          <cell r="O1112">
            <v>108.84</v>
          </cell>
        </row>
        <row r="1113">
          <cell r="B1113">
            <v>43976</v>
          </cell>
          <cell r="C1113">
            <v>107.11</v>
          </cell>
        </row>
        <row r="1113">
          <cell r="E1113">
            <v>43920</v>
          </cell>
          <cell r="F1113">
            <v>144.59</v>
          </cell>
        </row>
        <row r="1113">
          <cell r="H1113">
            <v>43920</v>
          </cell>
          <cell r="I1113">
            <v>68.36</v>
          </cell>
        </row>
        <row r="1113">
          <cell r="K1113">
            <v>43920</v>
          </cell>
          <cell r="L1113">
            <v>142.97</v>
          </cell>
        </row>
        <row r="1113">
          <cell r="N1113">
            <v>43976</v>
          </cell>
          <cell r="O1113">
            <v>108.83</v>
          </cell>
        </row>
        <row r="1114">
          <cell r="B1114">
            <v>43977</v>
          </cell>
          <cell r="C1114">
            <v>106.99</v>
          </cell>
        </row>
        <row r="1114">
          <cell r="E1114">
            <v>43921</v>
          </cell>
          <cell r="F1114">
            <v>143.62</v>
          </cell>
        </row>
        <row r="1114">
          <cell r="H1114">
            <v>43921</v>
          </cell>
          <cell r="I1114">
            <v>68.61</v>
          </cell>
        </row>
        <row r="1114">
          <cell r="K1114">
            <v>43921</v>
          </cell>
          <cell r="L1114">
            <v>141.18</v>
          </cell>
        </row>
        <row r="1114">
          <cell r="N1114">
            <v>43977</v>
          </cell>
          <cell r="O1114">
            <v>108.11</v>
          </cell>
        </row>
        <row r="1115">
          <cell r="B1115">
            <v>43978</v>
          </cell>
          <cell r="C1115">
            <v>106.53</v>
          </cell>
        </row>
        <row r="1115">
          <cell r="E1115">
            <v>43922</v>
          </cell>
          <cell r="F1115">
            <v>143.2</v>
          </cell>
        </row>
        <row r="1115">
          <cell r="H1115">
            <v>43922</v>
          </cell>
          <cell r="I1115">
            <v>68.15</v>
          </cell>
        </row>
        <row r="1115">
          <cell r="K1115">
            <v>43922</v>
          </cell>
          <cell r="L1115">
            <v>141.68</v>
          </cell>
        </row>
        <row r="1115">
          <cell r="N1115">
            <v>43978</v>
          </cell>
          <cell r="O1115">
            <v>106.93</v>
          </cell>
        </row>
        <row r="1116">
          <cell r="B1116">
            <v>43979</v>
          </cell>
          <cell r="C1116">
            <v>106.89</v>
          </cell>
        </row>
        <row r="1116">
          <cell r="E1116">
            <v>43923</v>
          </cell>
          <cell r="F1116">
            <v>144.34</v>
          </cell>
        </row>
        <row r="1116">
          <cell r="H1116">
            <v>43923</v>
          </cell>
          <cell r="I1116">
            <v>67.46</v>
          </cell>
        </row>
        <row r="1116">
          <cell r="K1116">
            <v>43923</v>
          </cell>
          <cell r="L1116">
            <v>141.65</v>
          </cell>
        </row>
        <row r="1116">
          <cell r="N1116">
            <v>43979</v>
          </cell>
          <cell r="O1116">
            <v>109</v>
          </cell>
        </row>
        <row r="1117">
          <cell r="B1117">
            <v>43980</v>
          </cell>
          <cell r="C1117">
            <v>107.03</v>
          </cell>
        </row>
        <row r="1117">
          <cell r="E1117">
            <v>43924</v>
          </cell>
          <cell r="F1117">
            <v>143.58</v>
          </cell>
        </row>
        <row r="1117">
          <cell r="H1117">
            <v>43924</v>
          </cell>
          <cell r="I1117">
            <v>67.49</v>
          </cell>
        </row>
        <row r="1117">
          <cell r="K1117">
            <v>43924</v>
          </cell>
          <cell r="L1117">
            <v>141.83</v>
          </cell>
        </row>
        <row r="1117">
          <cell r="N1117">
            <v>43980</v>
          </cell>
          <cell r="O1117">
            <v>109.46</v>
          </cell>
        </row>
        <row r="1118">
          <cell r="B1118">
            <v>43983</v>
          </cell>
          <cell r="C1118">
            <v>107.14</v>
          </cell>
        </row>
        <row r="1118">
          <cell r="E1118">
            <v>43927</v>
          </cell>
          <cell r="F1118">
            <v>144.34</v>
          </cell>
        </row>
        <row r="1118">
          <cell r="H1118">
            <v>43927</v>
          </cell>
          <cell r="I1118">
            <v>66.56</v>
          </cell>
        </row>
        <row r="1118">
          <cell r="K1118">
            <v>43927</v>
          </cell>
          <cell r="L1118">
            <v>143.43</v>
          </cell>
        </row>
        <row r="1118">
          <cell r="N1118">
            <v>43983</v>
          </cell>
          <cell r="O1118">
            <v>108.57</v>
          </cell>
        </row>
        <row r="1119">
          <cell r="B1119">
            <v>43984</v>
          </cell>
          <cell r="C1119">
            <v>108.02</v>
          </cell>
        </row>
        <row r="1119">
          <cell r="E1119">
            <v>43928</v>
          </cell>
          <cell r="F1119">
            <v>140.96</v>
          </cell>
        </row>
        <row r="1119">
          <cell r="H1119">
            <v>43928</v>
          </cell>
          <cell r="I1119">
            <v>67.27</v>
          </cell>
        </row>
        <row r="1119">
          <cell r="K1119">
            <v>43928</v>
          </cell>
          <cell r="L1119">
            <v>144.04</v>
          </cell>
        </row>
        <row r="1119">
          <cell r="N1119">
            <v>43984</v>
          </cell>
          <cell r="O1119">
            <v>108.4</v>
          </cell>
        </row>
        <row r="1120">
          <cell r="B1120">
            <v>43985</v>
          </cell>
          <cell r="C1120">
            <v>107.53</v>
          </cell>
        </row>
        <row r="1120">
          <cell r="E1120">
            <v>43929</v>
          </cell>
          <cell r="F1120">
            <v>140.03</v>
          </cell>
        </row>
        <row r="1120">
          <cell r="H1120">
            <v>43929</v>
          </cell>
          <cell r="I1120">
            <v>67.29</v>
          </cell>
        </row>
        <row r="1120">
          <cell r="K1120">
            <v>43929</v>
          </cell>
          <cell r="L1120">
            <v>142.88</v>
          </cell>
        </row>
        <row r="1120">
          <cell r="N1120">
            <v>43985</v>
          </cell>
          <cell r="O1120">
            <v>107.48</v>
          </cell>
        </row>
        <row r="1121">
          <cell r="B1121">
            <v>43986</v>
          </cell>
          <cell r="C1121">
            <v>107.32</v>
          </cell>
        </row>
        <row r="1121">
          <cell r="E1121">
            <v>43930</v>
          </cell>
          <cell r="F1121">
            <v>140.07</v>
          </cell>
        </row>
        <row r="1121">
          <cell r="H1121">
            <v>43930</v>
          </cell>
          <cell r="I1121">
            <v>68.52</v>
          </cell>
        </row>
        <row r="1121">
          <cell r="K1121">
            <v>43930</v>
          </cell>
          <cell r="L1121">
            <v>142.22</v>
          </cell>
        </row>
        <row r="1121">
          <cell r="N1121">
            <v>43986</v>
          </cell>
          <cell r="O1121">
            <v>106.96</v>
          </cell>
        </row>
        <row r="1122">
          <cell r="B1122">
            <v>43987</v>
          </cell>
          <cell r="C1122">
            <v>107.58</v>
          </cell>
        </row>
        <row r="1122">
          <cell r="E1122">
            <v>43931</v>
          </cell>
          <cell r="F1122">
            <v>140.06</v>
          </cell>
        </row>
        <row r="1122">
          <cell r="H1122">
            <v>43931</v>
          </cell>
          <cell r="I1122">
            <v>68.51</v>
          </cell>
        </row>
        <row r="1122">
          <cell r="K1122">
            <v>43931</v>
          </cell>
          <cell r="L1122">
            <v>142.22</v>
          </cell>
        </row>
        <row r="1122">
          <cell r="N1122">
            <v>43987</v>
          </cell>
          <cell r="O1122">
            <v>107.01</v>
          </cell>
        </row>
        <row r="1123">
          <cell r="B1123">
            <v>43990</v>
          </cell>
          <cell r="C1123">
            <v>107.18</v>
          </cell>
        </row>
        <row r="1123">
          <cell r="E1123">
            <v>43934</v>
          </cell>
          <cell r="F1123">
            <v>142.2</v>
          </cell>
        </row>
        <row r="1123">
          <cell r="H1123">
            <v>43934</v>
          </cell>
          <cell r="I1123">
            <v>67.74</v>
          </cell>
        </row>
        <row r="1123">
          <cell r="K1123">
            <v>43934</v>
          </cell>
          <cell r="L1123">
            <v>141.58</v>
          </cell>
        </row>
        <row r="1123">
          <cell r="N1123">
            <v>43990</v>
          </cell>
          <cell r="O1123">
            <v>106.96</v>
          </cell>
        </row>
        <row r="1124">
          <cell r="B1124">
            <v>43991</v>
          </cell>
          <cell r="C1124">
            <v>107.56</v>
          </cell>
        </row>
        <row r="1124">
          <cell r="E1124">
            <v>43935</v>
          </cell>
          <cell r="F1124">
            <v>144.42</v>
          </cell>
        </row>
        <row r="1124">
          <cell r="H1124">
            <v>43935</v>
          </cell>
          <cell r="I1124">
            <v>67.23</v>
          </cell>
        </row>
        <row r="1124">
          <cell r="K1124">
            <v>43935</v>
          </cell>
          <cell r="L1124">
            <v>141.77</v>
          </cell>
        </row>
        <row r="1124">
          <cell r="N1124">
            <v>43991</v>
          </cell>
          <cell r="O1124">
            <v>107.14</v>
          </cell>
        </row>
        <row r="1125">
          <cell r="B1125">
            <v>43992</v>
          </cell>
          <cell r="C1125">
            <v>108.01</v>
          </cell>
        </row>
        <row r="1125">
          <cell r="E1125">
            <v>43936</v>
          </cell>
          <cell r="F1125">
            <v>147.82</v>
          </cell>
        </row>
        <row r="1125">
          <cell r="H1125">
            <v>43936</v>
          </cell>
          <cell r="I1125">
            <v>66.81</v>
          </cell>
        </row>
        <row r="1125">
          <cell r="K1125">
            <v>43936</v>
          </cell>
          <cell r="L1125">
            <v>142.48</v>
          </cell>
        </row>
        <row r="1125">
          <cell r="N1125">
            <v>43992</v>
          </cell>
          <cell r="O1125">
            <v>108</v>
          </cell>
        </row>
        <row r="1126">
          <cell r="B1126">
            <v>43993</v>
          </cell>
          <cell r="C1126">
            <v>107.75</v>
          </cell>
        </row>
        <row r="1126">
          <cell r="E1126">
            <v>43937</v>
          </cell>
          <cell r="F1126">
            <v>151.67</v>
          </cell>
        </row>
        <row r="1126">
          <cell r="H1126">
            <v>43937</v>
          </cell>
          <cell r="I1126">
            <v>66.13</v>
          </cell>
        </row>
        <row r="1126">
          <cell r="K1126">
            <v>43937</v>
          </cell>
          <cell r="L1126">
            <v>143.37</v>
          </cell>
        </row>
        <row r="1126">
          <cell r="N1126">
            <v>43993</v>
          </cell>
          <cell r="O1126">
            <v>108.77</v>
          </cell>
        </row>
        <row r="1127">
          <cell r="B1127">
            <v>43994</v>
          </cell>
          <cell r="C1127">
            <v>107.82</v>
          </cell>
        </row>
        <row r="1127">
          <cell r="E1127">
            <v>43938</v>
          </cell>
          <cell r="F1127">
            <v>149.16</v>
          </cell>
        </row>
        <row r="1127">
          <cell r="H1127">
            <v>43938</v>
          </cell>
          <cell r="I1127">
            <v>65.82</v>
          </cell>
        </row>
        <row r="1127">
          <cell r="K1127">
            <v>43938</v>
          </cell>
          <cell r="L1127">
            <v>143.68</v>
          </cell>
        </row>
        <row r="1127">
          <cell r="N1127">
            <v>43994</v>
          </cell>
          <cell r="O1127">
            <v>108.44</v>
          </cell>
        </row>
        <row r="1128">
          <cell r="B1128">
            <v>43997</v>
          </cell>
          <cell r="C1128">
            <v>108.37</v>
          </cell>
        </row>
        <row r="1128">
          <cell r="E1128">
            <v>43941</v>
          </cell>
          <cell r="F1128">
            <v>149.31</v>
          </cell>
        </row>
        <row r="1128">
          <cell r="H1128">
            <v>43941</v>
          </cell>
          <cell r="I1128">
            <v>65.44</v>
          </cell>
        </row>
        <row r="1128">
          <cell r="K1128">
            <v>43941</v>
          </cell>
          <cell r="L1128">
            <v>142.91</v>
          </cell>
        </row>
        <row r="1128">
          <cell r="N1128">
            <v>43997</v>
          </cell>
          <cell r="O1128">
            <v>106.51</v>
          </cell>
        </row>
        <row r="1129">
          <cell r="B1129">
            <v>43998</v>
          </cell>
          <cell r="C1129">
            <v>108.48</v>
          </cell>
        </row>
        <row r="1129">
          <cell r="E1129">
            <v>43942</v>
          </cell>
          <cell r="F1129">
            <v>148.18</v>
          </cell>
        </row>
        <row r="1129">
          <cell r="H1129">
            <v>43942</v>
          </cell>
          <cell r="I1129">
            <v>65.08</v>
          </cell>
        </row>
        <row r="1129">
          <cell r="K1129">
            <v>43942</v>
          </cell>
          <cell r="L1129">
            <v>142.7</v>
          </cell>
        </row>
        <row r="1129">
          <cell r="N1129">
            <v>43998</v>
          </cell>
          <cell r="O1129">
            <v>106.24</v>
          </cell>
        </row>
        <row r="1130">
          <cell r="B1130">
            <v>43999</v>
          </cell>
          <cell r="C1130">
            <v>108.77</v>
          </cell>
        </row>
        <row r="1130">
          <cell r="E1130">
            <v>43943</v>
          </cell>
          <cell r="F1130">
            <v>150.84</v>
          </cell>
        </row>
        <row r="1130">
          <cell r="H1130">
            <v>43943</v>
          </cell>
          <cell r="I1130">
            <v>63.81</v>
          </cell>
        </row>
        <row r="1130">
          <cell r="K1130">
            <v>43943</v>
          </cell>
          <cell r="L1130">
            <v>141.78</v>
          </cell>
        </row>
        <row r="1130">
          <cell r="N1130">
            <v>43999</v>
          </cell>
          <cell r="O1130">
            <v>107.15</v>
          </cell>
        </row>
        <row r="1131">
          <cell r="B1131">
            <v>44000</v>
          </cell>
          <cell r="C1131">
            <v>109.06</v>
          </cell>
        </row>
        <row r="1131">
          <cell r="E1131">
            <v>43944</v>
          </cell>
          <cell r="F1131">
            <v>148.76</v>
          </cell>
        </row>
        <row r="1131">
          <cell r="H1131">
            <v>43944</v>
          </cell>
          <cell r="I1131">
            <v>63.86</v>
          </cell>
        </row>
        <row r="1131">
          <cell r="K1131">
            <v>43944</v>
          </cell>
          <cell r="L1131">
            <v>141.16</v>
          </cell>
        </row>
        <row r="1131">
          <cell r="N1131">
            <v>44000</v>
          </cell>
          <cell r="O1131">
            <v>107.02</v>
          </cell>
        </row>
        <row r="1132">
          <cell r="B1132">
            <v>44001</v>
          </cell>
          <cell r="C1132">
            <v>109.67</v>
          </cell>
        </row>
        <row r="1132">
          <cell r="E1132">
            <v>43945</v>
          </cell>
          <cell r="F1132">
            <v>149.09</v>
          </cell>
        </row>
        <row r="1132">
          <cell r="H1132">
            <v>43945</v>
          </cell>
          <cell r="I1132">
            <v>63.34</v>
          </cell>
        </row>
        <row r="1132">
          <cell r="K1132">
            <v>43945</v>
          </cell>
          <cell r="L1132">
            <v>141.8</v>
          </cell>
        </row>
        <row r="1132">
          <cell r="N1132">
            <v>44001</v>
          </cell>
          <cell r="O1132">
            <v>107.32</v>
          </cell>
        </row>
        <row r="1133">
          <cell r="B1133">
            <v>44004</v>
          </cell>
          <cell r="C1133">
            <v>109.5</v>
          </cell>
        </row>
        <row r="1133">
          <cell r="E1133">
            <v>43948</v>
          </cell>
          <cell r="F1133">
            <v>147.27</v>
          </cell>
        </row>
        <row r="1133">
          <cell r="H1133">
            <v>43948</v>
          </cell>
          <cell r="I1133">
            <v>63.92</v>
          </cell>
        </row>
        <row r="1133">
          <cell r="K1133">
            <v>43948</v>
          </cell>
          <cell r="L1133">
            <v>142.04</v>
          </cell>
        </row>
        <row r="1133">
          <cell r="N1133">
            <v>44004</v>
          </cell>
          <cell r="O1133">
            <v>106.54</v>
          </cell>
        </row>
        <row r="1134">
          <cell r="B1134">
            <v>44005</v>
          </cell>
          <cell r="C1134">
            <v>110.23</v>
          </cell>
        </row>
        <row r="1134">
          <cell r="E1134">
            <v>43949</v>
          </cell>
          <cell r="F1134">
            <v>144.91</v>
          </cell>
        </row>
        <row r="1134">
          <cell r="H1134">
            <v>43949</v>
          </cell>
          <cell r="I1134">
            <v>65.05</v>
          </cell>
        </row>
        <row r="1134">
          <cell r="K1134">
            <v>43949</v>
          </cell>
          <cell r="L1134">
            <v>141.42</v>
          </cell>
        </row>
        <row r="1134">
          <cell r="N1134">
            <v>44005</v>
          </cell>
          <cell r="O1134">
            <v>106.09</v>
          </cell>
        </row>
        <row r="1135">
          <cell r="B1135">
            <v>44006</v>
          </cell>
          <cell r="C1135">
            <v>110.43</v>
          </cell>
        </row>
        <row r="1135">
          <cell r="E1135">
            <v>43950</v>
          </cell>
          <cell r="F1135">
            <v>141.93</v>
          </cell>
        </row>
        <row r="1135">
          <cell r="H1135">
            <v>43950</v>
          </cell>
          <cell r="I1135">
            <v>66.06</v>
          </cell>
        </row>
        <row r="1135">
          <cell r="K1135">
            <v>43950</v>
          </cell>
          <cell r="L1135">
            <v>140.12</v>
          </cell>
        </row>
        <row r="1135">
          <cell r="N1135">
            <v>44006</v>
          </cell>
          <cell r="O1135">
            <v>105.79</v>
          </cell>
        </row>
        <row r="1136">
          <cell r="B1136">
            <v>44007</v>
          </cell>
          <cell r="C1136">
            <v>110.55</v>
          </cell>
        </row>
        <row r="1136">
          <cell r="E1136">
            <v>43951</v>
          </cell>
          <cell r="F1136">
            <v>141.87</v>
          </cell>
        </row>
        <row r="1136">
          <cell r="H1136">
            <v>43951</v>
          </cell>
          <cell r="I1136">
            <v>65.28</v>
          </cell>
        </row>
        <row r="1136">
          <cell r="K1136">
            <v>43951</v>
          </cell>
          <cell r="L1136">
            <v>140.41</v>
          </cell>
        </row>
        <row r="1136">
          <cell r="N1136">
            <v>44007</v>
          </cell>
          <cell r="O1136">
            <v>105.11</v>
          </cell>
        </row>
        <row r="1137">
          <cell r="B1137">
            <v>44008</v>
          </cell>
          <cell r="C1137">
            <v>110.41</v>
          </cell>
        </row>
        <row r="1137">
          <cell r="E1137">
            <v>43952</v>
          </cell>
          <cell r="F1137">
            <v>145.43</v>
          </cell>
        </row>
        <row r="1137">
          <cell r="H1137">
            <v>43952</v>
          </cell>
          <cell r="I1137">
            <v>65.21</v>
          </cell>
        </row>
        <row r="1137">
          <cell r="K1137">
            <v>43952</v>
          </cell>
          <cell r="L1137">
            <v>141.68</v>
          </cell>
        </row>
        <row r="1137">
          <cell r="N1137">
            <v>44008</v>
          </cell>
          <cell r="O1137">
            <v>105.33</v>
          </cell>
        </row>
        <row r="1138">
          <cell r="B1138">
            <v>44011</v>
          </cell>
          <cell r="C1138">
            <v>110.25</v>
          </cell>
        </row>
        <row r="1138">
          <cell r="E1138">
            <v>43955</v>
          </cell>
          <cell r="F1138">
            <v>147.23</v>
          </cell>
        </row>
        <row r="1138">
          <cell r="H1138">
            <v>43955</v>
          </cell>
          <cell r="I1138">
            <v>63.69</v>
          </cell>
        </row>
        <row r="1138">
          <cell r="K1138">
            <v>43955</v>
          </cell>
          <cell r="L1138">
            <v>141.52</v>
          </cell>
        </row>
        <row r="1138">
          <cell r="N1138">
            <v>44011</v>
          </cell>
          <cell r="O1138">
            <v>104.48</v>
          </cell>
        </row>
        <row r="1139">
          <cell r="B1139">
            <v>44012</v>
          </cell>
          <cell r="C1139">
            <v>110.11</v>
          </cell>
        </row>
        <row r="1139">
          <cell r="E1139">
            <v>43956</v>
          </cell>
          <cell r="F1139">
            <v>150.42</v>
          </cell>
        </row>
        <row r="1139">
          <cell r="H1139">
            <v>43956</v>
          </cell>
          <cell r="I1139">
            <v>62.27</v>
          </cell>
        </row>
        <row r="1139">
          <cell r="K1139">
            <v>43956</v>
          </cell>
          <cell r="L1139">
            <v>142.17</v>
          </cell>
        </row>
        <row r="1139">
          <cell r="N1139">
            <v>44012</v>
          </cell>
          <cell r="O1139">
            <v>104.41</v>
          </cell>
        </row>
        <row r="1140">
          <cell r="B1140">
            <v>44013</v>
          </cell>
          <cell r="C1140">
            <v>110.65</v>
          </cell>
        </row>
        <row r="1140">
          <cell r="E1140">
            <v>43957</v>
          </cell>
          <cell r="F1140">
            <v>151.71</v>
          </cell>
        </row>
        <row r="1140">
          <cell r="H1140">
            <v>43957</v>
          </cell>
          <cell r="I1140">
            <v>61.53</v>
          </cell>
        </row>
        <row r="1140">
          <cell r="K1140">
            <v>43957</v>
          </cell>
          <cell r="L1140">
            <v>142.72</v>
          </cell>
        </row>
        <row r="1140">
          <cell r="N1140">
            <v>44013</v>
          </cell>
          <cell r="O1140">
            <v>105.24</v>
          </cell>
        </row>
        <row r="1141">
          <cell r="B1141">
            <v>44014</v>
          </cell>
          <cell r="C1141">
            <v>110.89</v>
          </cell>
        </row>
        <row r="1141">
          <cell r="E1141">
            <v>43958</v>
          </cell>
          <cell r="F1141">
            <v>151.47</v>
          </cell>
        </row>
        <row r="1141">
          <cell r="H1141">
            <v>43958</v>
          </cell>
          <cell r="I1141">
            <v>61.93</v>
          </cell>
        </row>
        <row r="1141">
          <cell r="K1141">
            <v>43958</v>
          </cell>
          <cell r="L1141">
            <v>142.26</v>
          </cell>
        </row>
        <row r="1141">
          <cell r="N1141">
            <v>44014</v>
          </cell>
          <cell r="O1141">
            <v>104.88</v>
          </cell>
        </row>
        <row r="1142">
          <cell r="B1142">
            <v>44015</v>
          </cell>
          <cell r="C1142">
            <v>110.89</v>
          </cell>
        </row>
        <row r="1142">
          <cell r="E1142">
            <v>43959</v>
          </cell>
          <cell r="F1142">
            <v>149.48</v>
          </cell>
        </row>
        <row r="1142">
          <cell r="H1142">
            <v>43959</v>
          </cell>
          <cell r="I1142">
            <v>62.31</v>
          </cell>
        </row>
        <row r="1142">
          <cell r="K1142">
            <v>43959</v>
          </cell>
          <cell r="L1142">
            <v>141.6</v>
          </cell>
        </row>
        <row r="1142">
          <cell r="N1142">
            <v>44015</v>
          </cell>
          <cell r="O1142">
            <v>104.87</v>
          </cell>
        </row>
        <row r="1143">
          <cell r="B1143">
            <v>44018</v>
          </cell>
          <cell r="C1143">
            <v>111.55</v>
          </cell>
        </row>
        <row r="1143">
          <cell r="E1143">
            <v>43962</v>
          </cell>
          <cell r="F1143">
            <v>153.2</v>
          </cell>
        </row>
        <row r="1143">
          <cell r="H1143">
            <v>43962</v>
          </cell>
          <cell r="I1143">
            <v>61.78</v>
          </cell>
        </row>
        <row r="1143">
          <cell r="K1143">
            <v>43962</v>
          </cell>
          <cell r="L1143">
            <v>142.37</v>
          </cell>
        </row>
        <row r="1143">
          <cell r="N1143">
            <v>44018</v>
          </cell>
          <cell r="O1143">
            <v>105.38</v>
          </cell>
        </row>
        <row r="1144">
          <cell r="B1144">
            <v>44019</v>
          </cell>
          <cell r="C1144">
            <v>111.31</v>
          </cell>
        </row>
        <row r="1144">
          <cell r="E1144">
            <v>43963</v>
          </cell>
          <cell r="F1144">
            <v>153.45</v>
          </cell>
        </row>
        <row r="1144">
          <cell r="H1144">
            <v>43963</v>
          </cell>
          <cell r="I1144">
            <v>61.73</v>
          </cell>
        </row>
        <row r="1144">
          <cell r="K1144">
            <v>43963</v>
          </cell>
          <cell r="L1144">
            <v>141.82</v>
          </cell>
        </row>
        <row r="1144">
          <cell r="N1144">
            <v>44019</v>
          </cell>
          <cell r="O1144">
            <v>105.9</v>
          </cell>
        </row>
        <row r="1145">
          <cell r="B1145">
            <v>44020</v>
          </cell>
          <cell r="C1145">
            <v>111.17</v>
          </cell>
        </row>
        <row r="1145">
          <cell r="E1145">
            <v>43964</v>
          </cell>
          <cell r="F1145">
            <v>156.14</v>
          </cell>
        </row>
        <row r="1145">
          <cell r="H1145">
            <v>43964</v>
          </cell>
          <cell r="I1145">
            <v>61.8</v>
          </cell>
        </row>
        <row r="1145">
          <cell r="K1145">
            <v>43964</v>
          </cell>
          <cell r="L1145">
            <v>142.6</v>
          </cell>
        </row>
        <row r="1145">
          <cell r="N1145">
            <v>44020</v>
          </cell>
          <cell r="O1145">
            <v>105.68</v>
          </cell>
        </row>
        <row r="1146">
          <cell r="B1146">
            <v>44021</v>
          </cell>
          <cell r="C1146">
            <v>111.37</v>
          </cell>
        </row>
        <row r="1146">
          <cell r="E1146">
            <v>43965</v>
          </cell>
          <cell r="F1146">
            <v>155.64</v>
          </cell>
        </row>
        <row r="1146">
          <cell r="H1146">
            <v>43965</v>
          </cell>
          <cell r="I1146">
            <v>62.7</v>
          </cell>
        </row>
        <row r="1146">
          <cell r="K1146">
            <v>43965</v>
          </cell>
          <cell r="L1146">
            <v>142.92</v>
          </cell>
        </row>
        <row r="1146">
          <cell r="N1146">
            <v>44021</v>
          </cell>
          <cell r="O1146">
            <v>105.93</v>
          </cell>
        </row>
        <row r="1147">
          <cell r="B1147">
            <v>44022</v>
          </cell>
          <cell r="C1147">
            <v>111.53</v>
          </cell>
        </row>
        <row r="1147">
          <cell r="E1147">
            <v>43966</v>
          </cell>
          <cell r="F1147">
            <v>155.77</v>
          </cell>
        </row>
        <row r="1147">
          <cell r="H1147">
            <v>43966</v>
          </cell>
          <cell r="I1147">
            <v>62.23</v>
          </cell>
        </row>
        <row r="1147">
          <cell r="K1147">
            <v>43966</v>
          </cell>
          <cell r="L1147">
            <v>141.61</v>
          </cell>
        </row>
        <row r="1147">
          <cell r="N1147">
            <v>44022</v>
          </cell>
          <cell r="O1147">
            <v>105.92</v>
          </cell>
        </row>
        <row r="1148">
          <cell r="B1148">
            <v>44025</v>
          </cell>
          <cell r="C1148">
            <v>111.22</v>
          </cell>
        </row>
        <row r="1148">
          <cell r="E1148">
            <v>43969</v>
          </cell>
          <cell r="F1148">
            <v>152.52</v>
          </cell>
        </row>
        <row r="1148">
          <cell r="H1148">
            <v>43969</v>
          </cell>
          <cell r="I1148">
            <v>62.02</v>
          </cell>
        </row>
        <row r="1148">
          <cell r="K1148">
            <v>43969</v>
          </cell>
          <cell r="L1148">
            <v>142.34</v>
          </cell>
        </row>
        <row r="1148">
          <cell r="N1148">
            <v>44025</v>
          </cell>
          <cell r="O1148">
            <v>106.81</v>
          </cell>
        </row>
        <row r="1149">
          <cell r="B1149">
            <v>44026</v>
          </cell>
          <cell r="C1149">
            <v>111.16</v>
          </cell>
        </row>
        <row r="1149">
          <cell r="E1149">
            <v>43970</v>
          </cell>
          <cell r="F1149">
            <v>152.07</v>
          </cell>
        </row>
        <row r="1149">
          <cell r="H1149">
            <v>43970</v>
          </cell>
          <cell r="I1149">
            <v>62.18</v>
          </cell>
        </row>
        <row r="1149">
          <cell r="K1149">
            <v>43970</v>
          </cell>
          <cell r="L1149">
            <v>140.31</v>
          </cell>
        </row>
        <row r="1149">
          <cell r="N1149">
            <v>44026</v>
          </cell>
          <cell r="O1149">
            <v>106.64</v>
          </cell>
        </row>
        <row r="1150">
          <cell r="B1150">
            <v>44027</v>
          </cell>
          <cell r="C1150">
            <v>110.68</v>
          </cell>
        </row>
        <row r="1150">
          <cell r="E1150">
            <v>43971</v>
          </cell>
          <cell r="F1150">
            <v>150.77</v>
          </cell>
        </row>
        <row r="1150">
          <cell r="H1150">
            <v>43971</v>
          </cell>
          <cell r="I1150">
            <v>61.8</v>
          </cell>
        </row>
        <row r="1150">
          <cell r="K1150">
            <v>43971</v>
          </cell>
          <cell r="L1150">
            <v>141.12</v>
          </cell>
        </row>
        <row r="1150">
          <cell r="N1150">
            <v>44027</v>
          </cell>
          <cell r="O1150">
            <v>105.43</v>
          </cell>
        </row>
        <row r="1151">
          <cell r="B1151">
            <v>44028</v>
          </cell>
          <cell r="C1151">
            <v>111.09</v>
          </cell>
        </row>
        <row r="1151">
          <cell r="E1151">
            <v>43972</v>
          </cell>
          <cell r="F1151">
            <v>149.84</v>
          </cell>
        </row>
        <row r="1151">
          <cell r="H1151">
            <v>43972</v>
          </cell>
          <cell r="I1151">
            <v>62.05</v>
          </cell>
        </row>
        <row r="1151">
          <cell r="K1151">
            <v>43972</v>
          </cell>
          <cell r="L1151">
            <v>141</v>
          </cell>
        </row>
        <row r="1151">
          <cell r="N1151">
            <v>44028</v>
          </cell>
          <cell r="O1151">
            <v>105.57</v>
          </cell>
        </row>
        <row r="1152">
          <cell r="B1152">
            <v>44029</v>
          </cell>
          <cell r="C1152">
            <v>111.34</v>
          </cell>
        </row>
        <row r="1152">
          <cell r="E1152">
            <v>43973</v>
          </cell>
          <cell r="F1152">
            <v>150.8</v>
          </cell>
        </row>
        <row r="1152">
          <cell r="H1152">
            <v>43973</v>
          </cell>
          <cell r="I1152">
            <v>61.55</v>
          </cell>
        </row>
        <row r="1152">
          <cell r="K1152">
            <v>43973</v>
          </cell>
          <cell r="L1152">
            <v>141.24</v>
          </cell>
        </row>
        <row r="1152">
          <cell r="N1152">
            <v>44029</v>
          </cell>
          <cell r="O1152">
            <v>105.71</v>
          </cell>
        </row>
        <row r="1153">
          <cell r="B1153">
            <v>44032</v>
          </cell>
          <cell r="C1153">
            <v>111.8</v>
          </cell>
        </row>
        <row r="1153">
          <cell r="E1153">
            <v>43976</v>
          </cell>
          <cell r="F1153">
            <v>150.47</v>
          </cell>
        </row>
        <row r="1153">
          <cell r="H1153">
            <v>43976</v>
          </cell>
          <cell r="I1153">
            <v>61.63</v>
          </cell>
        </row>
        <row r="1153">
          <cell r="K1153">
            <v>43976</v>
          </cell>
          <cell r="L1153">
            <v>140.89</v>
          </cell>
        </row>
        <row r="1153">
          <cell r="N1153">
            <v>44032</v>
          </cell>
          <cell r="O1153">
            <v>105.82</v>
          </cell>
        </row>
        <row r="1154">
          <cell r="B1154">
            <v>44033</v>
          </cell>
          <cell r="C1154">
            <v>111.14</v>
          </cell>
        </row>
        <row r="1154">
          <cell r="E1154">
            <v>43977</v>
          </cell>
          <cell r="F1154">
            <v>145.63</v>
          </cell>
        </row>
        <row r="1154">
          <cell r="H1154">
            <v>43977</v>
          </cell>
          <cell r="I1154">
            <v>62.64</v>
          </cell>
        </row>
        <row r="1154">
          <cell r="K1154">
            <v>43977</v>
          </cell>
          <cell r="L1154">
            <v>141.72</v>
          </cell>
        </row>
        <row r="1154">
          <cell r="N1154">
            <v>44033</v>
          </cell>
          <cell r="O1154">
            <v>105.17</v>
          </cell>
        </row>
        <row r="1155">
          <cell r="B1155">
            <v>44034</v>
          </cell>
          <cell r="C1155">
            <v>111.32</v>
          </cell>
        </row>
        <row r="1155">
          <cell r="E1155">
            <v>43978</v>
          </cell>
          <cell r="F1155">
            <v>143.12</v>
          </cell>
        </row>
        <row r="1155">
          <cell r="H1155">
            <v>43978</v>
          </cell>
          <cell r="I1155">
            <v>63.24</v>
          </cell>
        </row>
        <row r="1155">
          <cell r="K1155">
            <v>43978</v>
          </cell>
          <cell r="L1155">
            <v>142.84</v>
          </cell>
        </row>
        <row r="1155">
          <cell r="N1155">
            <v>44034</v>
          </cell>
          <cell r="O1155">
            <v>105.72</v>
          </cell>
        </row>
        <row r="1156">
          <cell r="B1156">
            <v>44035</v>
          </cell>
          <cell r="C1156">
            <v>111.11</v>
          </cell>
        </row>
        <row r="1156">
          <cell r="E1156">
            <v>43979</v>
          </cell>
          <cell r="F1156">
            <v>145.38</v>
          </cell>
        </row>
        <row r="1156">
          <cell r="H1156">
            <v>43979</v>
          </cell>
          <cell r="I1156">
            <v>62.43</v>
          </cell>
        </row>
        <row r="1156">
          <cell r="K1156">
            <v>43979</v>
          </cell>
          <cell r="L1156">
            <v>142.42</v>
          </cell>
        </row>
        <row r="1156">
          <cell r="N1156">
            <v>44035</v>
          </cell>
          <cell r="O1156">
            <v>105.13</v>
          </cell>
        </row>
        <row r="1157">
          <cell r="B1157">
            <v>44036</v>
          </cell>
          <cell r="C1157">
            <v>111.02</v>
          </cell>
        </row>
        <row r="1157">
          <cell r="E1157">
            <v>43980</v>
          </cell>
          <cell r="F1157">
            <v>149.69</v>
          </cell>
        </row>
        <row r="1157">
          <cell r="H1157">
            <v>43980</v>
          </cell>
          <cell r="I1157">
            <v>62.56</v>
          </cell>
        </row>
        <row r="1157">
          <cell r="K1157">
            <v>43980</v>
          </cell>
          <cell r="L1157">
            <v>143.64</v>
          </cell>
        </row>
        <row r="1157">
          <cell r="N1157">
            <v>44036</v>
          </cell>
          <cell r="O1157">
            <v>105.94</v>
          </cell>
        </row>
        <row r="1158">
          <cell r="B1158">
            <v>44039</v>
          </cell>
          <cell r="C1158">
            <v>111.06</v>
          </cell>
        </row>
        <row r="1158">
          <cell r="E1158">
            <v>43983</v>
          </cell>
          <cell r="F1158">
            <v>147.07</v>
          </cell>
        </row>
        <row r="1158">
          <cell r="H1158">
            <v>43983</v>
          </cell>
          <cell r="I1158">
            <v>62.59</v>
          </cell>
        </row>
        <row r="1158">
          <cell r="K1158">
            <v>43983</v>
          </cell>
          <cell r="L1158">
            <v>142.89</v>
          </cell>
        </row>
        <row r="1158">
          <cell r="N1158">
            <v>44039</v>
          </cell>
          <cell r="O1158">
            <v>104.94</v>
          </cell>
        </row>
        <row r="1159">
          <cell r="B1159">
            <v>44040</v>
          </cell>
          <cell r="C1159">
            <v>111.03</v>
          </cell>
        </row>
        <row r="1159">
          <cell r="E1159">
            <v>43984</v>
          </cell>
          <cell r="F1159">
            <v>145.88</v>
          </cell>
        </row>
        <row r="1159">
          <cell r="H1159">
            <v>43984</v>
          </cell>
          <cell r="I1159">
            <v>62.87</v>
          </cell>
        </row>
        <row r="1159">
          <cell r="K1159">
            <v>43984</v>
          </cell>
          <cell r="L1159">
            <v>142.98</v>
          </cell>
        </row>
        <row r="1159">
          <cell r="N1159">
            <v>44040</v>
          </cell>
          <cell r="O1159">
            <v>105.3</v>
          </cell>
        </row>
        <row r="1160">
          <cell r="B1160">
            <v>44041</v>
          </cell>
          <cell r="C1160">
            <v>110.9</v>
          </cell>
        </row>
        <row r="1160">
          <cell r="E1160">
            <v>43985</v>
          </cell>
          <cell r="F1160">
            <v>142.07</v>
          </cell>
        </row>
        <row r="1160">
          <cell r="H1160">
            <v>43985</v>
          </cell>
          <cell r="I1160">
            <v>62.69</v>
          </cell>
        </row>
        <row r="1160">
          <cell r="K1160">
            <v>43985</v>
          </cell>
          <cell r="L1160">
            <v>143.58</v>
          </cell>
        </row>
        <row r="1160">
          <cell r="N1160">
            <v>44041</v>
          </cell>
          <cell r="O1160">
            <v>104.71</v>
          </cell>
        </row>
        <row r="1161">
          <cell r="B1161">
            <v>44042</v>
          </cell>
          <cell r="C1161">
            <v>111.32</v>
          </cell>
        </row>
        <row r="1161">
          <cell r="E1161">
            <v>43986</v>
          </cell>
          <cell r="F1161">
            <v>137.73</v>
          </cell>
        </row>
        <row r="1161">
          <cell r="H1161">
            <v>43986</v>
          </cell>
          <cell r="I1161">
            <v>63.97</v>
          </cell>
        </row>
        <row r="1161">
          <cell r="K1161">
            <v>43986</v>
          </cell>
          <cell r="L1161">
            <v>144.14</v>
          </cell>
        </row>
        <row r="1161">
          <cell r="N1161">
            <v>44042</v>
          </cell>
          <cell r="O1161">
            <v>104.28</v>
          </cell>
        </row>
        <row r="1162">
          <cell r="B1162">
            <v>44043</v>
          </cell>
          <cell r="C1162">
            <v>111.13</v>
          </cell>
        </row>
        <row r="1162">
          <cell r="E1162">
            <v>43987</v>
          </cell>
          <cell r="F1162">
            <v>132.61</v>
          </cell>
        </row>
        <row r="1162">
          <cell r="H1162">
            <v>43987</v>
          </cell>
          <cell r="I1162">
            <v>64.7</v>
          </cell>
        </row>
        <row r="1162">
          <cell r="K1162">
            <v>43987</v>
          </cell>
          <cell r="L1162">
            <v>144.13</v>
          </cell>
        </row>
        <row r="1162">
          <cell r="N1162">
            <v>44043</v>
          </cell>
          <cell r="O1162">
            <v>104.08</v>
          </cell>
        </row>
        <row r="1163">
          <cell r="B1163">
            <v>44046</v>
          </cell>
          <cell r="C1163">
            <v>110.96</v>
          </cell>
        </row>
        <row r="1163">
          <cell r="E1163">
            <v>43990</v>
          </cell>
          <cell r="F1163">
            <v>125.37</v>
          </cell>
        </row>
        <row r="1163">
          <cell r="H1163">
            <v>43990</v>
          </cell>
          <cell r="I1163">
            <v>65.39</v>
          </cell>
        </row>
        <row r="1163">
          <cell r="K1163">
            <v>43990</v>
          </cell>
          <cell r="L1163">
            <v>143.69</v>
          </cell>
        </row>
        <row r="1163">
          <cell r="N1163">
            <v>44046</v>
          </cell>
          <cell r="O1163">
            <v>102.87</v>
          </cell>
        </row>
        <row r="1164">
          <cell r="B1164">
            <v>44047</v>
          </cell>
          <cell r="C1164">
            <v>110.89</v>
          </cell>
        </row>
        <row r="1164">
          <cell r="E1164">
            <v>43991</v>
          </cell>
          <cell r="F1164">
            <v>131.24</v>
          </cell>
        </row>
        <row r="1164">
          <cell r="H1164">
            <v>43991</v>
          </cell>
          <cell r="I1164">
            <v>64.39</v>
          </cell>
        </row>
        <row r="1164">
          <cell r="K1164">
            <v>43991</v>
          </cell>
          <cell r="L1164">
            <v>143.26</v>
          </cell>
        </row>
        <row r="1164">
          <cell r="N1164">
            <v>44047</v>
          </cell>
          <cell r="O1164">
            <v>102.7</v>
          </cell>
        </row>
        <row r="1165">
          <cell r="B1165">
            <v>44048</v>
          </cell>
          <cell r="C1165">
            <v>111.35</v>
          </cell>
        </row>
        <row r="1165">
          <cell r="E1165">
            <v>43992</v>
          </cell>
          <cell r="F1165">
            <v>137.27</v>
          </cell>
        </row>
        <row r="1165">
          <cell r="H1165">
            <v>43992</v>
          </cell>
          <cell r="I1165">
            <v>63.84</v>
          </cell>
        </row>
        <row r="1165">
          <cell r="K1165">
            <v>43992</v>
          </cell>
          <cell r="L1165">
            <v>142.81</v>
          </cell>
        </row>
        <row r="1165">
          <cell r="N1165">
            <v>44048</v>
          </cell>
          <cell r="O1165">
            <v>102.17</v>
          </cell>
        </row>
        <row r="1166">
          <cell r="B1166">
            <v>44049</v>
          </cell>
          <cell r="C1166">
            <v>112.37</v>
          </cell>
        </row>
        <row r="1166">
          <cell r="E1166">
            <v>43993</v>
          </cell>
          <cell r="F1166">
            <v>141.5</v>
          </cell>
        </row>
        <row r="1166">
          <cell r="H1166">
            <v>43993</v>
          </cell>
          <cell r="I1166">
            <v>63.71</v>
          </cell>
        </row>
        <row r="1166">
          <cell r="K1166">
            <v>43993</v>
          </cell>
          <cell r="L1166">
            <v>142.55</v>
          </cell>
        </row>
        <row r="1166">
          <cell r="N1166">
            <v>44049</v>
          </cell>
          <cell r="O1166">
            <v>102.94</v>
          </cell>
        </row>
        <row r="1167">
          <cell r="B1167">
            <v>44050</v>
          </cell>
          <cell r="C1167">
            <v>111.77</v>
          </cell>
        </row>
        <row r="1167">
          <cell r="E1167">
            <v>43994</v>
          </cell>
          <cell r="F1167">
            <v>138.48</v>
          </cell>
        </row>
        <row r="1167">
          <cell r="H1167">
            <v>43994</v>
          </cell>
          <cell r="I1167">
            <v>63.77</v>
          </cell>
        </row>
        <row r="1167">
          <cell r="K1167">
            <v>43994</v>
          </cell>
          <cell r="L1167">
            <v>142.13</v>
          </cell>
        </row>
        <row r="1167">
          <cell r="N1167">
            <v>44050</v>
          </cell>
          <cell r="O1167">
            <v>102.69</v>
          </cell>
        </row>
        <row r="1168">
          <cell r="B1168">
            <v>44053</v>
          </cell>
          <cell r="C1168">
            <v>112.58</v>
          </cell>
        </row>
        <row r="1168">
          <cell r="E1168">
            <v>43997</v>
          </cell>
          <cell r="F1168">
            <v>140.4</v>
          </cell>
        </row>
        <row r="1168">
          <cell r="H1168">
            <v>43997</v>
          </cell>
          <cell r="I1168">
            <v>63.84</v>
          </cell>
        </row>
        <row r="1168">
          <cell r="K1168">
            <v>43997</v>
          </cell>
          <cell r="L1168">
            <v>142.5</v>
          </cell>
        </row>
        <row r="1168">
          <cell r="N1168">
            <v>44053</v>
          </cell>
          <cell r="O1168">
            <v>102.84</v>
          </cell>
        </row>
        <row r="1169">
          <cell r="B1169">
            <v>44054</v>
          </cell>
          <cell r="C1169">
            <v>112.08</v>
          </cell>
        </row>
        <row r="1169">
          <cell r="E1169">
            <v>43998</v>
          </cell>
          <cell r="F1169">
            <v>139.03</v>
          </cell>
        </row>
        <row r="1169">
          <cell r="H1169">
            <v>43998</v>
          </cell>
          <cell r="I1169">
            <v>63.84</v>
          </cell>
        </row>
        <row r="1169">
          <cell r="K1169">
            <v>43998</v>
          </cell>
          <cell r="L1169">
            <v>142.63</v>
          </cell>
        </row>
        <row r="1169">
          <cell r="N1169">
            <v>44054</v>
          </cell>
          <cell r="O1169">
            <v>103.26</v>
          </cell>
        </row>
        <row r="1170">
          <cell r="B1170">
            <v>44055</v>
          </cell>
          <cell r="C1170">
            <v>112.17</v>
          </cell>
        </row>
        <row r="1170">
          <cell r="E1170">
            <v>43999</v>
          </cell>
          <cell r="F1170">
            <v>141.19</v>
          </cell>
        </row>
        <row r="1170">
          <cell r="H1170">
            <v>43999</v>
          </cell>
          <cell r="I1170">
            <v>63.19</v>
          </cell>
        </row>
        <row r="1170">
          <cell r="K1170">
            <v>43999</v>
          </cell>
          <cell r="L1170">
            <v>142.77</v>
          </cell>
        </row>
        <row r="1170">
          <cell r="N1170">
            <v>44055</v>
          </cell>
          <cell r="O1170">
            <v>103.55</v>
          </cell>
        </row>
        <row r="1171">
          <cell r="B1171">
            <v>44056</v>
          </cell>
          <cell r="C1171">
            <v>112.19</v>
          </cell>
        </row>
        <row r="1171">
          <cell r="E1171">
            <v>44000</v>
          </cell>
          <cell r="F1171">
            <v>140.94</v>
          </cell>
        </row>
        <row r="1171">
          <cell r="H1171">
            <v>44000</v>
          </cell>
          <cell r="I1171">
            <v>63.41</v>
          </cell>
        </row>
        <row r="1171">
          <cell r="K1171">
            <v>44000</v>
          </cell>
          <cell r="L1171">
            <v>142.43</v>
          </cell>
        </row>
        <row r="1171">
          <cell r="N1171">
            <v>44056</v>
          </cell>
          <cell r="O1171">
            <v>103.35</v>
          </cell>
        </row>
        <row r="1172">
          <cell r="B1172">
            <v>44057</v>
          </cell>
          <cell r="C1172">
            <v>111.95</v>
          </cell>
        </row>
        <row r="1172">
          <cell r="E1172">
            <v>44001</v>
          </cell>
          <cell r="F1172">
            <v>142.74</v>
          </cell>
        </row>
        <row r="1172">
          <cell r="H1172">
            <v>44001</v>
          </cell>
          <cell r="I1172">
            <v>63.69</v>
          </cell>
        </row>
        <row r="1172">
          <cell r="K1172">
            <v>44001</v>
          </cell>
          <cell r="L1172">
            <v>142.91</v>
          </cell>
        </row>
        <row r="1172">
          <cell r="N1172">
            <v>44057</v>
          </cell>
          <cell r="O1172">
            <v>103.81</v>
          </cell>
        </row>
        <row r="1173">
          <cell r="B1173">
            <v>44060</v>
          </cell>
          <cell r="C1173">
            <v>111.82</v>
          </cell>
        </row>
        <row r="1173">
          <cell r="E1173">
            <v>44004</v>
          </cell>
          <cell r="F1173">
            <v>144.08</v>
          </cell>
        </row>
        <row r="1173">
          <cell r="H1173">
            <v>44004</v>
          </cell>
          <cell r="I1173">
            <v>63.36</v>
          </cell>
        </row>
        <row r="1173">
          <cell r="K1173">
            <v>44004</v>
          </cell>
          <cell r="L1173">
            <v>142.19</v>
          </cell>
        </row>
        <row r="1173">
          <cell r="N1173">
            <v>44060</v>
          </cell>
          <cell r="O1173">
            <v>103.8</v>
          </cell>
        </row>
        <row r="1174">
          <cell r="B1174">
            <v>44061</v>
          </cell>
          <cell r="C1174">
            <v>112.25</v>
          </cell>
        </row>
        <row r="1174">
          <cell r="E1174">
            <v>44005</v>
          </cell>
          <cell r="F1174">
            <v>143.68</v>
          </cell>
        </row>
        <row r="1174">
          <cell r="H1174">
            <v>44005</v>
          </cell>
          <cell r="I1174">
            <v>63.55</v>
          </cell>
        </row>
        <row r="1174">
          <cell r="K1174">
            <v>44005</v>
          </cell>
          <cell r="L1174">
            <v>142.39</v>
          </cell>
        </row>
        <row r="1174">
          <cell r="N1174">
            <v>44061</v>
          </cell>
          <cell r="O1174">
            <v>104.32</v>
          </cell>
        </row>
        <row r="1175">
          <cell r="B1175">
            <v>44062</v>
          </cell>
          <cell r="C1175">
            <v>111.95</v>
          </cell>
        </row>
        <row r="1175">
          <cell r="E1175">
            <v>44006</v>
          </cell>
          <cell r="F1175">
            <v>144.19</v>
          </cell>
        </row>
        <row r="1175">
          <cell r="H1175">
            <v>44006</v>
          </cell>
          <cell r="I1175">
            <v>63.6</v>
          </cell>
        </row>
        <row r="1175">
          <cell r="K1175">
            <v>44006</v>
          </cell>
          <cell r="L1175">
            <v>142.3</v>
          </cell>
        </row>
        <row r="1175">
          <cell r="N1175">
            <v>44062</v>
          </cell>
          <cell r="O1175">
            <v>103.91</v>
          </cell>
        </row>
        <row r="1176">
          <cell r="B1176">
            <v>44063</v>
          </cell>
          <cell r="C1176">
            <v>112.36</v>
          </cell>
        </row>
        <row r="1176">
          <cell r="E1176">
            <v>44007</v>
          </cell>
          <cell r="F1176">
            <v>145.2</v>
          </cell>
        </row>
        <row r="1176">
          <cell r="H1176">
            <v>44007</v>
          </cell>
          <cell r="I1176">
            <v>63.1</v>
          </cell>
        </row>
        <row r="1176">
          <cell r="K1176">
            <v>44007</v>
          </cell>
          <cell r="L1176">
            <v>142.75</v>
          </cell>
        </row>
        <row r="1176">
          <cell r="N1176">
            <v>44063</v>
          </cell>
          <cell r="O1176">
            <v>104.02</v>
          </cell>
        </row>
        <row r="1177">
          <cell r="B1177">
            <v>44064</v>
          </cell>
          <cell r="C1177">
            <v>112.3</v>
          </cell>
        </row>
        <row r="1177">
          <cell r="E1177">
            <v>44008</v>
          </cell>
          <cell r="F1177">
            <v>145.36</v>
          </cell>
        </row>
        <row r="1177">
          <cell r="H1177">
            <v>44008</v>
          </cell>
          <cell r="I1177">
            <v>63.48</v>
          </cell>
        </row>
        <row r="1177">
          <cell r="K1177">
            <v>44008</v>
          </cell>
          <cell r="L1177">
            <v>143.01</v>
          </cell>
        </row>
        <row r="1177">
          <cell r="N1177">
            <v>44064</v>
          </cell>
          <cell r="O1177">
            <v>104.66</v>
          </cell>
        </row>
        <row r="1178">
          <cell r="B1178">
            <v>44067</v>
          </cell>
          <cell r="C1178">
            <v>112.29</v>
          </cell>
        </row>
        <row r="1178">
          <cell r="E1178">
            <v>44011</v>
          </cell>
          <cell r="F1178">
            <v>143.39</v>
          </cell>
        </row>
        <row r="1178">
          <cell r="H1178">
            <v>44011</v>
          </cell>
          <cell r="I1178">
            <v>63.79</v>
          </cell>
        </row>
        <row r="1178">
          <cell r="K1178">
            <v>44011</v>
          </cell>
          <cell r="L1178">
            <v>143.25</v>
          </cell>
        </row>
        <row r="1178">
          <cell r="N1178">
            <v>44067</v>
          </cell>
          <cell r="O1178">
            <v>105.09</v>
          </cell>
        </row>
        <row r="1179">
          <cell r="B1179">
            <v>44068</v>
          </cell>
          <cell r="C1179">
            <v>112.32</v>
          </cell>
        </row>
        <row r="1179">
          <cell r="E1179">
            <v>44012</v>
          </cell>
          <cell r="F1179">
            <v>145.68</v>
          </cell>
        </row>
        <row r="1179">
          <cell r="H1179">
            <v>44012</v>
          </cell>
          <cell r="I1179">
            <v>63.88</v>
          </cell>
        </row>
        <row r="1179">
          <cell r="K1179">
            <v>44012</v>
          </cell>
          <cell r="L1179">
            <v>143</v>
          </cell>
        </row>
        <row r="1179">
          <cell r="N1179">
            <v>44068</v>
          </cell>
          <cell r="O1179">
            <v>105.15</v>
          </cell>
        </row>
        <row r="1180">
          <cell r="B1180">
            <v>44069</v>
          </cell>
          <cell r="C1180">
            <v>111.7</v>
          </cell>
        </row>
        <row r="1180">
          <cell r="E1180">
            <v>44013</v>
          </cell>
          <cell r="F1180">
            <v>146.05</v>
          </cell>
        </row>
        <row r="1180">
          <cell r="H1180">
            <v>44013</v>
          </cell>
          <cell r="I1180">
            <v>62.97</v>
          </cell>
        </row>
        <row r="1180">
          <cell r="K1180">
            <v>44013</v>
          </cell>
          <cell r="L1180">
            <v>142.7</v>
          </cell>
        </row>
        <row r="1180">
          <cell r="N1180">
            <v>44069</v>
          </cell>
          <cell r="O1180">
            <v>106</v>
          </cell>
        </row>
        <row r="1181">
          <cell r="B1181">
            <v>44070</v>
          </cell>
          <cell r="C1181">
            <v>112.12</v>
          </cell>
        </row>
        <row r="1181">
          <cell r="E1181">
            <v>44014</v>
          </cell>
          <cell r="F1181">
            <v>145.75</v>
          </cell>
        </row>
        <row r="1181">
          <cell r="H1181">
            <v>44014</v>
          </cell>
          <cell r="I1181">
            <v>63.39</v>
          </cell>
        </row>
        <row r="1181">
          <cell r="K1181">
            <v>44014</v>
          </cell>
          <cell r="L1181">
            <v>142.76</v>
          </cell>
        </row>
        <row r="1181">
          <cell r="N1181">
            <v>44070</v>
          </cell>
          <cell r="O1181">
            <v>106.66</v>
          </cell>
        </row>
        <row r="1182">
          <cell r="B1182">
            <v>44071</v>
          </cell>
          <cell r="C1182">
            <v>111.84</v>
          </cell>
        </row>
        <row r="1182">
          <cell r="E1182">
            <v>44015</v>
          </cell>
          <cell r="F1182">
            <v>145.74</v>
          </cell>
        </row>
        <row r="1182">
          <cell r="H1182">
            <v>44015</v>
          </cell>
          <cell r="I1182">
            <v>63.33</v>
          </cell>
        </row>
        <row r="1182">
          <cell r="K1182">
            <v>44015</v>
          </cell>
          <cell r="L1182">
            <v>142.86</v>
          </cell>
        </row>
        <row r="1182">
          <cell r="N1182">
            <v>44071</v>
          </cell>
          <cell r="O1182">
            <v>107.15</v>
          </cell>
        </row>
        <row r="1183">
          <cell r="B1183">
            <v>44074</v>
          </cell>
          <cell r="C1183">
            <v>111.15</v>
          </cell>
        </row>
        <row r="1183">
          <cell r="E1183">
            <v>44018</v>
          </cell>
          <cell r="F1183">
            <v>145.84</v>
          </cell>
        </row>
        <row r="1183">
          <cell r="H1183">
            <v>44018</v>
          </cell>
          <cell r="I1183">
            <v>63.29</v>
          </cell>
        </row>
        <row r="1183">
          <cell r="K1183">
            <v>44018</v>
          </cell>
          <cell r="L1183">
            <v>142.49</v>
          </cell>
        </row>
        <row r="1183">
          <cell r="N1183">
            <v>44074</v>
          </cell>
          <cell r="O1183">
            <v>107.59</v>
          </cell>
        </row>
        <row r="1184">
          <cell r="B1184">
            <v>44075</v>
          </cell>
          <cell r="C1184">
            <v>111.18</v>
          </cell>
        </row>
        <row r="1184">
          <cell r="E1184">
            <v>44019</v>
          </cell>
          <cell r="F1184">
            <v>148.31</v>
          </cell>
        </row>
        <row r="1184">
          <cell r="H1184">
            <v>44019</v>
          </cell>
          <cell r="I1184">
            <v>62.92</v>
          </cell>
        </row>
        <row r="1184">
          <cell r="K1184">
            <v>44019</v>
          </cell>
          <cell r="L1184">
            <v>142.36</v>
          </cell>
        </row>
        <row r="1184">
          <cell r="N1184">
            <v>44075</v>
          </cell>
          <cell r="O1184">
            <v>107.38</v>
          </cell>
        </row>
        <row r="1185">
          <cell r="B1185">
            <v>44076</v>
          </cell>
          <cell r="C1185">
            <v>110.68</v>
          </cell>
        </row>
        <row r="1185">
          <cell r="E1185">
            <v>44020</v>
          </cell>
          <cell r="F1185">
            <v>149.8</v>
          </cell>
        </row>
        <row r="1185">
          <cell r="H1185">
            <v>44020</v>
          </cell>
          <cell r="I1185">
            <v>62.31</v>
          </cell>
        </row>
        <row r="1185">
          <cell r="K1185">
            <v>44020</v>
          </cell>
          <cell r="L1185">
            <v>141.2</v>
          </cell>
        </row>
        <row r="1185">
          <cell r="N1185">
            <v>44076</v>
          </cell>
          <cell r="O1185">
            <v>108.07</v>
          </cell>
        </row>
        <row r="1186">
          <cell r="B1186">
            <v>44077</v>
          </cell>
          <cell r="C1186">
            <v>110.53</v>
          </cell>
        </row>
        <row r="1186">
          <cell r="E1186">
            <v>44021</v>
          </cell>
          <cell r="F1186">
            <v>151.19</v>
          </cell>
        </row>
        <row r="1186">
          <cell r="H1186">
            <v>44021</v>
          </cell>
          <cell r="I1186">
            <v>61.75</v>
          </cell>
        </row>
        <row r="1186">
          <cell r="K1186">
            <v>44021</v>
          </cell>
          <cell r="L1186">
            <v>141.02</v>
          </cell>
        </row>
        <row r="1186">
          <cell r="N1186">
            <v>44077</v>
          </cell>
          <cell r="O1186">
            <v>108.25</v>
          </cell>
        </row>
        <row r="1187">
          <cell r="B1187">
            <v>44078</v>
          </cell>
          <cell r="C1187">
            <v>110.53</v>
          </cell>
        </row>
        <row r="1187">
          <cell r="E1187">
            <v>44022</v>
          </cell>
          <cell r="F1187">
            <v>149.51</v>
          </cell>
        </row>
        <row r="1187">
          <cell r="H1187">
            <v>44022</v>
          </cell>
          <cell r="I1187">
            <v>62.1</v>
          </cell>
        </row>
        <row r="1187">
          <cell r="K1187">
            <v>44022</v>
          </cell>
          <cell r="L1187">
            <v>141.52</v>
          </cell>
        </row>
        <row r="1187">
          <cell r="N1187">
            <v>44078</v>
          </cell>
          <cell r="O1187">
            <v>108.79</v>
          </cell>
        </row>
        <row r="1188">
          <cell r="B1188">
            <v>44081</v>
          </cell>
          <cell r="C1188">
            <v>110.53</v>
          </cell>
        </row>
        <row r="1188">
          <cell r="E1188">
            <v>44025</v>
          </cell>
          <cell r="F1188">
            <v>147.21</v>
          </cell>
        </row>
        <row r="1188">
          <cell r="H1188">
            <v>44025</v>
          </cell>
          <cell r="I1188">
            <v>62.77</v>
          </cell>
        </row>
        <row r="1188">
          <cell r="K1188">
            <v>44025</v>
          </cell>
          <cell r="L1188">
            <v>142.18</v>
          </cell>
        </row>
        <row r="1188">
          <cell r="N1188">
            <v>44081</v>
          </cell>
          <cell r="O1188">
            <v>108.8</v>
          </cell>
        </row>
        <row r="1189">
          <cell r="B1189">
            <v>44082</v>
          </cell>
          <cell r="C1189">
            <v>109.9</v>
          </cell>
        </row>
        <row r="1189">
          <cell r="E1189">
            <v>44026</v>
          </cell>
          <cell r="F1189">
            <v>148.78</v>
          </cell>
        </row>
        <row r="1189">
          <cell r="H1189">
            <v>44026</v>
          </cell>
          <cell r="I1189">
            <v>62.81</v>
          </cell>
        </row>
        <row r="1189">
          <cell r="K1189">
            <v>44026</v>
          </cell>
          <cell r="L1189">
            <v>142.47</v>
          </cell>
        </row>
        <row r="1189">
          <cell r="N1189">
            <v>44082</v>
          </cell>
          <cell r="O1189">
            <v>108.52</v>
          </cell>
        </row>
        <row r="1190">
          <cell r="B1190">
            <v>44083</v>
          </cell>
          <cell r="C1190">
            <v>109.68</v>
          </cell>
        </row>
        <row r="1190">
          <cell r="E1190">
            <v>44027</v>
          </cell>
          <cell r="F1190">
            <v>146.69</v>
          </cell>
        </row>
        <row r="1190">
          <cell r="H1190">
            <v>44027</v>
          </cell>
          <cell r="I1190">
            <v>63.05</v>
          </cell>
        </row>
        <row r="1190">
          <cell r="K1190">
            <v>44027</v>
          </cell>
          <cell r="L1190">
            <v>142.17</v>
          </cell>
        </row>
        <row r="1190">
          <cell r="N1190">
            <v>44083</v>
          </cell>
          <cell r="O1190">
            <v>108.75</v>
          </cell>
        </row>
        <row r="1191">
          <cell r="B1191">
            <v>44084</v>
          </cell>
          <cell r="C1191">
            <v>109.73</v>
          </cell>
        </row>
        <row r="1191">
          <cell r="E1191">
            <v>44028</v>
          </cell>
          <cell r="F1191">
            <v>146.76</v>
          </cell>
        </row>
        <row r="1191">
          <cell r="H1191">
            <v>44028</v>
          </cell>
          <cell r="I1191">
            <v>63.24</v>
          </cell>
        </row>
        <row r="1191">
          <cell r="K1191">
            <v>44028</v>
          </cell>
          <cell r="L1191">
            <v>141.7</v>
          </cell>
        </row>
        <row r="1191">
          <cell r="N1191">
            <v>44084</v>
          </cell>
          <cell r="O1191">
            <v>108.25</v>
          </cell>
        </row>
        <row r="1192">
          <cell r="B1192">
            <v>44085</v>
          </cell>
          <cell r="C1192">
            <v>109.43</v>
          </cell>
        </row>
        <row r="1192">
          <cell r="E1192">
            <v>44029</v>
          </cell>
          <cell r="F1192">
            <v>148.41</v>
          </cell>
        </row>
        <row r="1192">
          <cell r="H1192">
            <v>44029</v>
          </cell>
          <cell r="I1192">
            <v>62.99</v>
          </cell>
        </row>
        <row r="1192">
          <cell r="K1192">
            <v>44029</v>
          </cell>
          <cell r="L1192">
            <v>140.49</v>
          </cell>
        </row>
        <row r="1192">
          <cell r="N1192">
            <v>44085</v>
          </cell>
          <cell r="O1192">
            <v>109.1</v>
          </cell>
        </row>
        <row r="1193">
          <cell r="B1193">
            <v>44088</v>
          </cell>
          <cell r="C1193">
            <v>109.12</v>
          </cell>
        </row>
        <row r="1193">
          <cell r="E1193">
            <v>44032</v>
          </cell>
          <cell r="F1193">
            <v>150.5</v>
          </cell>
        </row>
        <row r="1193">
          <cell r="H1193">
            <v>44032</v>
          </cell>
          <cell r="I1193">
            <v>62.56</v>
          </cell>
        </row>
        <row r="1193">
          <cell r="K1193">
            <v>44032</v>
          </cell>
          <cell r="L1193">
            <v>140.45</v>
          </cell>
        </row>
        <row r="1193">
          <cell r="N1193">
            <v>44088</v>
          </cell>
          <cell r="O1193">
            <v>108.71</v>
          </cell>
        </row>
        <row r="1194">
          <cell r="B1194">
            <v>44089</v>
          </cell>
          <cell r="C1194">
            <v>109.79</v>
          </cell>
        </row>
        <row r="1194">
          <cell r="E1194">
            <v>44033</v>
          </cell>
          <cell r="F1194">
            <v>150</v>
          </cell>
        </row>
        <row r="1194">
          <cell r="H1194">
            <v>44033</v>
          </cell>
          <cell r="I1194">
            <v>62.78</v>
          </cell>
        </row>
        <row r="1194">
          <cell r="K1194">
            <v>44033</v>
          </cell>
          <cell r="L1194">
            <v>141.12</v>
          </cell>
        </row>
        <row r="1194">
          <cell r="N1194">
            <v>44089</v>
          </cell>
          <cell r="O1194">
            <v>108.92</v>
          </cell>
        </row>
        <row r="1195">
          <cell r="B1195">
            <v>44090</v>
          </cell>
          <cell r="C1195">
            <v>109.96</v>
          </cell>
        </row>
        <row r="1195">
          <cell r="E1195">
            <v>44034</v>
          </cell>
          <cell r="F1195">
            <v>150.76</v>
          </cell>
        </row>
        <row r="1195">
          <cell r="H1195">
            <v>44034</v>
          </cell>
          <cell r="I1195">
            <v>62.94</v>
          </cell>
        </row>
        <row r="1195">
          <cell r="K1195">
            <v>44034</v>
          </cell>
          <cell r="L1195">
            <v>141.17</v>
          </cell>
        </row>
        <row r="1195">
          <cell r="N1195">
            <v>44090</v>
          </cell>
          <cell r="O1195">
            <v>108.41</v>
          </cell>
        </row>
        <row r="1196">
          <cell r="B1196">
            <v>44091</v>
          </cell>
          <cell r="C1196">
            <v>109.86</v>
          </cell>
        </row>
        <row r="1196">
          <cell r="E1196">
            <v>44035</v>
          </cell>
          <cell r="F1196">
            <v>148.4</v>
          </cell>
        </row>
        <row r="1196">
          <cell r="H1196">
            <v>44035</v>
          </cell>
          <cell r="I1196">
            <v>63.17</v>
          </cell>
        </row>
        <row r="1196">
          <cell r="K1196">
            <v>44035</v>
          </cell>
          <cell r="L1196">
            <v>140.99</v>
          </cell>
        </row>
        <row r="1196">
          <cell r="N1196">
            <v>44091</v>
          </cell>
          <cell r="O1196">
            <v>107.79</v>
          </cell>
        </row>
        <row r="1197">
          <cell r="B1197">
            <v>44092</v>
          </cell>
          <cell r="C1197">
            <v>109.69</v>
          </cell>
        </row>
        <row r="1197">
          <cell r="E1197">
            <v>44036</v>
          </cell>
          <cell r="F1197">
            <v>149.5</v>
          </cell>
        </row>
        <row r="1197">
          <cell r="H1197">
            <v>44036</v>
          </cell>
          <cell r="I1197">
            <v>62.81</v>
          </cell>
        </row>
        <row r="1197">
          <cell r="K1197">
            <v>44036</v>
          </cell>
          <cell r="L1197">
            <v>141.13</v>
          </cell>
        </row>
        <row r="1197">
          <cell r="N1197">
            <v>44092</v>
          </cell>
          <cell r="O1197">
            <v>107.3</v>
          </cell>
        </row>
        <row r="1198">
          <cell r="B1198">
            <v>44095</v>
          </cell>
          <cell r="C1198">
            <v>109.84</v>
          </cell>
        </row>
        <row r="1198">
          <cell r="E1198">
            <v>44039</v>
          </cell>
          <cell r="F1198">
            <v>151.58</v>
          </cell>
        </row>
        <row r="1198">
          <cell r="H1198">
            <v>44039</v>
          </cell>
          <cell r="I1198">
            <v>63.06</v>
          </cell>
        </row>
        <row r="1198">
          <cell r="K1198">
            <v>44039</v>
          </cell>
          <cell r="L1198">
            <v>140.49</v>
          </cell>
        </row>
        <row r="1198">
          <cell r="N1198">
            <v>44095</v>
          </cell>
          <cell r="O1198">
            <v>108.02</v>
          </cell>
        </row>
        <row r="1199">
          <cell r="B1199">
            <v>44096</v>
          </cell>
          <cell r="C1199">
            <v>110.32</v>
          </cell>
        </row>
        <row r="1199">
          <cell r="E1199">
            <v>44040</v>
          </cell>
          <cell r="F1199">
            <v>150.09</v>
          </cell>
        </row>
        <row r="1199">
          <cell r="H1199">
            <v>44040</v>
          </cell>
          <cell r="I1199">
            <v>62.95</v>
          </cell>
        </row>
        <row r="1199">
          <cell r="K1199">
            <v>44040</v>
          </cell>
          <cell r="L1199">
            <v>139.71</v>
          </cell>
        </row>
        <row r="1199">
          <cell r="N1199">
            <v>44096</v>
          </cell>
          <cell r="O1199">
            <v>107.94</v>
          </cell>
        </row>
        <row r="1200">
          <cell r="B1200">
            <v>44097</v>
          </cell>
          <cell r="C1200">
            <v>110.55</v>
          </cell>
        </row>
        <row r="1200">
          <cell r="E1200">
            <v>44041</v>
          </cell>
          <cell r="F1200">
            <v>151.54</v>
          </cell>
        </row>
        <row r="1200">
          <cell r="H1200">
            <v>44041</v>
          </cell>
          <cell r="I1200">
            <v>62.99</v>
          </cell>
        </row>
        <row r="1200">
          <cell r="K1200">
            <v>44041</v>
          </cell>
          <cell r="L1200">
            <v>139.88</v>
          </cell>
        </row>
        <row r="1200">
          <cell r="N1200">
            <v>44097</v>
          </cell>
          <cell r="O1200">
            <v>108.86</v>
          </cell>
        </row>
        <row r="1201">
          <cell r="B1201">
            <v>44098</v>
          </cell>
          <cell r="C1201">
            <v>110.18</v>
          </cell>
        </row>
        <row r="1201">
          <cell r="E1201">
            <v>44042</v>
          </cell>
          <cell r="F1201">
            <v>152.06</v>
          </cell>
        </row>
        <row r="1201">
          <cell r="H1201">
            <v>44042</v>
          </cell>
          <cell r="I1201">
            <v>62.95</v>
          </cell>
        </row>
        <row r="1201">
          <cell r="K1201">
            <v>44042</v>
          </cell>
          <cell r="L1201">
            <v>140.42</v>
          </cell>
        </row>
        <row r="1201">
          <cell r="N1201">
            <v>44098</v>
          </cell>
          <cell r="O1201">
            <v>108.93</v>
          </cell>
        </row>
        <row r="1202">
          <cell r="B1202">
            <v>44099</v>
          </cell>
          <cell r="C1202">
            <v>109.88</v>
          </cell>
        </row>
        <row r="1202">
          <cell r="E1202">
            <v>44043</v>
          </cell>
          <cell r="F1202">
            <v>152.54</v>
          </cell>
        </row>
        <row r="1202">
          <cell r="H1202">
            <v>44043</v>
          </cell>
          <cell r="I1202">
            <v>62.3</v>
          </cell>
        </row>
        <row r="1202">
          <cell r="K1202">
            <v>44043</v>
          </cell>
          <cell r="L1202">
            <v>140.2</v>
          </cell>
        </row>
        <row r="1202">
          <cell r="N1202">
            <v>44099</v>
          </cell>
          <cell r="O1202">
            <v>109.04</v>
          </cell>
        </row>
        <row r="1203">
          <cell r="B1203">
            <v>44102</v>
          </cell>
          <cell r="C1203">
            <v>109.61</v>
          </cell>
        </row>
        <row r="1203">
          <cell r="E1203">
            <v>44046</v>
          </cell>
          <cell r="F1203">
            <v>153.63</v>
          </cell>
        </row>
        <row r="1203">
          <cell r="H1203">
            <v>44046</v>
          </cell>
          <cell r="I1203">
            <v>62.36</v>
          </cell>
        </row>
        <row r="1203">
          <cell r="K1203">
            <v>44046</v>
          </cell>
          <cell r="L1203">
            <v>139.66</v>
          </cell>
        </row>
        <row r="1203">
          <cell r="N1203">
            <v>44102</v>
          </cell>
          <cell r="O1203">
            <v>108.65</v>
          </cell>
        </row>
        <row r="1204">
          <cell r="B1204">
            <v>44103</v>
          </cell>
          <cell r="C1204">
            <v>109.83</v>
          </cell>
        </row>
        <row r="1204">
          <cell r="E1204">
            <v>44047</v>
          </cell>
          <cell r="F1204">
            <v>153.04</v>
          </cell>
        </row>
        <row r="1204">
          <cell r="H1204">
            <v>44047</v>
          </cell>
          <cell r="I1204">
            <v>62.32</v>
          </cell>
        </row>
        <row r="1204">
          <cell r="K1204">
            <v>44047</v>
          </cell>
          <cell r="L1204">
            <v>139.31</v>
          </cell>
        </row>
        <row r="1204">
          <cell r="N1204">
            <v>44103</v>
          </cell>
          <cell r="O1204">
            <v>108.27</v>
          </cell>
        </row>
        <row r="1205">
          <cell r="B1205">
            <v>44104</v>
          </cell>
          <cell r="C1205">
            <v>109.97</v>
          </cell>
        </row>
        <row r="1205">
          <cell r="E1205">
            <v>44048</v>
          </cell>
          <cell r="F1205">
            <v>152.82</v>
          </cell>
        </row>
        <row r="1205">
          <cell r="H1205">
            <v>44048</v>
          </cell>
          <cell r="I1205">
            <v>62.2</v>
          </cell>
        </row>
        <row r="1205">
          <cell r="K1205">
            <v>44048</v>
          </cell>
          <cell r="L1205">
            <v>139.9</v>
          </cell>
        </row>
        <row r="1205">
          <cell r="N1205">
            <v>44104</v>
          </cell>
          <cell r="O1205">
            <v>108.85</v>
          </cell>
        </row>
        <row r="1206">
          <cell r="B1206">
            <v>44105</v>
          </cell>
          <cell r="C1206">
            <v>109.83</v>
          </cell>
        </row>
        <row r="1206">
          <cell r="E1206">
            <v>44049</v>
          </cell>
          <cell r="F1206">
            <v>153.2</v>
          </cell>
        </row>
        <row r="1206">
          <cell r="H1206">
            <v>44049</v>
          </cell>
          <cell r="I1206">
            <v>61.72</v>
          </cell>
        </row>
        <row r="1206">
          <cell r="K1206">
            <v>44049</v>
          </cell>
          <cell r="L1206">
            <v>139.8</v>
          </cell>
        </row>
        <row r="1206">
          <cell r="N1206">
            <v>44105</v>
          </cell>
          <cell r="O1206">
            <v>108.35</v>
          </cell>
        </row>
        <row r="1207">
          <cell r="B1207">
            <v>44106</v>
          </cell>
          <cell r="C1207">
            <v>109.41</v>
          </cell>
        </row>
        <row r="1207">
          <cell r="E1207">
            <v>44050</v>
          </cell>
          <cell r="F1207">
            <v>153.08</v>
          </cell>
        </row>
        <row r="1207">
          <cell r="H1207">
            <v>44050</v>
          </cell>
          <cell r="I1207">
            <v>61.84</v>
          </cell>
        </row>
        <row r="1207">
          <cell r="K1207">
            <v>44050</v>
          </cell>
          <cell r="L1207">
            <v>141.3</v>
          </cell>
        </row>
        <row r="1207">
          <cell r="N1207">
            <v>44106</v>
          </cell>
          <cell r="O1207">
            <v>107.53</v>
          </cell>
        </row>
        <row r="1208">
          <cell r="B1208">
            <v>44109</v>
          </cell>
          <cell r="C1208">
            <v>109.09</v>
          </cell>
        </row>
        <row r="1208">
          <cell r="E1208">
            <v>44053</v>
          </cell>
          <cell r="F1208">
            <v>150.31</v>
          </cell>
        </row>
        <row r="1208">
          <cell r="H1208">
            <v>44053</v>
          </cell>
          <cell r="I1208">
            <v>62.46</v>
          </cell>
        </row>
        <row r="1208">
          <cell r="K1208">
            <v>44053</v>
          </cell>
          <cell r="L1208">
            <v>141.36</v>
          </cell>
        </row>
        <row r="1208">
          <cell r="N1208">
            <v>44109</v>
          </cell>
          <cell r="O1208">
            <v>106.88</v>
          </cell>
        </row>
        <row r="1209">
          <cell r="B1209">
            <v>44110</v>
          </cell>
          <cell r="C1209">
            <v>108.67</v>
          </cell>
        </row>
        <row r="1209">
          <cell r="E1209">
            <v>44054</v>
          </cell>
          <cell r="F1209">
            <v>148.14</v>
          </cell>
        </row>
        <row r="1209">
          <cell r="H1209">
            <v>44054</v>
          </cell>
          <cell r="I1209">
            <v>62.93</v>
          </cell>
        </row>
        <row r="1209">
          <cell r="K1209">
            <v>44054</v>
          </cell>
          <cell r="L1209">
            <v>142.9</v>
          </cell>
        </row>
        <row r="1209">
          <cell r="N1209">
            <v>44110</v>
          </cell>
          <cell r="O1209">
            <v>105.72</v>
          </cell>
        </row>
        <row r="1210">
          <cell r="B1210">
            <v>44111</v>
          </cell>
          <cell r="C1210">
            <v>109.06</v>
          </cell>
        </row>
        <row r="1210">
          <cell r="E1210">
            <v>44055</v>
          </cell>
          <cell r="F1210">
            <v>150.84</v>
          </cell>
        </row>
        <row r="1210">
          <cell r="H1210">
            <v>44055</v>
          </cell>
          <cell r="I1210">
            <v>62.79</v>
          </cell>
        </row>
        <row r="1210">
          <cell r="K1210">
            <v>44055</v>
          </cell>
          <cell r="L1210">
            <v>143.04</v>
          </cell>
        </row>
        <row r="1210">
          <cell r="N1210">
            <v>44111</v>
          </cell>
          <cell r="O1210">
            <v>105.87</v>
          </cell>
        </row>
        <row r="1211">
          <cell r="B1211">
            <v>44112</v>
          </cell>
          <cell r="C1211">
            <v>109.31</v>
          </cell>
        </row>
        <row r="1211">
          <cell r="E1211">
            <v>44056</v>
          </cell>
          <cell r="F1211">
            <v>152.16</v>
          </cell>
        </row>
        <row r="1211">
          <cell r="H1211">
            <v>44056</v>
          </cell>
          <cell r="I1211">
            <v>62.24</v>
          </cell>
        </row>
        <row r="1211">
          <cell r="K1211">
            <v>44056</v>
          </cell>
          <cell r="L1211">
            <v>143.16</v>
          </cell>
        </row>
        <row r="1211">
          <cell r="N1211">
            <v>44112</v>
          </cell>
          <cell r="O1211">
            <v>105.86</v>
          </cell>
        </row>
        <row r="1212">
          <cell r="B1212">
            <v>44113</v>
          </cell>
          <cell r="C1212">
            <v>108.93</v>
          </cell>
        </row>
        <row r="1212">
          <cell r="E1212">
            <v>44057</v>
          </cell>
          <cell r="F1212">
            <v>151.66</v>
          </cell>
        </row>
        <row r="1212">
          <cell r="H1212">
            <v>44057</v>
          </cell>
          <cell r="I1212">
            <v>62.42</v>
          </cell>
        </row>
        <row r="1212">
          <cell r="K1212">
            <v>44057</v>
          </cell>
          <cell r="L1212">
            <v>143.45</v>
          </cell>
        </row>
        <row r="1212">
          <cell r="N1212">
            <v>44113</v>
          </cell>
          <cell r="O1212">
            <v>105.73</v>
          </cell>
        </row>
        <row r="1213">
          <cell r="B1213">
            <v>44116</v>
          </cell>
          <cell r="C1213">
            <v>108.98</v>
          </cell>
        </row>
        <row r="1213">
          <cell r="E1213">
            <v>44060</v>
          </cell>
          <cell r="F1213">
            <v>154.98</v>
          </cell>
        </row>
        <row r="1213">
          <cell r="H1213">
            <v>44060</v>
          </cell>
          <cell r="I1213">
            <v>62.56</v>
          </cell>
        </row>
        <row r="1213">
          <cell r="K1213">
            <v>44060</v>
          </cell>
          <cell r="L1213">
            <v>143.1</v>
          </cell>
        </row>
        <row r="1213">
          <cell r="N1213">
            <v>44116</v>
          </cell>
          <cell r="O1213">
            <v>105.85</v>
          </cell>
        </row>
        <row r="1214">
          <cell r="B1214">
            <v>44117</v>
          </cell>
          <cell r="C1214">
            <v>108.97</v>
          </cell>
        </row>
        <row r="1214">
          <cell r="E1214">
            <v>44061</v>
          </cell>
          <cell r="F1214">
            <v>154.51</v>
          </cell>
        </row>
        <row r="1214">
          <cell r="H1214">
            <v>44061</v>
          </cell>
          <cell r="I1214">
            <v>62.3</v>
          </cell>
        </row>
        <row r="1214">
          <cell r="K1214">
            <v>44061</v>
          </cell>
          <cell r="L1214">
            <v>143.27</v>
          </cell>
        </row>
        <row r="1214">
          <cell r="N1214">
            <v>44117</v>
          </cell>
          <cell r="O1214">
            <v>105.98</v>
          </cell>
        </row>
        <row r="1215">
          <cell r="B1215">
            <v>44118</v>
          </cell>
          <cell r="C1215">
            <v>108.76</v>
          </cell>
        </row>
        <row r="1215">
          <cell r="E1215">
            <v>44062</v>
          </cell>
          <cell r="F1215">
            <v>153.92</v>
          </cell>
        </row>
        <row r="1215">
          <cell r="H1215">
            <v>44062</v>
          </cell>
          <cell r="I1215">
            <v>62.32</v>
          </cell>
        </row>
        <row r="1215">
          <cell r="K1215">
            <v>44062</v>
          </cell>
          <cell r="L1215">
            <v>143.2</v>
          </cell>
        </row>
        <row r="1215">
          <cell r="N1215">
            <v>44118</v>
          </cell>
          <cell r="O1215">
            <v>106.16</v>
          </cell>
        </row>
        <row r="1216">
          <cell r="B1216">
            <v>44119</v>
          </cell>
          <cell r="C1216">
            <v>108.86</v>
          </cell>
        </row>
        <row r="1216">
          <cell r="E1216">
            <v>44063</v>
          </cell>
          <cell r="F1216">
            <v>154.96</v>
          </cell>
        </row>
        <row r="1216">
          <cell r="H1216">
            <v>44063</v>
          </cell>
          <cell r="I1216">
            <v>62.14</v>
          </cell>
        </row>
        <row r="1216">
          <cell r="K1216">
            <v>44063</v>
          </cell>
          <cell r="L1216">
            <v>143.62</v>
          </cell>
        </row>
        <row r="1216">
          <cell r="N1216">
            <v>44119</v>
          </cell>
          <cell r="O1216">
            <v>105.34</v>
          </cell>
        </row>
        <row r="1217">
          <cell r="B1217">
            <v>44120</v>
          </cell>
          <cell r="C1217">
            <v>108.95</v>
          </cell>
        </row>
        <row r="1217">
          <cell r="E1217">
            <v>44064</v>
          </cell>
          <cell r="F1217">
            <v>155.97</v>
          </cell>
        </row>
        <row r="1217">
          <cell r="H1217">
            <v>44064</v>
          </cell>
          <cell r="I1217">
            <v>62.07</v>
          </cell>
        </row>
        <row r="1217">
          <cell r="K1217">
            <v>44064</v>
          </cell>
          <cell r="L1217">
            <v>143.99</v>
          </cell>
        </row>
        <row r="1217">
          <cell r="N1217">
            <v>44120</v>
          </cell>
          <cell r="O1217">
            <v>105.94</v>
          </cell>
        </row>
        <row r="1218">
          <cell r="B1218">
            <v>44123</v>
          </cell>
          <cell r="C1218">
            <v>108.95</v>
          </cell>
        </row>
        <row r="1218">
          <cell r="E1218">
            <v>44067</v>
          </cell>
          <cell r="F1218">
            <v>153.03</v>
          </cell>
        </row>
        <row r="1218">
          <cell r="H1218">
            <v>44067</v>
          </cell>
          <cell r="I1218">
            <v>62.41</v>
          </cell>
        </row>
        <row r="1218">
          <cell r="K1218">
            <v>44067</v>
          </cell>
          <cell r="L1218">
            <v>143.94</v>
          </cell>
        </row>
        <row r="1218">
          <cell r="N1218">
            <v>44123</v>
          </cell>
          <cell r="O1218">
            <v>105.75</v>
          </cell>
        </row>
        <row r="1219">
          <cell r="B1219">
            <v>44124</v>
          </cell>
          <cell r="C1219">
            <v>108.71</v>
          </cell>
        </row>
        <row r="1219">
          <cell r="E1219">
            <v>44068</v>
          </cell>
          <cell r="F1219">
            <v>153.58</v>
          </cell>
        </row>
        <row r="1219">
          <cell r="H1219">
            <v>44068</v>
          </cell>
          <cell r="I1219">
            <v>62.35</v>
          </cell>
        </row>
        <row r="1219">
          <cell r="K1219">
            <v>44068</v>
          </cell>
          <cell r="L1219">
            <v>143.51</v>
          </cell>
        </row>
        <row r="1219">
          <cell r="N1219">
            <v>44124</v>
          </cell>
          <cell r="O1219">
            <v>105.96</v>
          </cell>
        </row>
        <row r="1220">
          <cell r="B1220">
            <v>44125</v>
          </cell>
          <cell r="C1220">
            <v>108.56</v>
          </cell>
        </row>
        <row r="1220">
          <cell r="E1220">
            <v>44069</v>
          </cell>
          <cell r="F1220">
            <v>155.11</v>
          </cell>
        </row>
        <row r="1220">
          <cell r="H1220">
            <v>44069</v>
          </cell>
          <cell r="I1220">
            <v>62.5</v>
          </cell>
        </row>
        <row r="1220">
          <cell r="K1220">
            <v>44069</v>
          </cell>
          <cell r="L1220">
            <v>143.46</v>
          </cell>
        </row>
        <row r="1220">
          <cell r="N1220">
            <v>44125</v>
          </cell>
          <cell r="O1220">
            <v>105.99</v>
          </cell>
        </row>
        <row r="1221">
          <cell r="B1221">
            <v>44126</v>
          </cell>
          <cell r="C1221">
            <v>108.11</v>
          </cell>
        </row>
        <row r="1221">
          <cell r="E1221">
            <v>44070</v>
          </cell>
          <cell r="F1221">
            <v>153.48</v>
          </cell>
        </row>
        <row r="1221">
          <cell r="H1221">
            <v>44070</v>
          </cell>
          <cell r="I1221">
            <v>62.14</v>
          </cell>
        </row>
        <row r="1221">
          <cell r="K1221">
            <v>44070</v>
          </cell>
          <cell r="L1221">
            <v>143.1</v>
          </cell>
        </row>
        <row r="1221">
          <cell r="N1221">
            <v>44126</v>
          </cell>
          <cell r="O1221">
            <v>105.64</v>
          </cell>
        </row>
        <row r="1222">
          <cell r="B1222">
            <v>44127</v>
          </cell>
          <cell r="C1222">
            <v>108.31</v>
          </cell>
        </row>
        <row r="1222">
          <cell r="E1222">
            <v>44071</v>
          </cell>
          <cell r="F1222">
            <v>152.67</v>
          </cell>
        </row>
        <row r="1222">
          <cell r="H1222">
            <v>44071</v>
          </cell>
          <cell r="I1222">
            <v>61.94</v>
          </cell>
        </row>
        <row r="1222">
          <cell r="K1222">
            <v>44071</v>
          </cell>
          <cell r="L1222">
            <v>141.91</v>
          </cell>
        </row>
        <row r="1222">
          <cell r="N1222">
            <v>44127</v>
          </cell>
          <cell r="O1222">
            <v>105.3</v>
          </cell>
        </row>
        <row r="1223">
          <cell r="B1223">
            <v>44130</v>
          </cell>
          <cell r="C1223">
            <v>108.5</v>
          </cell>
        </row>
        <row r="1223">
          <cell r="E1223">
            <v>44074</v>
          </cell>
          <cell r="F1223">
            <v>154.01</v>
          </cell>
        </row>
        <row r="1223">
          <cell r="H1223">
            <v>44074</v>
          </cell>
          <cell r="I1223">
            <v>61.83</v>
          </cell>
        </row>
        <row r="1223">
          <cell r="K1223">
            <v>44074</v>
          </cell>
          <cell r="L1223">
            <v>142.27</v>
          </cell>
        </row>
        <row r="1223">
          <cell r="N1223">
            <v>44130</v>
          </cell>
          <cell r="O1223">
            <v>105</v>
          </cell>
        </row>
        <row r="1224">
          <cell r="B1224">
            <v>44131</v>
          </cell>
          <cell r="C1224">
            <v>108.99</v>
          </cell>
        </row>
        <row r="1224">
          <cell r="E1224">
            <v>44075</v>
          </cell>
          <cell r="F1224">
            <v>157.42</v>
          </cell>
        </row>
        <row r="1224">
          <cell r="H1224">
            <v>44075</v>
          </cell>
          <cell r="I1224">
            <v>61.55</v>
          </cell>
        </row>
        <row r="1224">
          <cell r="K1224">
            <v>44075</v>
          </cell>
          <cell r="L1224">
            <v>143.59</v>
          </cell>
        </row>
        <row r="1224">
          <cell r="N1224">
            <v>44131</v>
          </cell>
          <cell r="O1224">
            <v>104.22</v>
          </cell>
        </row>
        <row r="1225">
          <cell r="B1225">
            <v>44132</v>
          </cell>
          <cell r="C1225">
            <v>108.79</v>
          </cell>
        </row>
        <row r="1225">
          <cell r="E1225">
            <v>44076</v>
          </cell>
          <cell r="F1225">
            <v>155.9</v>
          </cell>
        </row>
        <row r="1225">
          <cell r="H1225">
            <v>44076</v>
          </cell>
          <cell r="I1225">
            <v>61.75</v>
          </cell>
        </row>
        <row r="1225">
          <cell r="K1225">
            <v>44076</v>
          </cell>
          <cell r="L1225">
            <v>144.17</v>
          </cell>
        </row>
        <row r="1225">
          <cell r="N1225">
            <v>44132</v>
          </cell>
          <cell r="O1225">
            <v>104.48</v>
          </cell>
        </row>
        <row r="1226">
          <cell r="B1226">
            <v>44133</v>
          </cell>
          <cell r="C1226">
            <v>109.02</v>
          </cell>
        </row>
        <row r="1226">
          <cell r="E1226">
            <v>44077</v>
          </cell>
          <cell r="F1226">
            <v>152.18</v>
          </cell>
        </row>
        <row r="1226">
          <cell r="H1226">
            <v>44077</v>
          </cell>
          <cell r="I1226">
            <v>61.69</v>
          </cell>
        </row>
        <row r="1226">
          <cell r="K1226">
            <v>44077</v>
          </cell>
          <cell r="L1226">
            <v>142.56</v>
          </cell>
        </row>
        <row r="1226">
          <cell r="N1226">
            <v>44133</v>
          </cell>
          <cell r="O1226">
            <v>104.7</v>
          </cell>
        </row>
        <row r="1227">
          <cell r="B1227">
            <v>44134</v>
          </cell>
          <cell r="C1227">
            <v>109.06</v>
          </cell>
        </row>
        <row r="1227">
          <cell r="E1227">
            <v>44078</v>
          </cell>
          <cell r="F1227">
            <v>150.06</v>
          </cell>
        </row>
        <row r="1227">
          <cell r="H1227">
            <v>44078</v>
          </cell>
          <cell r="I1227">
            <v>62.31</v>
          </cell>
        </row>
        <row r="1227">
          <cell r="K1227">
            <v>44078</v>
          </cell>
          <cell r="L1227">
            <v>141.41</v>
          </cell>
        </row>
        <row r="1227">
          <cell r="N1227">
            <v>44134</v>
          </cell>
          <cell r="O1227">
            <v>105.53</v>
          </cell>
        </row>
        <row r="1228">
          <cell r="B1228">
            <v>44137</v>
          </cell>
          <cell r="C1228">
            <v>109</v>
          </cell>
        </row>
        <row r="1228">
          <cell r="E1228">
            <v>44081</v>
          </cell>
          <cell r="F1228">
            <v>150.02</v>
          </cell>
        </row>
        <row r="1228">
          <cell r="H1228">
            <v>44081</v>
          </cell>
          <cell r="I1228">
            <v>62.33</v>
          </cell>
        </row>
        <row r="1228">
          <cell r="K1228">
            <v>44081</v>
          </cell>
          <cell r="L1228">
            <v>141.34</v>
          </cell>
        </row>
        <row r="1228">
          <cell r="N1228">
            <v>44137</v>
          </cell>
          <cell r="O1228">
            <v>105.21</v>
          </cell>
        </row>
        <row r="1229">
          <cell r="B1229">
            <v>44138</v>
          </cell>
          <cell r="C1229">
            <v>108.66</v>
          </cell>
        </row>
        <row r="1229">
          <cell r="E1229">
            <v>44082</v>
          </cell>
          <cell r="F1229">
            <v>148.26</v>
          </cell>
        </row>
        <row r="1229">
          <cell r="H1229">
            <v>44082</v>
          </cell>
          <cell r="I1229">
            <v>62.47</v>
          </cell>
        </row>
        <row r="1229">
          <cell r="K1229">
            <v>44082</v>
          </cell>
          <cell r="L1229">
            <v>141.2</v>
          </cell>
        </row>
        <row r="1229">
          <cell r="N1229">
            <v>44138</v>
          </cell>
          <cell r="O1229">
            <v>104.5</v>
          </cell>
        </row>
        <row r="1230">
          <cell r="B1230">
            <v>44139</v>
          </cell>
          <cell r="C1230">
            <v>109.37</v>
          </cell>
        </row>
        <row r="1230">
          <cell r="E1230">
            <v>44083</v>
          </cell>
          <cell r="F1230">
            <v>150.91</v>
          </cell>
        </row>
        <row r="1230">
          <cell r="H1230">
            <v>44083</v>
          </cell>
          <cell r="I1230">
            <v>62.58</v>
          </cell>
        </row>
        <row r="1230">
          <cell r="K1230">
            <v>44083</v>
          </cell>
          <cell r="L1230">
            <v>141.72</v>
          </cell>
        </row>
        <row r="1230">
          <cell r="N1230">
            <v>44139</v>
          </cell>
          <cell r="O1230">
            <v>106.53</v>
          </cell>
        </row>
        <row r="1231">
          <cell r="B1231">
            <v>44140</v>
          </cell>
          <cell r="C1231">
            <v>108.94</v>
          </cell>
        </row>
        <row r="1231">
          <cell r="E1231">
            <v>44084</v>
          </cell>
          <cell r="F1231">
            <v>150.24</v>
          </cell>
        </row>
        <row r="1231">
          <cell r="H1231">
            <v>44084</v>
          </cell>
          <cell r="I1231">
            <v>62.55</v>
          </cell>
        </row>
        <row r="1231">
          <cell r="K1231">
            <v>44084</v>
          </cell>
          <cell r="L1231">
            <v>141.38</v>
          </cell>
        </row>
        <row r="1231">
          <cell r="N1231">
            <v>44140</v>
          </cell>
          <cell r="O1231">
            <v>105.9</v>
          </cell>
        </row>
        <row r="1232">
          <cell r="B1232">
            <v>44141</v>
          </cell>
          <cell r="C1232">
            <v>108.65</v>
          </cell>
        </row>
        <row r="1232">
          <cell r="E1232">
            <v>44085</v>
          </cell>
          <cell r="F1232">
            <v>149.17</v>
          </cell>
        </row>
        <row r="1232">
          <cell r="H1232">
            <v>44085</v>
          </cell>
          <cell r="I1232">
            <v>62.67</v>
          </cell>
        </row>
        <row r="1232">
          <cell r="K1232">
            <v>44085</v>
          </cell>
          <cell r="L1232">
            <v>141.64</v>
          </cell>
        </row>
        <row r="1232">
          <cell r="N1232">
            <v>44141</v>
          </cell>
          <cell r="O1232">
            <v>106.09</v>
          </cell>
        </row>
        <row r="1233">
          <cell r="B1233">
            <v>44144</v>
          </cell>
          <cell r="C1233">
            <v>107.31</v>
          </cell>
        </row>
        <row r="1233">
          <cell r="E1233">
            <v>44088</v>
          </cell>
          <cell r="F1233">
            <v>149.51</v>
          </cell>
        </row>
        <row r="1233">
          <cell r="H1233">
            <v>44088</v>
          </cell>
          <cell r="I1233">
            <v>62.71</v>
          </cell>
        </row>
        <row r="1233">
          <cell r="K1233">
            <v>44088</v>
          </cell>
          <cell r="L1233">
            <v>141.3</v>
          </cell>
        </row>
        <row r="1233">
          <cell r="N1233">
            <v>44144</v>
          </cell>
          <cell r="O1233">
            <v>106.13</v>
          </cell>
        </row>
        <row r="1234">
          <cell r="B1234">
            <v>44145</v>
          </cell>
          <cell r="C1234">
            <v>107.8</v>
          </cell>
        </row>
        <row r="1234">
          <cell r="E1234">
            <v>44089</v>
          </cell>
          <cell r="F1234">
            <v>150.68</v>
          </cell>
        </row>
        <row r="1234">
          <cell r="H1234">
            <v>44089</v>
          </cell>
          <cell r="I1234">
            <v>62.49</v>
          </cell>
        </row>
        <row r="1234">
          <cell r="K1234">
            <v>44089</v>
          </cell>
          <cell r="L1234">
            <v>141.76</v>
          </cell>
        </row>
        <row r="1234">
          <cell r="N1234">
            <v>44145</v>
          </cell>
          <cell r="O1234">
            <v>104.96</v>
          </cell>
        </row>
        <row r="1235">
          <cell r="B1235">
            <v>44146</v>
          </cell>
          <cell r="C1235">
            <v>108.13</v>
          </cell>
        </row>
        <row r="1235">
          <cell r="E1235">
            <v>44090</v>
          </cell>
          <cell r="F1235">
            <v>148.8</v>
          </cell>
        </row>
        <row r="1235">
          <cell r="H1235">
            <v>44090</v>
          </cell>
          <cell r="I1235">
            <v>62.55</v>
          </cell>
        </row>
        <row r="1235">
          <cell r="K1235">
            <v>44090</v>
          </cell>
          <cell r="L1235">
            <v>140.77</v>
          </cell>
        </row>
        <row r="1235">
          <cell r="N1235">
            <v>44146</v>
          </cell>
          <cell r="O1235">
            <v>104.76</v>
          </cell>
        </row>
        <row r="1236">
          <cell r="B1236">
            <v>44147</v>
          </cell>
          <cell r="C1236">
            <v>108.3</v>
          </cell>
        </row>
        <row r="1236">
          <cell r="E1236">
            <v>44091</v>
          </cell>
          <cell r="F1236">
            <v>147.37</v>
          </cell>
        </row>
        <row r="1236">
          <cell r="H1236">
            <v>44091</v>
          </cell>
          <cell r="I1236">
            <v>62.9</v>
          </cell>
        </row>
        <row r="1236">
          <cell r="K1236">
            <v>44091</v>
          </cell>
          <cell r="L1236">
            <v>141.09</v>
          </cell>
        </row>
        <row r="1236">
          <cell r="N1236">
            <v>44147</v>
          </cell>
          <cell r="O1236">
            <v>105.08</v>
          </cell>
        </row>
        <row r="1237">
          <cell r="B1237">
            <v>44148</v>
          </cell>
          <cell r="C1237">
            <v>108.33</v>
          </cell>
        </row>
        <row r="1237">
          <cell r="E1237">
            <v>44092</v>
          </cell>
          <cell r="F1237">
            <v>148.39</v>
          </cell>
        </row>
        <row r="1237">
          <cell r="H1237">
            <v>44092</v>
          </cell>
          <cell r="I1237">
            <v>63.09</v>
          </cell>
        </row>
        <row r="1237">
          <cell r="K1237">
            <v>44092</v>
          </cell>
          <cell r="L1237">
            <v>141.4</v>
          </cell>
        </row>
        <row r="1237">
          <cell r="N1237">
            <v>44148</v>
          </cell>
          <cell r="O1237">
            <v>104.71</v>
          </cell>
        </row>
        <row r="1238">
          <cell r="B1238">
            <v>44151</v>
          </cell>
          <cell r="C1238">
            <v>107.82</v>
          </cell>
        </row>
        <row r="1238">
          <cell r="E1238">
            <v>44095</v>
          </cell>
          <cell r="F1238">
            <v>151.77</v>
          </cell>
        </row>
        <row r="1238">
          <cell r="H1238">
            <v>44095</v>
          </cell>
          <cell r="I1238">
            <v>62.29</v>
          </cell>
        </row>
        <row r="1238">
          <cell r="K1238">
            <v>44095</v>
          </cell>
          <cell r="L1238">
            <v>142.79</v>
          </cell>
        </row>
        <row r="1238">
          <cell r="N1238">
            <v>44151</v>
          </cell>
          <cell r="O1238">
            <v>104.4</v>
          </cell>
        </row>
        <row r="1239">
          <cell r="B1239">
            <v>44152</v>
          </cell>
          <cell r="C1239">
            <v>108.36</v>
          </cell>
        </row>
        <row r="1239">
          <cell r="E1239">
            <v>44096</v>
          </cell>
          <cell r="F1239">
            <v>152.93</v>
          </cell>
        </row>
        <row r="1239">
          <cell r="H1239">
            <v>44096</v>
          </cell>
          <cell r="I1239">
            <v>61.71</v>
          </cell>
        </row>
        <row r="1239">
          <cell r="K1239">
            <v>44096</v>
          </cell>
          <cell r="L1239">
            <v>143.19</v>
          </cell>
        </row>
        <row r="1239">
          <cell r="N1239">
            <v>44152</v>
          </cell>
          <cell r="O1239">
            <v>103.93</v>
          </cell>
        </row>
        <row r="1240">
          <cell r="B1240">
            <v>44153</v>
          </cell>
          <cell r="C1240">
            <v>108.27</v>
          </cell>
        </row>
        <row r="1240">
          <cell r="E1240">
            <v>44097</v>
          </cell>
          <cell r="F1240">
            <v>151.87</v>
          </cell>
        </row>
        <row r="1240">
          <cell r="H1240">
            <v>44097</v>
          </cell>
          <cell r="I1240">
            <v>61.54</v>
          </cell>
        </row>
        <row r="1240">
          <cell r="K1240">
            <v>44097</v>
          </cell>
          <cell r="L1240">
            <v>144.04</v>
          </cell>
        </row>
        <row r="1240">
          <cell r="N1240">
            <v>44153</v>
          </cell>
          <cell r="O1240">
            <v>104.3</v>
          </cell>
        </row>
        <row r="1241">
          <cell r="B1241">
            <v>44154</v>
          </cell>
          <cell r="C1241">
            <v>108</v>
          </cell>
        </row>
        <row r="1241">
          <cell r="E1241">
            <v>44098</v>
          </cell>
          <cell r="F1241">
            <v>151.96</v>
          </cell>
        </row>
        <row r="1241">
          <cell r="H1241">
            <v>44098</v>
          </cell>
          <cell r="I1241">
            <v>61.88</v>
          </cell>
        </row>
        <row r="1241">
          <cell r="K1241">
            <v>44098</v>
          </cell>
          <cell r="L1241">
            <v>144.27</v>
          </cell>
        </row>
        <row r="1241">
          <cell r="N1241">
            <v>44154</v>
          </cell>
          <cell r="O1241">
            <v>104.04</v>
          </cell>
        </row>
        <row r="1242">
          <cell r="B1242">
            <v>44155</v>
          </cell>
          <cell r="C1242">
            <v>108.08</v>
          </cell>
        </row>
        <row r="1242">
          <cell r="E1242">
            <v>44099</v>
          </cell>
          <cell r="F1242">
            <v>152.92</v>
          </cell>
        </row>
        <row r="1242">
          <cell r="H1242">
            <v>44099</v>
          </cell>
          <cell r="I1242">
            <v>61.5</v>
          </cell>
        </row>
        <row r="1242">
          <cell r="K1242">
            <v>44099</v>
          </cell>
          <cell r="L1242">
            <v>144.58</v>
          </cell>
        </row>
        <row r="1242">
          <cell r="N1242">
            <v>44155</v>
          </cell>
          <cell r="O1242">
            <v>103.27</v>
          </cell>
        </row>
        <row r="1243">
          <cell r="B1243">
            <v>44158</v>
          </cell>
          <cell r="C1243">
            <v>108.25</v>
          </cell>
        </row>
        <row r="1243">
          <cell r="E1243">
            <v>44102</v>
          </cell>
          <cell r="F1243">
            <v>153.59</v>
          </cell>
        </row>
        <row r="1243">
          <cell r="H1243">
            <v>44102</v>
          </cell>
          <cell r="I1243">
            <v>61.76</v>
          </cell>
        </row>
        <row r="1243">
          <cell r="K1243">
            <v>44102</v>
          </cell>
          <cell r="L1243">
            <v>144.63</v>
          </cell>
        </row>
        <row r="1243">
          <cell r="N1243">
            <v>44158</v>
          </cell>
          <cell r="O1243">
            <v>103.15</v>
          </cell>
        </row>
        <row r="1244">
          <cell r="B1244">
            <v>44159</v>
          </cell>
          <cell r="C1244">
            <v>107.57</v>
          </cell>
        </row>
        <row r="1244">
          <cell r="E1244">
            <v>44103</v>
          </cell>
          <cell r="F1244">
            <v>154.36</v>
          </cell>
        </row>
        <row r="1244">
          <cell r="H1244">
            <v>44103</v>
          </cell>
          <cell r="I1244">
            <v>61.63</v>
          </cell>
        </row>
        <row r="1244">
          <cell r="K1244">
            <v>44103</v>
          </cell>
          <cell r="L1244">
            <v>144.75</v>
          </cell>
        </row>
        <row r="1244">
          <cell r="N1244">
            <v>44159</v>
          </cell>
          <cell r="O1244">
            <v>103.48</v>
          </cell>
        </row>
        <row r="1245">
          <cell r="B1245">
            <v>44160</v>
          </cell>
          <cell r="C1245">
            <v>107.38</v>
          </cell>
        </row>
        <row r="1245">
          <cell r="E1245">
            <v>44104</v>
          </cell>
          <cell r="F1245">
            <v>154.28</v>
          </cell>
        </row>
        <row r="1245">
          <cell r="H1245">
            <v>44104</v>
          </cell>
          <cell r="I1245">
            <v>61.58</v>
          </cell>
        </row>
        <row r="1245">
          <cell r="K1245">
            <v>44104</v>
          </cell>
          <cell r="L1245">
            <v>144.94</v>
          </cell>
        </row>
        <row r="1245">
          <cell r="N1245">
            <v>44160</v>
          </cell>
          <cell r="O1245">
            <v>103.77</v>
          </cell>
        </row>
        <row r="1246">
          <cell r="B1246">
            <v>44161</v>
          </cell>
          <cell r="C1246">
            <v>107.38</v>
          </cell>
        </row>
        <row r="1246">
          <cell r="E1246">
            <v>44105</v>
          </cell>
          <cell r="F1246">
            <v>156.21</v>
          </cell>
        </row>
        <row r="1246">
          <cell r="H1246">
            <v>44105</v>
          </cell>
          <cell r="I1246">
            <v>61.02</v>
          </cell>
        </row>
        <row r="1246">
          <cell r="K1246">
            <v>44105</v>
          </cell>
          <cell r="L1246">
            <v>144.89</v>
          </cell>
        </row>
        <row r="1246">
          <cell r="N1246">
            <v>44161</v>
          </cell>
          <cell r="O1246">
            <v>103.79</v>
          </cell>
        </row>
        <row r="1247">
          <cell r="B1247">
            <v>44162</v>
          </cell>
          <cell r="C1247">
            <v>107.72</v>
          </cell>
        </row>
        <row r="1247">
          <cell r="E1247">
            <v>44106</v>
          </cell>
          <cell r="F1247">
            <v>154.95</v>
          </cell>
        </row>
        <row r="1247">
          <cell r="H1247">
            <v>44106</v>
          </cell>
          <cell r="I1247">
            <v>61.5</v>
          </cell>
        </row>
        <row r="1247">
          <cell r="K1247">
            <v>44106</v>
          </cell>
          <cell r="L1247">
            <v>144.27</v>
          </cell>
        </row>
        <row r="1247">
          <cell r="N1247">
            <v>44162</v>
          </cell>
          <cell r="O1247">
            <v>103.67</v>
          </cell>
        </row>
        <row r="1248">
          <cell r="B1248">
            <v>44165</v>
          </cell>
          <cell r="C1248">
            <v>107.92</v>
          </cell>
        </row>
        <row r="1248">
          <cell r="E1248">
            <v>44109</v>
          </cell>
          <cell r="F1248">
            <v>155.87</v>
          </cell>
        </row>
        <row r="1248">
          <cell r="H1248">
            <v>44109</v>
          </cell>
          <cell r="I1248">
            <v>62.09</v>
          </cell>
        </row>
        <row r="1248">
          <cell r="K1248">
            <v>44109</v>
          </cell>
          <cell r="L1248">
            <v>144.81</v>
          </cell>
        </row>
        <row r="1248">
          <cell r="N1248">
            <v>44165</v>
          </cell>
          <cell r="O1248">
            <v>104.74</v>
          </cell>
        </row>
        <row r="1249">
          <cell r="B1249">
            <v>44166</v>
          </cell>
          <cell r="C1249">
            <v>107.41</v>
          </cell>
        </row>
        <row r="1249">
          <cell r="E1249">
            <v>44110</v>
          </cell>
          <cell r="F1249">
            <v>154.87</v>
          </cell>
        </row>
        <row r="1249">
          <cell r="H1249">
            <v>44110</v>
          </cell>
          <cell r="I1249">
            <v>62.22</v>
          </cell>
        </row>
        <row r="1249">
          <cell r="K1249">
            <v>44110</v>
          </cell>
          <cell r="L1249">
            <v>144.58</v>
          </cell>
        </row>
        <row r="1249">
          <cell r="N1249">
            <v>44166</v>
          </cell>
          <cell r="O1249">
            <v>104.46</v>
          </cell>
        </row>
        <row r="1250">
          <cell r="B1250">
            <v>44167</v>
          </cell>
          <cell r="C1250">
            <v>107.3</v>
          </cell>
        </row>
        <row r="1250">
          <cell r="E1250">
            <v>44111</v>
          </cell>
          <cell r="F1250">
            <v>154.81</v>
          </cell>
        </row>
        <row r="1250">
          <cell r="H1250">
            <v>44111</v>
          </cell>
          <cell r="I1250">
            <v>62.48</v>
          </cell>
        </row>
        <row r="1250">
          <cell r="K1250">
            <v>44111</v>
          </cell>
          <cell r="L1250">
            <v>145.18</v>
          </cell>
        </row>
        <row r="1250">
          <cell r="N1250">
            <v>44167</v>
          </cell>
          <cell r="O1250">
            <v>104.74</v>
          </cell>
        </row>
        <row r="1251">
          <cell r="B1251">
            <v>44168</v>
          </cell>
          <cell r="C1251">
            <v>106.71</v>
          </cell>
        </row>
        <row r="1251">
          <cell r="E1251">
            <v>44112</v>
          </cell>
          <cell r="F1251">
            <v>153.31</v>
          </cell>
        </row>
        <row r="1251">
          <cell r="H1251">
            <v>44112</v>
          </cell>
          <cell r="I1251">
            <v>62.46</v>
          </cell>
        </row>
        <row r="1251">
          <cell r="K1251">
            <v>44112</v>
          </cell>
          <cell r="L1251">
            <v>144.64</v>
          </cell>
        </row>
        <row r="1251">
          <cell r="N1251">
            <v>44168</v>
          </cell>
          <cell r="O1251">
            <v>104.37</v>
          </cell>
        </row>
        <row r="1252">
          <cell r="B1252">
            <v>44169</v>
          </cell>
          <cell r="C1252">
            <v>106.95</v>
          </cell>
        </row>
        <row r="1252">
          <cell r="E1252">
            <v>44113</v>
          </cell>
          <cell r="F1252">
            <v>154.85</v>
          </cell>
        </row>
        <row r="1252">
          <cell r="H1252">
            <v>44113</v>
          </cell>
          <cell r="I1252">
            <v>62.41</v>
          </cell>
        </row>
        <row r="1252">
          <cell r="K1252">
            <v>44113</v>
          </cell>
          <cell r="L1252">
            <v>144.79</v>
          </cell>
        </row>
        <row r="1252">
          <cell r="N1252">
            <v>44169</v>
          </cell>
          <cell r="O1252">
            <v>103.49</v>
          </cell>
        </row>
        <row r="1253">
          <cell r="B1253">
            <v>44172</v>
          </cell>
          <cell r="C1253">
            <v>106.92</v>
          </cell>
        </row>
        <row r="1253">
          <cell r="E1253">
            <v>44116</v>
          </cell>
          <cell r="F1253">
            <v>155.81</v>
          </cell>
        </row>
        <row r="1253">
          <cell r="H1253">
            <v>44116</v>
          </cell>
          <cell r="I1253">
            <v>62.49</v>
          </cell>
        </row>
        <row r="1253">
          <cell r="K1253">
            <v>44116</v>
          </cell>
          <cell r="L1253">
            <v>145.11</v>
          </cell>
        </row>
        <row r="1253">
          <cell r="N1253">
            <v>44172</v>
          </cell>
          <cell r="O1253">
            <v>103.04</v>
          </cell>
        </row>
        <row r="1254">
          <cell r="B1254">
            <v>44173</v>
          </cell>
          <cell r="C1254">
            <v>106.48</v>
          </cell>
        </row>
        <row r="1254">
          <cell r="E1254">
            <v>44117</v>
          </cell>
          <cell r="F1254">
            <v>158.01</v>
          </cell>
        </row>
        <row r="1254">
          <cell r="H1254">
            <v>44117</v>
          </cell>
          <cell r="I1254">
            <v>62.3</v>
          </cell>
        </row>
        <row r="1254">
          <cell r="K1254">
            <v>44117</v>
          </cell>
          <cell r="L1254">
            <v>145.57</v>
          </cell>
        </row>
        <row r="1254">
          <cell r="N1254">
            <v>44173</v>
          </cell>
          <cell r="O1254">
            <v>101.89</v>
          </cell>
        </row>
        <row r="1255">
          <cell r="B1255">
            <v>44174</v>
          </cell>
          <cell r="C1255">
            <v>106.14</v>
          </cell>
        </row>
        <row r="1255">
          <cell r="E1255">
            <v>44118</v>
          </cell>
          <cell r="F1255">
            <v>157.45</v>
          </cell>
        </row>
        <row r="1255">
          <cell r="H1255">
            <v>44118</v>
          </cell>
          <cell r="I1255">
            <v>62.38</v>
          </cell>
        </row>
        <row r="1255">
          <cell r="K1255">
            <v>44118</v>
          </cell>
          <cell r="L1255">
            <v>145.33</v>
          </cell>
        </row>
        <row r="1255">
          <cell r="N1255">
            <v>44174</v>
          </cell>
          <cell r="O1255">
            <v>102.02</v>
          </cell>
        </row>
        <row r="1256">
          <cell r="B1256">
            <v>44175</v>
          </cell>
          <cell r="C1256">
            <v>106.03</v>
          </cell>
        </row>
        <row r="1256">
          <cell r="E1256">
            <v>44119</v>
          </cell>
          <cell r="F1256">
            <v>157.68</v>
          </cell>
        </row>
        <row r="1256">
          <cell r="H1256">
            <v>44119</v>
          </cell>
          <cell r="I1256">
            <v>62.39</v>
          </cell>
        </row>
        <row r="1256">
          <cell r="K1256">
            <v>44119</v>
          </cell>
          <cell r="L1256">
            <v>145.2</v>
          </cell>
        </row>
        <row r="1256">
          <cell r="N1256">
            <v>44175</v>
          </cell>
          <cell r="O1256">
            <v>101.08</v>
          </cell>
        </row>
        <row r="1257">
          <cell r="B1257">
            <v>44176</v>
          </cell>
          <cell r="C1257">
            <v>106.04</v>
          </cell>
        </row>
        <row r="1257">
          <cell r="E1257">
            <v>44120</v>
          </cell>
          <cell r="F1257">
            <v>156.91</v>
          </cell>
        </row>
        <row r="1257">
          <cell r="H1257">
            <v>44120</v>
          </cell>
          <cell r="I1257">
            <v>62.78</v>
          </cell>
        </row>
        <row r="1257">
          <cell r="K1257">
            <v>44120</v>
          </cell>
          <cell r="L1257">
            <v>146.11</v>
          </cell>
        </row>
        <row r="1257">
          <cell r="N1257">
            <v>44176</v>
          </cell>
          <cell r="O1257">
            <v>101.11</v>
          </cell>
        </row>
        <row r="1258">
          <cell r="B1258">
            <v>44179</v>
          </cell>
          <cell r="C1258">
            <v>105.84</v>
          </cell>
        </row>
        <row r="1258">
          <cell r="E1258">
            <v>44123</v>
          </cell>
          <cell r="F1258">
            <v>155.81</v>
          </cell>
        </row>
        <row r="1258">
          <cell r="H1258">
            <v>44123</v>
          </cell>
          <cell r="I1258">
            <v>62.67</v>
          </cell>
        </row>
        <row r="1258">
          <cell r="K1258">
            <v>44123</v>
          </cell>
          <cell r="L1258">
            <v>145.74</v>
          </cell>
        </row>
        <row r="1258">
          <cell r="N1258">
            <v>44179</v>
          </cell>
          <cell r="O1258">
            <v>100.36</v>
          </cell>
        </row>
        <row r="1259">
          <cell r="B1259">
            <v>44180</v>
          </cell>
          <cell r="C1259">
            <v>105.32</v>
          </cell>
        </row>
        <row r="1259">
          <cell r="E1259">
            <v>44124</v>
          </cell>
          <cell r="F1259">
            <v>156.11</v>
          </cell>
        </row>
        <row r="1259">
          <cell r="H1259">
            <v>44124</v>
          </cell>
          <cell r="I1259">
            <v>62.42</v>
          </cell>
        </row>
        <row r="1259">
          <cell r="K1259">
            <v>44124</v>
          </cell>
          <cell r="L1259">
            <v>144.96</v>
          </cell>
        </row>
        <row r="1259">
          <cell r="N1259">
            <v>44180</v>
          </cell>
          <cell r="O1259">
            <v>99.63</v>
          </cell>
        </row>
        <row r="1260">
          <cell r="B1260">
            <v>44181</v>
          </cell>
          <cell r="C1260">
            <v>105.36</v>
          </cell>
        </row>
        <row r="1260">
          <cell r="E1260">
            <v>44125</v>
          </cell>
          <cell r="F1260">
            <v>154.53</v>
          </cell>
        </row>
        <row r="1260">
          <cell r="H1260">
            <v>44125</v>
          </cell>
          <cell r="I1260">
            <v>61.93</v>
          </cell>
        </row>
        <row r="1260">
          <cell r="K1260">
            <v>44125</v>
          </cell>
          <cell r="L1260">
            <v>143.99</v>
          </cell>
        </row>
        <row r="1260">
          <cell r="N1260">
            <v>44181</v>
          </cell>
          <cell r="O1260">
            <v>99.83</v>
          </cell>
        </row>
        <row r="1261">
          <cell r="B1261">
            <v>44182</v>
          </cell>
          <cell r="C1261">
            <v>105.38</v>
          </cell>
        </row>
        <row r="1261">
          <cell r="E1261">
            <v>44126</v>
          </cell>
          <cell r="F1261">
            <v>152.17</v>
          </cell>
        </row>
        <row r="1261">
          <cell r="H1261">
            <v>44126</v>
          </cell>
          <cell r="I1261">
            <v>62.14</v>
          </cell>
        </row>
        <row r="1261">
          <cell r="K1261">
            <v>44126</v>
          </cell>
          <cell r="L1261">
            <v>143.33</v>
          </cell>
        </row>
        <row r="1261">
          <cell r="N1261">
            <v>44182</v>
          </cell>
          <cell r="O1261">
            <v>99.38</v>
          </cell>
        </row>
        <row r="1262">
          <cell r="B1262">
            <v>44183</v>
          </cell>
          <cell r="C1262">
            <v>105.67</v>
          </cell>
        </row>
        <row r="1262">
          <cell r="E1262">
            <v>44127</v>
          </cell>
          <cell r="F1262">
            <v>153</v>
          </cell>
        </row>
        <row r="1262">
          <cell r="H1262">
            <v>44127</v>
          </cell>
          <cell r="I1262">
            <v>61.89</v>
          </cell>
        </row>
        <row r="1262">
          <cell r="K1262">
            <v>44127</v>
          </cell>
          <cell r="L1262">
            <v>143.65</v>
          </cell>
        </row>
        <row r="1262">
          <cell r="N1262">
            <v>44183</v>
          </cell>
          <cell r="O1262">
            <v>99.46</v>
          </cell>
        </row>
        <row r="1263">
          <cell r="B1263">
            <v>44186</v>
          </cell>
          <cell r="C1263">
            <v>105.78</v>
          </cell>
        </row>
        <row r="1263">
          <cell r="E1263">
            <v>44130</v>
          </cell>
          <cell r="F1263">
            <v>154.47</v>
          </cell>
        </row>
        <row r="1263">
          <cell r="H1263">
            <v>44130</v>
          </cell>
          <cell r="I1263">
            <v>61.95</v>
          </cell>
        </row>
        <row r="1263">
          <cell r="K1263">
            <v>44130</v>
          </cell>
          <cell r="L1263">
            <v>144.48</v>
          </cell>
        </row>
        <row r="1263">
          <cell r="N1263">
            <v>44186</v>
          </cell>
          <cell r="O1263">
            <v>98.97</v>
          </cell>
        </row>
        <row r="1264">
          <cell r="B1264">
            <v>44187</v>
          </cell>
          <cell r="C1264">
            <v>106.16</v>
          </cell>
        </row>
        <row r="1264">
          <cell r="E1264">
            <v>44131</v>
          </cell>
          <cell r="F1264">
            <v>155.71</v>
          </cell>
        </row>
        <row r="1264">
          <cell r="H1264">
            <v>44131</v>
          </cell>
          <cell r="I1264">
            <v>61.27</v>
          </cell>
        </row>
        <row r="1264">
          <cell r="K1264">
            <v>44131</v>
          </cell>
          <cell r="L1264">
            <v>144.45</v>
          </cell>
        </row>
        <row r="1264">
          <cell r="N1264">
            <v>44187</v>
          </cell>
          <cell r="O1264">
            <v>97.63</v>
          </cell>
        </row>
        <row r="1265">
          <cell r="B1265">
            <v>44188</v>
          </cell>
          <cell r="C1265">
            <v>106.08</v>
          </cell>
        </row>
        <row r="1265">
          <cell r="E1265">
            <v>44132</v>
          </cell>
          <cell r="F1265">
            <v>155.84</v>
          </cell>
        </row>
        <row r="1265">
          <cell r="H1265">
            <v>44132</v>
          </cell>
          <cell r="I1265">
            <v>60.92</v>
          </cell>
        </row>
        <row r="1265">
          <cell r="K1265">
            <v>44132</v>
          </cell>
          <cell r="L1265">
            <v>144.6</v>
          </cell>
        </row>
        <row r="1265">
          <cell r="N1265">
            <v>44188</v>
          </cell>
          <cell r="O1265">
            <v>97.49</v>
          </cell>
        </row>
        <row r="1266">
          <cell r="B1266">
            <v>44189</v>
          </cell>
          <cell r="C1266">
            <v>105.92</v>
          </cell>
        </row>
        <row r="1266">
          <cell r="E1266">
            <v>44133</v>
          </cell>
          <cell r="F1266">
            <v>155.58</v>
          </cell>
        </row>
        <row r="1266">
          <cell r="H1266">
            <v>44133</v>
          </cell>
          <cell r="I1266">
            <v>61</v>
          </cell>
        </row>
        <row r="1266">
          <cell r="K1266">
            <v>44133</v>
          </cell>
          <cell r="L1266">
            <v>144.6</v>
          </cell>
        </row>
        <row r="1266">
          <cell r="N1266">
            <v>44189</v>
          </cell>
          <cell r="O1266">
            <v>97.62</v>
          </cell>
        </row>
        <row r="1267">
          <cell r="B1267">
            <v>44190</v>
          </cell>
          <cell r="C1267">
            <v>105.92</v>
          </cell>
        </row>
        <row r="1267">
          <cell r="E1267">
            <v>44134</v>
          </cell>
          <cell r="F1267">
            <v>152.56</v>
          </cell>
        </row>
        <row r="1267">
          <cell r="H1267">
            <v>44134</v>
          </cell>
          <cell r="I1267">
            <v>61.88</v>
          </cell>
        </row>
        <row r="1267">
          <cell r="K1267">
            <v>44134</v>
          </cell>
          <cell r="L1267">
            <v>143.89</v>
          </cell>
        </row>
        <row r="1267">
          <cell r="N1267">
            <v>44190</v>
          </cell>
          <cell r="O1267">
            <v>97.62</v>
          </cell>
        </row>
        <row r="1268">
          <cell r="B1268">
            <v>44193</v>
          </cell>
          <cell r="C1268">
            <v>105.61</v>
          </cell>
        </row>
        <row r="1268">
          <cell r="E1268">
            <v>44137</v>
          </cell>
          <cell r="F1268">
            <v>151.77</v>
          </cell>
        </row>
        <row r="1268">
          <cell r="H1268">
            <v>44137</v>
          </cell>
          <cell r="I1268">
            <v>61.98</v>
          </cell>
        </row>
        <row r="1268">
          <cell r="K1268">
            <v>44137</v>
          </cell>
          <cell r="L1268">
            <v>143.76</v>
          </cell>
        </row>
        <row r="1268">
          <cell r="N1268">
            <v>44193</v>
          </cell>
          <cell r="O1268">
            <v>97.99</v>
          </cell>
        </row>
        <row r="1269">
          <cell r="B1269">
            <v>44194</v>
          </cell>
          <cell r="C1269">
            <v>105.45</v>
          </cell>
        </row>
        <row r="1269">
          <cell r="E1269">
            <v>44138</v>
          </cell>
          <cell r="F1269">
            <v>151.57</v>
          </cell>
        </row>
        <row r="1269">
          <cell r="H1269">
            <v>44138</v>
          </cell>
          <cell r="I1269">
            <v>62.56</v>
          </cell>
        </row>
        <row r="1269">
          <cell r="K1269">
            <v>44138</v>
          </cell>
          <cell r="L1269">
            <v>144.04</v>
          </cell>
        </row>
        <row r="1269">
          <cell r="N1269">
            <v>44194</v>
          </cell>
          <cell r="O1269">
            <v>99.07</v>
          </cell>
        </row>
        <row r="1270">
          <cell r="B1270">
            <v>44195</v>
          </cell>
          <cell r="C1270">
            <v>105.66</v>
          </cell>
        </row>
        <row r="1270">
          <cell r="E1270">
            <v>44139</v>
          </cell>
          <cell r="F1270">
            <v>156.89</v>
          </cell>
        </row>
        <row r="1270">
          <cell r="H1270">
            <v>44139</v>
          </cell>
          <cell r="I1270">
            <v>60.48</v>
          </cell>
        </row>
        <row r="1270">
          <cell r="K1270">
            <v>44139</v>
          </cell>
          <cell r="L1270">
            <v>145.63</v>
          </cell>
        </row>
        <row r="1270">
          <cell r="N1270">
            <v>44195</v>
          </cell>
          <cell r="O1270">
            <v>98.91</v>
          </cell>
        </row>
        <row r="1271">
          <cell r="B1271">
            <v>44196</v>
          </cell>
          <cell r="C1271">
            <v>105.54</v>
          </cell>
        </row>
        <row r="1271">
          <cell r="E1271">
            <v>44140</v>
          </cell>
          <cell r="F1271">
            <v>157.73</v>
          </cell>
        </row>
        <row r="1271">
          <cell r="H1271">
            <v>44140</v>
          </cell>
          <cell r="I1271">
            <v>61.41</v>
          </cell>
        </row>
        <row r="1271">
          <cell r="K1271">
            <v>44140</v>
          </cell>
          <cell r="L1271">
            <v>144.76</v>
          </cell>
        </row>
        <row r="1271">
          <cell r="N1271">
            <v>44196</v>
          </cell>
          <cell r="O1271">
            <v>99.46</v>
          </cell>
        </row>
        <row r="1272">
          <cell r="B1272">
            <v>44197</v>
          </cell>
          <cell r="C1272">
            <v>105.54</v>
          </cell>
        </row>
        <row r="1272">
          <cell r="E1272">
            <v>44141</v>
          </cell>
          <cell r="F1272">
            <v>158.95</v>
          </cell>
        </row>
        <row r="1272">
          <cell r="H1272">
            <v>44141</v>
          </cell>
          <cell r="I1272">
            <v>60.63</v>
          </cell>
        </row>
        <row r="1272">
          <cell r="K1272">
            <v>44141</v>
          </cell>
          <cell r="L1272">
            <v>144.38</v>
          </cell>
        </row>
        <row r="1272">
          <cell r="N1272">
            <v>44197</v>
          </cell>
          <cell r="O1272">
            <v>99.46</v>
          </cell>
        </row>
        <row r="1273">
          <cell r="B1273">
            <v>44200</v>
          </cell>
          <cell r="C1273">
            <v>105.72</v>
          </cell>
        </row>
        <row r="1273">
          <cell r="E1273">
            <v>44144</v>
          </cell>
          <cell r="F1273">
            <v>141.98</v>
          </cell>
        </row>
        <row r="1273">
          <cell r="H1273">
            <v>44144</v>
          </cell>
          <cell r="I1273">
            <v>60.6</v>
          </cell>
        </row>
        <row r="1273">
          <cell r="K1273">
            <v>44144</v>
          </cell>
          <cell r="L1273">
            <v>140.87</v>
          </cell>
        </row>
        <row r="1273">
          <cell r="N1273">
            <v>44200</v>
          </cell>
          <cell r="O1273">
            <v>99.16</v>
          </cell>
        </row>
        <row r="1274">
          <cell r="B1274">
            <v>44201</v>
          </cell>
          <cell r="C1274">
            <v>106.17</v>
          </cell>
        </row>
        <row r="1274">
          <cell r="E1274">
            <v>44145</v>
          </cell>
          <cell r="F1274">
            <v>137.93</v>
          </cell>
        </row>
        <row r="1274">
          <cell r="H1274">
            <v>44145</v>
          </cell>
          <cell r="I1274">
            <v>61.57</v>
          </cell>
        </row>
        <row r="1274">
          <cell r="K1274">
            <v>44145</v>
          </cell>
          <cell r="L1274">
            <v>140.76</v>
          </cell>
        </row>
        <row r="1274">
          <cell r="N1274">
            <v>44201</v>
          </cell>
          <cell r="O1274">
            <v>98.71</v>
          </cell>
        </row>
        <row r="1275">
          <cell r="B1275">
            <v>44202</v>
          </cell>
          <cell r="C1275">
            <v>105.92</v>
          </cell>
        </row>
        <row r="1275">
          <cell r="E1275">
            <v>44146</v>
          </cell>
          <cell r="F1275">
            <v>142.44</v>
          </cell>
        </row>
        <row r="1275">
          <cell r="H1275">
            <v>44146</v>
          </cell>
          <cell r="I1275">
            <v>61</v>
          </cell>
        </row>
        <row r="1275">
          <cell r="K1275">
            <v>44146</v>
          </cell>
          <cell r="L1275">
            <v>141.42</v>
          </cell>
        </row>
        <row r="1275">
          <cell r="N1275">
            <v>44202</v>
          </cell>
          <cell r="O1275">
            <v>96.94</v>
          </cell>
        </row>
        <row r="1276">
          <cell r="B1276">
            <v>44203</v>
          </cell>
          <cell r="C1276">
            <v>106.66</v>
          </cell>
        </row>
        <row r="1276">
          <cell r="E1276">
            <v>44147</v>
          </cell>
          <cell r="F1276">
            <v>144.82</v>
          </cell>
        </row>
        <row r="1276">
          <cell r="H1276">
            <v>44147</v>
          </cell>
          <cell r="I1276">
            <v>60.95</v>
          </cell>
        </row>
        <row r="1276">
          <cell r="K1276">
            <v>44147</v>
          </cell>
          <cell r="L1276">
            <v>140.66</v>
          </cell>
        </row>
        <row r="1276">
          <cell r="N1276">
            <v>44203</v>
          </cell>
          <cell r="O1276">
            <v>97.04</v>
          </cell>
        </row>
        <row r="1277">
          <cell r="B1277">
            <v>44204</v>
          </cell>
          <cell r="C1277">
            <v>107.18</v>
          </cell>
        </row>
        <row r="1277">
          <cell r="E1277">
            <v>44148</v>
          </cell>
          <cell r="F1277">
            <v>141.46</v>
          </cell>
        </row>
        <row r="1277">
          <cell r="H1277">
            <v>44148</v>
          </cell>
          <cell r="I1277">
            <v>60.93</v>
          </cell>
        </row>
        <row r="1277">
          <cell r="K1277">
            <v>44148</v>
          </cell>
          <cell r="L1277">
            <v>139.85</v>
          </cell>
        </row>
        <row r="1277">
          <cell r="N1277">
            <v>44204</v>
          </cell>
          <cell r="O1277">
            <v>97.38</v>
          </cell>
        </row>
        <row r="1278">
          <cell r="B1278">
            <v>44207</v>
          </cell>
          <cell r="C1278">
            <v>106.63</v>
          </cell>
        </row>
        <row r="1278">
          <cell r="E1278">
            <v>44151</v>
          </cell>
          <cell r="F1278">
            <v>138.69</v>
          </cell>
        </row>
        <row r="1278">
          <cell r="H1278">
            <v>44151</v>
          </cell>
          <cell r="I1278">
            <v>60.92</v>
          </cell>
        </row>
        <row r="1278">
          <cell r="K1278">
            <v>44151</v>
          </cell>
          <cell r="L1278">
            <v>139.46</v>
          </cell>
        </row>
        <row r="1278">
          <cell r="N1278">
            <v>44207</v>
          </cell>
          <cell r="O1278">
            <v>97.19</v>
          </cell>
        </row>
        <row r="1279">
          <cell r="B1279">
            <v>44208</v>
          </cell>
          <cell r="C1279">
            <v>107.16</v>
          </cell>
        </row>
        <row r="1279">
          <cell r="E1279">
            <v>44152</v>
          </cell>
          <cell r="F1279">
            <v>139.69</v>
          </cell>
        </row>
        <row r="1279">
          <cell r="H1279">
            <v>44152</v>
          </cell>
          <cell r="I1279">
            <v>60.97</v>
          </cell>
        </row>
        <row r="1279">
          <cell r="K1279">
            <v>44152</v>
          </cell>
          <cell r="L1279">
            <v>138.9</v>
          </cell>
        </row>
        <row r="1279">
          <cell r="N1279">
            <v>44208</v>
          </cell>
          <cell r="O1279">
            <v>96.44</v>
          </cell>
        </row>
        <row r="1280">
          <cell r="B1280">
            <v>44209</v>
          </cell>
          <cell r="C1280">
            <v>107.35</v>
          </cell>
        </row>
        <row r="1280">
          <cell r="E1280">
            <v>44153</v>
          </cell>
          <cell r="F1280">
            <v>140.01</v>
          </cell>
        </row>
        <row r="1280">
          <cell r="H1280">
            <v>44153</v>
          </cell>
          <cell r="I1280">
            <v>61.3</v>
          </cell>
        </row>
        <row r="1280">
          <cell r="K1280">
            <v>44153</v>
          </cell>
          <cell r="L1280">
            <v>138.5</v>
          </cell>
        </row>
        <row r="1280">
          <cell r="N1280">
            <v>44209</v>
          </cell>
          <cell r="O1280">
            <v>96.74</v>
          </cell>
        </row>
        <row r="1281">
          <cell r="B1281">
            <v>44210</v>
          </cell>
          <cell r="C1281">
            <v>107.1</v>
          </cell>
        </row>
        <row r="1281">
          <cell r="E1281">
            <v>44154</v>
          </cell>
          <cell r="F1281">
            <v>141.27</v>
          </cell>
        </row>
        <row r="1281">
          <cell r="H1281">
            <v>44154</v>
          </cell>
          <cell r="I1281">
            <v>60.91</v>
          </cell>
        </row>
        <row r="1281">
          <cell r="K1281">
            <v>44154</v>
          </cell>
          <cell r="L1281">
            <v>138.19</v>
          </cell>
        </row>
        <row r="1281">
          <cell r="N1281">
            <v>44210</v>
          </cell>
          <cell r="O1281">
            <v>95.17</v>
          </cell>
        </row>
        <row r="1282">
          <cell r="B1282">
            <v>44211</v>
          </cell>
          <cell r="C1282">
            <v>107.22</v>
          </cell>
        </row>
        <row r="1282">
          <cell r="E1282">
            <v>44155</v>
          </cell>
          <cell r="F1282">
            <v>142.38</v>
          </cell>
        </row>
        <row r="1282">
          <cell r="H1282">
            <v>44155</v>
          </cell>
          <cell r="I1282">
            <v>61.06</v>
          </cell>
        </row>
        <row r="1282">
          <cell r="K1282">
            <v>44155</v>
          </cell>
          <cell r="L1282">
            <v>137.62</v>
          </cell>
        </row>
        <row r="1282">
          <cell r="N1282">
            <v>44211</v>
          </cell>
          <cell r="O1282">
            <v>95.57</v>
          </cell>
        </row>
        <row r="1283">
          <cell r="B1283">
            <v>44214</v>
          </cell>
          <cell r="C1283">
            <v>107.22</v>
          </cell>
        </row>
        <row r="1283">
          <cell r="E1283">
            <v>44158</v>
          </cell>
          <cell r="F1283">
            <v>140.06</v>
          </cell>
        </row>
        <row r="1283">
          <cell r="H1283">
            <v>44158</v>
          </cell>
          <cell r="I1283">
            <v>61.14</v>
          </cell>
        </row>
        <row r="1283">
          <cell r="K1283">
            <v>44158</v>
          </cell>
          <cell r="L1283">
            <v>136.87</v>
          </cell>
        </row>
        <row r="1283">
          <cell r="N1283">
            <v>44214</v>
          </cell>
          <cell r="O1283">
            <v>95.57</v>
          </cell>
        </row>
        <row r="1284">
          <cell r="B1284">
            <v>44215</v>
          </cell>
          <cell r="C1284">
            <v>107.28</v>
          </cell>
        </row>
        <row r="1284">
          <cell r="E1284">
            <v>44159</v>
          </cell>
          <cell r="F1284">
            <v>134.91</v>
          </cell>
        </row>
        <row r="1284">
          <cell r="H1284">
            <v>44159</v>
          </cell>
          <cell r="I1284">
            <v>61.8</v>
          </cell>
        </row>
        <row r="1284">
          <cell r="K1284">
            <v>44159</v>
          </cell>
          <cell r="L1284">
            <v>135.5</v>
          </cell>
        </row>
        <row r="1284">
          <cell r="N1284">
            <v>44215</v>
          </cell>
          <cell r="O1284">
            <v>95.21</v>
          </cell>
        </row>
        <row r="1285">
          <cell r="B1285">
            <v>44216</v>
          </cell>
          <cell r="C1285">
            <v>107.52</v>
          </cell>
        </row>
        <row r="1285">
          <cell r="E1285">
            <v>44160</v>
          </cell>
          <cell r="F1285">
            <v>137.82</v>
          </cell>
        </row>
        <row r="1285">
          <cell r="H1285">
            <v>44160</v>
          </cell>
          <cell r="I1285">
            <v>61.34</v>
          </cell>
        </row>
        <row r="1285">
          <cell r="K1285">
            <v>44160</v>
          </cell>
          <cell r="L1285">
            <v>135.57</v>
          </cell>
        </row>
        <row r="1285">
          <cell r="N1285">
            <v>44216</v>
          </cell>
          <cell r="O1285">
            <v>95.43</v>
          </cell>
        </row>
        <row r="1286">
          <cell r="B1286">
            <v>44217</v>
          </cell>
          <cell r="C1286">
            <v>107.33</v>
          </cell>
        </row>
        <row r="1286">
          <cell r="E1286">
            <v>44161</v>
          </cell>
          <cell r="F1286">
            <v>137.93</v>
          </cell>
        </row>
        <row r="1286">
          <cell r="H1286">
            <v>44161</v>
          </cell>
          <cell r="I1286">
            <v>61.37</v>
          </cell>
        </row>
        <row r="1286">
          <cell r="K1286">
            <v>44161</v>
          </cell>
          <cell r="L1286">
            <v>135.35</v>
          </cell>
        </row>
        <row r="1286">
          <cell r="N1286">
            <v>44217</v>
          </cell>
          <cell r="O1286">
            <v>95.76</v>
          </cell>
        </row>
        <row r="1287">
          <cell r="B1287">
            <v>44218</v>
          </cell>
          <cell r="C1287">
            <v>107.64</v>
          </cell>
        </row>
        <row r="1287">
          <cell r="E1287">
            <v>44162</v>
          </cell>
          <cell r="F1287">
            <v>139.22</v>
          </cell>
        </row>
        <row r="1287">
          <cell r="H1287">
            <v>44162</v>
          </cell>
          <cell r="I1287">
            <v>61.22</v>
          </cell>
        </row>
        <row r="1287">
          <cell r="K1287">
            <v>44162</v>
          </cell>
          <cell r="L1287">
            <v>135.13</v>
          </cell>
        </row>
        <row r="1287">
          <cell r="N1287">
            <v>44218</v>
          </cell>
          <cell r="O1287">
            <v>94.05</v>
          </cell>
        </row>
        <row r="1288">
          <cell r="B1288">
            <v>44221</v>
          </cell>
          <cell r="C1288">
            <v>108.05</v>
          </cell>
        </row>
        <row r="1288">
          <cell r="E1288">
            <v>44165</v>
          </cell>
          <cell r="F1288">
            <v>141.81</v>
          </cell>
        </row>
        <row r="1288">
          <cell r="H1288">
            <v>44165</v>
          </cell>
          <cell r="I1288">
            <v>61.22</v>
          </cell>
        </row>
        <row r="1288">
          <cell r="K1288">
            <v>44165</v>
          </cell>
          <cell r="L1288">
            <v>136.07</v>
          </cell>
        </row>
        <row r="1288">
          <cell r="N1288">
            <v>44221</v>
          </cell>
          <cell r="O1288">
            <v>93.94</v>
          </cell>
        </row>
        <row r="1289">
          <cell r="B1289">
            <v>44222</v>
          </cell>
          <cell r="C1289">
            <v>106.85</v>
          </cell>
        </row>
        <row r="1289">
          <cell r="E1289">
            <v>44166</v>
          </cell>
          <cell r="F1289">
            <v>140.15</v>
          </cell>
        </row>
        <row r="1289">
          <cell r="H1289">
            <v>44166</v>
          </cell>
          <cell r="I1289">
            <v>61.08</v>
          </cell>
        </row>
        <row r="1289">
          <cell r="K1289">
            <v>44166</v>
          </cell>
          <cell r="L1289">
            <v>135.33</v>
          </cell>
        </row>
        <row r="1289">
          <cell r="N1289">
            <v>44222</v>
          </cell>
          <cell r="O1289">
            <v>93.18</v>
          </cell>
        </row>
        <row r="1290">
          <cell r="B1290">
            <v>44223</v>
          </cell>
          <cell r="C1290">
            <v>106.06</v>
          </cell>
        </row>
        <row r="1290">
          <cell r="E1290">
            <v>44167</v>
          </cell>
          <cell r="F1290">
            <v>137.66</v>
          </cell>
        </row>
        <row r="1290">
          <cell r="H1290">
            <v>44167</v>
          </cell>
          <cell r="I1290">
            <v>61.16</v>
          </cell>
        </row>
        <row r="1290">
          <cell r="K1290">
            <v>44167</v>
          </cell>
          <cell r="L1290">
            <v>134.24</v>
          </cell>
        </row>
        <row r="1290">
          <cell r="N1290">
            <v>44223</v>
          </cell>
          <cell r="O1290">
            <v>92.45</v>
          </cell>
        </row>
        <row r="1291">
          <cell r="B1291">
            <v>44224</v>
          </cell>
          <cell r="C1291">
            <v>106.3</v>
          </cell>
        </row>
        <row r="1291">
          <cell r="E1291">
            <v>44168</v>
          </cell>
          <cell r="F1291">
            <v>137.61</v>
          </cell>
        </row>
        <row r="1291">
          <cell r="H1291">
            <v>44168</v>
          </cell>
          <cell r="I1291">
            <v>61.12</v>
          </cell>
        </row>
        <row r="1291">
          <cell r="K1291">
            <v>44168</v>
          </cell>
          <cell r="L1291">
            <v>133.41</v>
          </cell>
        </row>
        <row r="1291">
          <cell r="N1291">
            <v>44224</v>
          </cell>
          <cell r="O1291">
            <v>94.31</v>
          </cell>
        </row>
        <row r="1292">
          <cell r="B1292">
            <v>44225</v>
          </cell>
          <cell r="C1292">
            <v>106.27</v>
          </cell>
        </row>
        <row r="1292">
          <cell r="E1292">
            <v>44169</v>
          </cell>
          <cell r="F1292">
            <v>136.05</v>
          </cell>
        </row>
        <row r="1292">
          <cell r="H1292">
            <v>44169</v>
          </cell>
          <cell r="I1292">
            <v>60.92</v>
          </cell>
        </row>
        <row r="1292">
          <cell r="K1292">
            <v>44169</v>
          </cell>
          <cell r="L1292">
            <v>132.33</v>
          </cell>
        </row>
        <row r="1292">
          <cell r="N1292">
            <v>44225</v>
          </cell>
          <cell r="O1292">
            <v>94.44</v>
          </cell>
        </row>
        <row r="1293">
          <cell r="B1293">
            <v>44228</v>
          </cell>
          <cell r="C1293">
            <v>106.48</v>
          </cell>
        </row>
        <row r="1293">
          <cell r="E1293">
            <v>44172</v>
          </cell>
          <cell r="F1293">
            <v>138.34</v>
          </cell>
        </row>
        <row r="1293">
          <cell r="H1293">
            <v>44172</v>
          </cell>
          <cell r="I1293">
            <v>61.1</v>
          </cell>
        </row>
        <row r="1293">
          <cell r="K1293">
            <v>44172</v>
          </cell>
          <cell r="L1293">
            <v>132.41</v>
          </cell>
        </row>
        <row r="1293">
          <cell r="N1293">
            <v>44228</v>
          </cell>
          <cell r="O1293">
            <v>93.69</v>
          </cell>
        </row>
        <row r="1294">
          <cell r="B1294">
            <v>44229</v>
          </cell>
          <cell r="C1294">
            <v>107.58</v>
          </cell>
        </row>
        <row r="1294">
          <cell r="E1294">
            <v>44173</v>
          </cell>
          <cell r="F1294">
            <v>138.56</v>
          </cell>
        </row>
        <row r="1294">
          <cell r="H1294">
            <v>44173</v>
          </cell>
          <cell r="I1294">
            <v>60.87</v>
          </cell>
        </row>
        <row r="1294">
          <cell r="K1294">
            <v>44173</v>
          </cell>
          <cell r="L1294">
            <v>132.57</v>
          </cell>
        </row>
        <row r="1294">
          <cell r="N1294">
            <v>44229</v>
          </cell>
          <cell r="O1294">
            <v>94</v>
          </cell>
        </row>
        <row r="1295">
          <cell r="B1295">
            <v>44230</v>
          </cell>
          <cell r="C1295">
            <v>108.08</v>
          </cell>
        </row>
        <row r="1295">
          <cell r="E1295">
            <v>44174</v>
          </cell>
          <cell r="F1295">
            <v>135.18</v>
          </cell>
        </row>
        <row r="1295">
          <cell r="H1295">
            <v>44174</v>
          </cell>
          <cell r="I1295">
            <v>61.36</v>
          </cell>
        </row>
        <row r="1295">
          <cell r="K1295">
            <v>44174</v>
          </cell>
          <cell r="L1295">
            <v>133.55</v>
          </cell>
        </row>
        <row r="1295">
          <cell r="N1295">
            <v>44230</v>
          </cell>
          <cell r="O1295">
            <v>93.62</v>
          </cell>
        </row>
        <row r="1296">
          <cell r="B1296">
            <v>44231</v>
          </cell>
          <cell r="C1296">
            <v>107.8</v>
          </cell>
        </row>
        <row r="1296">
          <cell r="E1296">
            <v>44175</v>
          </cell>
          <cell r="F1296">
            <v>137.09</v>
          </cell>
        </row>
        <row r="1296">
          <cell r="H1296">
            <v>44175</v>
          </cell>
          <cell r="I1296">
            <v>61</v>
          </cell>
        </row>
        <row r="1296">
          <cell r="K1296">
            <v>44175</v>
          </cell>
          <cell r="L1296">
            <v>133.19</v>
          </cell>
        </row>
        <row r="1296">
          <cell r="N1296">
            <v>44231</v>
          </cell>
          <cell r="O1296">
            <v>93.27</v>
          </cell>
        </row>
        <row r="1297">
          <cell r="B1297">
            <v>44232</v>
          </cell>
          <cell r="C1297">
            <v>107.52</v>
          </cell>
        </row>
        <row r="1297">
          <cell r="E1297">
            <v>44176</v>
          </cell>
          <cell r="F1297">
            <v>137.77</v>
          </cell>
        </row>
        <row r="1297">
          <cell r="H1297">
            <v>44176</v>
          </cell>
          <cell r="I1297">
            <v>60.99</v>
          </cell>
        </row>
        <row r="1297">
          <cell r="K1297">
            <v>44176</v>
          </cell>
          <cell r="L1297">
            <v>133.46</v>
          </cell>
        </row>
        <row r="1297">
          <cell r="N1297">
            <v>44232</v>
          </cell>
          <cell r="O1297">
            <v>92.35</v>
          </cell>
        </row>
        <row r="1298">
          <cell r="B1298">
            <v>44235</v>
          </cell>
          <cell r="C1298">
            <v>107.98</v>
          </cell>
        </row>
        <row r="1298">
          <cell r="E1298">
            <v>44179</v>
          </cell>
          <cell r="F1298">
            <v>138.17</v>
          </cell>
        </row>
        <row r="1298">
          <cell r="H1298">
            <v>44179</v>
          </cell>
          <cell r="I1298">
            <v>60.85</v>
          </cell>
        </row>
        <row r="1298">
          <cell r="K1298">
            <v>44179</v>
          </cell>
          <cell r="L1298">
            <v>134.01</v>
          </cell>
        </row>
        <row r="1298">
          <cell r="N1298">
            <v>44235</v>
          </cell>
          <cell r="O1298">
            <v>90.73</v>
          </cell>
        </row>
        <row r="1299">
          <cell r="B1299">
            <v>44236</v>
          </cell>
          <cell r="C1299">
            <v>108.45</v>
          </cell>
        </row>
        <row r="1299">
          <cell r="E1299">
            <v>44180</v>
          </cell>
          <cell r="F1299">
            <v>138.8</v>
          </cell>
        </row>
        <row r="1299">
          <cell r="H1299">
            <v>44180</v>
          </cell>
          <cell r="I1299">
            <v>60.54</v>
          </cell>
        </row>
        <row r="1299">
          <cell r="K1299">
            <v>44180</v>
          </cell>
          <cell r="L1299">
            <v>133.65</v>
          </cell>
        </row>
        <row r="1299">
          <cell r="N1299">
            <v>44236</v>
          </cell>
          <cell r="O1299">
            <v>89.61</v>
          </cell>
        </row>
        <row r="1300">
          <cell r="B1300">
            <v>44237</v>
          </cell>
          <cell r="C1300">
            <v>107.83</v>
          </cell>
        </row>
        <row r="1300">
          <cell r="E1300">
            <v>44181</v>
          </cell>
          <cell r="F1300">
            <v>140.25</v>
          </cell>
        </row>
        <row r="1300">
          <cell r="H1300">
            <v>44181</v>
          </cell>
          <cell r="I1300">
            <v>60.44</v>
          </cell>
        </row>
        <row r="1300">
          <cell r="K1300">
            <v>44181</v>
          </cell>
          <cell r="L1300">
            <v>134.71</v>
          </cell>
        </row>
        <row r="1300">
          <cell r="N1300">
            <v>44237</v>
          </cell>
          <cell r="O1300">
            <v>90.19</v>
          </cell>
        </row>
        <row r="1301">
          <cell r="B1301">
            <v>44238</v>
          </cell>
          <cell r="C1301">
            <v>107.33</v>
          </cell>
        </row>
        <row r="1301">
          <cell r="E1301">
            <v>44182</v>
          </cell>
          <cell r="F1301">
            <v>142.6</v>
          </cell>
        </row>
        <row r="1301">
          <cell r="H1301">
            <v>44182</v>
          </cell>
          <cell r="I1301">
            <v>60.21</v>
          </cell>
        </row>
        <row r="1301">
          <cell r="K1301">
            <v>44182</v>
          </cell>
          <cell r="L1301">
            <v>134.67</v>
          </cell>
        </row>
        <row r="1301">
          <cell r="N1301">
            <v>44238</v>
          </cell>
          <cell r="O1301">
            <v>90.15</v>
          </cell>
        </row>
        <row r="1302">
          <cell r="B1302">
            <v>44239</v>
          </cell>
          <cell r="C1302">
            <v>107.83</v>
          </cell>
        </row>
        <row r="1302">
          <cell r="E1302">
            <v>44183</v>
          </cell>
          <cell r="F1302">
            <v>143.48</v>
          </cell>
        </row>
        <row r="1302">
          <cell r="H1302">
            <v>44183</v>
          </cell>
          <cell r="I1302">
            <v>60.09</v>
          </cell>
        </row>
        <row r="1302">
          <cell r="K1302">
            <v>44183</v>
          </cell>
          <cell r="L1302">
            <v>135.34</v>
          </cell>
        </row>
        <row r="1302">
          <cell r="N1302">
            <v>44239</v>
          </cell>
          <cell r="O1302">
            <v>90.3</v>
          </cell>
        </row>
        <row r="1303">
          <cell r="B1303">
            <v>44242</v>
          </cell>
          <cell r="C1303">
            <v>107.83</v>
          </cell>
        </row>
        <row r="1303">
          <cell r="E1303">
            <v>44186</v>
          </cell>
          <cell r="F1303">
            <v>144.93</v>
          </cell>
        </row>
        <row r="1303">
          <cell r="H1303">
            <v>44186</v>
          </cell>
          <cell r="I1303">
            <v>59.97</v>
          </cell>
        </row>
        <row r="1303">
          <cell r="K1303">
            <v>44186</v>
          </cell>
          <cell r="L1303">
            <v>135.74</v>
          </cell>
        </row>
        <row r="1303">
          <cell r="N1303">
            <v>44242</v>
          </cell>
          <cell r="O1303">
            <v>90.3</v>
          </cell>
        </row>
        <row r="1304">
          <cell r="B1304">
            <v>44243</v>
          </cell>
          <cell r="C1304">
            <v>108.42</v>
          </cell>
        </row>
        <row r="1304">
          <cell r="E1304">
            <v>44187</v>
          </cell>
          <cell r="F1304">
            <v>147.15</v>
          </cell>
        </row>
        <row r="1304">
          <cell r="H1304">
            <v>44187</v>
          </cell>
          <cell r="I1304">
            <v>59.77</v>
          </cell>
        </row>
        <row r="1304">
          <cell r="K1304">
            <v>44187</v>
          </cell>
          <cell r="L1304">
            <v>137.14</v>
          </cell>
        </row>
        <row r="1304">
          <cell r="N1304">
            <v>44243</v>
          </cell>
          <cell r="O1304">
            <v>90.92</v>
          </cell>
        </row>
        <row r="1305">
          <cell r="B1305">
            <v>44244</v>
          </cell>
          <cell r="C1305">
            <v>108.02</v>
          </cell>
        </row>
        <row r="1305">
          <cell r="E1305">
            <v>44188</v>
          </cell>
          <cell r="F1305">
            <v>144.85</v>
          </cell>
        </row>
        <row r="1305">
          <cell r="H1305">
            <v>44188</v>
          </cell>
          <cell r="I1305">
            <v>60.37</v>
          </cell>
        </row>
        <row r="1305">
          <cell r="K1305">
            <v>44188</v>
          </cell>
          <cell r="L1305">
            <v>135.25</v>
          </cell>
        </row>
        <row r="1305">
          <cell r="N1305">
            <v>44244</v>
          </cell>
          <cell r="O1305">
            <v>91.53</v>
          </cell>
        </row>
        <row r="1306">
          <cell r="B1306">
            <v>44245</v>
          </cell>
          <cell r="C1306">
            <v>107.5</v>
          </cell>
        </row>
        <row r="1306">
          <cell r="E1306">
            <v>44189</v>
          </cell>
          <cell r="F1306">
            <v>144.76</v>
          </cell>
        </row>
        <row r="1306">
          <cell r="H1306">
            <v>44189</v>
          </cell>
          <cell r="I1306">
            <v>60.4</v>
          </cell>
        </row>
        <row r="1306">
          <cell r="K1306">
            <v>44189</v>
          </cell>
          <cell r="L1306">
            <v>135.39</v>
          </cell>
        </row>
        <row r="1306">
          <cell r="N1306">
            <v>44245</v>
          </cell>
          <cell r="O1306">
            <v>92.4</v>
          </cell>
        </row>
        <row r="1307">
          <cell r="B1307">
            <v>44246</v>
          </cell>
          <cell r="C1307">
            <v>107.4</v>
          </cell>
        </row>
        <row r="1307">
          <cell r="E1307">
            <v>44190</v>
          </cell>
          <cell r="F1307">
            <v>144.76</v>
          </cell>
        </row>
        <row r="1307">
          <cell r="H1307">
            <v>44190</v>
          </cell>
          <cell r="I1307">
            <v>60.4</v>
          </cell>
        </row>
        <row r="1307">
          <cell r="K1307">
            <v>44190</v>
          </cell>
          <cell r="L1307">
            <v>135.39</v>
          </cell>
        </row>
        <row r="1307">
          <cell r="N1307">
            <v>44246</v>
          </cell>
          <cell r="O1307">
            <v>91.51</v>
          </cell>
        </row>
        <row r="1308">
          <cell r="B1308">
            <v>44249</v>
          </cell>
          <cell r="C1308">
            <v>107.5</v>
          </cell>
        </row>
        <row r="1308">
          <cell r="E1308">
            <v>44193</v>
          </cell>
          <cell r="F1308">
            <v>142.09</v>
          </cell>
        </row>
        <row r="1308">
          <cell r="H1308">
            <v>44193</v>
          </cell>
          <cell r="I1308">
            <v>60.19</v>
          </cell>
        </row>
        <row r="1308">
          <cell r="K1308">
            <v>44193</v>
          </cell>
          <cell r="L1308">
            <v>135.02</v>
          </cell>
        </row>
        <row r="1308">
          <cell r="N1308">
            <v>44249</v>
          </cell>
          <cell r="O1308">
            <v>91.56</v>
          </cell>
        </row>
        <row r="1309">
          <cell r="B1309">
            <v>44250</v>
          </cell>
          <cell r="C1309">
            <v>107.66</v>
          </cell>
        </row>
        <row r="1309">
          <cell r="E1309">
            <v>44194</v>
          </cell>
          <cell r="F1309">
            <v>141.78</v>
          </cell>
        </row>
        <row r="1309">
          <cell r="H1309">
            <v>44194</v>
          </cell>
          <cell r="I1309">
            <v>60.28</v>
          </cell>
        </row>
        <row r="1309">
          <cell r="K1309">
            <v>44194</v>
          </cell>
          <cell r="L1309">
            <v>135.05</v>
          </cell>
        </row>
        <row r="1309">
          <cell r="N1309">
            <v>44250</v>
          </cell>
          <cell r="O1309">
            <v>92.35</v>
          </cell>
        </row>
        <row r="1310">
          <cell r="B1310">
            <v>44251</v>
          </cell>
          <cell r="C1310">
            <v>107.77</v>
          </cell>
        </row>
        <row r="1310">
          <cell r="E1310">
            <v>44195</v>
          </cell>
          <cell r="F1310">
            <v>142.69</v>
          </cell>
        </row>
        <row r="1310">
          <cell r="H1310">
            <v>44195</v>
          </cell>
          <cell r="I1310">
            <v>60.38</v>
          </cell>
        </row>
        <row r="1310">
          <cell r="K1310">
            <v>44195</v>
          </cell>
          <cell r="L1310">
            <v>134.99</v>
          </cell>
        </row>
        <row r="1310">
          <cell r="N1310">
            <v>44251</v>
          </cell>
          <cell r="O1310">
            <v>91.91</v>
          </cell>
        </row>
        <row r="1311">
          <cell r="B1311">
            <v>44252</v>
          </cell>
          <cell r="C1311">
            <v>107.89</v>
          </cell>
        </row>
        <row r="1311">
          <cell r="E1311">
            <v>44196</v>
          </cell>
          <cell r="F1311">
            <v>141.41</v>
          </cell>
        </row>
        <row r="1311">
          <cell r="H1311">
            <v>44196</v>
          </cell>
          <cell r="I1311">
            <v>60.33</v>
          </cell>
        </row>
        <row r="1311">
          <cell r="K1311">
            <v>44196</v>
          </cell>
          <cell r="L1311">
            <v>135.18</v>
          </cell>
        </row>
        <row r="1311">
          <cell r="N1311">
            <v>44252</v>
          </cell>
          <cell r="O1311">
            <v>92.31</v>
          </cell>
        </row>
        <row r="1312">
          <cell r="B1312">
            <v>44253</v>
          </cell>
          <cell r="C1312">
            <v>108.25</v>
          </cell>
        </row>
        <row r="1312">
          <cell r="E1312">
            <v>44197</v>
          </cell>
          <cell r="F1312">
            <v>141.4</v>
          </cell>
        </row>
        <row r="1312">
          <cell r="H1312">
            <v>44197</v>
          </cell>
          <cell r="I1312">
            <v>60.33</v>
          </cell>
        </row>
        <row r="1312">
          <cell r="K1312">
            <v>44197</v>
          </cell>
          <cell r="L1312">
            <v>135.17</v>
          </cell>
        </row>
        <row r="1312">
          <cell r="N1312">
            <v>44253</v>
          </cell>
          <cell r="O1312">
            <v>92.31</v>
          </cell>
        </row>
        <row r="1313">
          <cell r="B1313">
            <v>44256</v>
          </cell>
          <cell r="C1313">
            <v>108.28</v>
          </cell>
        </row>
        <row r="1313">
          <cell r="E1313">
            <v>44200</v>
          </cell>
          <cell r="F1313">
            <v>141.82</v>
          </cell>
        </row>
        <row r="1313">
          <cell r="H1313">
            <v>44200</v>
          </cell>
          <cell r="I1313">
            <v>61.22</v>
          </cell>
        </row>
        <row r="1313">
          <cell r="K1313">
            <v>44200</v>
          </cell>
          <cell r="L1313">
            <v>134.2</v>
          </cell>
        </row>
        <row r="1313">
          <cell r="N1313">
            <v>44256</v>
          </cell>
          <cell r="O1313">
            <v>91.87</v>
          </cell>
        </row>
        <row r="1314">
          <cell r="B1314">
            <v>44257</v>
          </cell>
          <cell r="C1314">
            <v>108.44</v>
          </cell>
        </row>
        <row r="1314">
          <cell r="E1314">
            <v>44201</v>
          </cell>
          <cell r="F1314">
            <v>142.33</v>
          </cell>
        </row>
        <row r="1314">
          <cell r="H1314">
            <v>44201</v>
          </cell>
          <cell r="I1314">
            <v>61.48</v>
          </cell>
        </row>
        <row r="1314">
          <cell r="K1314">
            <v>44201</v>
          </cell>
          <cell r="L1314">
            <v>133.83</v>
          </cell>
        </row>
        <row r="1314">
          <cell r="N1314">
            <v>44257</v>
          </cell>
          <cell r="O1314">
            <v>92.97</v>
          </cell>
        </row>
        <row r="1315">
          <cell r="B1315">
            <v>44258</v>
          </cell>
          <cell r="C1315">
            <v>108.36</v>
          </cell>
        </row>
        <row r="1315">
          <cell r="E1315">
            <v>44202</v>
          </cell>
          <cell r="F1315">
            <v>140.21</v>
          </cell>
        </row>
        <row r="1315">
          <cell r="H1315">
            <v>44202</v>
          </cell>
          <cell r="I1315">
            <v>62.75</v>
          </cell>
        </row>
        <row r="1315">
          <cell r="K1315">
            <v>44202</v>
          </cell>
          <cell r="L1315">
            <v>132.73</v>
          </cell>
        </row>
        <row r="1315">
          <cell r="N1315">
            <v>44258</v>
          </cell>
          <cell r="O1315">
            <v>92.47</v>
          </cell>
        </row>
        <row r="1316">
          <cell r="B1316">
            <v>44259</v>
          </cell>
          <cell r="C1316">
            <v>107.2</v>
          </cell>
        </row>
        <row r="1316">
          <cell r="E1316">
            <v>44203</v>
          </cell>
          <cell r="F1316">
            <v>143.77</v>
          </cell>
        </row>
        <row r="1316">
          <cell r="H1316">
            <v>44203</v>
          </cell>
          <cell r="I1316">
            <v>62.67</v>
          </cell>
        </row>
        <row r="1316">
          <cell r="K1316">
            <v>44203</v>
          </cell>
          <cell r="L1316">
            <v>133.02</v>
          </cell>
        </row>
        <row r="1316">
          <cell r="N1316">
            <v>44259</v>
          </cell>
          <cell r="O1316">
            <v>93.23</v>
          </cell>
        </row>
        <row r="1317">
          <cell r="B1317">
            <v>44260</v>
          </cell>
          <cell r="C1317">
            <v>107</v>
          </cell>
        </row>
        <row r="1317">
          <cell r="E1317">
            <v>44204</v>
          </cell>
          <cell r="F1317">
            <v>144.2</v>
          </cell>
        </row>
        <row r="1317">
          <cell r="H1317">
            <v>44204</v>
          </cell>
          <cell r="I1317">
            <v>62.39</v>
          </cell>
        </row>
        <row r="1317">
          <cell r="K1317">
            <v>44204</v>
          </cell>
          <cell r="L1317">
            <v>134.7</v>
          </cell>
        </row>
        <row r="1317">
          <cell r="N1317">
            <v>44260</v>
          </cell>
          <cell r="O1317">
            <v>93.02</v>
          </cell>
        </row>
        <row r="1318">
          <cell r="B1318">
            <v>44263</v>
          </cell>
          <cell r="C1318">
            <v>106.63</v>
          </cell>
        </row>
        <row r="1318">
          <cell r="E1318">
            <v>44207</v>
          </cell>
          <cell r="F1318">
            <v>143.28</v>
          </cell>
        </row>
        <row r="1318">
          <cell r="H1318">
            <v>44207</v>
          </cell>
          <cell r="I1318">
            <v>62.62</v>
          </cell>
        </row>
        <row r="1318">
          <cell r="K1318">
            <v>44207</v>
          </cell>
          <cell r="L1318">
            <v>135.11</v>
          </cell>
        </row>
        <row r="1318">
          <cell r="N1318">
            <v>44263</v>
          </cell>
          <cell r="O1318">
            <v>91.95</v>
          </cell>
        </row>
        <row r="1319">
          <cell r="B1319">
            <v>44264</v>
          </cell>
          <cell r="C1319">
            <v>107.17</v>
          </cell>
        </row>
        <row r="1319">
          <cell r="E1319">
            <v>44208</v>
          </cell>
          <cell r="F1319">
            <v>144.28</v>
          </cell>
        </row>
        <row r="1319">
          <cell r="H1319">
            <v>44208</v>
          </cell>
          <cell r="I1319">
            <v>63.1</v>
          </cell>
        </row>
        <row r="1319">
          <cell r="K1319">
            <v>44208</v>
          </cell>
          <cell r="L1319">
            <v>135.62</v>
          </cell>
        </row>
        <row r="1319">
          <cell r="N1319">
            <v>44264</v>
          </cell>
          <cell r="O1319">
            <v>92.07</v>
          </cell>
        </row>
        <row r="1320">
          <cell r="B1320">
            <v>44265</v>
          </cell>
          <cell r="C1320">
            <v>106.91</v>
          </cell>
        </row>
        <row r="1320">
          <cell r="E1320">
            <v>44209</v>
          </cell>
          <cell r="F1320">
            <v>144.04</v>
          </cell>
        </row>
        <row r="1320">
          <cell r="H1320">
            <v>44209</v>
          </cell>
          <cell r="I1320">
            <v>62.88</v>
          </cell>
        </row>
        <row r="1320">
          <cell r="K1320">
            <v>44209</v>
          </cell>
          <cell r="L1320">
            <v>135.26</v>
          </cell>
        </row>
        <row r="1320">
          <cell r="N1320">
            <v>44265</v>
          </cell>
          <cell r="O1320">
            <v>91.23</v>
          </cell>
        </row>
        <row r="1321">
          <cell r="B1321">
            <v>44266</v>
          </cell>
          <cell r="C1321">
            <v>107.64</v>
          </cell>
        </row>
        <row r="1321">
          <cell r="E1321">
            <v>44210</v>
          </cell>
          <cell r="F1321">
            <v>142.31</v>
          </cell>
        </row>
        <row r="1321">
          <cell r="H1321">
            <v>44210</v>
          </cell>
          <cell r="I1321">
            <v>63.55</v>
          </cell>
        </row>
        <row r="1321">
          <cell r="K1321">
            <v>44210</v>
          </cell>
          <cell r="L1321">
            <v>134.22</v>
          </cell>
        </row>
        <row r="1321">
          <cell r="N1321">
            <v>44266</v>
          </cell>
          <cell r="O1321">
            <v>90.75</v>
          </cell>
        </row>
        <row r="1322">
          <cell r="B1322">
            <v>44267</v>
          </cell>
          <cell r="C1322">
            <v>106.91</v>
          </cell>
        </row>
        <row r="1322">
          <cell r="E1322">
            <v>44211</v>
          </cell>
          <cell r="F1322">
            <v>140.52</v>
          </cell>
        </row>
        <row r="1322">
          <cell r="H1322">
            <v>44211</v>
          </cell>
          <cell r="I1322">
            <v>63.26</v>
          </cell>
        </row>
        <row r="1322">
          <cell r="K1322">
            <v>44211</v>
          </cell>
          <cell r="L1322">
            <v>134.71</v>
          </cell>
        </row>
        <row r="1322">
          <cell r="N1322">
            <v>44267</v>
          </cell>
          <cell r="O1322">
            <v>90.4</v>
          </cell>
        </row>
        <row r="1323">
          <cell r="B1323">
            <v>44270</v>
          </cell>
          <cell r="C1323">
            <v>106.82</v>
          </cell>
        </row>
        <row r="1323">
          <cell r="E1323">
            <v>44214</v>
          </cell>
          <cell r="F1323">
            <v>140.43</v>
          </cell>
        </row>
        <row r="1323">
          <cell r="H1323">
            <v>44214</v>
          </cell>
          <cell r="I1323">
            <v>63.23</v>
          </cell>
        </row>
        <row r="1323">
          <cell r="K1323">
            <v>44214</v>
          </cell>
          <cell r="L1323">
            <v>134.51</v>
          </cell>
        </row>
        <row r="1323">
          <cell r="N1323">
            <v>44270</v>
          </cell>
          <cell r="O1323">
            <v>90.64</v>
          </cell>
        </row>
        <row r="1324">
          <cell r="B1324">
            <v>44271</v>
          </cell>
          <cell r="C1324">
            <v>106.5</v>
          </cell>
        </row>
        <row r="1324">
          <cell r="E1324">
            <v>44215</v>
          </cell>
          <cell r="F1324">
            <v>141.22</v>
          </cell>
        </row>
        <row r="1324">
          <cell r="H1324">
            <v>44215</v>
          </cell>
          <cell r="I1324">
            <v>62.91</v>
          </cell>
        </row>
        <row r="1324">
          <cell r="K1324">
            <v>44215</v>
          </cell>
          <cell r="L1324">
            <v>133.92</v>
          </cell>
        </row>
        <row r="1324">
          <cell r="N1324">
            <v>44271</v>
          </cell>
          <cell r="O1324">
            <v>91.37</v>
          </cell>
        </row>
        <row r="1325">
          <cell r="B1325">
            <v>44272</v>
          </cell>
          <cell r="C1325">
            <v>106.21</v>
          </cell>
        </row>
        <row r="1325">
          <cell r="E1325">
            <v>44216</v>
          </cell>
          <cell r="F1325">
            <v>142.22</v>
          </cell>
        </row>
        <row r="1325">
          <cell r="H1325">
            <v>44216</v>
          </cell>
          <cell r="I1325">
            <v>62.89</v>
          </cell>
        </row>
        <row r="1325">
          <cell r="K1325">
            <v>44216</v>
          </cell>
          <cell r="L1325">
            <v>133.91</v>
          </cell>
        </row>
        <row r="1325">
          <cell r="N1325">
            <v>44272</v>
          </cell>
          <cell r="O1325">
            <v>91.21</v>
          </cell>
        </row>
        <row r="1326">
          <cell r="B1326">
            <v>44273</v>
          </cell>
          <cell r="C1326">
            <v>105.3</v>
          </cell>
        </row>
        <row r="1326">
          <cell r="E1326">
            <v>44217</v>
          </cell>
          <cell r="F1326">
            <v>142.78</v>
          </cell>
        </row>
        <row r="1326">
          <cell r="H1326">
            <v>44217</v>
          </cell>
          <cell r="I1326">
            <v>63.48</v>
          </cell>
        </row>
        <row r="1326">
          <cell r="K1326">
            <v>44217</v>
          </cell>
          <cell r="L1326">
            <v>133.94</v>
          </cell>
        </row>
        <row r="1326">
          <cell r="N1326">
            <v>44273</v>
          </cell>
          <cell r="O1326">
            <v>91.88</v>
          </cell>
        </row>
        <row r="1327">
          <cell r="B1327">
            <v>44274</v>
          </cell>
          <cell r="C1327">
            <v>105.71</v>
          </cell>
        </row>
        <row r="1327">
          <cell r="E1327">
            <v>44218</v>
          </cell>
          <cell r="F1327">
            <v>143.2</v>
          </cell>
        </row>
        <row r="1327">
          <cell r="H1327">
            <v>44218</v>
          </cell>
          <cell r="I1327">
            <v>63.21</v>
          </cell>
        </row>
        <row r="1327">
          <cell r="K1327">
            <v>44218</v>
          </cell>
          <cell r="L1327">
            <v>133.92</v>
          </cell>
        </row>
        <row r="1327">
          <cell r="N1327">
            <v>44274</v>
          </cell>
          <cell r="O1327">
            <v>91.4</v>
          </cell>
        </row>
        <row r="1328">
          <cell r="B1328">
            <v>44277</v>
          </cell>
          <cell r="C1328">
            <v>105.88</v>
          </cell>
        </row>
        <row r="1328">
          <cell r="E1328">
            <v>44221</v>
          </cell>
          <cell r="F1328">
            <v>140.91</v>
          </cell>
        </row>
        <row r="1328">
          <cell r="H1328">
            <v>44221</v>
          </cell>
          <cell r="I1328">
            <v>63.17</v>
          </cell>
        </row>
        <row r="1328">
          <cell r="K1328">
            <v>44221</v>
          </cell>
          <cell r="L1328">
            <v>133.75</v>
          </cell>
        </row>
        <row r="1328">
          <cell r="N1328">
            <v>44277</v>
          </cell>
          <cell r="O1328">
            <v>92.49</v>
          </cell>
        </row>
        <row r="1329">
          <cell r="B1329">
            <v>44278</v>
          </cell>
          <cell r="C1329">
            <v>106.16</v>
          </cell>
        </row>
        <row r="1329">
          <cell r="E1329">
            <v>44222</v>
          </cell>
          <cell r="F1329">
            <v>137.89</v>
          </cell>
        </row>
        <row r="1329">
          <cell r="H1329">
            <v>44222</v>
          </cell>
          <cell r="I1329">
            <v>63.55</v>
          </cell>
        </row>
        <row r="1329">
          <cell r="K1329">
            <v>44222</v>
          </cell>
          <cell r="L1329">
            <v>133.5</v>
          </cell>
        </row>
        <row r="1329">
          <cell r="N1329">
            <v>44278</v>
          </cell>
          <cell r="O1329">
            <v>93.75</v>
          </cell>
        </row>
        <row r="1330">
          <cell r="B1330">
            <v>44279</v>
          </cell>
          <cell r="C1330">
            <v>106.41</v>
          </cell>
        </row>
        <row r="1330">
          <cell r="E1330">
            <v>44223</v>
          </cell>
          <cell r="F1330">
            <v>134.31</v>
          </cell>
        </row>
        <row r="1330">
          <cell r="H1330">
            <v>44223</v>
          </cell>
          <cell r="I1330">
            <v>63.7</v>
          </cell>
        </row>
        <row r="1330">
          <cell r="K1330">
            <v>44223</v>
          </cell>
          <cell r="L1330">
            <v>132.99</v>
          </cell>
        </row>
        <row r="1330">
          <cell r="N1330">
            <v>44279</v>
          </cell>
          <cell r="O1330">
            <v>95.08</v>
          </cell>
        </row>
        <row r="1331">
          <cell r="B1331">
            <v>44280</v>
          </cell>
          <cell r="C1331">
            <v>105.81</v>
          </cell>
        </row>
        <row r="1331">
          <cell r="E1331">
            <v>44224</v>
          </cell>
          <cell r="F1331">
            <v>139.35</v>
          </cell>
        </row>
        <row r="1331">
          <cell r="H1331">
            <v>44224</v>
          </cell>
          <cell r="I1331">
            <v>63.64</v>
          </cell>
        </row>
        <row r="1331">
          <cell r="K1331">
            <v>44224</v>
          </cell>
          <cell r="L1331">
            <v>133.42</v>
          </cell>
        </row>
        <row r="1331">
          <cell r="N1331">
            <v>44280</v>
          </cell>
          <cell r="O1331">
            <v>94.32</v>
          </cell>
        </row>
        <row r="1332">
          <cell r="B1332">
            <v>44281</v>
          </cell>
          <cell r="C1332">
            <v>106.27</v>
          </cell>
        </row>
        <row r="1332">
          <cell r="E1332">
            <v>44225</v>
          </cell>
          <cell r="F1332">
            <v>139.76</v>
          </cell>
        </row>
        <row r="1332">
          <cell r="H1332">
            <v>44225</v>
          </cell>
          <cell r="I1332">
            <v>63.9</v>
          </cell>
        </row>
        <row r="1332">
          <cell r="K1332">
            <v>44225</v>
          </cell>
          <cell r="L1332">
            <v>133.69</v>
          </cell>
        </row>
        <row r="1332">
          <cell r="N1332">
            <v>44281</v>
          </cell>
          <cell r="O1332">
            <v>94.51</v>
          </cell>
        </row>
        <row r="1333">
          <cell r="B1333">
            <v>44284</v>
          </cell>
          <cell r="C1333">
            <v>106.31</v>
          </cell>
        </row>
        <row r="1333">
          <cell r="E1333">
            <v>44228</v>
          </cell>
          <cell r="F1333">
            <v>141.88</v>
          </cell>
        </row>
        <row r="1333">
          <cell r="H1333">
            <v>44228</v>
          </cell>
          <cell r="I1333">
            <v>63.54</v>
          </cell>
        </row>
        <row r="1333">
          <cell r="K1333">
            <v>44228</v>
          </cell>
          <cell r="L1333">
            <v>133.42</v>
          </cell>
        </row>
        <row r="1333">
          <cell r="N1333">
            <v>44284</v>
          </cell>
          <cell r="O1333">
            <v>96.09</v>
          </cell>
        </row>
        <row r="1334">
          <cell r="B1334">
            <v>44285</v>
          </cell>
          <cell r="C1334">
            <v>106.26</v>
          </cell>
        </row>
        <row r="1334">
          <cell r="E1334">
            <v>44229</v>
          </cell>
          <cell r="F1334">
            <v>144.28</v>
          </cell>
        </row>
        <row r="1334">
          <cell r="H1334">
            <v>44229</v>
          </cell>
          <cell r="I1334">
            <v>62.84</v>
          </cell>
        </row>
        <row r="1334">
          <cell r="K1334">
            <v>44229</v>
          </cell>
          <cell r="L1334">
            <v>134.1</v>
          </cell>
        </row>
        <row r="1334">
          <cell r="N1334">
            <v>44285</v>
          </cell>
          <cell r="O1334">
            <v>95.1</v>
          </cell>
        </row>
        <row r="1335">
          <cell r="B1335">
            <v>44286</v>
          </cell>
          <cell r="C1335">
            <v>106.19</v>
          </cell>
        </row>
        <row r="1335">
          <cell r="E1335">
            <v>44230</v>
          </cell>
          <cell r="F1335">
            <v>143.75</v>
          </cell>
        </row>
        <row r="1335">
          <cell r="H1335">
            <v>44230</v>
          </cell>
          <cell r="I1335">
            <v>63.38</v>
          </cell>
        </row>
        <row r="1335">
          <cell r="K1335">
            <v>44230</v>
          </cell>
          <cell r="L1335">
            <v>133.34</v>
          </cell>
        </row>
        <row r="1335">
          <cell r="N1335">
            <v>44286</v>
          </cell>
          <cell r="O1335">
            <v>94.68</v>
          </cell>
        </row>
        <row r="1336">
          <cell r="B1336">
            <v>44287</v>
          </cell>
          <cell r="C1336">
            <v>106.77</v>
          </cell>
        </row>
        <row r="1336">
          <cell r="E1336">
            <v>44231</v>
          </cell>
          <cell r="F1336">
            <v>144.41</v>
          </cell>
        </row>
        <row r="1336">
          <cell r="H1336">
            <v>44231</v>
          </cell>
          <cell r="I1336">
            <v>63.12</v>
          </cell>
        </row>
        <row r="1336">
          <cell r="K1336">
            <v>44231</v>
          </cell>
          <cell r="L1336">
            <v>133.98</v>
          </cell>
        </row>
        <row r="1336">
          <cell r="N1336">
            <v>44287</v>
          </cell>
          <cell r="O1336">
            <v>94.26</v>
          </cell>
        </row>
        <row r="1337">
          <cell r="B1337">
            <v>44288</v>
          </cell>
          <cell r="C1337">
            <v>106.78</v>
          </cell>
        </row>
        <row r="1337">
          <cell r="E1337">
            <v>44232</v>
          </cell>
          <cell r="F1337">
            <v>146.02</v>
          </cell>
        </row>
        <row r="1337">
          <cell r="H1337">
            <v>44232</v>
          </cell>
          <cell r="I1337">
            <v>62.87</v>
          </cell>
        </row>
        <row r="1337">
          <cell r="K1337">
            <v>44232</v>
          </cell>
          <cell r="L1337">
            <v>134.02</v>
          </cell>
        </row>
        <row r="1337">
          <cell r="N1337">
            <v>44288</v>
          </cell>
          <cell r="O1337">
            <v>94.27</v>
          </cell>
        </row>
        <row r="1338">
          <cell r="B1338">
            <v>44291</v>
          </cell>
          <cell r="C1338">
            <v>106.77</v>
          </cell>
        </row>
        <row r="1338">
          <cell r="E1338">
            <v>44235</v>
          </cell>
          <cell r="F1338">
            <v>145.65</v>
          </cell>
        </row>
        <row r="1338">
          <cell r="H1338">
            <v>44235</v>
          </cell>
          <cell r="I1338">
            <v>63.1</v>
          </cell>
        </row>
        <row r="1338">
          <cell r="K1338">
            <v>44235</v>
          </cell>
          <cell r="L1338">
            <v>133.65</v>
          </cell>
        </row>
        <row r="1338">
          <cell r="N1338">
            <v>44291</v>
          </cell>
          <cell r="O1338">
            <v>94.8</v>
          </cell>
        </row>
        <row r="1339">
          <cell r="B1339">
            <v>44292</v>
          </cell>
          <cell r="C1339">
            <v>107.1</v>
          </cell>
        </row>
        <row r="1339">
          <cell r="E1339">
            <v>44236</v>
          </cell>
          <cell r="F1339">
            <v>146.23</v>
          </cell>
        </row>
        <row r="1339">
          <cell r="H1339">
            <v>44236</v>
          </cell>
          <cell r="I1339">
            <v>63.37</v>
          </cell>
        </row>
        <row r="1339">
          <cell r="K1339">
            <v>44236</v>
          </cell>
          <cell r="L1339">
            <v>133.77</v>
          </cell>
        </row>
        <row r="1339">
          <cell r="N1339">
            <v>44292</v>
          </cell>
          <cell r="O1339">
            <v>94.85</v>
          </cell>
        </row>
        <row r="1340">
          <cell r="B1340">
            <v>44293</v>
          </cell>
          <cell r="C1340">
            <v>106.97</v>
          </cell>
        </row>
        <row r="1340">
          <cell r="E1340">
            <v>44237</v>
          </cell>
          <cell r="F1340">
            <v>146.45</v>
          </cell>
        </row>
        <row r="1340">
          <cell r="H1340">
            <v>44237</v>
          </cell>
          <cell r="I1340">
            <v>63.28</v>
          </cell>
        </row>
        <row r="1340">
          <cell r="K1340">
            <v>44237</v>
          </cell>
          <cell r="L1340">
            <v>133.57</v>
          </cell>
        </row>
        <row r="1340">
          <cell r="N1340">
            <v>44293</v>
          </cell>
          <cell r="O1340">
            <v>95.82</v>
          </cell>
        </row>
        <row r="1341">
          <cell r="B1341">
            <v>44294</v>
          </cell>
          <cell r="C1341">
            <v>106.78</v>
          </cell>
        </row>
        <row r="1341">
          <cell r="E1341">
            <v>44238</v>
          </cell>
          <cell r="F1341">
            <v>147.89</v>
          </cell>
        </row>
        <row r="1341">
          <cell r="H1341">
            <v>44238</v>
          </cell>
          <cell r="I1341">
            <v>63.55</v>
          </cell>
        </row>
        <row r="1341">
          <cell r="K1341">
            <v>44238</v>
          </cell>
          <cell r="L1341">
            <v>134.34</v>
          </cell>
        </row>
        <row r="1341">
          <cell r="N1341">
            <v>44294</v>
          </cell>
          <cell r="O1341">
            <v>95.6</v>
          </cell>
        </row>
        <row r="1342">
          <cell r="B1342">
            <v>44295</v>
          </cell>
          <cell r="C1342">
            <v>107.17</v>
          </cell>
        </row>
        <row r="1342">
          <cell r="E1342">
            <v>44239</v>
          </cell>
          <cell r="F1342">
            <v>149.3</v>
          </cell>
        </row>
        <row r="1342">
          <cell r="H1342">
            <v>44239</v>
          </cell>
          <cell r="I1342">
            <v>63.68</v>
          </cell>
        </row>
        <row r="1342">
          <cell r="K1342">
            <v>44239</v>
          </cell>
          <cell r="L1342">
            <v>134.37</v>
          </cell>
        </row>
        <row r="1342">
          <cell r="N1342">
            <v>44295</v>
          </cell>
          <cell r="O1342">
            <v>95.92</v>
          </cell>
        </row>
        <row r="1343">
          <cell r="B1343">
            <v>44298</v>
          </cell>
          <cell r="C1343">
            <v>107.74</v>
          </cell>
        </row>
        <row r="1343">
          <cell r="E1343">
            <v>44242</v>
          </cell>
          <cell r="F1343">
            <v>149.22</v>
          </cell>
        </row>
        <row r="1343">
          <cell r="H1343">
            <v>44242</v>
          </cell>
          <cell r="I1343">
            <v>63.74</v>
          </cell>
        </row>
        <row r="1343">
          <cell r="K1343">
            <v>44242</v>
          </cell>
          <cell r="L1343">
            <v>134.23</v>
          </cell>
        </row>
        <row r="1343">
          <cell r="N1343">
            <v>44298</v>
          </cell>
          <cell r="O1343">
            <v>95.82</v>
          </cell>
        </row>
        <row r="1344">
          <cell r="B1344">
            <v>44299</v>
          </cell>
          <cell r="C1344">
            <v>108.12</v>
          </cell>
        </row>
        <row r="1344">
          <cell r="E1344">
            <v>44243</v>
          </cell>
          <cell r="F1344">
            <v>149.06</v>
          </cell>
        </row>
        <row r="1344">
          <cell r="H1344">
            <v>44243</v>
          </cell>
          <cell r="I1344">
            <v>63.36</v>
          </cell>
        </row>
        <row r="1344">
          <cell r="K1344">
            <v>44243</v>
          </cell>
          <cell r="L1344">
            <v>133.56</v>
          </cell>
        </row>
        <row r="1344">
          <cell r="N1344">
            <v>44299</v>
          </cell>
          <cell r="O1344">
            <v>96.37</v>
          </cell>
        </row>
        <row r="1345">
          <cell r="B1345">
            <v>44300</v>
          </cell>
          <cell r="C1345">
            <v>108.01</v>
          </cell>
        </row>
        <row r="1345">
          <cell r="E1345">
            <v>44244</v>
          </cell>
          <cell r="F1345">
            <v>146.86</v>
          </cell>
        </row>
        <row r="1345">
          <cell r="H1345">
            <v>44244</v>
          </cell>
          <cell r="I1345">
            <v>63.22</v>
          </cell>
        </row>
        <row r="1345">
          <cell r="K1345">
            <v>44244</v>
          </cell>
          <cell r="L1345">
            <v>133.71</v>
          </cell>
        </row>
        <row r="1345">
          <cell r="N1345">
            <v>44300</v>
          </cell>
          <cell r="O1345">
            <v>95.88</v>
          </cell>
        </row>
        <row r="1346">
          <cell r="B1346">
            <v>44301</v>
          </cell>
          <cell r="C1346">
            <v>108.16</v>
          </cell>
        </row>
        <row r="1346">
          <cell r="E1346">
            <v>44245</v>
          </cell>
          <cell r="F1346">
            <v>145.61</v>
          </cell>
        </row>
        <row r="1346">
          <cell r="H1346">
            <v>44245</v>
          </cell>
          <cell r="I1346">
            <v>63.07</v>
          </cell>
        </row>
        <row r="1346">
          <cell r="K1346">
            <v>44245</v>
          </cell>
          <cell r="L1346">
            <v>133.9</v>
          </cell>
        </row>
        <row r="1346">
          <cell r="N1346">
            <v>44301</v>
          </cell>
          <cell r="O1346">
            <v>96.29</v>
          </cell>
        </row>
        <row r="1347">
          <cell r="B1347">
            <v>44302</v>
          </cell>
          <cell r="C1347">
            <v>108.28</v>
          </cell>
        </row>
        <row r="1347">
          <cell r="E1347">
            <v>44246</v>
          </cell>
          <cell r="F1347">
            <v>147.54</v>
          </cell>
        </row>
        <row r="1347">
          <cell r="H1347">
            <v>44246</v>
          </cell>
          <cell r="I1347">
            <v>63.66</v>
          </cell>
        </row>
        <row r="1347">
          <cell r="K1347">
            <v>44246</v>
          </cell>
          <cell r="L1347">
            <v>134.02</v>
          </cell>
        </row>
        <row r="1347">
          <cell r="N1347">
            <v>44302</v>
          </cell>
          <cell r="O1347">
            <v>96.32</v>
          </cell>
        </row>
        <row r="1348">
          <cell r="B1348">
            <v>44305</v>
          </cell>
          <cell r="C1348">
            <v>108.36</v>
          </cell>
        </row>
        <row r="1348">
          <cell r="E1348">
            <v>44249</v>
          </cell>
          <cell r="F1348">
            <v>141.71</v>
          </cell>
        </row>
        <row r="1348">
          <cell r="H1348">
            <v>44249</v>
          </cell>
          <cell r="I1348">
            <v>64.49</v>
          </cell>
        </row>
        <row r="1348">
          <cell r="K1348">
            <v>44249</v>
          </cell>
          <cell r="L1348">
            <v>133.32</v>
          </cell>
        </row>
        <row r="1348">
          <cell r="N1348">
            <v>44305</v>
          </cell>
          <cell r="O1348">
            <v>96.64</v>
          </cell>
        </row>
        <row r="1349">
          <cell r="B1349">
            <v>44306</v>
          </cell>
          <cell r="C1349">
            <v>108.65</v>
          </cell>
        </row>
        <row r="1349">
          <cell r="E1349">
            <v>44250</v>
          </cell>
          <cell r="F1349">
            <v>140.4</v>
          </cell>
        </row>
        <row r="1349">
          <cell r="H1349">
            <v>44250</v>
          </cell>
          <cell r="I1349">
            <v>64.22</v>
          </cell>
        </row>
        <row r="1349">
          <cell r="K1349">
            <v>44250</v>
          </cell>
          <cell r="L1349">
            <v>133.03</v>
          </cell>
        </row>
        <row r="1349">
          <cell r="N1349">
            <v>44306</v>
          </cell>
          <cell r="O1349">
            <v>97.14</v>
          </cell>
        </row>
        <row r="1350">
          <cell r="B1350">
            <v>44307</v>
          </cell>
          <cell r="C1350">
            <v>108.69</v>
          </cell>
        </row>
        <row r="1350">
          <cell r="E1350">
            <v>44251</v>
          </cell>
          <cell r="F1350">
            <v>138.73</v>
          </cell>
        </row>
        <row r="1350">
          <cell r="H1350">
            <v>44251</v>
          </cell>
          <cell r="I1350">
            <v>64.83</v>
          </cell>
        </row>
        <row r="1350">
          <cell r="K1350">
            <v>44251</v>
          </cell>
          <cell r="L1350">
            <v>132.18</v>
          </cell>
        </row>
        <row r="1350">
          <cell r="N1350">
            <v>44307</v>
          </cell>
          <cell r="O1350">
            <v>96.59</v>
          </cell>
        </row>
        <row r="1351">
          <cell r="B1351">
            <v>44308</v>
          </cell>
          <cell r="C1351">
            <v>109.07</v>
          </cell>
        </row>
        <row r="1351">
          <cell r="E1351">
            <v>44252</v>
          </cell>
          <cell r="F1351">
            <v>136.05</v>
          </cell>
        </row>
        <row r="1351">
          <cell r="H1351">
            <v>44252</v>
          </cell>
          <cell r="I1351">
            <v>64.9</v>
          </cell>
        </row>
        <row r="1351">
          <cell r="K1351">
            <v>44252</v>
          </cell>
          <cell r="L1351">
            <v>131.88</v>
          </cell>
        </row>
        <row r="1351">
          <cell r="N1351">
            <v>44308</v>
          </cell>
          <cell r="O1351">
            <v>96.04</v>
          </cell>
        </row>
        <row r="1352">
          <cell r="B1352">
            <v>44309</v>
          </cell>
          <cell r="C1352">
            <v>109.02</v>
          </cell>
        </row>
        <row r="1352">
          <cell r="E1352">
            <v>44253</v>
          </cell>
          <cell r="F1352">
            <v>139.64</v>
          </cell>
        </row>
        <row r="1352">
          <cell r="H1352">
            <v>44253</v>
          </cell>
          <cell r="I1352">
            <v>64.66</v>
          </cell>
        </row>
        <row r="1352">
          <cell r="K1352">
            <v>44253</v>
          </cell>
          <cell r="L1352">
            <v>131.94</v>
          </cell>
        </row>
        <row r="1352">
          <cell r="N1352">
            <v>44309</v>
          </cell>
          <cell r="O1352">
            <v>95.77</v>
          </cell>
        </row>
        <row r="1353">
          <cell r="B1353">
            <v>44312</v>
          </cell>
          <cell r="C1353">
            <v>109.51</v>
          </cell>
        </row>
        <row r="1353">
          <cell r="E1353">
            <v>44256</v>
          </cell>
          <cell r="F1353">
            <v>141.42</v>
          </cell>
        </row>
        <row r="1353">
          <cell r="H1353">
            <v>44256</v>
          </cell>
          <cell r="I1353">
            <v>64.94</v>
          </cell>
        </row>
        <row r="1353">
          <cell r="K1353">
            <v>44256</v>
          </cell>
          <cell r="L1353">
            <v>133.2</v>
          </cell>
        </row>
        <row r="1353">
          <cell r="N1353">
            <v>44312</v>
          </cell>
          <cell r="O1353">
            <v>95.37</v>
          </cell>
        </row>
        <row r="1354">
          <cell r="B1354">
            <v>44313</v>
          </cell>
          <cell r="C1354">
            <v>109.5</v>
          </cell>
        </row>
        <row r="1354">
          <cell r="E1354">
            <v>44257</v>
          </cell>
          <cell r="F1354">
            <v>138.71</v>
          </cell>
        </row>
        <row r="1354">
          <cell r="H1354">
            <v>44257</v>
          </cell>
          <cell r="I1354">
            <v>65.56</v>
          </cell>
        </row>
        <row r="1354">
          <cell r="K1354">
            <v>44257</v>
          </cell>
          <cell r="L1354">
            <v>131.9</v>
          </cell>
        </row>
        <row r="1354">
          <cell r="N1354">
            <v>44313</v>
          </cell>
          <cell r="O1354">
            <v>95.65</v>
          </cell>
        </row>
        <row r="1355">
          <cell r="B1355">
            <v>44314</v>
          </cell>
          <cell r="C1355">
            <v>109.39</v>
          </cell>
        </row>
        <row r="1355">
          <cell r="E1355">
            <v>44258</v>
          </cell>
          <cell r="F1355">
            <v>132.39</v>
          </cell>
        </row>
        <row r="1355">
          <cell r="H1355">
            <v>44258</v>
          </cell>
          <cell r="I1355">
            <v>66.54</v>
          </cell>
        </row>
        <row r="1355">
          <cell r="K1355">
            <v>44258</v>
          </cell>
          <cell r="L1355">
            <v>130.8</v>
          </cell>
        </row>
        <row r="1355">
          <cell r="N1355">
            <v>44314</v>
          </cell>
          <cell r="O1355">
            <v>95.44</v>
          </cell>
        </row>
        <row r="1356">
          <cell r="B1356">
            <v>44315</v>
          </cell>
          <cell r="C1356">
            <v>109.73</v>
          </cell>
        </row>
        <row r="1356">
          <cell r="E1356">
            <v>44259</v>
          </cell>
          <cell r="F1356">
            <v>129.12</v>
          </cell>
        </row>
        <row r="1356">
          <cell r="H1356">
            <v>44259</v>
          </cell>
          <cell r="I1356">
            <v>66.8</v>
          </cell>
        </row>
        <row r="1356">
          <cell r="K1356">
            <v>44259</v>
          </cell>
          <cell r="L1356">
            <v>130.61</v>
          </cell>
        </row>
        <row r="1356">
          <cell r="N1356">
            <v>44315</v>
          </cell>
          <cell r="O1356">
            <v>95.84</v>
          </cell>
        </row>
        <row r="1357">
          <cell r="B1357">
            <v>44316</v>
          </cell>
          <cell r="C1357">
            <v>109.63</v>
          </cell>
        </row>
        <row r="1357">
          <cell r="E1357">
            <v>44260</v>
          </cell>
          <cell r="F1357">
            <v>127.42</v>
          </cell>
        </row>
        <row r="1357">
          <cell r="H1357">
            <v>44260</v>
          </cell>
          <cell r="I1357">
            <v>67.18</v>
          </cell>
        </row>
        <row r="1357">
          <cell r="K1357">
            <v>44260</v>
          </cell>
          <cell r="L1357">
            <v>131.33</v>
          </cell>
        </row>
        <row r="1357">
          <cell r="N1357">
            <v>44316</v>
          </cell>
          <cell r="O1357">
            <v>96.38</v>
          </cell>
        </row>
        <row r="1358">
          <cell r="B1358">
            <v>44319</v>
          </cell>
          <cell r="C1358">
            <v>109.13</v>
          </cell>
        </row>
        <row r="1358">
          <cell r="E1358">
            <v>44263</v>
          </cell>
          <cell r="F1358">
            <v>121.83</v>
          </cell>
        </row>
        <row r="1358">
          <cell r="H1358">
            <v>44263</v>
          </cell>
          <cell r="I1358">
            <v>68.28</v>
          </cell>
        </row>
        <row r="1358">
          <cell r="K1358">
            <v>44263</v>
          </cell>
          <cell r="L1358">
            <v>130.7</v>
          </cell>
        </row>
        <row r="1358">
          <cell r="N1358">
            <v>44319</v>
          </cell>
          <cell r="O1358">
            <v>96.32</v>
          </cell>
        </row>
        <row r="1359">
          <cell r="B1359">
            <v>44320</v>
          </cell>
          <cell r="C1359">
            <v>109.31</v>
          </cell>
        </row>
        <row r="1359">
          <cell r="E1359">
            <v>44264</v>
          </cell>
          <cell r="F1359">
            <v>127.49</v>
          </cell>
        </row>
        <row r="1359">
          <cell r="H1359">
            <v>44264</v>
          </cell>
          <cell r="I1359">
            <v>67.39</v>
          </cell>
        </row>
        <row r="1359">
          <cell r="K1359">
            <v>44264</v>
          </cell>
          <cell r="L1359">
            <v>130.49</v>
          </cell>
        </row>
        <row r="1359">
          <cell r="N1359">
            <v>44320</v>
          </cell>
          <cell r="O1359">
            <v>96.9</v>
          </cell>
        </row>
        <row r="1360">
          <cell r="B1360">
            <v>44321</v>
          </cell>
          <cell r="C1360">
            <v>109.6</v>
          </cell>
        </row>
        <row r="1360">
          <cell r="E1360">
            <v>44265</v>
          </cell>
          <cell r="F1360">
            <v>127.01</v>
          </cell>
        </row>
        <row r="1360">
          <cell r="H1360">
            <v>44265</v>
          </cell>
          <cell r="I1360">
            <v>67.88</v>
          </cell>
        </row>
        <row r="1360">
          <cell r="K1360">
            <v>44265</v>
          </cell>
          <cell r="L1360">
            <v>130.51</v>
          </cell>
        </row>
        <row r="1360">
          <cell r="N1360">
            <v>44321</v>
          </cell>
          <cell r="O1360">
            <v>97.35</v>
          </cell>
        </row>
        <row r="1361">
          <cell r="B1361">
            <v>44322</v>
          </cell>
          <cell r="C1361">
            <v>108.91</v>
          </cell>
        </row>
        <row r="1361">
          <cell r="E1361">
            <v>44266</v>
          </cell>
          <cell r="F1361">
            <v>131.07</v>
          </cell>
        </row>
        <row r="1361">
          <cell r="H1361">
            <v>44266</v>
          </cell>
          <cell r="I1361">
            <v>67.61</v>
          </cell>
        </row>
        <row r="1361">
          <cell r="K1361">
            <v>44266</v>
          </cell>
          <cell r="L1361">
            <v>129.82</v>
          </cell>
        </row>
        <row r="1361">
          <cell r="N1361">
            <v>44322</v>
          </cell>
          <cell r="O1361">
            <v>97.24</v>
          </cell>
        </row>
        <row r="1362">
          <cell r="B1362">
            <v>44323</v>
          </cell>
          <cell r="C1362">
            <v>109.31</v>
          </cell>
        </row>
        <row r="1362">
          <cell r="E1362">
            <v>44267</v>
          </cell>
          <cell r="F1362">
            <v>129.06</v>
          </cell>
        </row>
        <row r="1362">
          <cell r="H1362">
            <v>44267</v>
          </cell>
          <cell r="I1362">
            <v>67.77</v>
          </cell>
        </row>
        <row r="1362">
          <cell r="K1362">
            <v>44267</v>
          </cell>
          <cell r="L1362">
            <v>129.03</v>
          </cell>
        </row>
        <row r="1362">
          <cell r="N1362">
            <v>44323</v>
          </cell>
          <cell r="O1362">
            <v>97.07</v>
          </cell>
        </row>
        <row r="1363">
          <cell r="B1363">
            <v>44326</v>
          </cell>
          <cell r="C1363">
            <v>109.19</v>
          </cell>
        </row>
        <row r="1363">
          <cell r="E1363">
            <v>44270</v>
          </cell>
          <cell r="F1363">
            <v>128.85</v>
          </cell>
        </row>
        <row r="1363">
          <cell r="H1363">
            <v>44270</v>
          </cell>
          <cell r="I1363">
            <v>68.06</v>
          </cell>
        </row>
        <row r="1363">
          <cell r="K1363">
            <v>44270</v>
          </cell>
          <cell r="L1363">
            <v>128.89</v>
          </cell>
        </row>
        <row r="1363">
          <cell r="N1363">
            <v>44326</v>
          </cell>
          <cell r="O1363">
            <v>97.85</v>
          </cell>
        </row>
        <row r="1364">
          <cell r="B1364">
            <v>44327</v>
          </cell>
          <cell r="C1364">
            <v>109.33</v>
          </cell>
        </row>
        <row r="1364">
          <cell r="E1364">
            <v>44271</v>
          </cell>
          <cell r="F1364">
            <v>127.76</v>
          </cell>
        </row>
        <row r="1364">
          <cell r="H1364">
            <v>44271</v>
          </cell>
          <cell r="I1364">
            <v>68.06</v>
          </cell>
        </row>
        <row r="1364">
          <cell r="K1364">
            <v>44271</v>
          </cell>
          <cell r="L1364">
            <v>128.72</v>
          </cell>
        </row>
        <row r="1364">
          <cell r="N1364">
            <v>44327</v>
          </cell>
          <cell r="O1364">
            <v>97.54</v>
          </cell>
        </row>
        <row r="1365">
          <cell r="B1365">
            <v>44328</v>
          </cell>
          <cell r="C1365">
            <v>109.49</v>
          </cell>
        </row>
        <row r="1365">
          <cell r="E1365">
            <v>44272</v>
          </cell>
          <cell r="F1365">
            <v>127.3</v>
          </cell>
        </row>
        <row r="1365">
          <cell r="H1365">
            <v>44272</v>
          </cell>
          <cell r="I1365">
            <v>68.77</v>
          </cell>
        </row>
        <row r="1365">
          <cell r="K1365">
            <v>44272</v>
          </cell>
          <cell r="L1365">
            <v>128.36</v>
          </cell>
        </row>
        <row r="1365">
          <cell r="N1365">
            <v>44328</v>
          </cell>
          <cell r="O1365">
            <v>98.15</v>
          </cell>
        </row>
        <row r="1366">
          <cell r="B1366">
            <v>44329</v>
          </cell>
          <cell r="C1366">
            <v>109.02</v>
          </cell>
        </row>
        <row r="1366">
          <cell r="E1366">
            <v>44273</v>
          </cell>
          <cell r="F1366">
            <v>124.15</v>
          </cell>
        </row>
        <row r="1366">
          <cell r="H1366">
            <v>44273</v>
          </cell>
          <cell r="I1366">
            <v>69.29</v>
          </cell>
        </row>
        <row r="1366">
          <cell r="K1366">
            <v>44273</v>
          </cell>
          <cell r="L1366">
            <v>128.75</v>
          </cell>
        </row>
        <row r="1366">
          <cell r="N1366">
            <v>44329</v>
          </cell>
          <cell r="O1366">
            <v>97.94</v>
          </cell>
        </row>
        <row r="1367">
          <cell r="B1367">
            <v>44330</v>
          </cell>
          <cell r="C1367">
            <v>108.94</v>
          </cell>
        </row>
        <row r="1367">
          <cell r="E1367">
            <v>44274</v>
          </cell>
          <cell r="F1367">
            <v>126.4</v>
          </cell>
        </row>
        <row r="1367">
          <cell r="H1367">
            <v>44274</v>
          </cell>
          <cell r="I1367">
            <v>69.31</v>
          </cell>
        </row>
        <row r="1367">
          <cell r="K1367">
            <v>44274</v>
          </cell>
          <cell r="L1367">
            <v>129.3</v>
          </cell>
        </row>
        <row r="1367">
          <cell r="N1367">
            <v>44330</v>
          </cell>
          <cell r="O1367">
            <v>97.8</v>
          </cell>
        </row>
        <row r="1368">
          <cell r="B1368">
            <v>44333</v>
          </cell>
          <cell r="C1368">
            <v>108.53</v>
          </cell>
        </row>
        <row r="1368">
          <cell r="E1368">
            <v>44277</v>
          </cell>
          <cell r="F1368">
            <v>127.9</v>
          </cell>
        </row>
        <row r="1368">
          <cell r="H1368">
            <v>44277</v>
          </cell>
          <cell r="I1368">
            <v>68.99</v>
          </cell>
        </row>
        <row r="1368">
          <cell r="K1368">
            <v>44277</v>
          </cell>
          <cell r="L1368">
            <v>130.25</v>
          </cell>
        </row>
        <row r="1368">
          <cell r="N1368">
            <v>44333</v>
          </cell>
          <cell r="O1368">
            <v>97.69</v>
          </cell>
        </row>
        <row r="1369">
          <cell r="B1369">
            <v>44334</v>
          </cell>
          <cell r="C1369">
            <v>108.94</v>
          </cell>
        </row>
        <row r="1369">
          <cell r="E1369">
            <v>44278</v>
          </cell>
          <cell r="F1369">
            <v>127.43</v>
          </cell>
        </row>
        <row r="1369">
          <cell r="H1369">
            <v>44278</v>
          </cell>
          <cell r="I1369">
            <v>68.13</v>
          </cell>
        </row>
        <row r="1369">
          <cell r="K1369">
            <v>44278</v>
          </cell>
          <cell r="L1369">
            <v>131.99</v>
          </cell>
        </row>
        <row r="1369">
          <cell r="N1369">
            <v>44334</v>
          </cell>
          <cell r="O1369">
            <v>97.41</v>
          </cell>
        </row>
        <row r="1370">
          <cell r="B1370">
            <v>44335</v>
          </cell>
          <cell r="C1370">
            <v>109.01</v>
          </cell>
        </row>
        <row r="1370">
          <cell r="E1370">
            <v>44279</v>
          </cell>
          <cell r="F1370">
            <v>123.68</v>
          </cell>
        </row>
        <row r="1370">
          <cell r="H1370">
            <v>44279</v>
          </cell>
          <cell r="I1370">
            <v>68.27</v>
          </cell>
        </row>
        <row r="1370">
          <cell r="K1370">
            <v>44279</v>
          </cell>
          <cell r="L1370">
            <v>131.97</v>
          </cell>
        </row>
        <row r="1370">
          <cell r="N1370">
            <v>44335</v>
          </cell>
          <cell r="O1370">
            <v>97.4</v>
          </cell>
        </row>
        <row r="1371">
          <cell r="B1371">
            <v>44336</v>
          </cell>
          <cell r="C1371">
            <v>109.18</v>
          </cell>
        </row>
        <row r="1371">
          <cell r="E1371">
            <v>44280</v>
          </cell>
          <cell r="F1371">
            <v>122.26</v>
          </cell>
        </row>
        <row r="1371">
          <cell r="H1371">
            <v>44280</v>
          </cell>
          <cell r="I1371">
            <v>68.68</v>
          </cell>
        </row>
        <row r="1371">
          <cell r="K1371">
            <v>44280</v>
          </cell>
          <cell r="L1371">
            <v>131.9</v>
          </cell>
        </row>
        <row r="1371">
          <cell r="N1371">
            <v>44336</v>
          </cell>
          <cell r="O1371">
            <v>97.59</v>
          </cell>
        </row>
        <row r="1372">
          <cell r="B1372">
            <v>44337</v>
          </cell>
          <cell r="C1372">
            <v>109.03</v>
          </cell>
        </row>
        <row r="1372">
          <cell r="E1372">
            <v>44281</v>
          </cell>
          <cell r="F1372">
            <v>122.1</v>
          </cell>
        </row>
        <row r="1372">
          <cell r="H1372">
            <v>44281</v>
          </cell>
          <cell r="I1372">
            <v>69.11</v>
          </cell>
        </row>
        <row r="1372">
          <cell r="K1372">
            <v>44281</v>
          </cell>
          <cell r="L1372">
            <v>132.79</v>
          </cell>
        </row>
        <row r="1372">
          <cell r="N1372">
            <v>44337</v>
          </cell>
          <cell r="O1372">
            <v>97.53</v>
          </cell>
        </row>
        <row r="1373">
          <cell r="B1373">
            <v>44340</v>
          </cell>
          <cell r="C1373">
            <v>108.81</v>
          </cell>
        </row>
        <row r="1373">
          <cell r="E1373">
            <v>44284</v>
          </cell>
          <cell r="F1373">
            <v>120.14</v>
          </cell>
        </row>
        <row r="1373">
          <cell r="H1373">
            <v>44284</v>
          </cell>
          <cell r="I1373">
            <v>68.91</v>
          </cell>
        </row>
        <row r="1373">
          <cell r="K1373">
            <v>44284</v>
          </cell>
          <cell r="L1373">
            <v>133.3</v>
          </cell>
        </row>
        <row r="1373">
          <cell r="N1373">
            <v>44340</v>
          </cell>
          <cell r="O1373">
            <v>97.91</v>
          </cell>
        </row>
        <row r="1374">
          <cell r="B1374">
            <v>44341</v>
          </cell>
          <cell r="C1374">
            <v>108.63</v>
          </cell>
        </row>
        <row r="1374">
          <cell r="E1374">
            <v>44285</v>
          </cell>
          <cell r="F1374">
            <v>121.63</v>
          </cell>
        </row>
        <row r="1374">
          <cell r="H1374">
            <v>44285</v>
          </cell>
          <cell r="I1374">
            <v>69.37</v>
          </cell>
        </row>
        <row r="1374">
          <cell r="K1374">
            <v>44285</v>
          </cell>
          <cell r="L1374">
            <v>132.74</v>
          </cell>
        </row>
        <row r="1374">
          <cell r="N1374">
            <v>44341</v>
          </cell>
          <cell r="O1374">
            <v>98.52</v>
          </cell>
        </row>
        <row r="1375">
          <cell r="B1375">
            <v>44342</v>
          </cell>
          <cell r="C1375">
            <v>108.37</v>
          </cell>
        </row>
        <row r="1375">
          <cell r="E1375">
            <v>44286</v>
          </cell>
          <cell r="F1375">
            <v>124.7</v>
          </cell>
        </row>
        <row r="1375">
          <cell r="H1375">
            <v>44286</v>
          </cell>
          <cell r="I1375">
            <v>69.22</v>
          </cell>
        </row>
        <row r="1375">
          <cell r="K1375">
            <v>44286</v>
          </cell>
          <cell r="L1375">
            <v>133.37</v>
          </cell>
        </row>
        <row r="1375">
          <cell r="N1375">
            <v>44342</v>
          </cell>
          <cell r="O1375">
            <v>97.32</v>
          </cell>
        </row>
        <row r="1376">
          <cell r="B1376">
            <v>44343</v>
          </cell>
          <cell r="C1376">
            <v>108.08</v>
          </cell>
        </row>
        <row r="1376">
          <cell r="E1376">
            <v>44287</v>
          </cell>
          <cell r="F1376">
            <v>124.78</v>
          </cell>
        </row>
        <row r="1376">
          <cell r="H1376">
            <v>44287</v>
          </cell>
          <cell r="I1376">
            <v>69.01</v>
          </cell>
        </row>
        <row r="1376">
          <cell r="K1376">
            <v>44287</v>
          </cell>
          <cell r="L1376">
            <v>133.55</v>
          </cell>
        </row>
        <row r="1376">
          <cell r="N1376">
            <v>44343</v>
          </cell>
          <cell r="O1376">
            <v>96.91</v>
          </cell>
        </row>
        <row r="1377">
          <cell r="B1377">
            <v>44344</v>
          </cell>
          <cell r="C1377">
            <v>108.49</v>
          </cell>
        </row>
        <row r="1377">
          <cell r="E1377">
            <v>44288</v>
          </cell>
          <cell r="F1377">
            <v>124.78</v>
          </cell>
        </row>
        <row r="1377">
          <cell r="H1377">
            <v>44288</v>
          </cell>
          <cell r="I1377">
            <v>69</v>
          </cell>
        </row>
        <row r="1377">
          <cell r="K1377">
            <v>44288</v>
          </cell>
          <cell r="L1377">
            <v>133.55</v>
          </cell>
        </row>
        <row r="1377">
          <cell r="N1377">
            <v>44344</v>
          </cell>
          <cell r="O1377">
            <v>96.99</v>
          </cell>
        </row>
        <row r="1378">
          <cell r="B1378">
            <v>44347</v>
          </cell>
          <cell r="C1378">
            <v>108.49</v>
          </cell>
        </row>
        <row r="1378">
          <cell r="E1378">
            <v>44291</v>
          </cell>
          <cell r="F1378">
            <v>123.65</v>
          </cell>
        </row>
        <row r="1378">
          <cell r="H1378">
            <v>44291</v>
          </cell>
          <cell r="I1378">
            <v>69.08</v>
          </cell>
        </row>
        <row r="1378">
          <cell r="K1378">
            <v>44291</v>
          </cell>
          <cell r="L1378">
            <v>133.89</v>
          </cell>
        </row>
        <row r="1378">
          <cell r="N1378">
            <v>44347</v>
          </cell>
          <cell r="O1378">
            <v>96.99</v>
          </cell>
        </row>
        <row r="1379">
          <cell r="B1379">
            <v>44348</v>
          </cell>
          <cell r="C1379">
            <v>108.35</v>
          </cell>
        </row>
        <row r="1379">
          <cell r="E1379">
            <v>44292</v>
          </cell>
          <cell r="F1379">
            <v>125.39</v>
          </cell>
        </row>
        <row r="1379">
          <cell r="H1379">
            <v>44292</v>
          </cell>
          <cell r="I1379">
            <v>69</v>
          </cell>
        </row>
        <row r="1379">
          <cell r="K1379">
            <v>44292</v>
          </cell>
          <cell r="L1379">
            <v>133.57</v>
          </cell>
        </row>
        <row r="1379">
          <cell r="N1379">
            <v>44348</v>
          </cell>
          <cell r="O1379">
            <v>96.46</v>
          </cell>
        </row>
        <row r="1380">
          <cell r="B1380">
            <v>44349</v>
          </cell>
          <cell r="C1380">
            <v>108.23</v>
          </cell>
        </row>
        <row r="1380">
          <cell r="E1380">
            <v>44293</v>
          </cell>
          <cell r="F1380">
            <v>124.38</v>
          </cell>
        </row>
        <row r="1380">
          <cell r="H1380">
            <v>44293</v>
          </cell>
          <cell r="I1380">
            <v>69.31</v>
          </cell>
        </row>
        <row r="1380">
          <cell r="K1380">
            <v>44293</v>
          </cell>
          <cell r="L1380">
            <v>133.67</v>
          </cell>
        </row>
        <row r="1380">
          <cell r="N1380">
            <v>44349</v>
          </cell>
          <cell r="O1380">
            <v>96.15</v>
          </cell>
        </row>
        <row r="1381">
          <cell r="B1381">
            <v>44350</v>
          </cell>
          <cell r="C1381">
            <v>108.44</v>
          </cell>
        </row>
        <row r="1381">
          <cell r="E1381">
            <v>44294</v>
          </cell>
          <cell r="F1381">
            <v>126.17</v>
          </cell>
        </row>
        <row r="1381">
          <cell r="H1381">
            <v>44294</v>
          </cell>
          <cell r="I1381">
            <v>69.11</v>
          </cell>
        </row>
        <row r="1381">
          <cell r="K1381">
            <v>44294</v>
          </cell>
          <cell r="L1381">
            <v>134.09</v>
          </cell>
        </row>
        <row r="1381">
          <cell r="N1381">
            <v>44350</v>
          </cell>
          <cell r="O1381">
            <v>96.68</v>
          </cell>
        </row>
        <row r="1382">
          <cell r="B1382">
            <v>44351</v>
          </cell>
          <cell r="C1382">
            <v>108.41</v>
          </cell>
        </row>
        <row r="1382">
          <cell r="E1382">
            <v>44295</v>
          </cell>
          <cell r="F1382">
            <v>125.66</v>
          </cell>
        </row>
        <row r="1382">
          <cell r="H1382">
            <v>44295</v>
          </cell>
          <cell r="I1382">
            <v>69.28</v>
          </cell>
        </row>
        <row r="1382">
          <cell r="K1382">
            <v>44295</v>
          </cell>
          <cell r="L1382">
            <v>134.81</v>
          </cell>
        </row>
        <row r="1382">
          <cell r="N1382">
            <v>44351</v>
          </cell>
          <cell r="O1382">
            <v>97.06</v>
          </cell>
        </row>
        <row r="1383">
          <cell r="B1383">
            <v>44354</v>
          </cell>
          <cell r="C1383">
            <v>108.06</v>
          </cell>
        </row>
        <row r="1383">
          <cell r="E1383">
            <v>44298</v>
          </cell>
          <cell r="F1383">
            <v>125.4</v>
          </cell>
        </row>
        <row r="1383">
          <cell r="H1383">
            <v>44298</v>
          </cell>
          <cell r="I1383">
            <v>69.21</v>
          </cell>
        </row>
        <row r="1383">
          <cell r="K1383">
            <v>44298</v>
          </cell>
          <cell r="L1383">
            <v>135.39</v>
          </cell>
        </row>
        <row r="1383">
          <cell r="N1383">
            <v>44354</v>
          </cell>
          <cell r="O1383">
            <v>95.7</v>
          </cell>
        </row>
        <row r="1384">
          <cell r="B1384">
            <v>44355</v>
          </cell>
          <cell r="C1384">
            <v>108.08</v>
          </cell>
        </row>
        <row r="1384">
          <cell r="E1384">
            <v>44299</v>
          </cell>
          <cell r="F1384">
            <v>127.73</v>
          </cell>
        </row>
        <row r="1384">
          <cell r="H1384">
            <v>44299</v>
          </cell>
          <cell r="I1384">
            <v>68.87</v>
          </cell>
        </row>
        <row r="1384">
          <cell r="K1384">
            <v>44299</v>
          </cell>
          <cell r="L1384">
            <v>135.74</v>
          </cell>
        </row>
        <row r="1384">
          <cell r="N1384">
            <v>44355</v>
          </cell>
          <cell r="O1384">
            <v>94.65</v>
          </cell>
        </row>
        <row r="1385">
          <cell r="B1385">
            <v>44356</v>
          </cell>
          <cell r="C1385">
            <v>107.81</v>
          </cell>
        </row>
        <row r="1385">
          <cell r="E1385">
            <v>44300</v>
          </cell>
          <cell r="F1385">
            <v>126.87</v>
          </cell>
        </row>
        <row r="1385">
          <cell r="H1385">
            <v>44300</v>
          </cell>
          <cell r="I1385">
            <v>68.95</v>
          </cell>
        </row>
        <row r="1385">
          <cell r="K1385">
            <v>44300</v>
          </cell>
          <cell r="L1385">
            <v>134.78</v>
          </cell>
        </row>
        <row r="1385">
          <cell r="N1385">
            <v>44356</v>
          </cell>
          <cell r="O1385">
            <v>94.59</v>
          </cell>
        </row>
        <row r="1386">
          <cell r="B1386">
            <v>44357</v>
          </cell>
          <cell r="C1386">
            <v>107.59</v>
          </cell>
        </row>
        <row r="1386">
          <cell r="E1386">
            <v>44301</v>
          </cell>
          <cell r="F1386">
            <v>127.34</v>
          </cell>
        </row>
        <row r="1386">
          <cell r="H1386">
            <v>44301</v>
          </cell>
          <cell r="I1386">
            <v>69.1</v>
          </cell>
        </row>
        <row r="1386">
          <cell r="K1386">
            <v>44301</v>
          </cell>
          <cell r="L1386">
            <v>135.08</v>
          </cell>
        </row>
        <row r="1386">
          <cell r="N1386">
            <v>44357</v>
          </cell>
          <cell r="O1386">
            <v>95.36</v>
          </cell>
        </row>
        <row r="1387">
          <cell r="B1387">
            <v>44358</v>
          </cell>
          <cell r="C1387">
            <v>107.82</v>
          </cell>
        </row>
        <row r="1387">
          <cell r="E1387">
            <v>44302</v>
          </cell>
          <cell r="F1387">
            <v>127.23</v>
          </cell>
        </row>
        <row r="1387">
          <cell r="H1387">
            <v>44302</v>
          </cell>
          <cell r="I1387">
            <v>69.54</v>
          </cell>
        </row>
        <row r="1387">
          <cell r="K1387">
            <v>44302</v>
          </cell>
          <cell r="L1387">
            <v>135.23</v>
          </cell>
        </row>
        <row r="1387">
          <cell r="N1387">
            <v>44358</v>
          </cell>
          <cell r="O1387">
            <v>94.74</v>
          </cell>
        </row>
        <row r="1388">
          <cell r="B1388">
            <v>44361</v>
          </cell>
          <cell r="C1388">
            <v>108.33</v>
          </cell>
        </row>
        <row r="1388">
          <cell r="E1388">
            <v>44305</v>
          </cell>
          <cell r="F1388">
            <v>125.8</v>
          </cell>
        </row>
        <row r="1388">
          <cell r="H1388">
            <v>44305</v>
          </cell>
          <cell r="I1388">
            <v>69.71</v>
          </cell>
        </row>
        <row r="1388">
          <cell r="K1388">
            <v>44305</v>
          </cell>
          <cell r="L1388">
            <v>135.1</v>
          </cell>
        </row>
        <row r="1388">
          <cell r="N1388">
            <v>44361</v>
          </cell>
          <cell r="O1388">
            <v>94.95</v>
          </cell>
        </row>
        <row r="1389">
          <cell r="B1389">
            <v>44362</v>
          </cell>
          <cell r="C1389">
            <v>108.36</v>
          </cell>
        </row>
        <row r="1389">
          <cell r="E1389">
            <v>44306</v>
          </cell>
          <cell r="F1389">
            <v>125.31</v>
          </cell>
        </row>
        <row r="1389">
          <cell r="H1389">
            <v>44306</v>
          </cell>
          <cell r="I1389">
            <v>69.65</v>
          </cell>
        </row>
        <row r="1389">
          <cell r="K1389">
            <v>44306</v>
          </cell>
          <cell r="L1389">
            <v>135.75</v>
          </cell>
        </row>
        <row r="1389">
          <cell r="N1389">
            <v>44362</v>
          </cell>
          <cell r="O1389">
            <v>95.21</v>
          </cell>
        </row>
        <row r="1390">
          <cell r="B1390">
            <v>44363</v>
          </cell>
          <cell r="C1390">
            <v>108.04</v>
          </cell>
        </row>
        <row r="1390">
          <cell r="E1390">
            <v>44307</v>
          </cell>
          <cell r="F1390">
            <v>125.5</v>
          </cell>
        </row>
        <row r="1390">
          <cell r="H1390">
            <v>44307</v>
          </cell>
          <cell r="I1390">
            <v>69.95</v>
          </cell>
        </row>
        <row r="1390">
          <cell r="K1390">
            <v>44307</v>
          </cell>
          <cell r="L1390">
            <v>134.93</v>
          </cell>
        </row>
        <row r="1390">
          <cell r="N1390">
            <v>44363</v>
          </cell>
          <cell r="O1390">
            <v>94.72</v>
          </cell>
        </row>
        <row r="1391">
          <cell r="B1391">
            <v>44364</v>
          </cell>
          <cell r="C1391">
            <v>107.7</v>
          </cell>
        </row>
        <row r="1391">
          <cell r="E1391">
            <v>44308</v>
          </cell>
          <cell r="F1391">
            <v>125.66</v>
          </cell>
        </row>
        <row r="1391">
          <cell r="H1391">
            <v>44308</v>
          </cell>
          <cell r="I1391">
            <v>69.53</v>
          </cell>
        </row>
        <row r="1391">
          <cell r="K1391">
            <v>44308</v>
          </cell>
          <cell r="L1391">
            <v>135.14</v>
          </cell>
        </row>
        <row r="1391">
          <cell r="N1391">
            <v>44364</v>
          </cell>
          <cell r="O1391">
            <v>95.11</v>
          </cell>
        </row>
        <row r="1392">
          <cell r="B1392">
            <v>44365</v>
          </cell>
          <cell r="C1392">
            <v>107.82</v>
          </cell>
        </row>
        <row r="1392">
          <cell r="E1392">
            <v>44309</v>
          </cell>
          <cell r="F1392">
            <v>126.48</v>
          </cell>
        </row>
        <row r="1392">
          <cell r="H1392">
            <v>44309</v>
          </cell>
          <cell r="I1392">
            <v>69.43</v>
          </cell>
        </row>
        <row r="1392">
          <cell r="K1392">
            <v>44309</v>
          </cell>
          <cell r="L1392">
            <v>135.9</v>
          </cell>
        </row>
        <row r="1392">
          <cell r="N1392">
            <v>44365</v>
          </cell>
          <cell r="O1392">
            <v>95.4</v>
          </cell>
        </row>
        <row r="1393">
          <cell r="B1393">
            <v>44368</v>
          </cell>
          <cell r="C1393">
            <v>107.79</v>
          </cell>
        </row>
        <row r="1393">
          <cell r="E1393">
            <v>44312</v>
          </cell>
          <cell r="F1393">
            <v>127.53</v>
          </cell>
        </row>
        <row r="1393">
          <cell r="H1393">
            <v>44312</v>
          </cell>
          <cell r="I1393">
            <v>69.49</v>
          </cell>
        </row>
        <row r="1393">
          <cell r="K1393">
            <v>44312</v>
          </cell>
          <cell r="L1393">
            <v>135.24</v>
          </cell>
        </row>
        <row r="1393">
          <cell r="N1393">
            <v>44368</v>
          </cell>
          <cell r="O1393">
            <v>95.15</v>
          </cell>
        </row>
        <row r="1394">
          <cell r="B1394">
            <v>44369</v>
          </cell>
          <cell r="C1394">
            <v>107.59</v>
          </cell>
        </row>
        <row r="1394">
          <cell r="E1394">
            <v>44313</v>
          </cell>
          <cell r="F1394">
            <v>127.35</v>
          </cell>
        </row>
        <row r="1394">
          <cell r="H1394">
            <v>44313</v>
          </cell>
          <cell r="I1394">
            <v>69.49</v>
          </cell>
        </row>
        <row r="1394">
          <cell r="K1394">
            <v>44313</v>
          </cell>
          <cell r="L1394">
            <v>135.33</v>
          </cell>
        </row>
        <row r="1394">
          <cell r="N1394">
            <v>44369</v>
          </cell>
          <cell r="O1394">
            <v>95.25</v>
          </cell>
        </row>
        <row r="1395">
          <cell r="B1395">
            <v>44370</v>
          </cell>
          <cell r="C1395">
            <v>107.96</v>
          </cell>
        </row>
        <row r="1395">
          <cell r="E1395">
            <v>44314</v>
          </cell>
          <cell r="F1395">
            <v>126.98</v>
          </cell>
        </row>
        <row r="1395">
          <cell r="H1395">
            <v>44314</v>
          </cell>
          <cell r="I1395">
            <v>69.33</v>
          </cell>
        </row>
        <row r="1395">
          <cell r="K1395">
            <v>44314</v>
          </cell>
          <cell r="L1395">
            <v>133.76</v>
          </cell>
        </row>
        <row r="1395">
          <cell r="N1395">
            <v>44370</v>
          </cell>
          <cell r="O1395">
            <v>94.94</v>
          </cell>
        </row>
        <row r="1396">
          <cell r="B1396">
            <v>44371</v>
          </cell>
          <cell r="C1396">
            <v>107.92</v>
          </cell>
        </row>
        <row r="1396">
          <cell r="E1396">
            <v>44315</v>
          </cell>
          <cell r="F1396">
            <v>126.23</v>
          </cell>
        </row>
        <row r="1396">
          <cell r="H1396">
            <v>44315</v>
          </cell>
          <cell r="I1396">
            <v>69.38</v>
          </cell>
        </row>
        <row r="1396">
          <cell r="K1396">
            <v>44315</v>
          </cell>
          <cell r="L1396">
            <v>134.1</v>
          </cell>
        </row>
        <row r="1396">
          <cell r="N1396">
            <v>44371</v>
          </cell>
          <cell r="O1396">
            <v>94.46</v>
          </cell>
        </row>
        <row r="1397">
          <cell r="B1397">
            <v>44372</v>
          </cell>
          <cell r="C1397">
            <v>108.14</v>
          </cell>
        </row>
        <row r="1397">
          <cell r="E1397">
            <v>44316</v>
          </cell>
          <cell r="F1397">
            <v>126.04</v>
          </cell>
        </row>
        <row r="1397">
          <cell r="H1397">
            <v>44316</v>
          </cell>
          <cell r="I1397">
            <v>69.29</v>
          </cell>
        </row>
        <row r="1397">
          <cell r="K1397">
            <v>44316</v>
          </cell>
          <cell r="L1397">
            <v>134.3</v>
          </cell>
        </row>
        <row r="1397">
          <cell r="N1397">
            <v>44372</v>
          </cell>
          <cell r="O1397">
            <v>94.66</v>
          </cell>
        </row>
        <row r="1398">
          <cell r="B1398">
            <v>44375</v>
          </cell>
          <cell r="C1398">
            <v>108.17</v>
          </cell>
        </row>
        <row r="1398">
          <cell r="E1398">
            <v>44319</v>
          </cell>
          <cell r="F1398">
            <v>125.35</v>
          </cell>
        </row>
        <row r="1398">
          <cell r="H1398">
            <v>44319</v>
          </cell>
          <cell r="I1398">
            <v>69.83</v>
          </cell>
        </row>
        <row r="1398">
          <cell r="K1398">
            <v>44319</v>
          </cell>
          <cell r="L1398">
            <v>133.98</v>
          </cell>
        </row>
        <row r="1398">
          <cell r="N1398">
            <v>44375</v>
          </cell>
          <cell r="O1398">
            <v>95</v>
          </cell>
        </row>
        <row r="1399">
          <cell r="B1399">
            <v>44376</v>
          </cell>
          <cell r="C1399">
            <v>108.46</v>
          </cell>
        </row>
        <row r="1399">
          <cell r="E1399">
            <v>44320</v>
          </cell>
          <cell r="F1399">
            <v>125.12</v>
          </cell>
        </row>
        <row r="1399">
          <cell r="H1399">
            <v>44320</v>
          </cell>
          <cell r="I1399">
            <v>69.95</v>
          </cell>
        </row>
        <row r="1399">
          <cell r="K1399">
            <v>44320</v>
          </cell>
          <cell r="L1399">
            <v>134.84</v>
          </cell>
        </row>
        <row r="1399">
          <cell r="N1399">
            <v>44376</v>
          </cell>
          <cell r="O1399">
            <v>95.54</v>
          </cell>
        </row>
        <row r="1400">
          <cell r="B1400">
            <v>44377</v>
          </cell>
          <cell r="C1400">
            <v>108.62</v>
          </cell>
        </row>
        <row r="1400">
          <cell r="E1400">
            <v>44321</v>
          </cell>
          <cell r="F1400">
            <v>125.3</v>
          </cell>
        </row>
        <row r="1400">
          <cell r="H1400">
            <v>44321</v>
          </cell>
          <cell r="I1400">
            <v>70.54</v>
          </cell>
        </row>
        <row r="1400">
          <cell r="K1400">
            <v>44321</v>
          </cell>
          <cell r="L1400">
            <v>135.06</v>
          </cell>
        </row>
        <row r="1400">
          <cell r="N1400">
            <v>44377</v>
          </cell>
          <cell r="O1400">
            <v>95.73</v>
          </cell>
        </row>
        <row r="1401">
          <cell r="B1401">
            <v>44378</v>
          </cell>
          <cell r="C1401">
            <v>108.4</v>
          </cell>
        </row>
        <row r="1401">
          <cell r="E1401">
            <v>44322</v>
          </cell>
          <cell r="F1401">
            <v>124.37</v>
          </cell>
        </row>
        <row r="1401">
          <cell r="H1401">
            <v>44322</v>
          </cell>
          <cell r="I1401">
            <v>71.83</v>
          </cell>
        </row>
        <row r="1401">
          <cell r="K1401">
            <v>44322</v>
          </cell>
          <cell r="L1401">
            <v>134.4</v>
          </cell>
        </row>
        <row r="1401">
          <cell r="N1401">
            <v>44378</v>
          </cell>
          <cell r="O1401">
            <v>95.59</v>
          </cell>
        </row>
        <row r="1402">
          <cell r="B1402">
            <v>44379</v>
          </cell>
          <cell r="C1402">
            <v>108.33</v>
          </cell>
        </row>
        <row r="1402">
          <cell r="E1402">
            <v>44323</v>
          </cell>
          <cell r="F1402">
            <v>125.27</v>
          </cell>
        </row>
        <row r="1402">
          <cell r="H1402">
            <v>44323</v>
          </cell>
          <cell r="I1402">
            <v>71.8</v>
          </cell>
        </row>
        <row r="1402">
          <cell r="K1402">
            <v>44323</v>
          </cell>
          <cell r="L1402">
            <v>134.48</v>
          </cell>
        </row>
        <row r="1402">
          <cell r="N1402">
            <v>44379</v>
          </cell>
          <cell r="O1402">
            <v>96.73</v>
          </cell>
        </row>
        <row r="1403">
          <cell r="B1403">
            <v>44382</v>
          </cell>
          <cell r="C1403">
            <v>108.34</v>
          </cell>
        </row>
        <row r="1403">
          <cell r="E1403">
            <v>44326</v>
          </cell>
          <cell r="F1403">
            <v>124.64</v>
          </cell>
        </row>
        <row r="1403">
          <cell r="H1403">
            <v>44326</v>
          </cell>
          <cell r="I1403">
            <v>71.89</v>
          </cell>
        </row>
        <row r="1403">
          <cell r="K1403">
            <v>44326</v>
          </cell>
          <cell r="L1403">
            <v>135.03</v>
          </cell>
        </row>
        <row r="1403">
          <cell r="N1403">
            <v>44382</v>
          </cell>
          <cell r="O1403">
            <v>96.73</v>
          </cell>
        </row>
        <row r="1404">
          <cell r="B1404">
            <v>44383</v>
          </cell>
          <cell r="C1404">
            <v>108.91</v>
          </cell>
        </row>
        <row r="1404">
          <cell r="E1404">
            <v>44327</v>
          </cell>
          <cell r="F1404">
            <v>125.22</v>
          </cell>
        </row>
        <row r="1404">
          <cell r="H1404">
            <v>44327</v>
          </cell>
          <cell r="I1404">
            <v>71.52</v>
          </cell>
        </row>
        <row r="1404">
          <cell r="K1404">
            <v>44327</v>
          </cell>
          <cell r="L1404">
            <v>134.67</v>
          </cell>
        </row>
        <row r="1404">
          <cell r="N1404">
            <v>44383</v>
          </cell>
          <cell r="O1404">
            <v>96.71</v>
          </cell>
        </row>
        <row r="1405">
          <cell r="B1405">
            <v>44384</v>
          </cell>
          <cell r="C1405">
            <v>108.64</v>
          </cell>
        </row>
        <row r="1405">
          <cell r="E1405">
            <v>44328</v>
          </cell>
          <cell r="F1405">
            <v>123.77</v>
          </cell>
        </row>
        <row r="1405">
          <cell r="H1405">
            <v>44328</v>
          </cell>
          <cell r="I1405">
            <v>71.36</v>
          </cell>
        </row>
        <row r="1405">
          <cell r="K1405">
            <v>44328</v>
          </cell>
          <cell r="L1405">
            <v>133.89</v>
          </cell>
        </row>
        <row r="1405">
          <cell r="N1405">
            <v>44384</v>
          </cell>
          <cell r="O1405">
            <v>97.25</v>
          </cell>
        </row>
        <row r="1406">
          <cell r="B1406">
            <v>44385</v>
          </cell>
          <cell r="C1406">
            <v>108.43</v>
          </cell>
        </row>
        <row r="1406">
          <cell r="E1406">
            <v>44329</v>
          </cell>
          <cell r="F1406">
            <v>123.37</v>
          </cell>
        </row>
        <row r="1406">
          <cell r="H1406">
            <v>44329</v>
          </cell>
          <cell r="I1406">
            <v>71.82</v>
          </cell>
        </row>
        <row r="1406">
          <cell r="K1406">
            <v>44329</v>
          </cell>
          <cell r="L1406">
            <v>134.95</v>
          </cell>
        </row>
        <row r="1406">
          <cell r="N1406">
            <v>44385</v>
          </cell>
          <cell r="O1406">
            <v>97.49</v>
          </cell>
        </row>
        <row r="1407">
          <cell r="B1407">
            <v>44386</v>
          </cell>
          <cell r="C1407">
            <v>107.79</v>
          </cell>
        </row>
        <row r="1407">
          <cell r="E1407">
            <v>44330</v>
          </cell>
          <cell r="F1407">
            <v>123.57</v>
          </cell>
        </row>
        <row r="1407">
          <cell r="H1407">
            <v>44330</v>
          </cell>
          <cell r="I1407">
            <v>71.78</v>
          </cell>
        </row>
        <row r="1407">
          <cell r="K1407">
            <v>44330</v>
          </cell>
          <cell r="L1407">
            <v>134.06</v>
          </cell>
        </row>
        <row r="1407">
          <cell r="N1407">
            <v>44386</v>
          </cell>
          <cell r="O1407">
            <v>97.09</v>
          </cell>
        </row>
        <row r="1408">
          <cell r="B1408">
            <v>44389</v>
          </cell>
          <cell r="C1408">
            <v>108.19</v>
          </cell>
        </row>
        <row r="1408">
          <cell r="E1408">
            <v>44333</v>
          </cell>
          <cell r="F1408">
            <v>123.59</v>
          </cell>
        </row>
        <row r="1408">
          <cell r="H1408">
            <v>44333</v>
          </cell>
          <cell r="I1408">
            <v>72.33</v>
          </cell>
        </row>
        <row r="1408">
          <cell r="K1408">
            <v>44333</v>
          </cell>
          <cell r="L1408">
            <v>133.65</v>
          </cell>
        </row>
        <row r="1408">
          <cell r="N1408">
            <v>44389</v>
          </cell>
          <cell r="O1408">
            <v>97.09</v>
          </cell>
        </row>
        <row r="1409">
          <cell r="B1409">
            <v>44390</v>
          </cell>
          <cell r="C1409">
            <v>108.48</v>
          </cell>
        </row>
        <row r="1409">
          <cell r="E1409">
            <v>44334</v>
          </cell>
          <cell r="F1409">
            <v>123.89</v>
          </cell>
        </row>
        <row r="1409">
          <cell r="H1409">
            <v>44334</v>
          </cell>
          <cell r="I1409">
            <v>72.09</v>
          </cell>
        </row>
        <row r="1409">
          <cell r="K1409">
            <v>44334</v>
          </cell>
          <cell r="L1409">
            <v>133.18</v>
          </cell>
        </row>
        <row r="1409">
          <cell r="N1409">
            <v>44390</v>
          </cell>
          <cell r="O1409">
            <v>98.13</v>
          </cell>
        </row>
        <row r="1410">
          <cell r="B1410">
            <v>44391</v>
          </cell>
          <cell r="C1410">
            <v>108.64</v>
          </cell>
        </row>
        <row r="1410">
          <cell r="E1410">
            <v>44335</v>
          </cell>
          <cell r="F1410">
            <v>123.64</v>
          </cell>
        </row>
        <row r="1410">
          <cell r="H1410">
            <v>44335</v>
          </cell>
          <cell r="I1410">
            <v>72.01</v>
          </cell>
        </row>
        <row r="1410">
          <cell r="K1410">
            <v>44335</v>
          </cell>
          <cell r="L1410">
            <v>134.49</v>
          </cell>
        </row>
        <row r="1410">
          <cell r="N1410">
            <v>44391</v>
          </cell>
          <cell r="O1410">
            <v>99</v>
          </cell>
        </row>
        <row r="1411">
          <cell r="B1411">
            <v>44392</v>
          </cell>
          <cell r="C1411">
            <v>108.46</v>
          </cell>
        </row>
        <row r="1411">
          <cell r="E1411">
            <v>44336</v>
          </cell>
          <cell r="F1411">
            <v>123.7</v>
          </cell>
        </row>
        <row r="1411">
          <cell r="H1411">
            <v>44336</v>
          </cell>
          <cell r="I1411">
            <v>71.72</v>
          </cell>
        </row>
        <row r="1411">
          <cell r="K1411">
            <v>44336</v>
          </cell>
          <cell r="L1411">
            <v>134.48</v>
          </cell>
        </row>
        <row r="1411">
          <cell r="N1411">
            <v>44392</v>
          </cell>
          <cell r="O1411">
            <v>99.44</v>
          </cell>
        </row>
        <row r="1412">
          <cell r="B1412">
            <v>44393</v>
          </cell>
          <cell r="C1412">
            <v>108.56</v>
          </cell>
        </row>
        <row r="1412">
          <cell r="E1412">
            <v>44337</v>
          </cell>
          <cell r="F1412">
            <v>124.23</v>
          </cell>
        </row>
        <row r="1412">
          <cell r="H1412">
            <v>44337</v>
          </cell>
          <cell r="I1412">
            <v>71.95</v>
          </cell>
        </row>
        <row r="1412">
          <cell r="K1412">
            <v>44337</v>
          </cell>
          <cell r="L1412">
            <v>134.49</v>
          </cell>
        </row>
        <row r="1412">
          <cell r="N1412">
            <v>44393</v>
          </cell>
          <cell r="O1412">
            <v>99.44</v>
          </cell>
        </row>
        <row r="1413">
          <cell r="B1413">
            <v>44396</v>
          </cell>
          <cell r="C1413">
            <v>108.15</v>
          </cell>
        </row>
        <row r="1413">
          <cell r="E1413">
            <v>44340</v>
          </cell>
          <cell r="F1413">
            <v>124.76</v>
          </cell>
        </row>
        <row r="1413">
          <cell r="H1413">
            <v>44340</v>
          </cell>
          <cell r="I1413">
            <v>71.57</v>
          </cell>
        </row>
        <row r="1413">
          <cell r="K1413">
            <v>44340</v>
          </cell>
          <cell r="L1413">
            <v>134.42</v>
          </cell>
        </row>
        <row r="1413">
          <cell r="N1413">
            <v>44396</v>
          </cell>
          <cell r="O1413">
            <v>99.24</v>
          </cell>
        </row>
        <row r="1414">
          <cell r="B1414">
            <v>44397</v>
          </cell>
          <cell r="C1414">
            <v>107.7</v>
          </cell>
        </row>
        <row r="1414">
          <cell r="E1414">
            <v>44341</v>
          </cell>
          <cell r="F1414">
            <v>124.29</v>
          </cell>
        </row>
        <row r="1414">
          <cell r="H1414">
            <v>44341</v>
          </cell>
          <cell r="I1414">
            <v>71.31</v>
          </cell>
        </row>
        <row r="1414">
          <cell r="K1414">
            <v>44341</v>
          </cell>
          <cell r="L1414">
            <v>134.51</v>
          </cell>
        </row>
        <row r="1414">
          <cell r="N1414">
            <v>44397</v>
          </cell>
          <cell r="O1414">
            <v>98.47</v>
          </cell>
        </row>
        <row r="1415">
          <cell r="B1415">
            <v>44398</v>
          </cell>
          <cell r="C1415">
            <v>107.72</v>
          </cell>
        </row>
        <row r="1415">
          <cell r="E1415">
            <v>44342</v>
          </cell>
          <cell r="F1415">
            <v>125.34</v>
          </cell>
        </row>
        <row r="1415">
          <cell r="H1415">
            <v>44342</v>
          </cell>
          <cell r="I1415">
            <v>71.33</v>
          </cell>
        </row>
        <row r="1415">
          <cell r="K1415">
            <v>44342</v>
          </cell>
          <cell r="L1415">
            <v>133.91</v>
          </cell>
        </row>
        <row r="1415">
          <cell r="N1415">
            <v>44398</v>
          </cell>
          <cell r="O1415">
            <v>98.42</v>
          </cell>
        </row>
        <row r="1416">
          <cell r="B1416">
            <v>44399</v>
          </cell>
          <cell r="C1416">
            <v>108.27</v>
          </cell>
        </row>
        <row r="1416">
          <cell r="E1416">
            <v>44343</v>
          </cell>
          <cell r="F1416">
            <v>126.42</v>
          </cell>
        </row>
        <row r="1416">
          <cell r="H1416">
            <v>44343</v>
          </cell>
          <cell r="I1416">
            <v>71.39</v>
          </cell>
        </row>
        <row r="1416">
          <cell r="K1416">
            <v>44343</v>
          </cell>
          <cell r="L1416">
            <v>133.18</v>
          </cell>
        </row>
        <row r="1416">
          <cell r="N1416">
            <v>44399</v>
          </cell>
          <cell r="O1416">
            <v>99.54</v>
          </cell>
        </row>
        <row r="1417">
          <cell r="B1417">
            <v>44400</v>
          </cell>
          <cell r="C1417">
            <v>108.52</v>
          </cell>
        </row>
        <row r="1417">
          <cell r="E1417">
            <v>44344</v>
          </cell>
          <cell r="F1417">
            <v>126.24</v>
          </cell>
        </row>
        <row r="1417">
          <cell r="H1417">
            <v>44344</v>
          </cell>
          <cell r="I1417">
            <v>71.07</v>
          </cell>
        </row>
        <row r="1417">
          <cell r="K1417">
            <v>44344</v>
          </cell>
          <cell r="L1417">
            <v>133.19</v>
          </cell>
        </row>
        <row r="1417">
          <cell r="N1417">
            <v>44400</v>
          </cell>
          <cell r="O1417">
            <v>99.54</v>
          </cell>
        </row>
        <row r="1418">
          <cell r="B1418">
            <v>44403</v>
          </cell>
          <cell r="C1418">
            <v>107.71</v>
          </cell>
        </row>
        <row r="1418">
          <cell r="E1418">
            <v>44347</v>
          </cell>
          <cell r="F1418">
            <v>126.26</v>
          </cell>
        </row>
        <row r="1418">
          <cell r="H1418">
            <v>44347</v>
          </cell>
          <cell r="I1418">
            <v>70.95</v>
          </cell>
        </row>
        <row r="1418">
          <cell r="K1418">
            <v>44347</v>
          </cell>
          <cell r="L1418">
            <v>133.43</v>
          </cell>
        </row>
        <row r="1418">
          <cell r="N1418">
            <v>44403</v>
          </cell>
          <cell r="O1418">
            <v>99.65</v>
          </cell>
        </row>
        <row r="1419">
          <cell r="B1419">
            <v>44404</v>
          </cell>
          <cell r="C1419">
            <v>107.88</v>
          </cell>
        </row>
        <row r="1419">
          <cell r="E1419">
            <v>44348</v>
          </cell>
          <cell r="F1419">
            <v>127.03</v>
          </cell>
        </row>
        <row r="1419">
          <cell r="H1419">
            <v>44348</v>
          </cell>
          <cell r="I1419">
            <v>71.14</v>
          </cell>
        </row>
        <row r="1419">
          <cell r="K1419">
            <v>44348</v>
          </cell>
          <cell r="L1419">
            <v>132.13</v>
          </cell>
        </row>
        <row r="1419">
          <cell r="N1419">
            <v>44404</v>
          </cell>
          <cell r="O1419">
            <v>100.34</v>
          </cell>
        </row>
        <row r="1420">
          <cell r="B1420">
            <v>44405</v>
          </cell>
          <cell r="C1420">
            <v>108.15</v>
          </cell>
        </row>
        <row r="1420">
          <cell r="E1420">
            <v>44349</v>
          </cell>
          <cell r="F1420">
            <v>126.47</v>
          </cell>
        </row>
        <row r="1420">
          <cell r="H1420">
            <v>44349</v>
          </cell>
          <cell r="I1420">
            <v>70.64</v>
          </cell>
        </row>
        <row r="1420">
          <cell r="K1420">
            <v>44349</v>
          </cell>
          <cell r="L1420">
            <v>131.69</v>
          </cell>
        </row>
        <row r="1420">
          <cell r="N1420">
            <v>44405</v>
          </cell>
          <cell r="O1420">
            <v>99.29</v>
          </cell>
        </row>
        <row r="1421">
          <cell r="B1421">
            <v>44406</v>
          </cell>
          <cell r="C1421">
            <v>107.38</v>
          </cell>
        </row>
        <row r="1421">
          <cell r="E1421">
            <v>44350</v>
          </cell>
          <cell r="F1421">
            <v>126.72</v>
          </cell>
        </row>
        <row r="1421">
          <cell r="H1421">
            <v>44350</v>
          </cell>
          <cell r="I1421">
            <v>70.67</v>
          </cell>
        </row>
        <row r="1421">
          <cell r="K1421">
            <v>44350</v>
          </cell>
          <cell r="L1421">
            <v>132.39</v>
          </cell>
        </row>
        <row r="1421">
          <cell r="N1421">
            <v>44406</v>
          </cell>
          <cell r="O1421">
            <v>99.38</v>
          </cell>
        </row>
        <row r="1422">
          <cell r="B1422">
            <v>44407</v>
          </cell>
          <cell r="C1422">
            <v>107.16</v>
          </cell>
        </row>
        <row r="1422">
          <cell r="E1422">
            <v>44351</v>
          </cell>
          <cell r="F1422">
            <v>126.1</v>
          </cell>
        </row>
        <row r="1422">
          <cell r="H1422">
            <v>44351</v>
          </cell>
          <cell r="I1422">
            <v>70.87</v>
          </cell>
        </row>
        <row r="1422">
          <cell r="K1422">
            <v>44351</v>
          </cell>
          <cell r="L1422">
            <v>133.22</v>
          </cell>
        </row>
        <row r="1422">
          <cell r="N1422">
            <v>44407</v>
          </cell>
          <cell r="O1422">
            <v>99.43</v>
          </cell>
        </row>
        <row r="1423">
          <cell r="B1423">
            <v>44410</v>
          </cell>
          <cell r="C1423">
            <v>107.31</v>
          </cell>
        </row>
        <row r="1423">
          <cell r="E1423">
            <v>44354</v>
          </cell>
          <cell r="F1423">
            <v>126.59</v>
          </cell>
        </row>
        <row r="1423">
          <cell r="H1423">
            <v>44354</v>
          </cell>
          <cell r="I1423">
            <v>70.56</v>
          </cell>
        </row>
        <row r="1423">
          <cell r="K1423">
            <v>44354</v>
          </cell>
          <cell r="L1423">
            <v>132.81</v>
          </cell>
        </row>
        <row r="1423">
          <cell r="N1423">
            <v>44410</v>
          </cell>
          <cell r="O1423">
            <v>99.41</v>
          </cell>
        </row>
        <row r="1424">
          <cell r="B1424">
            <v>44411</v>
          </cell>
          <cell r="C1424">
            <v>107.43</v>
          </cell>
        </row>
        <row r="1424">
          <cell r="E1424">
            <v>44355</v>
          </cell>
          <cell r="F1424">
            <v>126.67</v>
          </cell>
        </row>
        <row r="1424">
          <cell r="H1424">
            <v>44355</v>
          </cell>
          <cell r="I1424">
            <v>70.28</v>
          </cell>
        </row>
        <row r="1424">
          <cell r="K1424">
            <v>44355</v>
          </cell>
          <cell r="L1424">
            <v>133.05</v>
          </cell>
        </row>
        <row r="1424">
          <cell r="N1424">
            <v>44411</v>
          </cell>
          <cell r="O1424">
            <v>100.18</v>
          </cell>
        </row>
        <row r="1425">
          <cell r="B1425">
            <v>44412</v>
          </cell>
          <cell r="C1425">
            <v>108.04</v>
          </cell>
        </row>
        <row r="1425">
          <cell r="E1425">
            <v>44356</v>
          </cell>
          <cell r="F1425">
            <v>126.01</v>
          </cell>
        </row>
        <row r="1425">
          <cell r="H1425">
            <v>44356</v>
          </cell>
          <cell r="I1425">
            <v>70.21</v>
          </cell>
        </row>
        <row r="1425">
          <cell r="K1425">
            <v>44356</v>
          </cell>
          <cell r="L1425">
            <v>133.18</v>
          </cell>
        </row>
        <row r="1425">
          <cell r="N1425">
            <v>44412</v>
          </cell>
          <cell r="O1425">
            <v>100.86</v>
          </cell>
        </row>
        <row r="1426">
          <cell r="B1426">
            <v>44413</v>
          </cell>
          <cell r="C1426">
            <v>107.23</v>
          </cell>
        </row>
        <row r="1426">
          <cell r="E1426">
            <v>44357</v>
          </cell>
          <cell r="F1426">
            <v>124.59</v>
          </cell>
        </row>
        <row r="1426">
          <cell r="H1426">
            <v>44357</v>
          </cell>
          <cell r="I1426">
            <v>70.1</v>
          </cell>
        </row>
        <row r="1426">
          <cell r="K1426">
            <v>44357</v>
          </cell>
          <cell r="L1426">
            <v>133.4</v>
          </cell>
        </row>
        <row r="1426">
          <cell r="N1426">
            <v>44413</v>
          </cell>
          <cell r="O1426">
            <v>99.86</v>
          </cell>
        </row>
        <row r="1427">
          <cell r="B1427">
            <v>44414</v>
          </cell>
          <cell r="C1427">
            <v>107.13</v>
          </cell>
        </row>
        <row r="1427">
          <cell r="E1427">
            <v>44358</v>
          </cell>
          <cell r="F1427">
            <v>124.98</v>
          </cell>
        </row>
        <row r="1427">
          <cell r="H1427">
            <v>44358</v>
          </cell>
          <cell r="I1427">
            <v>69.7</v>
          </cell>
        </row>
        <row r="1427">
          <cell r="K1427">
            <v>44358</v>
          </cell>
          <cell r="L1427">
            <v>133.68</v>
          </cell>
        </row>
        <row r="1427">
          <cell r="N1427">
            <v>44414</v>
          </cell>
          <cell r="O1427">
            <v>99.63</v>
          </cell>
        </row>
        <row r="1428">
          <cell r="B1428">
            <v>44417</v>
          </cell>
          <cell r="C1428">
            <v>107.61</v>
          </cell>
        </row>
        <row r="1428">
          <cell r="E1428">
            <v>44361</v>
          </cell>
          <cell r="F1428">
            <v>123.86</v>
          </cell>
        </row>
        <row r="1428">
          <cell r="H1428">
            <v>44361</v>
          </cell>
          <cell r="I1428">
            <v>69.38</v>
          </cell>
        </row>
        <row r="1428">
          <cell r="K1428">
            <v>44361</v>
          </cell>
          <cell r="L1428">
            <v>134.32</v>
          </cell>
        </row>
        <row r="1428">
          <cell r="N1428">
            <v>44417</v>
          </cell>
          <cell r="O1428">
            <v>99.99</v>
          </cell>
        </row>
        <row r="1429">
          <cell r="B1429">
            <v>44418</v>
          </cell>
          <cell r="C1429">
            <v>107.2</v>
          </cell>
        </row>
        <row r="1429">
          <cell r="E1429">
            <v>44362</v>
          </cell>
          <cell r="F1429">
            <v>123.71</v>
          </cell>
        </row>
        <row r="1429">
          <cell r="H1429">
            <v>44362</v>
          </cell>
          <cell r="I1429">
            <v>69.21</v>
          </cell>
        </row>
        <row r="1429">
          <cell r="K1429">
            <v>44362</v>
          </cell>
          <cell r="L1429">
            <v>134.9</v>
          </cell>
        </row>
        <row r="1429">
          <cell r="N1429">
            <v>44418</v>
          </cell>
          <cell r="O1429">
            <v>100.2</v>
          </cell>
        </row>
        <row r="1430">
          <cell r="B1430">
            <v>44419</v>
          </cell>
          <cell r="C1430">
            <v>106.99</v>
          </cell>
        </row>
        <row r="1430">
          <cell r="E1430">
            <v>44363</v>
          </cell>
          <cell r="F1430">
            <v>124.06</v>
          </cell>
        </row>
        <row r="1430">
          <cell r="H1430">
            <v>44363</v>
          </cell>
          <cell r="I1430">
            <v>69.19</v>
          </cell>
        </row>
        <row r="1430">
          <cell r="K1430">
            <v>44363</v>
          </cell>
          <cell r="L1430">
            <v>134.76</v>
          </cell>
        </row>
        <row r="1430">
          <cell r="N1430">
            <v>44419</v>
          </cell>
          <cell r="O1430">
            <v>100.61</v>
          </cell>
        </row>
        <row r="1431">
          <cell r="B1431">
            <v>44420</v>
          </cell>
          <cell r="C1431">
            <v>106.91</v>
          </cell>
        </row>
        <row r="1431">
          <cell r="E1431">
            <v>44364</v>
          </cell>
          <cell r="F1431">
            <v>122.94</v>
          </cell>
        </row>
        <row r="1431">
          <cell r="H1431">
            <v>44364</v>
          </cell>
          <cell r="I1431">
            <v>68.16</v>
          </cell>
        </row>
        <row r="1431">
          <cell r="K1431">
            <v>44364</v>
          </cell>
          <cell r="L1431">
            <v>135.97</v>
          </cell>
        </row>
        <row r="1431">
          <cell r="N1431">
            <v>44420</v>
          </cell>
          <cell r="O1431">
            <v>100.66</v>
          </cell>
        </row>
        <row r="1432">
          <cell r="B1432">
            <v>44421</v>
          </cell>
          <cell r="C1432">
            <v>107.38</v>
          </cell>
        </row>
        <row r="1432">
          <cell r="E1432">
            <v>44365</v>
          </cell>
          <cell r="F1432">
            <v>122.52</v>
          </cell>
        </row>
        <row r="1432">
          <cell r="H1432">
            <v>44365</v>
          </cell>
          <cell r="I1432">
            <v>67.86</v>
          </cell>
        </row>
        <row r="1432">
          <cell r="K1432">
            <v>44365</v>
          </cell>
          <cell r="L1432">
            <v>136.43</v>
          </cell>
        </row>
        <row r="1432">
          <cell r="N1432">
            <v>44421</v>
          </cell>
          <cell r="O1432">
            <v>101.4</v>
          </cell>
        </row>
        <row r="1433">
          <cell r="B1433">
            <v>44424</v>
          </cell>
          <cell r="C1433">
            <v>106.9</v>
          </cell>
        </row>
        <row r="1433">
          <cell r="E1433">
            <v>44368</v>
          </cell>
          <cell r="F1433">
            <v>123.26</v>
          </cell>
        </row>
        <row r="1433">
          <cell r="H1433">
            <v>44368</v>
          </cell>
          <cell r="I1433">
            <v>67.63</v>
          </cell>
        </row>
        <row r="1433">
          <cell r="K1433">
            <v>44368</v>
          </cell>
          <cell r="L1433">
            <v>136.6</v>
          </cell>
        </row>
        <row r="1433">
          <cell r="N1433">
            <v>44424</v>
          </cell>
          <cell r="O1433">
            <v>102.14</v>
          </cell>
        </row>
        <row r="1434">
          <cell r="B1434">
            <v>44425</v>
          </cell>
          <cell r="C1434">
            <v>106.79</v>
          </cell>
        </row>
        <row r="1434">
          <cell r="E1434">
            <v>44369</v>
          </cell>
          <cell r="F1434">
            <v>123.63</v>
          </cell>
        </row>
        <row r="1434">
          <cell r="H1434">
            <v>44369</v>
          </cell>
          <cell r="I1434">
            <v>67.28</v>
          </cell>
        </row>
        <row r="1434">
          <cell r="K1434">
            <v>44369</v>
          </cell>
          <cell r="L1434">
            <v>136.96</v>
          </cell>
        </row>
        <row r="1434">
          <cell r="N1434">
            <v>44425</v>
          </cell>
          <cell r="O1434">
            <v>102.2</v>
          </cell>
        </row>
        <row r="1435">
          <cell r="B1435">
            <v>44426</v>
          </cell>
          <cell r="C1435">
            <v>107.17</v>
          </cell>
        </row>
        <row r="1435">
          <cell r="E1435">
            <v>44370</v>
          </cell>
          <cell r="F1435">
            <v>124.67</v>
          </cell>
        </row>
        <row r="1435">
          <cell r="H1435">
            <v>44370</v>
          </cell>
          <cell r="I1435">
            <v>67.46</v>
          </cell>
        </row>
        <row r="1435">
          <cell r="K1435">
            <v>44370</v>
          </cell>
          <cell r="L1435">
            <v>136.56</v>
          </cell>
        </row>
        <row r="1435">
          <cell r="N1435">
            <v>44426</v>
          </cell>
          <cell r="O1435">
            <v>102.07</v>
          </cell>
        </row>
        <row r="1436">
          <cell r="B1436">
            <v>44427</v>
          </cell>
          <cell r="C1436">
            <v>106.58</v>
          </cell>
        </row>
        <row r="1436">
          <cell r="E1436">
            <v>44371</v>
          </cell>
          <cell r="F1436">
            <v>124.47</v>
          </cell>
        </row>
        <row r="1436">
          <cell r="H1436">
            <v>44371</v>
          </cell>
          <cell r="I1436">
            <v>67.36</v>
          </cell>
        </row>
        <row r="1436">
          <cell r="K1436">
            <v>44371</v>
          </cell>
          <cell r="L1436">
            <v>136.46</v>
          </cell>
        </row>
        <row r="1436">
          <cell r="N1436">
            <v>44427</v>
          </cell>
          <cell r="O1436">
            <v>102.79</v>
          </cell>
        </row>
        <row r="1437">
          <cell r="B1437">
            <v>44428</v>
          </cell>
          <cell r="C1437">
            <v>106.82</v>
          </cell>
        </row>
        <row r="1437">
          <cell r="E1437">
            <v>44372</v>
          </cell>
          <cell r="F1437">
            <v>124.04</v>
          </cell>
        </row>
        <row r="1437">
          <cell r="H1437">
            <v>44372</v>
          </cell>
          <cell r="I1437">
            <v>67.45</v>
          </cell>
        </row>
        <row r="1437">
          <cell r="K1437">
            <v>44372</v>
          </cell>
          <cell r="L1437">
            <v>136.23</v>
          </cell>
        </row>
        <row r="1437">
          <cell r="N1437">
            <v>44428</v>
          </cell>
          <cell r="O1437">
            <v>102.18</v>
          </cell>
        </row>
        <row r="1438">
          <cell r="B1438">
            <v>44431</v>
          </cell>
          <cell r="C1438">
            <v>107.41</v>
          </cell>
        </row>
        <row r="1438">
          <cell r="E1438">
            <v>44375</v>
          </cell>
          <cell r="F1438">
            <v>124.72</v>
          </cell>
        </row>
        <row r="1438">
          <cell r="H1438">
            <v>44375</v>
          </cell>
          <cell r="I1438">
            <v>67.53</v>
          </cell>
        </row>
        <row r="1438">
          <cell r="K1438">
            <v>44375</v>
          </cell>
          <cell r="L1438">
            <v>137.54</v>
          </cell>
        </row>
        <row r="1438">
          <cell r="N1438">
            <v>44431</v>
          </cell>
          <cell r="O1438">
            <v>101.64</v>
          </cell>
        </row>
        <row r="1439">
          <cell r="B1439">
            <v>44432</v>
          </cell>
          <cell r="C1439">
            <v>107.62</v>
          </cell>
        </row>
        <row r="1439">
          <cell r="E1439">
            <v>44376</v>
          </cell>
          <cell r="F1439">
            <v>124.92</v>
          </cell>
        </row>
        <row r="1439">
          <cell r="H1439">
            <v>44376</v>
          </cell>
          <cell r="I1439">
            <v>67.41</v>
          </cell>
        </row>
        <row r="1439">
          <cell r="K1439">
            <v>44376</v>
          </cell>
          <cell r="L1439">
            <v>138.12</v>
          </cell>
        </row>
        <row r="1439">
          <cell r="N1439">
            <v>44432</v>
          </cell>
          <cell r="O1439">
            <v>101.36</v>
          </cell>
        </row>
        <row r="1440">
          <cell r="B1440">
            <v>44433</v>
          </cell>
          <cell r="C1440">
            <v>107.47</v>
          </cell>
        </row>
        <row r="1440">
          <cell r="E1440">
            <v>44377</v>
          </cell>
          <cell r="F1440">
            <v>125.53</v>
          </cell>
        </row>
        <row r="1440">
          <cell r="H1440">
            <v>44377</v>
          </cell>
          <cell r="I1440">
            <v>67.62</v>
          </cell>
        </row>
        <row r="1440">
          <cell r="K1440">
            <v>44377</v>
          </cell>
          <cell r="L1440">
            <v>137.6</v>
          </cell>
        </row>
        <row r="1440">
          <cell r="N1440">
            <v>44433</v>
          </cell>
          <cell r="O1440">
            <v>101.31</v>
          </cell>
        </row>
        <row r="1441">
          <cell r="B1441">
            <v>44434</v>
          </cell>
          <cell r="C1441">
            <v>107.53</v>
          </cell>
        </row>
        <row r="1441">
          <cell r="E1441">
            <v>44378</v>
          </cell>
          <cell r="F1441">
            <v>125.29</v>
          </cell>
        </row>
        <row r="1441">
          <cell r="H1441">
            <v>44378</v>
          </cell>
          <cell r="I1441">
            <v>67.42</v>
          </cell>
        </row>
        <row r="1441">
          <cell r="K1441">
            <v>44378</v>
          </cell>
          <cell r="L1441">
            <v>137.52</v>
          </cell>
        </row>
        <row r="1441">
          <cell r="N1441">
            <v>44434</v>
          </cell>
          <cell r="O1441">
            <v>101.51</v>
          </cell>
        </row>
        <row r="1442">
          <cell r="B1442">
            <v>44435</v>
          </cell>
          <cell r="C1442">
            <v>107.36</v>
          </cell>
        </row>
        <row r="1442">
          <cell r="E1442">
            <v>44379</v>
          </cell>
          <cell r="F1442">
            <v>124.45</v>
          </cell>
        </row>
        <row r="1442">
          <cell r="H1442">
            <v>44379</v>
          </cell>
          <cell r="I1442">
            <v>67.34</v>
          </cell>
        </row>
        <row r="1442">
          <cell r="K1442">
            <v>44379</v>
          </cell>
          <cell r="L1442">
            <v>137.87</v>
          </cell>
        </row>
        <row r="1442">
          <cell r="N1442">
            <v>44435</v>
          </cell>
          <cell r="O1442">
            <v>100.3</v>
          </cell>
        </row>
        <row r="1443">
          <cell r="B1443">
            <v>44438</v>
          </cell>
          <cell r="C1443">
            <v>107.4</v>
          </cell>
        </row>
        <row r="1443">
          <cell r="E1443">
            <v>44382</v>
          </cell>
          <cell r="F1443">
            <v>124.44</v>
          </cell>
        </row>
        <row r="1443">
          <cell r="H1443">
            <v>44382</v>
          </cell>
          <cell r="I1443">
            <v>67.38</v>
          </cell>
        </row>
        <row r="1443">
          <cell r="K1443">
            <v>44382</v>
          </cell>
          <cell r="L1443">
            <v>137.6</v>
          </cell>
        </row>
        <row r="1443">
          <cell r="N1443">
            <v>44438</v>
          </cell>
          <cell r="O1443">
            <v>100.48</v>
          </cell>
        </row>
        <row r="1444">
          <cell r="B1444">
            <v>44439</v>
          </cell>
          <cell r="C1444">
            <v>107.29</v>
          </cell>
        </row>
        <row r="1444">
          <cell r="E1444">
            <v>44383</v>
          </cell>
          <cell r="F1444">
            <v>123.46</v>
          </cell>
        </row>
        <row r="1444">
          <cell r="H1444">
            <v>44383</v>
          </cell>
          <cell r="I1444">
            <v>66.9</v>
          </cell>
        </row>
        <row r="1444">
          <cell r="K1444">
            <v>44383</v>
          </cell>
          <cell r="L1444">
            <v>138.28</v>
          </cell>
        </row>
        <row r="1444">
          <cell r="N1444">
            <v>44439</v>
          </cell>
          <cell r="O1444">
            <v>100.23</v>
          </cell>
        </row>
        <row r="1445">
          <cell r="B1445">
            <v>44440</v>
          </cell>
          <cell r="C1445">
            <v>107.04</v>
          </cell>
        </row>
        <row r="1445">
          <cell r="E1445">
            <v>44384</v>
          </cell>
          <cell r="F1445">
            <v>123.66</v>
          </cell>
        </row>
        <row r="1445">
          <cell r="H1445">
            <v>44384</v>
          </cell>
          <cell r="I1445">
            <v>66.85</v>
          </cell>
        </row>
        <row r="1445">
          <cell r="K1445">
            <v>44384</v>
          </cell>
          <cell r="L1445">
            <v>139.21</v>
          </cell>
        </row>
        <row r="1445">
          <cell r="N1445">
            <v>44440</v>
          </cell>
          <cell r="O1445">
            <v>99.32</v>
          </cell>
        </row>
        <row r="1446">
          <cell r="B1446">
            <v>44441</v>
          </cell>
          <cell r="C1446">
            <v>106.96</v>
          </cell>
        </row>
        <row r="1446">
          <cell r="E1446">
            <v>44385</v>
          </cell>
          <cell r="F1446">
            <v>123.89</v>
          </cell>
        </row>
        <row r="1446">
          <cell r="H1446">
            <v>44385</v>
          </cell>
          <cell r="I1446">
            <v>66.7</v>
          </cell>
        </row>
        <row r="1446">
          <cell r="K1446">
            <v>44385</v>
          </cell>
          <cell r="L1446">
            <v>139.22</v>
          </cell>
        </row>
        <row r="1446">
          <cell r="N1446">
            <v>44441</v>
          </cell>
          <cell r="O1446">
            <v>99.13</v>
          </cell>
        </row>
        <row r="1447">
          <cell r="B1447">
            <v>44442</v>
          </cell>
          <cell r="C1447">
            <v>107.27</v>
          </cell>
        </row>
        <row r="1447">
          <cell r="E1447">
            <v>44386</v>
          </cell>
          <cell r="F1447">
            <v>124.83</v>
          </cell>
        </row>
        <row r="1447">
          <cell r="H1447">
            <v>44386</v>
          </cell>
          <cell r="I1447">
            <v>66.88</v>
          </cell>
        </row>
        <row r="1447">
          <cell r="K1447">
            <v>44386</v>
          </cell>
          <cell r="L1447">
            <v>138.66</v>
          </cell>
        </row>
        <row r="1447">
          <cell r="N1447">
            <v>44442</v>
          </cell>
          <cell r="O1447">
            <v>99.11</v>
          </cell>
        </row>
        <row r="1448">
          <cell r="B1448">
            <v>44445</v>
          </cell>
          <cell r="C1448">
            <v>107.27</v>
          </cell>
        </row>
        <row r="1448">
          <cell r="E1448">
            <v>44389</v>
          </cell>
          <cell r="F1448">
            <v>126.32</v>
          </cell>
        </row>
        <row r="1448">
          <cell r="H1448">
            <v>44389</v>
          </cell>
          <cell r="I1448">
            <v>66.88</v>
          </cell>
        </row>
        <row r="1448">
          <cell r="K1448">
            <v>44389</v>
          </cell>
          <cell r="L1448">
            <v>138.82</v>
          </cell>
        </row>
        <row r="1448">
          <cell r="N1448">
            <v>44445</v>
          </cell>
          <cell r="O1448">
            <v>99.11</v>
          </cell>
        </row>
        <row r="1449">
          <cell r="B1449">
            <v>44446</v>
          </cell>
          <cell r="C1449">
            <v>106.77</v>
          </cell>
        </row>
        <row r="1449">
          <cell r="E1449">
            <v>44390</v>
          </cell>
          <cell r="F1449">
            <v>125.18</v>
          </cell>
        </row>
        <row r="1449">
          <cell r="H1449">
            <v>44390</v>
          </cell>
          <cell r="I1449">
            <v>66.75</v>
          </cell>
        </row>
        <row r="1449">
          <cell r="K1449">
            <v>44390</v>
          </cell>
          <cell r="L1449">
            <v>139.43</v>
          </cell>
        </row>
        <row r="1449">
          <cell r="N1449">
            <v>44446</v>
          </cell>
          <cell r="O1449">
            <v>99.44</v>
          </cell>
        </row>
        <row r="1450">
          <cell r="B1450">
            <v>44447</v>
          </cell>
          <cell r="C1450">
            <v>106.64</v>
          </cell>
        </row>
        <row r="1450">
          <cell r="E1450">
            <v>44391</v>
          </cell>
          <cell r="F1450">
            <v>124.78</v>
          </cell>
        </row>
        <row r="1450">
          <cell r="H1450">
            <v>44391</v>
          </cell>
          <cell r="I1450">
            <v>67.12</v>
          </cell>
        </row>
        <row r="1450">
          <cell r="K1450">
            <v>44391</v>
          </cell>
          <cell r="L1450">
            <v>140.09</v>
          </cell>
        </row>
        <row r="1450">
          <cell r="N1450">
            <v>44447</v>
          </cell>
          <cell r="O1450">
            <v>100</v>
          </cell>
        </row>
        <row r="1451">
          <cell r="B1451">
            <v>44448</v>
          </cell>
          <cell r="C1451">
            <v>106.78</v>
          </cell>
        </row>
        <row r="1451">
          <cell r="E1451">
            <v>44392</v>
          </cell>
          <cell r="F1451">
            <v>124.8</v>
          </cell>
        </row>
        <row r="1451">
          <cell r="H1451">
            <v>44392</v>
          </cell>
          <cell r="I1451">
            <v>67.15</v>
          </cell>
        </row>
        <row r="1451">
          <cell r="K1451">
            <v>44392</v>
          </cell>
          <cell r="L1451">
            <v>140.14</v>
          </cell>
        </row>
        <row r="1451">
          <cell r="N1451">
            <v>44448</v>
          </cell>
          <cell r="O1451">
            <v>100.34</v>
          </cell>
        </row>
        <row r="1452">
          <cell r="B1452">
            <v>44449</v>
          </cell>
          <cell r="C1452">
            <v>106.79</v>
          </cell>
        </row>
        <row r="1452">
          <cell r="E1452">
            <v>44393</v>
          </cell>
          <cell r="F1452">
            <v>123.9</v>
          </cell>
        </row>
        <row r="1452">
          <cell r="H1452">
            <v>44393</v>
          </cell>
          <cell r="I1452">
            <v>66.72</v>
          </cell>
        </row>
        <row r="1452">
          <cell r="K1452">
            <v>44393</v>
          </cell>
          <cell r="L1452">
            <v>140.82</v>
          </cell>
        </row>
        <row r="1452">
          <cell r="N1452">
            <v>44449</v>
          </cell>
          <cell r="O1452">
            <v>100.71</v>
          </cell>
        </row>
        <row r="1453">
          <cell r="B1453">
            <v>44452</v>
          </cell>
          <cell r="C1453">
            <v>106.5</v>
          </cell>
        </row>
        <row r="1453">
          <cell r="E1453">
            <v>44396</v>
          </cell>
          <cell r="F1453">
            <v>123.98</v>
          </cell>
        </row>
        <row r="1453">
          <cell r="H1453">
            <v>44396</v>
          </cell>
          <cell r="I1453">
            <v>66.57</v>
          </cell>
        </row>
        <row r="1453">
          <cell r="K1453">
            <v>44396</v>
          </cell>
          <cell r="L1453">
            <v>141.03</v>
          </cell>
        </row>
        <row r="1453">
          <cell r="N1453">
            <v>44452</v>
          </cell>
          <cell r="O1453">
            <v>101.04</v>
          </cell>
        </row>
        <row r="1454">
          <cell r="B1454">
            <v>44453</v>
          </cell>
          <cell r="C1454">
            <v>106.25</v>
          </cell>
        </row>
        <row r="1454">
          <cell r="E1454">
            <v>44397</v>
          </cell>
          <cell r="F1454">
            <v>124.65</v>
          </cell>
        </row>
        <row r="1454">
          <cell r="H1454">
            <v>44397</v>
          </cell>
          <cell r="I1454">
            <v>66.6</v>
          </cell>
        </row>
        <row r="1454">
          <cell r="K1454">
            <v>44397</v>
          </cell>
          <cell r="L1454">
            <v>140.27</v>
          </cell>
        </row>
        <row r="1454">
          <cell r="N1454">
            <v>44453</v>
          </cell>
          <cell r="O1454">
            <v>101.55</v>
          </cell>
        </row>
        <row r="1455">
          <cell r="B1455">
            <v>44454</v>
          </cell>
          <cell r="C1455">
            <v>106.9</v>
          </cell>
        </row>
        <row r="1455">
          <cell r="E1455">
            <v>44398</v>
          </cell>
          <cell r="F1455">
            <v>125.11</v>
          </cell>
        </row>
        <row r="1455">
          <cell r="H1455">
            <v>44398</v>
          </cell>
          <cell r="I1455">
            <v>66.84</v>
          </cell>
        </row>
        <row r="1455">
          <cell r="K1455">
            <v>44398</v>
          </cell>
          <cell r="L1455">
            <v>139.7</v>
          </cell>
        </row>
        <row r="1455">
          <cell r="N1455">
            <v>44454</v>
          </cell>
          <cell r="O1455">
            <v>101.82</v>
          </cell>
        </row>
        <row r="1456">
          <cell r="B1456">
            <v>44455</v>
          </cell>
          <cell r="C1456">
            <v>107.19</v>
          </cell>
        </row>
        <row r="1456">
          <cell r="E1456">
            <v>44399</v>
          </cell>
          <cell r="F1456">
            <v>124.45</v>
          </cell>
        </row>
        <row r="1456">
          <cell r="H1456">
            <v>44399</v>
          </cell>
          <cell r="I1456">
            <v>66.4</v>
          </cell>
        </row>
        <row r="1456">
          <cell r="K1456">
            <v>44399</v>
          </cell>
          <cell r="L1456">
            <v>140.71</v>
          </cell>
        </row>
        <row r="1456">
          <cell r="N1456">
            <v>44455</v>
          </cell>
          <cell r="O1456">
            <v>101.6</v>
          </cell>
        </row>
        <row r="1457">
          <cell r="B1457">
            <v>44456</v>
          </cell>
          <cell r="C1457">
            <v>107.19</v>
          </cell>
        </row>
        <row r="1457">
          <cell r="E1457">
            <v>44400</v>
          </cell>
          <cell r="F1457">
            <v>124.56</v>
          </cell>
        </row>
        <row r="1457">
          <cell r="H1457">
            <v>44400</v>
          </cell>
          <cell r="I1457">
            <v>66.29</v>
          </cell>
        </row>
        <row r="1457">
          <cell r="K1457">
            <v>44400</v>
          </cell>
          <cell r="L1457">
            <v>141.65</v>
          </cell>
        </row>
        <row r="1457">
          <cell r="N1457">
            <v>44456</v>
          </cell>
          <cell r="O1457">
            <v>101.12</v>
          </cell>
        </row>
        <row r="1458">
          <cell r="B1458">
            <v>44459</v>
          </cell>
          <cell r="C1458">
            <v>107.03</v>
          </cell>
        </row>
        <row r="1458">
          <cell r="E1458">
            <v>44403</v>
          </cell>
          <cell r="F1458">
            <v>125.38</v>
          </cell>
        </row>
        <row r="1458">
          <cell r="H1458">
            <v>44403</v>
          </cell>
          <cell r="I1458">
            <v>66.49</v>
          </cell>
        </row>
        <row r="1458">
          <cell r="K1458">
            <v>44403</v>
          </cell>
          <cell r="L1458">
            <v>141.54</v>
          </cell>
        </row>
        <row r="1458">
          <cell r="N1458">
            <v>44459</v>
          </cell>
          <cell r="O1458">
            <v>101.65</v>
          </cell>
        </row>
        <row r="1459">
          <cell r="B1459">
            <v>44460</v>
          </cell>
          <cell r="C1459">
            <v>107.39</v>
          </cell>
        </row>
        <row r="1459">
          <cell r="E1459">
            <v>44404</v>
          </cell>
          <cell r="F1459">
            <v>125.36</v>
          </cell>
        </row>
        <row r="1459">
          <cell r="H1459">
            <v>44404</v>
          </cell>
          <cell r="I1459">
            <v>66.56</v>
          </cell>
        </row>
        <row r="1459">
          <cell r="K1459">
            <v>44404</v>
          </cell>
          <cell r="L1459">
            <v>141.29</v>
          </cell>
        </row>
        <row r="1459">
          <cell r="N1459">
            <v>44460</v>
          </cell>
          <cell r="O1459">
            <v>101.27</v>
          </cell>
        </row>
        <row r="1460">
          <cell r="B1460">
            <v>44461</v>
          </cell>
          <cell r="C1460">
            <v>107.3</v>
          </cell>
        </row>
        <row r="1460">
          <cell r="E1460">
            <v>44405</v>
          </cell>
          <cell r="F1460">
            <v>125.3</v>
          </cell>
        </row>
        <row r="1460">
          <cell r="H1460">
            <v>44405</v>
          </cell>
          <cell r="I1460">
            <v>66.14</v>
          </cell>
        </row>
        <row r="1460">
          <cell r="K1460">
            <v>44405</v>
          </cell>
          <cell r="L1460">
            <v>140.67</v>
          </cell>
        </row>
        <row r="1460">
          <cell r="N1460">
            <v>44461</v>
          </cell>
          <cell r="O1460">
            <v>101.31</v>
          </cell>
        </row>
        <row r="1461">
          <cell r="B1461">
            <v>44462</v>
          </cell>
          <cell r="C1461">
            <v>107.06</v>
          </cell>
        </row>
        <row r="1461">
          <cell r="E1461">
            <v>44406</v>
          </cell>
          <cell r="F1461">
            <v>125.51</v>
          </cell>
        </row>
        <row r="1461">
          <cell r="H1461">
            <v>44406</v>
          </cell>
          <cell r="I1461">
            <v>66.83</v>
          </cell>
        </row>
        <row r="1461">
          <cell r="K1461">
            <v>44406</v>
          </cell>
          <cell r="L1461">
            <v>141.45</v>
          </cell>
        </row>
        <row r="1461">
          <cell r="N1461">
            <v>44462</v>
          </cell>
          <cell r="O1461">
            <v>101.3</v>
          </cell>
        </row>
        <row r="1462">
          <cell r="B1462">
            <v>44463</v>
          </cell>
          <cell r="C1462">
            <v>107.45</v>
          </cell>
        </row>
        <row r="1462">
          <cell r="E1462">
            <v>44407</v>
          </cell>
          <cell r="F1462">
            <v>124.92</v>
          </cell>
        </row>
        <row r="1462">
          <cell r="H1462">
            <v>44407</v>
          </cell>
          <cell r="I1462">
            <v>66.81</v>
          </cell>
        </row>
        <row r="1462">
          <cell r="K1462">
            <v>44407</v>
          </cell>
          <cell r="L1462">
            <v>141.63</v>
          </cell>
        </row>
        <row r="1462">
          <cell r="N1462">
            <v>44463</v>
          </cell>
          <cell r="O1462">
            <v>101.71</v>
          </cell>
        </row>
        <row r="1463">
          <cell r="B1463">
            <v>44466</v>
          </cell>
          <cell r="C1463">
            <v>107</v>
          </cell>
        </row>
        <row r="1463">
          <cell r="E1463">
            <v>44410</v>
          </cell>
          <cell r="F1463">
            <v>124.41</v>
          </cell>
        </row>
        <row r="1463">
          <cell r="H1463">
            <v>44410</v>
          </cell>
          <cell r="I1463">
            <v>66.77</v>
          </cell>
        </row>
        <row r="1463">
          <cell r="K1463">
            <v>44410</v>
          </cell>
          <cell r="L1463">
            <v>142.17</v>
          </cell>
        </row>
        <row r="1463">
          <cell r="N1463">
            <v>44466</v>
          </cell>
          <cell r="O1463">
            <v>101.07</v>
          </cell>
        </row>
        <row r="1464">
          <cell r="B1464">
            <v>44467</v>
          </cell>
          <cell r="C1464">
            <v>106.67</v>
          </cell>
        </row>
        <row r="1464">
          <cell r="E1464">
            <v>44411</v>
          </cell>
          <cell r="F1464">
            <v>125.89</v>
          </cell>
        </row>
        <row r="1464">
          <cell r="H1464">
            <v>44411</v>
          </cell>
          <cell r="I1464">
            <v>67.09</v>
          </cell>
        </row>
        <row r="1464">
          <cell r="K1464">
            <v>44411</v>
          </cell>
          <cell r="L1464">
            <v>142.92</v>
          </cell>
        </row>
        <row r="1464">
          <cell r="N1464">
            <v>44467</v>
          </cell>
          <cell r="O1464">
            <v>101.07</v>
          </cell>
        </row>
        <row r="1465">
          <cell r="B1465">
            <v>44468</v>
          </cell>
          <cell r="C1465">
            <v>106.66</v>
          </cell>
        </row>
        <row r="1465">
          <cell r="E1465">
            <v>44412</v>
          </cell>
          <cell r="F1465">
            <v>125.25</v>
          </cell>
        </row>
        <row r="1465">
          <cell r="H1465">
            <v>44412</v>
          </cell>
          <cell r="I1465">
            <v>66.6</v>
          </cell>
        </row>
        <row r="1465">
          <cell r="K1465">
            <v>44412</v>
          </cell>
          <cell r="L1465">
            <v>143.39</v>
          </cell>
        </row>
        <row r="1465">
          <cell r="N1465">
            <v>44468</v>
          </cell>
          <cell r="O1465">
            <v>100.98</v>
          </cell>
        </row>
        <row r="1466">
          <cell r="B1466">
            <v>44469</v>
          </cell>
          <cell r="C1466">
            <v>106.8</v>
          </cell>
        </row>
        <row r="1466">
          <cell r="E1466">
            <v>44413</v>
          </cell>
          <cell r="F1466">
            <v>125.78</v>
          </cell>
        </row>
        <row r="1466">
          <cell r="H1466">
            <v>44413</v>
          </cell>
          <cell r="I1466">
            <v>66.03</v>
          </cell>
        </row>
        <row r="1466">
          <cell r="K1466">
            <v>44413</v>
          </cell>
          <cell r="L1466">
            <v>141.98</v>
          </cell>
        </row>
        <row r="1466">
          <cell r="N1466">
            <v>44469</v>
          </cell>
          <cell r="O1466">
            <v>100.78</v>
          </cell>
        </row>
        <row r="1467">
          <cell r="B1467">
            <v>44470</v>
          </cell>
          <cell r="C1467">
            <v>106.65</v>
          </cell>
        </row>
        <row r="1467">
          <cell r="E1467">
            <v>44414</v>
          </cell>
          <cell r="F1467">
            <v>126.74</v>
          </cell>
        </row>
        <row r="1467">
          <cell r="H1467">
            <v>44414</v>
          </cell>
          <cell r="I1467">
            <v>66.23</v>
          </cell>
        </row>
        <row r="1467">
          <cell r="K1467">
            <v>44414</v>
          </cell>
          <cell r="L1467">
            <v>141.53</v>
          </cell>
        </row>
        <row r="1467">
          <cell r="N1467">
            <v>44470</v>
          </cell>
          <cell r="O1467">
            <v>100.68</v>
          </cell>
        </row>
        <row r="1468">
          <cell r="B1468">
            <v>44473</v>
          </cell>
          <cell r="C1468">
            <v>106.3</v>
          </cell>
        </row>
        <row r="1468">
          <cell r="E1468">
            <v>44417</v>
          </cell>
          <cell r="F1468">
            <v>127.56</v>
          </cell>
        </row>
        <row r="1468">
          <cell r="H1468">
            <v>44417</v>
          </cell>
          <cell r="I1468">
            <v>66.38</v>
          </cell>
        </row>
        <row r="1468">
          <cell r="K1468">
            <v>44417</v>
          </cell>
          <cell r="L1468">
            <v>140.98</v>
          </cell>
        </row>
        <row r="1468">
          <cell r="N1468">
            <v>44473</v>
          </cell>
          <cell r="O1468">
            <v>100.62</v>
          </cell>
        </row>
        <row r="1469">
          <cell r="B1469">
            <v>44474</v>
          </cell>
          <cell r="C1469">
            <v>107.1</v>
          </cell>
        </row>
        <row r="1469">
          <cell r="E1469">
            <v>44418</v>
          </cell>
          <cell r="F1469">
            <v>129.04</v>
          </cell>
        </row>
        <row r="1469">
          <cell r="H1469">
            <v>44418</v>
          </cell>
          <cell r="I1469">
            <v>66.84</v>
          </cell>
        </row>
        <row r="1469">
          <cell r="K1469">
            <v>44418</v>
          </cell>
          <cell r="L1469">
            <v>140.11</v>
          </cell>
        </row>
        <row r="1469">
          <cell r="N1469">
            <v>44474</v>
          </cell>
          <cell r="O1469">
            <v>100.93</v>
          </cell>
        </row>
        <row r="1470">
          <cell r="B1470">
            <v>44475</v>
          </cell>
          <cell r="C1470">
            <v>107.67</v>
          </cell>
        </row>
        <row r="1470">
          <cell r="E1470">
            <v>44419</v>
          </cell>
          <cell r="F1470">
            <v>128.85</v>
          </cell>
        </row>
        <row r="1470">
          <cell r="H1470">
            <v>44419</v>
          </cell>
          <cell r="I1470">
            <v>67.15</v>
          </cell>
        </row>
        <row r="1470">
          <cell r="K1470">
            <v>44419</v>
          </cell>
          <cell r="L1470">
            <v>140.05</v>
          </cell>
        </row>
        <row r="1470">
          <cell r="N1470">
            <v>44475</v>
          </cell>
          <cell r="O1470">
            <v>101.35</v>
          </cell>
        </row>
        <row r="1471">
          <cell r="B1471">
            <v>44476</v>
          </cell>
          <cell r="C1471">
            <v>107.8</v>
          </cell>
        </row>
        <row r="1471">
          <cell r="E1471">
            <v>44420</v>
          </cell>
          <cell r="F1471">
            <v>129.14</v>
          </cell>
        </row>
        <row r="1471">
          <cell r="H1471">
            <v>44420</v>
          </cell>
          <cell r="I1471">
            <v>66.85</v>
          </cell>
        </row>
        <row r="1471">
          <cell r="K1471">
            <v>44420</v>
          </cell>
          <cell r="L1471">
            <v>139.9</v>
          </cell>
        </row>
        <row r="1471">
          <cell r="N1471">
            <v>44476</v>
          </cell>
          <cell r="O1471">
            <v>101.03</v>
          </cell>
        </row>
        <row r="1472">
          <cell r="B1472">
            <v>44477</v>
          </cell>
          <cell r="C1472">
            <v>107.87</v>
          </cell>
        </row>
        <row r="1472">
          <cell r="E1472">
            <v>44421</v>
          </cell>
          <cell r="F1472">
            <v>128.22</v>
          </cell>
        </row>
        <row r="1472">
          <cell r="H1472">
            <v>44421</v>
          </cell>
          <cell r="I1472">
            <v>66.83</v>
          </cell>
        </row>
        <row r="1472">
          <cell r="K1472">
            <v>44421</v>
          </cell>
          <cell r="L1472">
            <v>140.07</v>
          </cell>
        </row>
        <row r="1472">
          <cell r="N1472">
            <v>44477</v>
          </cell>
          <cell r="O1472">
            <v>102.03</v>
          </cell>
        </row>
        <row r="1473">
          <cell r="B1473">
            <v>44480</v>
          </cell>
          <cell r="C1473">
            <v>108.2</v>
          </cell>
        </row>
        <row r="1473">
          <cell r="E1473">
            <v>44424</v>
          </cell>
          <cell r="F1473">
            <v>128.35</v>
          </cell>
        </row>
        <row r="1473">
          <cell r="H1473">
            <v>44424</v>
          </cell>
          <cell r="I1473">
            <v>67.02</v>
          </cell>
        </row>
        <row r="1473">
          <cell r="K1473">
            <v>44424</v>
          </cell>
          <cell r="L1473">
            <v>141.73</v>
          </cell>
        </row>
        <row r="1473">
          <cell r="N1473">
            <v>44480</v>
          </cell>
          <cell r="O1473">
            <v>102.07</v>
          </cell>
        </row>
        <row r="1474">
          <cell r="B1474">
            <v>44481</v>
          </cell>
          <cell r="C1474">
            <v>108.06</v>
          </cell>
        </row>
        <row r="1474">
          <cell r="E1474">
            <v>44425</v>
          </cell>
          <cell r="F1474">
            <v>127.53</v>
          </cell>
        </row>
        <row r="1474">
          <cell r="H1474">
            <v>44425</v>
          </cell>
          <cell r="I1474">
            <v>66.67</v>
          </cell>
        </row>
        <row r="1474">
          <cell r="K1474">
            <v>44425</v>
          </cell>
          <cell r="L1474">
            <v>141.67</v>
          </cell>
        </row>
        <row r="1474">
          <cell r="N1474">
            <v>44481</v>
          </cell>
          <cell r="O1474">
            <v>101.66</v>
          </cell>
        </row>
        <row r="1475">
          <cell r="B1475">
            <v>44482</v>
          </cell>
          <cell r="C1475">
            <v>108.08</v>
          </cell>
        </row>
        <row r="1475">
          <cell r="E1475">
            <v>44426</v>
          </cell>
          <cell r="F1475">
            <v>127.5</v>
          </cell>
        </row>
        <row r="1475">
          <cell r="H1475">
            <v>44426</v>
          </cell>
          <cell r="I1475">
            <v>66.48</v>
          </cell>
        </row>
        <row r="1475">
          <cell r="K1475">
            <v>44426</v>
          </cell>
          <cell r="L1475">
            <v>141.43</v>
          </cell>
        </row>
        <row r="1475">
          <cell r="N1475">
            <v>44482</v>
          </cell>
          <cell r="O1475">
            <v>101.35</v>
          </cell>
        </row>
        <row r="1476">
          <cell r="B1476">
            <v>44483</v>
          </cell>
          <cell r="C1476">
            <v>107.95</v>
          </cell>
        </row>
        <row r="1476">
          <cell r="E1476">
            <v>44427</v>
          </cell>
          <cell r="F1476">
            <v>126.61</v>
          </cell>
        </row>
        <row r="1476">
          <cell r="H1476">
            <v>44427</v>
          </cell>
          <cell r="I1476">
            <v>65.66</v>
          </cell>
        </row>
        <row r="1476">
          <cell r="K1476">
            <v>44427</v>
          </cell>
          <cell r="L1476">
            <v>143.31</v>
          </cell>
        </row>
        <row r="1476">
          <cell r="N1476">
            <v>44483</v>
          </cell>
          <cell r="O1476">
            <v>101.69</v>
          </cell>
        </row>
        <row r="1477">
          <cell r="B1477">
            <v>44484</v>
          </cell>
          <cell r="C1477">
            <v>108.43</v>
          </cell>
        </row>
        <row r="1477">
          <cell r="E1477">
            <v>44428</v>
          </cell>
          <cell r="F1477">
            <v>126.82</v>
          </cell>
        </row>
        <row r="1477">
          <cell r="H1477">
            <v>44428</v>
          </cell>
          <cell r="I1477">
            <v>65.41</v>
          </cell>
        </row>
        <row r="1477">
          <cell r="K1477">
            <v>44428</v>
          </cell>
          <cell r="L1477">
            <v>143.2</v>
          </cell>
        </row>
        <row r="1477">
          <cell r="N1477">
            <v>44484</v>
          </cell>
          <cell r="O1477">
            <v>102.51</v>
          </cell>
        </row>
        <row r="1478">
          <cell r="B1478">
            <v>44487</v>
          </cell>
          <cell r="C1478">
            <v>108.23</v>
          </cell>
        </row>
        <row r="1478">
          <cell r="E1478">
            <v>44431</v>
          </cell>
          <cell r="F1478">
            <v>126.34</v>
          </cell>
        </row>
        <row r="1478">
          <cell r="H1478">
            <v>44431</v>
          </cell>
          <cell r="I1478">
            <v>65.46</v>
          </cell>
        </row>
        <row r="1478">
          <cell r="K1478">
            <v>44431</v>
          </cell>
          <cell r="L1478">
            <v>141.86</v>
          </cell>
        </row>
        <row r="1478">
          <cell r="N1478">
            <v>44487</v>
          </cell>
          <cell r="O1478">
            <v>102.52</v>
          </cell>
        </row>
        <row r="1479">
          <cell r="B1479">
            <v>44488</v>
          </cell>
          <cell r="C1479">
            <v>108.85</v>
          </cell>
        </row>
        <row r="1479">
          <cell r="E1479">
            <v>44432</v>
          </cell>
          <cell r="F1479">
            <v>126.17</v>
          </cell>
        </row>
        <row r="1479">
          <cell r="H1479">
            <v>44432</v>
          </cell>
          <cell r="I1479">
            <v>65.15</v>
          </cell>
        </row>
        <row r="1479">
          <cell r="K1479">
            <v>44432</v>
          </cell>
          <cell r="L1479">
            <v>140.95</v>
          </cell>
        </row>
        <row r="1479">
          <cell r="N1479">
            <v>44488</v>
          </cell>
          <cell r="O1479">
            <v>102.87</v>
          </cell>
        </row>
        <row r="1480">
          <cell r="B1480">
            <v>44489</v>
          </cell>
          <cell r="C1480">
            <v>108.94</v>
          </cell>
        </row>
        <row r="1480">
          <cell r="E1480">
            <v>44433</v>
          </cell>
          <cell r="F1480">
            <v>126.85</v>
          </cell>
        </row>
        <row r="1480">
          <cell r="H1480">
            <v>44433</v>
          </cell>
          <cell r="I1480">
            <v>65.07</v>
          </cell>
        </row>
        <row r="1480">
          <cell r="K1480">
            <v>44433</v>
          </cell>
          <cell r="L1480">
            <v>141.33</v>
          </cell>
        </row>
        <row r="1480">
          <cell r="N1480">
            <v>44489</v>
          </cell>
          <cell r="O1480">
            <v>103.01</v>
          </cell>
        </row>
        <row r="1481">
          <cell r="B1481">
            <v>44490</v>
          </cell>
          <cell r="C1481">
            <v>109.07</v>
          </cell>
        </row>
        <row r="1481">
          <cell r="E1481">
            <v>44434</v>
          </cell>
          <cell r="F1481">
            <v>127.24</v>
          </cell>
        </row>
        <row r="1481">
          <cell r="H1481">
            <v>44434</v>
          </cell>
          <cell r="I1481">
            <v>64.97</v>
          </cell>
        </row>
        <row r="1481">
          <cell r="K1481">
            <v>44434</v>
          </cell>
          <cell r="L1481">
            <v>141.76</v>
          </cell>
        </row>
        <row r="1481">
          <cell r="N1481">
            <v>44490</v>
          </cell>
          <cell r="O1481">
            <v>103.08</v>
          </cell>
        </row>
        <row r="1482">
          <cell r="B1482">
            <v>44491</v>
          </cell>
          <cell r="C1482">
            <v>108.72</v>
          </cell>
        </row>
        <row r="1482">
          <cell r="E1482">
            <v>44435</v>
          </cell>
          <cell r="F1482">
            <v>127.02</v>
          </cell>
        </row>
        <row r="1482">
          <cell r="H1482">
            <v>44435</v>
          </cell>
          <cell r="I1482">
            <v>64.88</v>
          </cell>
        </row>
        <row r="1482">
          <cell r="K1482">
            <v>44435</v>
          </cell>
          <cell r="L1482">
            <v>141.49</v>
          </cell>
        </row>
        <row r="1482">
          <cell r="N1482">
            <v>44491</v>
          </cell>
          <cell r="O1482">
            <v>103.36</v>
          </cell>
        </row>
        <row r="1483">
          <cell r="B1483">
            <v>44494</v>
          </cell>
          <cell r="C1483">
            <v>109.2</v>
          </cell>
        </row>
        <row r="1483">
          <cell r="E1483">
            <v>44438</v>
          </cell>
          <cell r="F1483">
            <v>127.08</v>
          </cell>
        </row>
        <row r="1483">
          <cell r="H1483">
            <v>44438</v>
          </cell>
          <cell r="I1483">
            <v>64.57</v>
          </cell>
        </row>
        <row r="1483">
          <cell r="K1483">
            <v>44438</v>
          </cell>
          <cell r="L1483">
            <v>142.31</v>
          </cell>
        </row>
        <row r="1483">
          <cell r="N1483">
            <v>44494</v>
          </cell>
          <cell r="O1483">
            <v>103.21</v>
          </cell>
        </row>
        <row r="1484">
          <cell r="B1484">
            <v>44495</v>
          </cell>
          <cell r="C1484">
            <v>109.22</v>
          </cell>
        </row>
        <row r="1484">
          <cell r="E1484">
            <v>44439</v>
          </cell>
          <cell r="F1484">
            <v>126.69</v>
          </cell>
        </row>
        <row r="1484">
          <cell r="H1484">
            <v>44439</v>
          </cell>
          <cell r="I1484">
            <v>64.67</v>
          </cell>
        </row>
        <row r="1484">
          <cell r="K1484">
            <v>44439</v>
          </cell>
          <cell r="L1484">
            <v>141.58</v>
          </cell>
        </row>
        <row r="1484">
          <cell r="N1484">
            <v>44495</v>
          </cell>
          <cell r="O1484">
            <v>103.69</v>
          </cell>
        </row>
        <row r="1485">
          <cell r="B1485">
            <v>44496</v>
          </cell>
          <cell r="C1485">
            <v>109.5</v>
          </cell>
        </row>
        <row r="1485">
          <cell r="E1485">
            <v>44440</v>
          </cell>
          <cell r="F1485">
            <v>126.83</v>
          </cell>
        </row>
        <row r="1485">
          <cell r="H1485">
            <v>44440</v>
          </cell>
          <cell r="I1485">
            <v>63.96</v>
          </cell>
        </row>
        <row r="1485">
          <cell r="K1485">
            <v>44440</v>
          </cell>
          <cell r="L1485">
            <v>141.2</v>
          </cell>
        </row>
        <row r="1485">
          <cell r="N1485">
            <v>44496</v>
          </cell>
          <cell r="O1485">
            <v>104.37</v>
          </cell>
        </row>
        <row r="1486">
          <cell r="B1486">
            <v>44497</v>
          </cell>
          <cell r="C1486">
            <v>109.88</v>
          </cell>
        </row>
        <row r="1486">
          <cell r="E1486">
            <v>44441</v>
          </cell>
          <cell r="F1486">
            <v>127.19</v>
          </cell>
        </row>
        <row r="1486">
          <cell r="H1486">
            <v>44441</v>
          </cell>
          <cell r="I1486">
            <v>64.19</v>
          </cell>
        </row>
        <row r="1486">
          <cell r="K1486">
            <v>44441</v>
          </cell>
          <cell r="L1486">
            <v>141.27</v>
          </cell>
        </row>
        <row r="1486">
          <cell r="N1486">
            <v>44497</v>
          </cell>
          <cell r="O1486">
            <v>103.47</v>
          </cell>
        </row>
        <row r="1487">
          <cell r="B1487">
            <v>44498</v>
          </cell>
          <cell r="C1487">
            <v>109.78</v>
          </cell>
        </row>
        <row r="1487">
          <cell r="E1487">
            <v>44442</v>
          </cell>
          <cell r="F1487">
            <v>127.05</v>
          </cell>
        </row>
        <row r="1487">
          <cell r="H1487">
            <v>44442</v>
          </cell>
          <cell r="I1487">
            <v>64.03</v>
          </cell>
        </row>
        <row r="1487">
          <cell r="K1487">
            <v>44442</v>
          </cell>
          <cell r="L1487">
            <v>141.92</v>
          </cell>
        </row>
        <row r="1487">
          <cell r="N1487">
            <v>44498</v>
          </cell>
          <cell r="O1487">
            <v>103.38</v>
          </cell>
        </row>
        <row r="1488">
          <cell r="B1488">
            <v>44501</v>
          </cell>
          <cell r="C1488">
            <v>110.03</v>
          </cell>
        </row>
        <row r="1488">
          <cell r="E1488">
            <v>44445</v>
          </cell>
          <cell r="F1488">
            <v>127.05</v>
          </cell>
        </row>
        <row r="1488">
          <cell r="H1488">
            <v>44445</v>
          </cell>
          <cell r="I1488">
            <v>64.01</v>
          </cell>
        </row>
        <row r="1488">
          <cell r="K1488">
            <v>44445</v>
          </cell>
          <cell r="L1488">
            <v>141.97</v>
          </cell>
        </row>
        <row r="1488">
          <cell r="N1488">
            <v>44501</v>
          </cell>
          <cell r="O1488">
            <v>101.81</v>
          </cell>
        </row>
        <row r="1489">
          <cell r="B1489">
            <v>44502</v>
          </cell>
          <cell r="C1489">
            <v>109.86</v>
          </cell>
        </row>
        <row r="1489">
          <cell r="E1489">
            <v>44446</v>
          </cell>
          <cell r="F1489">
            <v>127.46</v>
          </cell>
        </row>
        <row r="1489">
          <cell r="H1489">
            <v>44446</v>
          </cell>
          <cell r="I1489">
            <v>63.78</v>
          </cell>
        </row>
        <row r="1489">
          <cell r="K1489">
            <v>44446</v>
          </cell>
          <cell r="L1489">
            <v>140.69</v>
          </cell>
        </row>
        <row r="1489">
          <cell r="N1489">
            <v>44502</v>
          </cell>
          <cell r="O1489">
            <v>102.01</v>
          </cell>
        </row>
        <row r="1490">
          <cell r="B1490">
            <v>44503</v>
          </cell>
          <cell r="C1490">
            <v>108.22</v>
          </cell>
        </row>
        <row r="1490">
          <cell r="E1490">
            <v>44447</v>
          </cell>
          <cell r="F1490">
            <v>127.18</v>
          </cell>
        </row>
        <row r="1490">
          <cell r="H1490">
            <v>44447</v>
          </cell>
          <cell r="I1490">
            <v>63.58</v>
          </cell>
        </row>
        <row r="1490">
          <cell r="K1490">
            <v>44447</v>
          </cell>
          <cell r="L1490">
            <v>141.04</v>
          </cell>
        </row>
        <row r="1490">
          <cell r="N1490">
            <v>44503</v>
          </cell>
          <cell r="O1490">
            <v>100.84</v>
          </cell>
        </row>
        <row r="1491">
          <cell r="B1491">
            <v>44504</v>
          </cell>
          <cell r="C1491">
            <v>108.27</v>
          </cell>
        </row>
        <row r="1491">
          <cell r="E1491">
            <v>44448</v>
          </cell>
          <cell r="F1491">
            <v>127.84</v>
          </cell>
        </row>
        <row r="1491">
          <cell r="H1491">
            <v>44448</v>
          </cell>
          <cell r="I1491">
            <v>63.57</v>
          </cell>
        </row>
        <row r="1491">
          <cell r="K1491">
            <v>44448</v>
          </cell>
          <cell r="L1491">
            <v>140.79</v>
          </cell>
        </row>
        <row r="1491">
          <cell r="N1491">
            <v>44504</v>
          </cell>
          <cell r="O1491">
            <v>101.09</v>
          </cell>
        </row>
        <row r="1492">
          <cell r="B1492">
            <v>44505</v>
          </cell>
          <cell r="C1492">
            <v>107.13</v>
          </cell>
        </row>
        <row r="1492">
          <cell r="E1492">
            <v>44449</v>
          </cell>
          <cell r="F1492">
            <v>128.3</v>
          </cell>
        </row>
        <row r="1492">
          <cell r="H1492">
            <v>44449</v>
          </cell>
          <cell r="I1492">
            <v>63.59</v>
          </cell>
        </row>
        <row r="1492">
          <cell r="K1492">
            <v>44449</v>
          </cell>
          <cell r="L1492">
            <v>141.58</v>
          </cell>
        </row>
        <row r="1492">
          <cell r="N1492">
            <v>44505</v>
          </cell>
          <cell r="O1492">
            <v>100.87</v>
          </cell>
        </row>
        <row r="1493">
          <cell r="B1493">
            <v>44508</v>
          </cell>
          <cell r="C1493">
            <v>107.38</v>
          </cell>
        </row>
        <row r="1493">
          <cell r="E1493">
            <v>44452</v>
          </cell>
          <cell r="F1493">
            <v>127.15</v>
          </cell>
        </row>
        <row r="1493">
          <cell r="H1493">
            <v>44452</v>
          </cell>
          <cell r="I1493">
            <v>64.28</v>
          </cell>
        </row>
        <row r="1493">
          <cell r="K1493">
            <v>44452</v>
          </cell>
          <cell r="L1493">
            <v>141.14</v>
          </cell>
        </row>
        <row r="1493">
          <cell r="N1493">
            <v>44508</v>
          </cell>
          <cell r="O1493">
            <v>100.9</v>
          </cell>
        </row>
        <row r="1494">
          <cell r="B1494">
            <v>44509</v>
          </cell>
          <cell r="C1494">
            <v>107.51</v>
          </cell>
        </row>
        <row r="1494">
          <cell r="E1494">
            <v>44453</v>
          </cell>
          <cell r="F1494">
            <v>127.34</v>
          </cell>
        </row>
        <row r="1494">
          <cell r="H1494">
            <v>44453</v>
          </cell>
          <cell r="I1494">
            <v>63.84</v>
          </cell>
        </row>
        <row r="1494">
          <cell r="K1494">
            <v>44453</v>
          </cell>
          <cell r="L1494">
            <v>141.8</v>
          </cell>
        </row>
        <row r="1494">
          <cell r="N1494">
            <v>44509</v>
          </cell>
          <cell r="O1494">
            <v>101.22</v>
          </cell>
        </row>
        <row r="1495">
          <cell r="B1495">
            <v>44510</v>
          </cell>
          <cell r="C1495">
            <v>107.31</v>
          </cell>
        </row>
        <row r="1495">
          <cell r="E1495">
            <v>44454</v>
          </cell>
          <cell r="F1495">
            <v>128.29</v>
          </cell>
        </row>
        <row r="1495">
          <cell r="H1495">
            <v>44454</v>
          </cell>
          <cell r="I1495">
            <v>64.43</v>
          </cell>
        </row>
        <row r="1495">
          <cell r="K1495">
            <v>44454</v>
          </cell>
          <cell r="L1495">
            <v>142.31</v>
          </cell>
        </row>
        <row r="1495">
          <cell r="N1495">
            <v>44510</v>
          </cell>
          <cell r="O1495">
            <v>101.4</v>
          </cell>
        </row>
        <row r="1496">
          <cell r="B1496">
            <v>44511</v>
          </cell>
          <cell r="C1496">
            <v>107.75</v>
          </cell>
        </row>
        <row r="1496">
          <cell r="E1496">
            <v>44455</v>
          </cell>
          <cell r="F1496">
            <v>128.77</v>
          </cell>
        </row>
        <row r="1496">
          <cell r="H1496">
            <v>44455</v>
          </cell>
          <cell r="I1496">
            <v>64.02</v>
          </cell>
        </row>
        <row r="1496">
          <cell r="K1496">
            <v>44455</v>
          </cell>
          <cell r="L1496">
            <v>142.32</v>
          </cell>
        </row>
        <row r="1496">
          <cell r="N1496">
            <v>44511</v>
          </cell>
          <cell r="O1496">
            <v>100.89</v>
          </cell>
        </row>
        <row r="1497">
          <cell r="B1497">
            <v>44512</v>
          </cell>
          <cell r="C1497">
            <v>108.16</v>
          </cell>
        </row>
        <row r="1497">
          <cell r="E1497">
            <v>44456</v>
          </cell>
          <cell r="F1497">
            <v>128.07</v>
          </cell>
        </row>
        <row r="1497">
          <cell r="H1497">
            <v>44456</v>
          </cell>
          <cell r="I1497">
            <v>64.1</v>
          </cell>
        </row>
        <row r="1497">
          <cell r="K1497">
            <v>44456</v>
          </cell>
          <cell r="L1497">
            <v>141.81</v>
          </cell>
        </row>
        <row r="1497">
          <cell r="N1497">
            <v>44512</v>
          </cell>
          <cell r="O1497">
            <v>101.16</v>
          </cell>
        </row>
        <row r="1498">
          <cell r="B1498">
            <v>44515</v>
          </cell>
          <cell r="C1498">
            <v>107.63</v>
          </cell>
        </row>
        <row r="1498">
          <cell r="E1498">
            <v>44459</v>
          </cell>
          <cell r="F1498">
            <v>127.43</v>
          </cell>
        </row>
        <row r="1498">
          <cell r="H1498">
            <v>44459</v>
          </cell>
          <cell r="I1498">
            <v>63.75</v>
          </cell>
        </row>
        <row r="1498">
          <cell r="K1498">
            <v>44459</v>
          </cell>
          <cell r="L1498">
            <v>141.78</v>
          </cell>
        </row>
        <row r="1498">
          <cell r="N1498">
            <v>44515</v>
          </cell>
          <cell r="O1498">
            <v>101.52</v>
          </cell>
        </row>
        <row r="1499">
          <cell r="B1499">
            <v>44516</v>
          </cell>
          <cell r="C1499">
            <v>107.86</v>
          </cell>
        </row>
        <row r="1499">
          <cell r="E1499">
            <v>44460</v>
          </cell>
          <cell r="F1499">
            <v>128.05</v>
          </cell>
        </row>
        <row r="1499">
          <cell r="H1499">
            <v>44460</v>
          </cell>
          <cell r="I1499">
            <v>63.5</v>
          </cell>
        </row>
        <row r="1499">
          <cell r="K1499">
            <v>44460</v>
          </cell>
          <cell r="L1499">
            <v>141.98</v>
          </cell>
        </row>
        <row r="1499">
          <cell r="N1499">
            <v>44516</v>
          </cell>
          <cell r="O1499">
            <v>101.9</v>
          </cell>
        </row>
        <row r="1500">
          <cell r="B1500">
            <v>44517</v>
          </cell>
          <cell r="C1500">
            <v>107.44</v>
          </cell>
        </row>
        <row r="1500">
          <cell r="E1500">
            <v>44461</v>
          </cell>
          <cell r="F1500">
            <v>128.66</v>
          </cell>
        </row>
        <row r="1500">
          <cell r="H1500">
            <v>44461</v>
          </cell>
          <cell r="I1500">
            <v>63.4</v>
          </cell>
        </row>
        <row r="1500">
          <cell r="K1500">
            <v>44461</v>
          </cell>
          <cell r="L1500">
            <v>141.4</v>
          </cell>
        </row>
        <row r="1500">
          <cell r="N1500">
            <v>44517</v>
          </cell>
          <cell r="O1500">
            <v>102.47</v>
          </cell>
        </row>
        <row r="1501">
          <cell r="B1501">
            <v>44518</v>
          </cell>
          <cell r="C1501">
            <v>107.28</v>
          </cell>
        </row>
        <row r="1501">
          <cell r="E1501">
            <v>44462</v>
          </cell>
          <cell r="F1501">
            <v>129.71</v>
          </cell>
        </row>
        <row r="1501">
          <cell r="H1501">
            <v>44462</v>
          </cell>
          <cell r="I1501">
            <v>63.4</v>
          </cell>
        </row>
        <row r="1501">
          <cell r="K1501">
            <v>44462</v>
          </cell>
          <cell r="L1501">
            <v>141.89</v>
          </cell>
        </row>
        <row r="1501">
          <cell r="N1501">
            <v>44518</v>
          </cell>
          <cell r="O1501">
            <v>103.29</v>
          </cell>
        </row>
        <row r="1502">
          <cell r="B1502">
            <v>44519</v>
          </cell>
          <cell r="C1502">
            <v>106.94</v>
          </cell>
        </row>
        <row r="1502">
          <cell r="E1502">
            <v>44463</v>
          </cell>
          <cell r="F1502">
            <v>129.75</v>
          </cell>
        </row>
        <row r="1502">
          <cell r="H1502">
            <v>44463</v>
          </cell>
          <cell r="I1502">
            <v>63.63</v>
          </cell>
        </row>
        <row r="1502">
          <cell r="K1502">
            <v>44463</v>
          </cell>
          <cell r="L1502">
            <v>142.5</v>
          </cell>
        </row>
        <row r="1502">
          <cell r="N1502">
            <v>44519</v>
          </cell>
          <cell r="O1502">
            <v>103.35</v>
          </cell>
        </row>
        <row r="1503">
          <cell r="B1503">
            <v>44522</v>
          </cell>
          <cell r="C1503">
            <v>106.32</v>
          </cell>
        </row>
        <row r="1503">
          <cell r="E1503">
            <v>44466</v>
          </cell>
          <cell r="F1503">
            <v>128.26</v>
          </cell>
        </row>
        <row r="1503">
          <cell r="H1503">
            <v>44466</v>
          </cell>
          <cell r="I1503">
            <v>64.83</v>
          </cell>
        </row>
        <row r="1503">
          <cell r="K1503">
            <v>44466</v>
          </cell>
          <cell r="L1503">
            <v>141.6</v>
          </cell>
        </row>
        <row r="1503">
          <cell r="N1503">
            <v>44522</v>
          </cell>
          <cell r="O1503">
            <v>103.64</v>
          </cell>
        </row>
        <row r="1504">
          <cell r="B1504">
            <v>44523</v>
          </cell>
          <cell r="C1504">
            <v>106.31</v>
          </cell>
        </row>
        <row r="1504">
          <cell r="E1504">
            <v>44467</v>
          </cell>
          <cell r="F1504">
            <v>127.33</v>
          </cell>
        </row>
        <row r="1504">
          <cell r="H1504">
            <v>44467</v>
          </cell>
          <cell r="I1504">
            <v>65.52</v>
          </cell>
        </row>
        <row r="1504">
          <cell r="K1504">
            <v>44467</v>
          </cell>
          <cell r="L1504">
            <v>140.92</v>
          </cell>
        </row>
        <row r="1504">
          <cell r="N1504">
            <v>44523</v>
          </cell>
          <cell r="O1504">
            <v>104.2</v>
          </cell>
        </row>
        <row r="1505">
          <cell r="B1505">
            <v>44524</v>
          </cell>
          <cell r="C1505">
            <v>106.48</v>
          </cell>
        </row>
        <row r="1505">
          <cell r="E1505">
            <v>44468</v>
          </cell>
          <cell r="F1505">
            <v>127.65</v>
          </cell>
        </row>
        <row r="1505">
          <cell r="H1505">
            <v>44468</v>
          </cell>
          <cell r="I1505">
            <v>65.49</v>
          </cell>
        </row>
        <row r="1505">
          <cell r="K1505">
            <v>44468</v>
          </cell>
          <cell r="L1505">
            <v>141.25</v>
          </cell>
        </row>
        <row r="1505">
          <cell r="N1505">
            <v>44524</v>
          </cell>
          <cell r="O1505">
            <v>104.13</v>
          </cell>
        </row>
        <row r="1506">
          <cell r="B1506">
            <v>44525</v>
          </cell>
          <cell r="C1506">
            <v>106.47</v>
          </cell>
        </row>
        <row r="1506">
          <cell r="E1506">
            <v>44469</v>
          </cell>
          <cell r="F1506">
            <v>126.29</v>
          </cell>
        </row>
        <row r="1506">
          <cell r="H1506">
            <v>44469</v>
          </cell>
          <cell r="I1506">
            <v>64.97</v>
          </cell>
        </row>
        <row r="1506">
          <cell r="K1506">
            <v>44469</v>
          </cell>
          <cell r="L1506">
            <v>140.49</v>
          </cell>
        </row>
        <row r="1506">
          <cell r="N1506">
            <v>44525</v>
          </cell>
          <cell r="O1506">
            <v>104.14</v>
          </cell>
        </row>
        <row r="1507">
          <cell r="B1507">
            <v>44526</v>
          </cell>
          <cell r="C1507">
            <v>106.54</v>
          </cell>
        </row>
        <row r="1507">
          <cell r="E1507">
            <v>44470</v>
          </cell>
          <cell r="F1507">
            <v>126</v>
          </cell>
        </row>
        <row r="1507">
          <cell r="H1507">
            <v>44470</v>
          </cell>
          <cell r="I1507">
            <v>64.43</v>
          </cell>
        </row>
        <row r="1507">
          <cell r="K1507">
            <v>44470</v>
          </cell>
          <cell r="L1507">
            <v>140.07</v>
          </cell>
        </row>
        <row r="1507">
          <cell r="N1507">
            <v>44526</v>
          </cell>
          <cell r="O1507">
            <v>104.68</v>
          </cell>
        </row>
        <row r="1508">
          <cell r="B1508">
            <v>44529</v>
          </cell>
          <cell r="C1508">
            <v>106.32</v>
          </cell>
        </row>
        <row r="1508">
          <cell r="E1508">
            <v>44473</v>
          </cell>
          <cell r="F1508">
            <v>126.08</v>
          </cell>
        </row>
        <row r="1508">
          <cell r="H1508">
            <v>44473</v>
          </cell>
          <cell r="I1508">
            <v>65.31</v>
          </cell>
        </row>
        <row r="1508">
          <cell r="K1508">
            <v>44473</v>
          </cell>
          <cell r="L1508">
            <v>139.42</v>
          </cell>
        </row>
        <row r="1508">
          <cell r="N1508">
            <v>44529</v>
          </cell>
          <cell r="O1508">
            <v>106.02</v>
          </cell>
        </row>
        <row r="1509">
          <cell r="B1509">
            <v>44530</v>
          </cell>
          <cell r="C1509">
            <v>106.75</v>
          </cell>
        </row>
        <row r="1509">
          <cell r="E1509">
            <v>44474</v>
          </cell>
          <cell r="F1509">
            <v>126.78</v>
          </cell>
        </row>
        <row r="1509">
          <cell r="H1509">
            <v>44474</v>
          </cell>
          <cell r="I1509">
            <v>65.31</v>
          </cell>
        </row>
        <row r="1509">
          <cell r="K1509">
            <v>44474</v>
          </cell>
          <cell r="L1509">
            <v>140.58</v>
          </cell>
        </row>
        <row r="1509">
          <cell r="N1509">
            <v>44530</v>
          </cell>
          <cell r="O1509">
            <v>105.49</v>
          </cell>
        </row>
        <row r="1510">
          <cell r="B1510">
            <v>44531</v>
          </cell>
          <cell r="C1510">
            <v>106.75</v>
          </cell>
        </row>
        <row r="1510">
          <cell r="E1510">
            <v>44475</v>
          </cell>
          <cell r="F1510">
            <v>125.85</v>
          </cell>
        </row>
        <row r="1510">
          <cell r="H1510">
            <v>44475</v>
          </cell>
          <cell r="I1510">
            <v>64.94</v>
          </cell>
        </row>
        <row r="1510">
          <cell r="K1510">
            <v>44475</v>
          </cell>
          <cell r="L1510">
            <v>140.41</v>
          </cell>
        </row>
        <row r="1510">
          <cell r="N1510">
            <v>44531</v>
          </cell>
          <cell r="O1510">
            <v>106.02</v>
          </cell>
        </row>
        <row r="1511">
          <cell r="B1511">
            <v>44532</v>
          </cell>
          <cell r="C1511">
            <v>106.36</v>
          </cell>
        </row>
        <row r="1511">
          <cell r="E1511">
            <v>44476</v>
          </cell>
          <cell r="F1511">
            <v>125.77</v>
          </cell>
        </row>
        <row r="1511">
          <cell r="H1511">
            <v>44476</v>
          </cell>
          <cell r="I1511">
            <v>65.23</v>
          </cell>
        </row>
        <row r="1511">
          <cell r="K1511">
            <v>44476</v>
          </cell>
          <cell r="L1511">
            <v>140.37</v>
          </cell>
        </row>
        <row r="1511">
          <cell r="N1511">
            <v>44532</v>
          </cell>
          <cell r="O1511">
            <v>105.69</v>
          </cell>
        </row>
        <row r="1512">
          <cell r="B1512">
            <v>44533</v>
          </cell>
          <cell r="C1512">
            <v>106.25</v>
          </cell>
        </row>
        <row r="1512">
          <cell r="E1512">
            <v>44477</v>
          </cell>
          <cell r="F1512">
            <v>125</v>
          </cell>
        </row>
        <row r="1512">
          <cell r="H1512">
            <v>44477</v>
          </cell>
          <cell r="I1512">
            <v>65.74</v>
          </cell>
        </row>
        <row r="1512">
          <cell r="K1512">
            <v>44477</v>
          </cell>
          <cell r="L1512">
            <v>140.59</v>
          </cell>
        </row>
        <row r="1512">
          <cell r="N1512">
            <v>44533</v>
          </cell>
          <cell r="O1512">
            <v>106.81</v>
          </cell>
        </row>
        <row r="1513">
          <cell r="B1513">
            <v>44536</v>
          </cell>
          <cell r="C1513">
            <v>106.28</v>
          </cell>
        </row>
        <row r="1513">
          <cell r="E1513">
            <v>44480</v>
          </cell>
          <cell r="F1513">
            <v>125.16</v>
          </cell>
        </row>
        <row r="1513">
          <cell r="H1513">
            <v>44480</v>
          </cell>
          <cell r="I1513">
            <v>65.82</v>
          </cell>
        </row>
        <row r="1513">
          <cell r="K1513">
            <v>44480</v>
          </cell>
          <cell r="L1513">
            <v>140.49</v>
          </cell>
        </row>
        <row r="1513">
          <cell r="N1513">
            <v>44536</v>
          </cell>
          <cell r="O1513">
            <v>106.14</v>
          </cell>
        </row>
        <row r="1514">
          <cell r="B1514">
            <v>44537</v>
          </cell>
          <cell r="C1514">
            <v>106.25</v>
          </cell>
        </row>
        <row r="1514">
          <cell r="E1514">
            <v>44481</v>
          </cell>
          <cell r="F1514">
            <v>124.63</v>
          </cell>
        </row>
        <row r="1514">
          <cell r="H1514">
            <v>44481</v>
          </cell>
          <cell r="I1514">
            <v>65.23</v>
          </cell>
        </row>
        <row r="1514">
          <cell r="K1514">
            <v>44481</v>
          </cell>
          <cell r="L1514">
            <v>139.36</v>
          </cell>
        </row>
        <row r="1514">
          <cell r="N1514">
            <v>44537</v>
          </cell>
          <cell r="O1514">
            <v>106.47</v>
          </cell>
        </row>
        <row r="1515">
          <cell r="B1515">
            <v>44538</v>
          </cell>
          <cell r="C1515">
            <v>105.99</v>
          </cell>
        </row>
        <row r="1515">
          <cell r="E1515">
            <v>44482</v>
          </cell>
          <cell r="F1515">
            <v>123.68</v>
          </cell>
        </row>
        <row r="1515">
          <cell r="H1515">
            <v>44482</v>
          </cell>
          <cell r="I1515">
            <v>64.85</v>
          </cell>
        </row>
        <row r="1515">
          <cell r="K1515">
            <v>44482</v>
          </cell>
          <cell r="L1515">
            <v>139.43</v>
          </cell>
        </row>
        <row r="1515">
          <cell r="N1515">
            <v>44538</v>
          </cell>
          <cell r="O1515">
            <v>105.93</v>
          </cell>
        </row>
        <row r="1516">
          <cell r="B1516">
            <v>44539</v>
          </cell>
          <cell r="C1516">
            <v>106.14</v>
          </cell>
        </row>
        <row r="1516">
          <cell r="E1516">
            <v>44483</v>
          </cell>
          <cell r="F1516">
            <v>123.92</v>
          </cell>
        </row>
        <row r="1516">
          <cell r="H1516">
            <v>44483</v>
          </cell>
          <cell r="I1516">
            <v>65.09</v>
          </cell>
        </row>
        <row r="1516">
          <cell r="K1516">
            <v>44483</v>
          </cell>
          <cell r="L1516">
            <v>140.31</v>
          </cell>
        </row>
        <row r="1516">
          <cell r="N1516">
            <v>44539</v>
          </cell>
          <cell r="O1516">
            <v>106.99</v>
          </cell>
        </row>
        <row r="1517">
          <cell r="B1517">
            <v>44540</v>
          </cell>
          <cell r="C1517">
            <v>106.09</v>
          </cell>
        </row>
        <row r="1517">
          <cell r="E1517">
            <v>44484</v>
          </cell>
          <cell r="F1517">
            <v>123.82</v>
          </cell>
        </row>
        <row r="1517">
          <cell r="H1517">
            <v>44484</v>
          </cell>
          <cell r="I1517">
            <v>65.07</v>
          </cell>
        </row>
        <row r="1517">
          <cell r="K1517">
            <v>44484</v>
          </cell>
          <cell r="L1517">
            <v>140.96</v>
          </cell>
        </row>
        <row r="1517">
          <cell r="N1517">
            <v>44540</v>
          </cell>
          <cell r="O1517">
            <v>108.17</v>
          </cell>
        </row>
        <row r="1518">
          <cell r="B1518">
            <v>44543</v>
          </cell>
          <cell r="C1518">
            <v>106.92</v>
          </cell>
        </row>
        <row r="1518">
          <cell r="E1518">
            <v>44487</v>
          </cell>
          <cell r="F1518">
            <v>125.26</v>
          </cell>
        </row>
        <row r="1518">
          <cell r="H1518">
            <v>44487</v>
          </cell>
          <cell r="I1518">
            <v>64.66</v>
          </cell>
        </row>
        <row r="1518">
          <cell r="K1518">
            <v>44487</v>
          </cell>
          <cell r="L1518">
            <v>141.65</v>
          </cell>
        </row>
        <row r="1518">
          <cell r="N1518">
            <v>44543</v>
          </cell>
          <cell r="O1518">
            <v>108.1</v>
          </cell>
        </row>
        <row r="1519">
          <cell r="B1519">
            <v>44544</v>
          </cell>
          <cell r="C1519">
            <v>106.5</v>
          </cell>
        </row>
        <row r="1519">
          <cell r="E1519">
            <v>44488</v>
          </cell>
          <cell r="F1519">
            <v>123.84</v>
          </cell>
        </row>
        <row r="1519">
          <cell r="H1519">
            <v>44488</v>
          </cell>
          <cell r="I1519">
            <v>64.63</v>
          </cell>
        </row>
        <row r="1519">
          <cell r="K1519">
            <v>44488</v>
          </cell>
          <cell r="L1519">
            <v>141.49</v>
          </cell>
        </row>
        <row r="1519">
          <cell r="N1519">
            <v>44544</v>
          </cell>
          <cell r="O1519">
            <v>108.13</v>
          </cell>
        </row>
        <row r="1520">
          <cell r="B1520">
            <v>44545</v>
          </cell>
          <cell r="C1520">
            <v>106.77</v>
          </cell>
        </row>
        <row r="1520">
          <cell r="E1520">
            <v>44489</v>
          </cell>
          <cell r="F1520">
            <v>124.12</v>
          </cell>
        </row>
        <row r="1520">
          <cell r="H1520">
            <v>44489</v>
          </cell>
          <cell r="I1520">
            <v>65.43</v>
          </cell>
        </row>
        <row r="1520">
          <cell r="K1520">
            <v>44489</v>
          </cell>
          <cell r="L1520">
            <v>141.73</v>
          </cell>
        </row>
        <row r="1520">
          <cell r="N1520">
            <v>44545</v>
          </cell>
          <cell r="O1520">
            <v>107.91</v>
          </cell>
        </row>
        <row r="1521">
          <cell r="B1521">
            <v>44546</v>
          </cell>
          <cell r="C1521">
            <v>106.85</v>
          </cell>
        </row>
        <row r="1521">
          <cell r="E1521">
            <v>44490</v>
          </cell>
          <cell r="F1521">
            <v>123.49</v>
          </cell>
        </row>
        <row r="1521">
          <cell r="H1521">
            <v>44490</v>
          </cell>
          <cell r="I1521">
            <v>64.74</v>
          </cell>
        </row>
        <row r="1521">
          <cell r="K1521">
            <v>44490</v>
          </cell>
          <cell r="L1521">
            <v>142.53</v>
          </cell>
        </row>
        <row r="1521">
          <cell r="N1521">
            <v>44546</v>
          </cell>
          <cell r="O1521">
            <v>108.88</v>
          </cell>
        </row>
        <row r="1522">
          <cell r="B1522">
            <v>44547</v>
          </cell>
          <cell r="C1522">
            <v>106.93</v>
          </cell>
        </row>
        <row r="1522">
          <cell r="E1522">
            <v>44491</v>
          </cell>
          <cell r="F1522">
            <v>124.21</v>
          </cell>
        </row>
        <row r="1522">
          <cell r="H1522">
            <v>44491</v>
          </cell>
          <cell r="I1522">
            <v>64.62</v>
          </cell>
        </row>
        <row r="1522">
          <cell r="K1522">
            <v>44491</v>
          </cell>
          <cell r="L1522">
            <v>143.45</v>
          </cell>
        </row>
        <row r="1522">
          <cell r="N1522">
            <v>44547</v>
          </cell>
          <cell r="O1522">
            <v>107.05</v>
          </cell>
        </row>
        <row r="1523">
          <cell r="B1523">
            <v>44550</v>
          </cell>
          <cell r="C1523">
            <v>106.59</v>
          </cell>
        </row>
        <row r="1523">
          <cell r="E1523">
            <v>44494</v>
          </cell>
          <cell r="F1523">
            <v>123.9</v>
          </cell>
        </row>
        <row r="1523">
          <cell r="H1523">
            <v>44494</v>
          </cell>
          <cell r="I1523">
            <v>64.58</v>
          </cell>
        </row>
        <row r="1523">
          <cell r="K1523">
            <v>44494</v>
          </cell>
          <cell r="L1523">
            <v>143.23</v>
          </cell>
        </row>
        <row r="1523">
          <cell r="N1523">
            <v>44550</v>
          </cell>
          <cell r="O1523">
            <v>107.28</v>
          </cell>
        </row>
        <row r="1524">
          <cell r="B1524">
            <v>44551</v>
          </cell>
          <cell r="C1524">
            <v>106.18</v>
          </cell>
        </row>
        <row r="1524">
          <cell r="E1524">
            <v>44495</v>
          </cell>
          <cell r="F1524">
            <v>124.48</v>
          </cell>
        </row>
        <row r="1524">
          <cell r="H1524">
            <v>44495</v>
          </cell>
          <cell r="I1524">
            <v>63.88</v>
          </cell>
        </row>
        <row r="1524">
          <cell r="K1524">
            <v>44495</v>
          </cell>
          <cell r="L1524">
            <v>143.14</v>
          </cell>
        </row>
        <row r="1524">
          <cell r="N1524">
            <v>44551</v>
          </cell>
          <cell r="O1524">
            <v>106.74</v>
          </cell>
        </row>
        <row r="1525">
          <cell r="B1525">
            <v>44552</v>
          </cell>
          <cell r="C1525">
            <v>106.72</v>
          </cell>
        </row>
        <row r="1525">
          <cell r="E1525">
            <v>44496</v>
          </cell>
          <cell r="F1525">
            <v>124.59</v>
          </cell>
        </row>
        <row r="1525">
          <cell r="H1525">
            <v>44496</v>
          </cell>
          <cell r="I1525">
            <v>63.48</v>
          </cell>
        </row>
        <row r="1525">
          <cell r="K1525">
            <v>44496</v>
          </cell>
          <cell r="L1525">
            <v>142.49</v>
          </cell>
        </row>
        <row r="1525">
          <cell r="N1525">
            <v>44552</v>
          </cell>
          <cell r="O1525">
            <v>106.66</v>
          </cell>
        </row>
        <row r="1526">
          <cell r="B1526">
            <v>44553</v>
          </cell>
          <cell r="C1526">
            <v>107.06</v>
          </cell>
        </row>
        <row r="1526">
          <cell r="E1526">
            <v>44497</v>
          </cell>
          <cell r="F1526">
            <v>125.56</v>
          </cell>
        </row>
        <row r="1526">
          <cell r="H1526">
            <v>44497</v>
          </cell>
          <cell r="I1526">
            <v>63.64</v>
          </cell>
        </row>
        <row r="1526">
          <cell r="K1526">
            <v>44497</v>
          </cell>
          <cell r="L1526">
            <v>142.77</v>
          </cell>
        </row>
        <row r="1526">
          <cell r="N1526">
            <v>44553</v>
          </cell>
          <cell r="O1526">
            <v>106.63</v>
          </cell>
        </row>
        <row r="1527">
          <cell r="B1527">
            <v>44554</v>
          </cell>
          <cell r="C1527">
            <v>107.07</v>
          </cell>
        </row>
        <row r="1527">
          <cell r="E1527">
            <v>44498</v>
          </cell>
          <cell r="F1527">
            <v>125.95</v>
          </cell>
        </row>
        <row r="1527">
          <cell r="H1527">
            <v>44498</v>
          </cell>
          <cell r="I1527">
            <v>63.27</v>
          </cell>
        </row>
        <row r="1527">
          <cell r="K1527">
            <v>44498</v>
          </cell>
          <cell r="L1527">
            <v>144.37</v>
          </cell>
        </row>
        <row r="1527">
          <cell r="N1527">
            <v>44554</v>
          </cell>
          <cell r="O1527">
            <v>106.64</v>
          </cell>
        </row>
        <row r="1528">
          <cell r="B1528">
            <v>44557</v>
          </cell>
          <cell r="C1528">
            <v>107.73</v>
          </cell>
        </row>
        <row r="1528">
          <cell r="E1528">
            <v>44501</v>
          </cell>
          <cell r="F1528">
            <v>125.59</v>
          </cell>
        </row>
        <row r="1528">
          <cell r="H1528">
            <v>44501</v>
          </cell>
          <cell r="I1528">
            <v>63.65</v>
          </cell>
        </row>
        <row r="1528">
          <cell r="K1528">
            <v>44501</v>
          </cell>
          <cell r="L1528">
            <v>142.51</v>
          </cell>
        </row>
        <row r="1528">
          <cell r="N1528">
            <v>44557</v>
          </cell>
          <cell r="O1528">
            <v>106.47</v>
          </cell>
        </row>
        <row r="1529">
          <cell r="B1529">
            <v>44558</v>
          </cell>
          <cell r="C1529">
            <v>107.5</v>
          </cell>
        </row>
        <row r="1529">
          <cell r="E1529">
            <v>44502</v>
          </cell>
          <cell r="F1529">
            <v>126.98</v>
          </cell>
        </row>
        <row r="1529">
          <cell r="H1529">
            <v>44502</v>
          </cell>
          <cell r="I1529">
            <v>62.96</v>
          </cell>
        </row>
        <row r="1529">
          <cell r="K1529">
            <v>44502</v>
          </cell>
          <cell r="L1529">
            <v>143.46</v>
          </cell>
        </row>
        <row r="1529">
          <cell r="N1529">
            <v>44558</v>
          </cell>
          <cell r="O1529">
            <v>106.9</v>
          </cell>
        </row>
        <row r="1530">
          <cell r="B1530">
            <v>44559</v>
          </cell>
          <cell r="C1530">
            <v>107.47</v>
          </cell>
        </row>
        <row r="1530">
          <cell r="E1530">
            <v>44503</v>
          </cell>
          <cell r="F1530">
            <v>127.12</v>
          </cell>
        </row>
        <row r="1530">
          <cell r="H1530">
            <v>44503</v>
          </cell>
          <cell r="I1530">
            <v>63.59</v>
          </cell>
        </row>
        <row r="1530">
          <cell r="K1530">
            <v>44503</v>
          </cell>
          <cell r="L1530">
            <v>143.33</v>
          </cell>
        </row>
        <row r="1530">
          <cell r="N1530">
            <v>44559</v>
          </cell>
          <cell r="O1530">
            <v>106.76</v>
          </cell>
        </row>
        <row r="1531">
          <cell r="B1531">
            <v>44560</v>
          </cell>
          <cell r="C1531">
            <v>107.41</v>
          </cell>
        </row>
        <row r="1531">
          <cell r="E1531">
            <v>44504</v>
          </cell>
          <cell r="F1531">
            <v>126.26</v>
          </cell>
        </row>
        <row r="1531">
          <cell r="H1531">
            <v>44504</v>
          </cell>
          <cell r="I1531">
            <v>63.38</v>
          </cell>
        </row>
        <row r="1531">
          <cell r="K1531">
            <v>44504</v>
          </cell>
          <cell r="L1531">
            <v>145.89</v>
          </cell>
        </row>
        <row r="1531">
          <cell r="N1531">
            <v>44560</v>
          </cell>
          <cell r="O1531">
            <v>106.47</v>
          </cell>
        </row>
        <row r="1532">
          <cell r="B1532">
            <v>44561</v>
          </cell>
          <cell r="C1532">
            <v>107.4</v>
          </cell>
        </row>
        <row r="1532">
          <cell r="E1532">
            <v>44505</v>
          </cell>
          <cell r="F1532">
            <v>127.24</v>
          </cell>
        </row>
        <row r="1532">
          <cell r="H1532">
            <v>44505</v>
          </cell>
          <cell r="I1532">
            <v>63.28</v>
          </cell>
        </row>
        <row r="1532">
          <cell r="K1532">
            <v>44505</v>
          </cell>
          <cell r="L1532">
            <v>144.36</v>
          </cell>
        </row>
        <row r="1532">
          <cell r="N1532">
            <v>44561</v>
          </cell>
          <cell r="O1532">
            <v>106.57</v>
          </cell>
        </row>
        <row r="1533">
          <cell r="B1533">
            <v>44564</v>
          </cell>
          <cell r="C1533">
            <v>107.4</v>
          </cell>
        </row>
        <row r="1533">
          <cell r="E1533">
            <v>44508</v>
          </cell>
          <cell r="F1533">
            <v>126.9</v>
          </cell>
        </row>
        <row r="1533">
          <cell r="H1533">
            <v>44508</v>
          </cell>
          <cell r="I1533">
            <v>63.21</v>
          </cell>
        </row>
        <row r="1533">
          <cell r="K1533">
            <v>44508</v>
          </cell>
          <cell r="L1533">
            <v>143.79</v>
          </cell>
        </row>
        <row r="1533">
          <cell r="N1533">
            <v>44564</v>
          </cell>
          <cell r="O1533">
            <v>106.08</v>
          </cell>
        </row>
        <row r="1534">
          <cell r="B1534">
            <v>44565</v>
          </cell>
          <cell r="C1534">
            <v>106.98</v>
          </cell>
        </row>
        <row r="1534">
          <cell r="E1534">
            <v>44509</v>
          </cell>
          <cell r="F1534">
            <v>126.42</v>
          </cell>
        </row>
        <row r="1534">
          <cell r="H1534">
            <v>44509</v>
          </cell>
          <cell r="I1534">
            <v>63.03</v>
          </cell>
        </row>
        <row r="1534">
          <cell r="K1534">
            <v>44509</v>
          </cell>
          <cell r="L1534">
            <v>144.42</v>
          </cell>
        </row>
        <row r="1534">
          <cell r="N1534">
            <v>44565</v>
          </cell>
          <cell r="O1534">
            <v>107.16</v>
          </cell>
        </row>
        <row r="1535">
          <cell r="B1535">
            <v>44566</v>
          </cell>
          <cell r="C1535">
            <v>106.62</v>
          </cell>
        </row>
        <row r="1535">
          <cell r="E1535">
            <v>44510</v>
          </cell>
          <cell r="F1535">
            <v>126.37</v>
          </cell>
        </row>
        <row r="1535">
          <cell r="H1535">
            <v>44510</v>
          </cell>
          <cell r="I1535">
            <v>63.74</v>
          </cell>
        </row>
        <row r="1535">
          <cell r="K1535">
            <v>44510</v>
          </cell>
          <cell r="L1535">
            <v>144.01</v>
          </cell>
        </row>
        <row r="1535">
          <cell r="N1535">
            <v>44566</v>
          </cell>
          <cell r="O1535">
            <v>108.29</v>
          </cell>
        </row>
        <row r="1536">
          <cell r="B1536">
            <v>44567</v>
          </cell>
          <cell r="C1536">
            <v>106.83</v>
          </cell>
        </row>
        <row r="1536">
          <cell r="E1536">
            <v>44511</v>
          </cell>
          <cell r="F1536">
            <v>126.41</v>
          </cell>
        </row>
        <row r="1536">
          <cell r="H1536">
            <v>44511</v>
          </cell>
          <cell r="I1536">
            <v>64.31</v>
          </cell>
        </row>
        <row r="1536">
          <cell r="K1536">
            <v>44511</v>
          </cell>
          <cell r="L1536">
            <v>144.8</v>
          </cell>
        </row>
        <row r="1536">
          <cell r="N1536">
            <v>44567</v>
          </cell>
          <cell r="O1536">
            <v>107.87</v>
          </cell>
        </row>
        <row r="1537">
          <cell r="B1537">
            <v>44568</v>
          </cell>
          <cell r="C1537">
            <v>106.87</v>
          </cell>
        </row>
        <row r="1537">
          <cell r="E1537">
            <v>44512</v>
          </cell>
          <cell r="F1537">
            <v>124.87</v>
          </cell>
        </row>
        <row r="1537">
          <cell r="H1537">
            <v>44512</v>
          </cell>
          <cell r="I1537">
            <v>64.05</v>
          </cell>
        </row>
        <row r="1537">
          <cell r="K1537">
            <v>44512</v>
          </cell>
          <cell r="L1537">
            <v>145.6</v>
          </cell>
        </row>
        <row r="1537">
          <cell r="N1537">
            <v>44568</v>
          </cell>
          <cell r="O1537">
            <v>108.35</v>
          </cell>
        </row>
        <row r="1538">
          <cell r="B1538">
            <v>44571</v>
          </cell>
          <cell r="C1538">
            <v>107.27</v>
          </cell>
        </row>
        <row r="1538">
          <cell r="E1538">
            <v>44515</v>
          </cell>
          <cell r="F1538">
            <v>125.21</v>
          </cell>
        </row>
        <row r="1538">
          <cell r="H1538">
            <v>44515</v>
          </cell>
          <cell r="I1538">
            <v>63.89</v>
          </cell>
        </row>
        <row r="1538">
          <cell r="K1538">
            <v>44515</v>
          </cell>
          <cell r="L1538">
            <v>145.29</v>
          </cell>
        </row>
        <row r="1538">
          <cell r="N1538">
            <v>44571</v>
          </cell>
          <cell r="O1538">
            <v>108</v>
          </cell>
        </row>
        <row r="1539">
          <cell r="B1539">
            <v>44572</v>
          </cell>
          <cell r="C1539">
            <v>107.52</v>
          </cell>
        </row>
        <row r="1539">
          <cell r="E1539">
            <v>44516</v>
          </cell>
          <cell r="F1539">
            <v>124.26</v>
          </cell>
        </row>
        <row r="1539">
          <cell r="H1539">
            <v>44516</v>
          </cell>
          <cell r="I1539">
            <v>63.58</v>
          </cell>
        </row>
        <row r="1539">
          <cell r="K1539">
            <v>44516</v>
          </cell>
          <cell r="L1539">
            <v>146.61</v>
          </cell>
        </row>
        <row r="1539">
          <cell r="N1539">
            <v>44572</v>
          </cell>
          <cell r="O1539">
            <v>108.56</v>
          </cell>
        </row>
        <row r="1540">
          <cell r="B1540">
            <v>44573</v>
          </cell>
          <cell r="C1540">
            <v>107.55</v>
          </cell>
        </row>
        <row r="1540">
          <cell r="E1540">
            <v>44517</v>
          </cell>
          <cell r="F1540">
            <v>124.79</v>
          </cell>
        </row>
        <row r="1540">
          <cell r="H1540">
            <v>44517</v>
          </cell>
          <cell r="I1540">
            <v>63.54</v>
          </cell>
        </row>
        <row r="1540">
          <cell r="K1540">
            <v>44517</v>
          </cell>
          <cell r="L1540">
            <v>146.58</v>
          </cell>
        </row>
        <row r="1540">
          <cell r="N1540">
            <v>44573</v>
          </cell>
          <cell r="O1540">
            <v>109.59</v>
          </cell>
        </row>
        <row r="1541">
          <cell r="B1541">
            <v>44574</v>
          </cell>
          <cell r="C1541">
            <v>107.62</v>
          </cell>
        </row>
        <row r="1541">
          <cell r="E1541">
            <v>44518</v>
          </cell>
          <cell r="F1541">
            <v>126.86</v>
          </cell>
        </row>
        <row r="1541">
          <cell r="H1541">
            <v>44518</v>
          </cell>
          <cell r="I1541">
            <v>63.68</v>
          </cell>
        </row>
        <row r="1541">
          <cell r="K1541">
            <v>44518</v>
          </cell>
          <cell r="L1541">
            <v>147.58</v>
          </cell>
        </row>
        <row r="1541">
          <cell r="N1541">
            <v>44574</v>
          </cell>
          <cell r="O1541">
            <v>109.23</v>
          </cell>
        </row>
        <row r="1542">
          <cell r="B1542">
            <v>44575</v>
          </cell>
          <cell r="C1542">
            <v>108.05</v>
          </cell>
        </row>
        <row r="1542">
          <cell r="E1542">
            <v>44519</v>
          </cell>
          <cell r="F1542">
            <v>126.93</v>
          </cell>
        </row>
        <row r="1542">
          <cell r="H1542">
            <v>44519</v>
          </cell>
          <cell r="I1542">
            <v>63.32</v>
          </cell>
        </row>
        <row r="1542">
          <cell r="K1542">
            <v>44519</v>
          </cell>
          <cell r="L1542">
            <v>149</v>
          </cell>
        </row>
        <row r="1542">
          <cell r="N1542">
            <v>44575</v>
          </cell>
          <cell r="O1542">
            <v>109.48</v>
          </cell>
        </row>
        <row r="1543">
          <cell r="B1543">
            <v>44578</v>
          </cell>
          <cell r="C1543">
            <v>108.05</v>
          </cell>
        </row>
        <row r="1543">
          <cell r="E1543">
            <v>44522</v>
          </cell>
          <cell r="F1543">
            <v>128.6</v>
          </cell>
        </row>
        <row r="1543">
          <cell r="H1543">
            <v>44522</v>
          </cell>
          <cell r="I1543">
            <v>64.53</v>
          </cell>
        </row>
        <row r="1543">
          <cell r="K1543">
            <v>44522</v>
          </cell>
          <cell r="L1543">
            <v>148.89</v>
          </cell>
        </row>
        <row r="1543">
          <cell r="N1543">
            <v>44578</v>
          </cell>
          <cell r="O1543">
            <v>109.48</v>
          </cell>
        </row>
        <row r="1544">
          <cell r="B1544">
            <v>44579</v>
          </cell>
          <cell r="C1544">
            <v>107.84</v>
          </cell>
        </row>
        <row r="1544">
          <cell r="E1544">
            <v>44523</v>
          </cell>
          <cell r="F1544">
            <v>129.57</v>
          </cell>
        </row>
        <row r="1544">
          <cell r="H1544">
            <v>44523</v>
          </cell>
          <cell r="I1544">
            <v>64.74</v>
          </cell>
        </row>
        <row r="1544">
          <cell r="K1544">
            <v>44523</v>
          </cell>
          <cell r="L1544">
            <v>148.72</v>
          </cell>
        </row>
        <row r="1544">
          <cell r="N1544">
            <v>44579</v>
          </cell>
          <cell r="O1544">
            <v>110.22</v>
          </cell>
        </row>
        <row r="1545">
          <cell r="B1545">
            <v>44580</v>
          </cell>
          <cell r="C1545">
            <v>107.32</v>
          </cell>
        </row>
        <row r="1545">
          <cell r="E1545">
            <v>44524</v>
          </cell>
          <cell r="F1545">
            <v>129.42</v>
          </cell>
        </row>
        <row r="1545">
          <cell r="H1545">
            <v>44524</v>
          </cell>
          <cell r="I1545">
            <v>64.43</v>
          </cell>
        </row>
        <row r="1545">
          <cell r="K1545">
            <v>44524</v>
          </cell>
          <cell r="L1545">
            <v>148.47</v>
          </cell>
        </row>
        <row r="1545">
          <cell r="N1545">
            <v>44580</v>
          </cell>
          <cell r="O1545">
            <v>110.38</v>
          </cell>
        </row>
        <row r="1546">
          <cell r="B1546">
            <v>44581</v>
          </cell>
          <cell r="C1546">
            <v>107.76</v>
          </cell>
        </row>
        <row r="1546">
          <cell r="E1546">
            <v>44525</v>
          </cell>
          <cell r="F1546">
            <v>129.47</v>
          </cell>
        </row>
        <row r="1546">
          <cell r="H1546">
            <v>44525</v>
          </cell>
          <cell r="I1546">
            <v>64.44</v>
          </cell>
        </row>
        <row r="1546">
          <cell r="K1546">
            <v>44525</v>
          </cell>
          <cell r="L1546">
            <v>148.33</v>
          </cell>
        </row>
        <row r="1546">
          <cell r="N1546">
            <v>44581</v>
          </cell>
          <cell r="O1546">
            <v>111.29</v>
          </cell>
        </row>
        <row r="1547">
          <cell r="B1547">
            <v>44582</v>
          </cell>
          <cell r="C1547">
            <v>107.44</v>
          </cell>
        </row>
        <row r="1547">
          <cell r="E1547">
            <v>44526</v>
          </cell>
          <cell r="F1547">
            <v>128.83</v>
          </cell>
        </row>
        <row r="1547">
          <cell r="H1547">
            <v>44526</v>
          </cell>
          <cell r="I1547">
            <v>64.57</v>
          </cell>
        </row>
        <row r="1547">
          <cell r="K1547">
            <v>44526</v>
          </cell>
          <cell r="L1547">
            <v>149.42</v>
          </cell>
        </row>
        <row r="1547">
          <cell r="N1547">
            <v>44582</v>
          </cell>
          <cell r="O1547">
            <v>110.98</v>
          </cell>
        </row>
        <row r="1548">
          <cell r="B1548">
            <v>44585</v>
          </cell>
          <cell r="C1548">
            <v>107.72</v>
          </cell>
        </row>
        <row r="1548">
          <cell r="E1548">
            <v>44529</v>
          </cell>
          <cell r="F1548">
            <v>129.63</v>
          </cell>
        </row>
        <row r="1548">
          <cell r="H1548">
            <v>44529</v>
          </cell>
          <cell r="I1548">
            <v>64.11</v>
          </cell>
        </row>
        <row r="1548">
          <cell r="K1548">
            <v>44529</v>
          </cell>
          <cell r="L1548">
            <v>150.43</v>
          </cell>
        </row>
        <row r="1548">
          <cell r="N1548">
            <v>44585</v>
          </cell>
          <cell r="O1548">
            <v>109.43</v>
          </cell>
        </row>
        <row r="1549">
          <cell r="B1549">
            <v>44586</v>
          </cell>
          <cell r="C1549">
            <v>107.41</v>
          </cell>
        </row>
        <row r="1549">
          <cell r="E1549">
            <v>44530</v>
          </cell>
          <cell r="F1549">
            <v>128.65</v>
          </cell>
        </row>
        <row r="1549">
          <cell r="H1549">
            <v>44530</v>
          </cell>
          <cell r="I1549">
            <v>63.77</v>
          </cell>
        </row>
        <row r="1549">
          <cell r="K1549">
            <v>44530</v>
          </cell>
          <cell r="L1549">
            <v>150.11</v>
          </cell>
        </row>
        <row r="1549">
          <cell r="N1549">
            <v>44586</v>
          </cell>
          <cell r="O1549">
            <v>109.94</v>
          </cell>
        </row>
        <row r="1550">
          <cell r="B1550">
            <v>44587</v>
          </cell>
          <cell r="C1550">
            <v>106.98</v>
          </cell>
        </row>
        <row r="1550">
          <cell r="E1550">
            <v>44531</v>
          </cell>
          <cell r="F1550">
            <v>128.64</v>
          </cell>
        </row>
        <row r="1550">
          <cell r="H1550">
            <v>44531</v>
          </cell>
          <cell r="I1550">
            <v>64.88</v>
          </cell>
        </row>
        <row r="1550">
          <cell r="K1550">
            <v>44531</v>
          </cell>
          <cell r="L1550">
            <v>151.26</v>
          </cell>
        </row>
        <row r="1550">
          <cell r="N1550">
            <v>44587</v>
          </cell>
          <cell r="O1550">
            <v>110.67</v>
          </cell>
        </row>
        <row r="1551">
          <cell r="B1551">
            <v>44588</v>
          </cell>
          <cell r="C1551">
            <v>107.17</v>
          </cell>
        </row>
        <row r="1551">
          <cell r="E1551">
            <v>44532</v>
          </cell>
          <cell r="F1551">
            <v>129.09</v>
          </cell>
        </row>
        <row r="1551">
          <cell r="H1551">
            <v>44532</v>
          </cell>
          <cell r="I1551">
            <v>64.56</v>
          </cell>
        </row>
        <row r="1551">
          <cell r="K1551">
            <v>44532</v>
          </cell>
          <cell r="L1551">
            <v>151.11</v>
          </cell>
        </row>
        <row r="1551">
          <cell r="N1551">
            <v>44588</v>
          </cell>
          <cell r="O1551">
            <v>111.72</v>
          </cell>
        </row>
        <row r="1552">
          <cell r="B1552">
            <v>44589</v>
          </cell>
          <cell r="C1552">
            <v>108.03</v>
          </cell>
        </row>
        <row r="1552">
          <cell r="E1552">
            <v>44533</v>
          </cell>
          <cell r="F1552">
            <v>128.42</v>
          </cell>
        </row>
        <row r="1552">
          <cell r="H1552">
            <v>44533</v>
          </cell>
          <cell r="I1552">
            <v>65.77</v>
          </cell>
        </row>
        <row r="1552">
          <cell r="K1552">
            <v>44533</v>
          </cell>
          <cell r="L1552">
            <v>151.38</v>
          </cell>
        </row>
        <row r="1552">
          <cell r="N1552">
            <v>44589</v>
          </cell>
          <cell r="O1552">
            <v>111.88</v>
          </cell>
        </row>
        <row r="1553">
          <cell r="B1553">
            <v>44592</v>
          </cell>
          <cell r="C1553">
            <v>107.94</v>
          </cell>
        </row>
        <row r="1553">
          <cell r="E1553">
            <v>44536</v>
          </cell>
          <cell r="F1553">
            <v>127.11</v>
          </cell>
        </row>
        <row r="1553">
          <cell r="H1553">
            <v>44536</v>
          </cell>
          <cell r="I1553">
            <v>65.61</v>
          </cell>
        </row>
        <row r="1553">
          <cell r="K1553">
            <v>44536</v>
          </cell>
          <cell r="L1553">
            <v>150.71</v>
          </cell>
        </row>
        <row r="1553">
          <cell r="N1553">
            <v>44592</v>
          </cell>
          <cell r="O1553">
            <v>110.93</v>
          </cell>
        </row>
        <row r="1554">
          <cell r="B1554">
            <v>44593</v>
          </cell>
          <cell r="C1554">
            <v>108.15</v>
          </cell>
        </row>
        <row r="1554">
          <cell r="E1554">
            <v>44537</v>
          </cell>
          <cell r="F1554">
            <v>128.21</v>
          </cell>
        </row>
        <row r="1554">
          <cell r="H1554">
            <v>44537</v>
          </cell>
          <cell r="I1554">
            <v>65.27</v>
          </cell>
        </row>
        <row r="1554">
          <cell r="K1554">
            <v>44537</v>
          </cell>
          <cell r="L1554">
            <v>150.66</v>
          </cell>
        </row>
        <row r="1554">
          <cell r="N1554">
            <v>44593</v>
          </cell>
          <cell r="O1554">
            <v>111.17</v>
          </cell>
        </row>
        <row r="1555">
          <cell r="B1555">
            <v>44594</v>
          </cell>
          <cell r="C1555">
            <v>107.94</v>
          </cell>
        </row>
        <row r="1555">
          <cell r="E1555">
            <v>44538</v>
          </cell>
          <cell r="F1555">
            <v>126.59</v>
          </cell>
        </row>
        <row r="1555">
          <cell r="H1555">
            <v>44538</v>
          </cell>
          <cell r="I1555">
            <v>64.72</v>
          </cell>
        </row>
        <row r="1555">
          <cell r="K1555">
            <v>44538</v>
          </cell>
          <cell r="L1555">
            <v>150.25</v>
          </cell>
        </row>
        <row r="1555">
          <cell r="N1555">
            <v>44594</v>
          </cell>
          <cell r="O1555">
            <v>112.48</v>
          </cell>
        </row>
        <row r="1556">
          <cell r="B1556">
            <v>44595</v>
          </cell>
          <cell r="C1556">
            <v>107.96</v>
          </cell>
        </row>
        <row r="1556">
          <cell r="E1556">
            <v>44539</v>
          </cell>
          <cell r="F1556">
            <v>128.09</v>
          </cell>
        </row>
        <row r="1556">
          <cell r="H1556">
            <v>44539</v>
          </cell>
          <cell r="I1556">
            <v>65.37</v>
          </cell>
        </row>
        <row r="1556">
          <cell r="K1556">
            <v>44539</v>
          </cell>
          <cell r="L1556">
            <v>150.94</v>
          </cell>
        </row>
        <row r="1556">
          <cell r="N1556">
            <v>44595</v>
          </cell>
          <cell r="O1556">
            <v>112.5</v>
          </cell>
        </row>
        <row r="1557">
          <cell r="B1557">
            <v>44596</v>
          </cell>
          <cell r="C1557">
            <v>108.41</v>
          </cell>
        </row>
        <row r="1557">
          <cell r="E1557">
            <v>44540</v>
          </cell>
          <cell r="F1557">
            <v>129.48</v>
          </cell>
        </row>
        <row r="1557">
          <cell r="H1557">
            <v>44540</v>
          </cell>
          <cell r="I1557">
            <v>65.63</v>
          </cell>
        </row>
        <row r="1557">
          <cell r="K1557">
            <v>44540</v>
          </cell>
          <cell r="L1557">
            <v>151.88</v>
          </cell>
        </row>
        <row r="1557">
          <cell r="N1557">
            <v>44596</v>
          </cell>
          <cell r="O1557">
            <v>111.93</v>
          </cell>
        </row>
        <row r="1558">
          <cell r="B1558">
            <v>44599</v>
          </cell>
          <cell r="C1558">
            <v>108.09</v>
          </cell>
        </row>
        <row r="1558">
          <cell r="E1558">
            <v>44543</v>
          </cell>
          <cell r="F1558">
            <v>128.44</v>
          </cell>
        </row>
        <row r="1558">
          <cell r="H1558">
            <v>44543</v>
          </cell>
          <cell r="I1558">
            <v>65.39</v>
          </cell>
        </row>
        <row r="1558">
          <cell r="K1558">
            <v>44543</v>
          </cell>
          <cell r="L1558">
            <v>152.04</v>
          </cell>
        </row>
        <row r="1558">
          <cell r="N1558">
            <v>44599</v>
          </cell>
          <cell r="O1558">
            <v>111.58</v>
          </cell>
        </row>
        <row r="1559">
          <cell r="B1559">
            <v>44600</v>
          </cell>
          <cell r="C1559">
            <v>107.1</v>
          </cell>
        </row>
        <row r="1559">
          <cell r="E1559">
            <v>44544</v>
          </cell>
          <cell r="F1559">
            <v>128.68</v>
          </cell>
        </row>
        <row r="1559">
          <cell r="H1559">
            <v>44544</v>
          </cell>
          <cell r="I1559">
            <v>65.85</v>
          </cell>
        </row>
        <row r="1559">
          <cell r="K1559">
            <v>44544</v>
          </cell>
          <cell r="L1559">
            <v>152.04</v>
          </cell>
        </row>
        <row r="1559">
          <cell r="N1559">
            <v>44600</v>
          </cell>
          <cell r="O1559">
            <v>110.34</v>
          </cell>
        </row>
        <row r="1560">
          <cell r="B1560">
            <v>44601</v>
          </cell>
          <cell r="C1560">
            <v>107.29</v>
          </cell>
        </row>
        <row r="1560">
          <cell r="E1560">
            <v>44545</v>
          </cell>
          <cell r="F1560">
            <v>129.81</v>
          </cell>
        </row>
        <row r="1560">
          <cell r="H1560">
            <v>44545</v>
          </cell>
          <cell r="I1560">
            <v>65.36</v>
          </cell>
        </row>
        <row r="1560">
          <cell r="K1560">
            <v>44545</v>
          </cell>
          <cell r="L1560">
            <v>153.23</v>
          </cell>
        </row>
        <row r="1560">
          <cell r="N1560">
            <v>44601</v>
          </cell>
          <cell r="O1560">
            <v>110.85</v>
          </cell>
        </row>
        <row r="1561">
          <cell r="B1561">
            <v>44602</v>
          </cell>
          <cell r="C1561">
            <v>107.64</v>
          </cell>
        </row>
        <row r="1561">
          <cell r="E1561">
            <v>44546</v>
          </cell>
          <cell r="F1561">
            <v>129.65</v>
          </cell>
        </row>
        <row r="1561">
          <cell r="H1561">
            <v>44546</v>
          </cell>
          <cell r="I1561">
            <v>66.37</v>
          </cell>
        </row>
        <row r="1561">
          <cell r="K1561">
            <v>44546</v>
          </cell>
          <cell r="L1561">
            <v>152.88</v>
          </cell>
        </row>
        <row r="1561">
          <cell r="N1561">
            <v>44602</v>
          </cell>
          <cell r="O1561">
            <v>111.01</v>
          </cell>
        </row>
        <row r="1562">
          <cell r="B1562">
            <v>44603</v>
          </cell>
          <cell r="C1562">
            <v>107.77</v>
          </cell>
        </row>
        <row r="1562">
          <cell r="E1562">
            <v>44547</v>
          </cell>
          <cell r="F1562">
            <v>128.07</v>
          </cell>
        </row>
        <row r="1562">
          <cell r="H1562">
            <v>44547</v>
          </cell>
          <cell r="I1562">
            <v>65.67</v>
          </cell>
        </row>
        <row r="1562">
          <cell r="K1562">
            <v>44547</v>
          </cell>
          <cell r="L1562">
            <v>151.17</v>
          </cell>
        </row>
        <row r="1562">
          <cell r="N1562">
            <v>44603</v>
          </cell>
          <cell r="O1562">
            <v>109.63</v>
          </cell>
        </row>
        <row r="1563">
          <cell r="B1563">
            <v>44606</v>
          </cell>
          <cell r="C1563">
            <v>107.87</v>
          </cell>
        </row>
        <row r="1563">
          <cell r="E1563">
            <v>44550</v>
          </cell>
          <cell r="F1563">
            <v>128.06</v>
          </cell>
        </row>
        <row r="1563">
          <cell r="H1563">
            <v>44550</v>
          </cell>
          <cell r="I1563">
            <v>64.98</v>
          </cell>
        </row>
        <row r="1563">
          <cell r="K1563">
            <v>44550</v>
          </cell>
          <cell r="L1563">
            <v>151.27</v>
          </cell>
        </row>
        <row r="1563">
          <cell r="N1563">
            <v>44606</v>
          </cell>
          <cell r="O1563">
            <v>109.3</v>
          </cell>
        </row>
        <row r="1564">
          <cell r="B1564">
            <v>44607</v>
          </cell>
          <cell r="C1564">
            <v>107.7</v>
          </cell>
        </row>
        <row r="1564">
          <cell r="E1564">
            <v>44551</v>
          </cell>
          <cell r="F1564">
            <v>127.62</v>
          </cell>
        </row>
        <row r="1564">
          <cell r="H1564">
            <v>44551</v>
          </cell>
          <cell r="I1564">
            <v>64.9</v>
          </cell>
        </row>
        <row r="1564">
          <cell r="K1564">
            <v>44551</v>
          </cell>
          <cell r="L1564">
            <v>150.9</v>
          </cell>
        </row>
        <row r="1564">
          <cell r="N1564">
            <v>44607</v>
          </cell>
          <cell r="O1564">
            <v>108.67</v>
          </cell>
        </row>
        <row r="1565">
          <cell r="B1565">
            <v>44608</v>
          </cell>
          <cell r="C1565">
            <v>107.76</v>
          </cell>
        </row>
        <row r="1565">
          <cell r="E1565">
            <v>44552</v>
          </cell>
          <cell r="F1565">
            <v>128.64</v>
          </cell>
        </row>
        <row r="1565">
          <cell r="H1565">
            <v>44552</v>
          </cell>
          <cell r="I1565">
            <v>64.91</v>
          </cell>
        </row>
        <row r="1565">
          <cell r="K1565">
            <v>44552</v>
          </cell>
          <cell r="L1565">
            <v>150.97</v>
          </cell>
        </row>
        <row r="1565">
          <cell r="N1565">
            <v>44608</v>
          </cell>
          <cell r="O1565">
            <v>108.65</v>
          </cell>
        </row>
        <row r="1566">
          <cell r="B1566">
            <v>44609</v>
          </cell>
          <cell r="C1566">
            <v>107.63</v>
          </cell>
        </row>
        <row r="1566">
          <cell r="E1566">
            <v>44553</v>
          </cell>
          <cell r="F1566">
            <v>128.29</v>
          </cell>
        </row>
        <row r="1566">
          <cell r="H1566">
            <v>44553</v>
          </cell>
          <cell r="I1566">
            <v>65.16</v>
          </cell>
        </row>
        <row r="1566">
          <cell r="K1566">
            <v>44553</v>
          </cell>
          <cell r="L1566">
            <v>151.55</v>
          </cell>
        </row>
        <row r="1566">
          <cell r="N1566">
            <v>44609</v>
          </cell>
          <cell r="O1566">
            <v>108.8</v>
          </cell>
        </row>
        <row r="1567">
          <cell r="B1567">
            <v>44610</v>
          </cell>
          <cell r="C1567">
            <v>107.17</v>
          </cell>
        </row>
        <row r="1567">
          <cell r="E1567">
            <v>44554</v>
          </cell>
          <cell r="F1567">
            <v>128.31</v>
          </cell>
        </row>
        <row r="1567">
          <cell r="H1567">
            <v>44554</v>
          </cell>
          <cell r="I1567">
            <v>65.18</v>
          </cell>
        </row>
        <row r="1567">
          <cell r="K1567">
            <v>44554</v>
          </cell>
          <cell r="L1567">
            <v>151.35</v>
          </cell>
        </row>
        <row r="1567">
          <cell r="N1567">
            <v>44610</v>
          </cell>
          <cell r="O1567">
            <v>108.67</v>
          </cell>
        </row>
        <row r="1568">
          <cell r="B1568">
            <v>44613</v>
          </cell>
          <cell r="C1568">
            <v>107.18</v>
          </cell>
        </row>
        <row r="1568">
          <cell r="E1568">
            <v>44557</v>
          </cell>
          <cell r="F1568">
            <v>129.9</v>
          </cell>
        </row>
        <row r="1568">
          <cell r="H1568">
            <v>44557</v>
          </cell>
          <cell r="I1568">
            <v>65.3</v>
          </cell>
        </row>
        <row r="1568">
          <cell r="K1568">
            <v>44557</v>
          </cell>
          <cell r="L1568">
            <v>153.24</v>
          </cell>
        </row>
        <row r="1568">
          <cell r="N1568">
            <v>44613</v>
          </cell>
          <cell r="O1568">
            <v>108.67</v>
          </cell>
        </row>
        <row r="1569">
          <cell r="B1569">
            <v>44614</v>
          </cell>
          <cell r="C1569">
            <v>107.2</v>
          </cell>
        </row>
        <row r="1569">
          <cell r="E1569">
            <v>44558</v>
          </cell>
          <cell r="F1569">
            <v>129.54</v>
          </cell>
        </row>
        <row r="1569">
          <cell r="H1569">
            <v>44558</v>
          </cell>
          <cell r="I1569">
            <v>65.45</v>
          </cell>
        </row>
        <row r="1569">
          <cell r="K1569">
            <v>44558</v>
          </cell>
          <cell r="L1569">
            <v>153.3</v>
          </cell>
        </row>
        <row r="1569">
          <cell r="N1569">
            <v>44614</v>
          </cell>
          <cell r="O1569">
            <v>108.79</v>
          </cell>
        </row>
        <row r="1570">
          <cell r="B1570">
            <v>44615</v>
          </cell>
          <cell r="C1570">
            <v>107.13</v>
          </cell>
        </row>
        <row r="1570">
          <cell r="E1570">
            <v>44559</v>
          </cell>
          <cell r="F1570">
            <v>130.48</v>
          </cell>
        </row>
        <row r="1570">
          <cell r="H1570">
            <v>44559</v>
          </cell>
          <cell r="I1570">
            <v>65.81</v>
          </cell>
        </row>
        <row r="1570">
          <cell r="K1570">
            <v>44559</v>
          </cell>
          <cell r="L1570">
            <v>153.87</v>
          </cell>
        </row>
        <row r="1570">
          <cell r="N1570">
            <v>44615</v>
          </cell>
          <cell r="O1570">
            <v>108.92</v>
          </cell>
        </row>
        <row r="1571">
          <cell r="B1571">
            <v>44616</v>
          </cell>
          <cell r="C1571">
            <v>108.11</v>
          </cell>
        </row>
        <row r="1571">
          <cell r="E1571">
            <v>44560</v>
          </cell>
          <cell r="F1571">
            <v>129</v>
          </cell>
        </row>
        <row r="1571">
          <cell r="H1571">
            <v>44560</v>
          </cell>
          <cell r="I1571">
            <v>65.68</v>
          </cell>
        </row>
        <row r="1571">
          <cell r="K1571">
            <v>44560</v>
          </cell>
          <cell r="L1571">
            <v>152.83</v>
          </cell>
        </row>
        <row r="1571">
          <cell r="N1571">
            <v>44616</v>
          </cell>
          <cell r="O1571">
            <v>108.19</v>
          </cell>
        </row>
        <row r="1572">
          <cell r="B1572">
            <v>44617</v>
          </cell>
          <cell r="C1572">
            <v>108.22</v>
          </cell>
        </row>
        <row r="1572">
          <cell r="E1572">
            <v>44561</v>
          </cell>
          <cell r="F1572">
            <v>129.96</v>
          </cell>
        </row>
        <row r="1572">
          <cell r="H1572">
            <v>44561</v>
          </cell>
          <cell r="I1572">
            <v>65.81</v>
          </cell>
        </row>
        <row r="1572">
          <cell r="K1572">
            <v>44561</v>
          </cell>
          <cell r="L1572">
            <v>152.75</v>
          </cell>
        </row>
        <row r="1572">
          <cell r="N1572">
            <v>44617</v>
          </cell>
          <cell r="O1572">
            <v>108.66</v>
          </cell>
        </row>
        <row r="1573">
          <cell r="B1573">
            <v>44620</v>
          </cell>
          <cell r="C1573">
            <v>109.24</v>
          </cell>
        </row>
        <row r="1573">
          <cell r="E1573">
            <v>44564</v>
          </cell>
          <cell r="F1573">
            <v>126.7</v>
          </cell>
        </row>
        <row r="1573">
          <cell r="H1573">
            <v>44564</v>
          </cell>
          <cell r="I1573">
            <v>66.96</v>
          </cell>
        </row>
        <row r="1573">
          <cell r="K1573">
            <v>44564</v>
          </cell>
          <cell r="L1573">
            <v>151.3</v>
          </cell>
        </row>
        <row r="1573">
          <cell r="N1573">
            <v>44620</v>
          </cell>
          <cell r="O1573">
            <v>107.69</v>
          </cell>
        </row>
        <row r="1574">
          <cell r="B1574">
            <v>44621</v>
          </cell>
          <cell r="C1574">
            <v>109.07</v>
          </cell>
        </row>
        <row r="1574">
          <cell r="E1574">
            <v>44565</v>
          </cell>
          <cell r="F1574">
            <v>127.06</v>
          </cell>
        </row>
        <row r="1574">
          <cell r="H1574">
            <v>44565</v>
          </cell>
          <cell r="I1574">
            <v>68.48</v>
          </cell>
        </row>
        <row r="1574">
          <cell r="K1574">
            <v>44565</v>
          </cell>
          <cell r="L1574">
            <v>150.96</v>
          </cell>
        </row>
        <row r="1574">
          <cell r="N1574">
            <v>44621</v>
          </cell>
          <cell r="O1574">
            <v>107.85</v>
          </cell>
        </row>
        <row r="1575">
          <cell r="B1575">
            <v>44622</v>
          </cell>
          <cell r="C1575">
            <v>108.61</v>
          </cell>
        </row>
        <row r="1575">
          <cell r="E1575">
            <v>44566</v>
          </cell>
          <cell r="F1575">
            <v>126.55</v>
          </cell>
        </row>
        <row r="1575">
          <cell r="H1575">
            <v>44566</v>
          </cell>
          <cell r="I1575">
            <v>69.78</v>
          </cell>
        </row>
        <row r="1575">
          <cell r="K1575">
            <v>44566</v>
          </cell>
          <cell r="L1575">
            <v>150.91</v>
          </cell>
        </row>
        <row r="1575">
          <cell r="N1575">
            <v>44622</v>
          </cell>
          <cell r="O1575">
            <v>107.31</v>
          </cell>
        </row>
        <row r="1576">
          <cell r="B1576">
            <v>44623</v>
          </cell>
          <cell r="C1576">
            <v>108.34</v>
          </cell>
        </row>
        <row r="1576">
          <cell r="E1576">
            <v>44567</v>
          </cell>
          <cell r="F1576">
            <v>127</v>
          </cell>
        </row>
        <row r="1576">
          <cell r="H1576">
            <v>44567</v>
          </cell>
          <cell r="I1576">
            <v>70.08</v>
          </cell>
        </row>
        <row r="1576">
          <cell r="K1576">
            <v>44567</v>
          </cell>
          <cell r="L1576">
            <v>150.93</v>
          </cell>
        </row>
        <row r="1576">
          <cell r="N1576">
            <v>44623</v>
          </cell>
          <cell r="O1576">
            <v>107.38</v>
          </cell>
        </row>
        <row r="1577">
          <cell r="B1577">
            <v>44624</v>
          </cell>
          <cell r="C1577">
            <v>108.42</v>
          </cell>
        </row>
        <row r="1577">
          <cell r="E1577">
            <v>44568</v>
          </cell>
          <cell r="F1577">
            <v>125.64</v>
          </cell>
        </row>
        <row r="1577">
          <cell r="H1577">
            <v>44568</v>
          </cell>
          <cell r="I1577">
            <v>70.74</v>
          </cell>
        </row>
        <row r="1577">
          <cell r="K1577">
            <v>44568</v>
          </cell>
          <cell r="L1577">
            <v>148.45</v>
          </cell>
        </row>
        <row r="1577">
          <cell r="N1577">
            <v>44624</v>
          </cell>
          <cell r="O1577">
            <v>107.78</v>
          </cell>
        </row>
        <row r="1578">
          <cell r="B1578">
            <v>44627</v>
          </cell>
          <cell r="C1578">
            <v>109.36</v>
          </cell>
        </row>
        <row r="1578">
          <cell r="E1578">
            <v>44571</v>
          </cell>
          <cell r="F1578">
            <v>125.5</v>
          </cell>
        </row>
        <row r="1578">
          <cell r="H1578">
            <v>44571</v>
          </cell>
          <cell r="I1578">
            <v>71.05</v>
          </cell>
        </row>
        <row r="1578">
          <cell r="K1578">
            <v>44571</v>
          </cell>
          <cell r="L1578">
            <v>147.98</v>
          </cell>
        </row>
        <row r="1578">
          <cell r="N1578">
            <v>44627</v>
          </cell>
          <cell r="O1578">
            <v>106.21</v>
          </cell>
        </row>
        <row r="1579">
          <cell r="B1579">
            <v>44628</v>
          </cell>
          <cell r="C1579">
            <v>109.25</v>
          </cell>
        </row>
        <row r="1579">
          <cell r="E1579">
            <v>44572</v>
          </cell>
          <cell r="F1579">
            <v>124.51</v>
          </cell>
        </row>
        <row r="1579">
          <cell r="H1579">
            <v>44572</v>
          </cell>
          <cell r="I1579">
            <v>71.04</v>
          </cell>
        </row>
        <row r="1579">
          <cell r="K1579">
            <v>44572</v>
          </cell>
          <cell r="L1579">
            <v>147.55</v>
          </cell>
        </row>
        <row r="1579">
          <cell r="N1579">
            <v>44628</v>
          </cell>
          <cell r="O1579">
            <v>105.53</v>
          </cell>
        </row>
        <row r="1580">
          <cell r="B1580">
            <v>44629</v>
          </cell>
          <cell r="C1580">
            <v>109.46</v>
          </cell>
        </row>
        <row r="1580">
          <cell r="E1580">
            <v>44573</v>
          </cell>
          <cell r="F1580">
            <v>125.77</v>
          </cell>
        </row>
        <row r="1580">
          <cell r="H1580">
            <v>44573</v>
          </cell>
          <cell r="I1580">
            <v>71.19</v>
          </cell>
        </row>
        <row r="1580">
          <cell r="K1580">
            <v>44573</v>
          </cell>
          <cell r="L1580">
            <v>147.62</v>
          </cell>
        </row>
        <row r="1580">
          <cell r="N1580">
            <v>44629</v>
          </cell>
          <cell r="O1580">
            <v>105.88</v>
          </cell>
        </row>
        <row r="1581">
          <cell r="B1581">
            <v>44630</v>
          </cell>
          <cell r="C1581">
            <v>109.13</v>
          </cell>
        </row>
        <row r="1581">
          <cell r="E1581">
            <v>44574</v>
          </cell>
          <cell r="F1581">
            <v>124.48</v>
          </cell>
        </row>
        <row r="1581">
          <cell r="H1581">
            <v>44574</v>
          </cell>
          <cell r="I1581">
            <v>72.37</v>
          </cell>
        </row>
        <row r="1581">
          <cell r="K1581">
            <v>44574</v>
          </cell>
          <cell r="L1581">
            <v>147.07</v>
          </cell>
        </row>
        <row r="1581">
          <cell r="N1581">
            <v>44630</v>
          </cell>
          <cell r="O1581">
            <v>105.53</v>
          </cell>
        </row>
        <row r="1582">
          <cell r="B1582">
            <v>44631</v>
          </cell>
          <cell r="C1582">
            <v>109.08</v>
          </cell>
        </row>
        <row r="1582">
          <cell r="E1582">
            <v>44575</v>
          </cell>
          <cell r="F1582">
            <v>123.8</v>
          </cell>
        </row>
        <row r="1582">
          <cell r="H1582">
            <v>44575</v>
          </cell>
          <cell r="I1582">
            <v>73.08</v>
          </cell>
        </row>
        <row r="1582">
          <cell r="K1582">
            <v>44575</v>
          </cell>
          <cell r="L1582">
            <v>147.46</v>
          </cell>
        </row>
        <row r="1582">
          <cell r="N1582">
            <v>44631</v>
          </cell>
          <cell r="O1582">
            <v>106.03</v>
          </cell>
        </row>
        <row r="1583">
          <cell r="B1583">
            <v>44634</v>
          </cell>
          <cell r="C1583">
            <v>109.26</v>
          </cell>
        </row>
        <row r="1583">
          <cell r="E1583">
            <v>44578</v>
          </cell>
          <cell r="F1583">
            <v>123.66</v>
          </cell>
        </row>
        <row r="1583">
          <cell r="H1583">
            <v>44578</v>
          </cell>
          <cell r="I1583">
            <v>73.19</v>
          </cell>
        </row>
        <row r="1583">
          <cell r="K1583">
            <v>44578</v>
          </cell>
          <cell r="L1583">
            <v>147.24</v>
          </cell>
        </row>
        <row r="1583">
          <cell r="N1583">
            <v>44634</v>
          </cell>
          <cell r="O1583">
            <v>106.79</v>
          </cell>
        </row>
        <row r="1584">
          <cell r="B1584">
            <v>44635</v>
          </cell>
          <cell r="C1584">
            <v>108.97</v>
          </cell>
        </row>
        <row r="1584">
          <cell r="E1584">
            <v>44579</v>
          </cell>
          <cell r="F1584">
            <v>123.19</v>
          </cell>
        </row>
        <row r="1584">
          <cell r="H1584">
            <v>44579</v>
          </cell>
          <cell r="I1584">
            <v>73.04</v>
          </cell>
        </row>
        <row r="1584">
          <cell r="K1584">
            <v>44579</v>
          </cell>
          <cell r="L1584">
            <v>148</v>
          </cell>
        </row>
        <row r="1584">
          <cell r="N1584">
            <v>44635</v>
          </cell>
          <cell r="O1584">
            <v>107.52</v>
          </cell>
        </row>
        <row r="1585">
          <cell r="B1585">
            <v>44636</v>
          </cell>
          <cell r="C1585">
            <v>108.97</v>
          </cell>
        </row>
        <row r="1585">
          <cell r="E1585">
            <v>44580</v>
          </cell>
          <cell r="F1585">
            <v>122.34</v>
          </cell>
        </row>
        <row r="1585">
          <cell r="H1585">
            <v>44580</v>
          </cell>
          <cell r="I1585">
            <v>72.43</v>
          </cell>
        </row>
        <row r="1585">
          <cell r="K1585">
            <v>44580</v>
          </cell>
          <cell r="L1585">
            <v>147.79</v>
          </cell>
        </row>
        <row r="1585">
          <cell r="N1585">
            <v>44636</v>
          </cell>
          <cell r="O1585">
            <v>107.1</v>
          </cell>
        </row>
        <row r="1586">
          <cell r="B1586">
            <v>44637</v>
          </cell>
          <cell r="C1586">
            <v>109.47</v>
          </cell>
        </row>
        <row r="1586">
          <cell r="E1586">
            <v>44581</v>
          </cell>
          <cell r="F1586">
            <v>121.54</v>
          </cell>
        </row>
        <row r="1586">
          <cell r="H1586">
            <v>44581</v>
          </cell>
          <cell r="I1586">
            <v>71.87</v>
          </cell>
        </row>
        <row r="1586">
          <cell r="K1586">
            <v>44581</v>
          </cell>
          <cell r="L1586">
            <v>146.53</v>
          </cell>
        </row>
        <row r="1586">
          <cell r="N1586">
            <v>44637</v>
          </cell>
          <cell r="O1586">
            <v>106.97</v>
          </cell>
        </row>
        <row r="1587">
          <cell r="B1587">
            <v>44638</v>
          </cell>
          <cell r="C1587">
            <v>109.92</v>
          </cell>
        </row>
        <row r="1587">
          <cell r="E1587">
            <v>44582</v>
          </cell>
          <cell r="F1587">
            <v>121.65</v>
          </cell>
        </row>
        <row r="1587">
          <cell r="H1587">
            <v>44582</v>
          </cell>
          <cell r="I1587">
            <v>71.58</v>
          </cell>
        </row>
        <row r="1587">
          <cell r="K1587">
            <v>44582</v>
          </cell>
          <cell r="L1587">
            <v>147.24</v>
          </cell>
        </row>
        <row r="1587">
          <cell r="N1587">
            <v>44638</v>
          </cell>
          <cell r="O1587">
            <v>107.22</v>
          </cell>
        </row>
        <row r="1588">
          <cell r="B1588">
            <v>44641</v>
          </cell>
          <cell r="C1588">
            <v>110.06</v>
          </cell>
        </row>
        <row r="1588">
          <cell r="E1588">
            <v>44585</v>
          </cell>
          <cell r="F1588">
            <v>121.37</v>
          </cell>
        </row>
        <row r="1588">
          <cell r="H1588">
            <v>44585</v>
          </cell>
          <cell r="I1588">
            <v>71.61</v>
          </cell>
        </row>
        <row r="1588">
          <cell r="K1588">
            <v>44585</v>
          </cell>
          <cell r="L1588">
            <v>148.57</v>
          </cell>
        </row>
        <row r="1588">
          <cell r="N1588">
            <v>44641</v>
          </cell>
          <cell r="O1588">
            <v>107.49</v>
          </cell>
        </row>
        <row r="1589">
          <cell r="B1589">
            <v>44642</v>
          </cell>
          <cell r="C1589">
            <v>110.21</v>
          </cell>
        </row>
        <row r="1589">
          <cell r="E1589">
            <v>44586</v>
          </cell>
          <cell r="F1589">
            <v>121.32</v>
          </cell>
        </row>
        <row r="1589">
          <cell r="H1589">
            <v>44586</v>
          </cell>
          <cell r="I1589">
            <v>72.61</v>
          </cell>
        </row>
        <row r="1589">
          <cell r="K1589">
            <v>44586</v>
          </cell>
          <cell r="L1589">
            <v>147.32</v>
          </cell>
        </row>
        <row r="1589">
          <cell r="N1589">
            <v>44642</v>
          </cell>
          <cell r="O1589">
            <v>107.63</v>
          </cell>
        </row>
        <row r="1590">
          <cell r="B1590">
            <v>44643</v>
          </cell>
          <cell r="C1590">
            <v>109.98</v>
          </cell>
        </row>
        <row r="1590">
          <cell r="E1590">
            <v>44587</v>
          </cell>
          <cell r="F1590">
            <v>122.57</v>
          </cell>
        </row>
        <row r="1590">
          <cell r="H1590">
            <v>44587</v>
          </cell>
          <cell r="I1590">
            <v>73.07</v>
          </cell>
        </row>
        <row r="1590">
          <cell r="K1590">
            <v>44587</v>
          </cell>
          <cell r="L1590">
            <v>147.66</v>
          </cell>
        </row>
        <row r="1590">
          <cell r="N1590">
            <v>44643</v>
          </cell>
          <cell r="O1590">
            <v>107.85</v>
          </cell>
        </row>
        <row r="1591">
          <cell r="B1591">
            <v>44644</v>
          </cell>
          <cell r="C1591">
            <v>109.64</v>
          </cell>
        </row>
        <row r="1591">
          <cell r="E1591">
            <v>44588</v>
          </cell>
          <cell r="F1591">
            <v>123.18</v>
          </cell>
        </row>
        <row r="1591">
          <cell r="H1591">
            <v>44588</v>
          </cell>
          <cell r="I1591">
            <v>73.34</v>
          </cell>
        </row>
        <row r="1591">
          <cell r="K1591">
            <v>44588</v>
          </cell>
          <cell r="L1591">
            <v>149.06</v>
          </cell>
        </row>
        <row r="1591">
          <cell r="N1591">
            <v>44644</v>
          </cell>
          <cell r="O1591">
            <v>108.15</v>
          </cell>
        </row>
        <row r="1592">
          <cell r="B1592">
            <v>44645</v>
          </cell>
          <cell r="C1592">
            <v>109.46</v>
          </cell>
        </row>
        <row r="1592">
          <cell r="E1592">
            <v>44589</v>
          </cell>
          <cell r="F1592">
            <v>123.59</v>
          </cell>
        </row>
        <row r="1592">
          <cell r="H1592">
            <v>44589</v>
          </cell>
          <cell r="I1592">
            <v>72.97</v>
          </cell>
        </row>
        <row r="1592">
          <cell r="K1592">
            <v>44589</v>
          </cell>
          <cell r="L1592">
            <v>149.12</v>
          </cell>
        </row>
        <row r="1592">
          <cell r="N1592">
            <v>44645</v>
          </cell>
          <cell r="O1592">
            <v>108.31</v>
          </cell>
        </row>
        <row r="1593">
          <cell r="B1593">
            <v>44648</v>
          </cell>
          <cell r="C1593">
            <v>109.02</v>
          </cell>
        </row>
        <row r="1593">
          <cell r="E1593">
            <v>44592</v>
          </cell>
          <cell r="F1593">
            <v>121.95</v>
          </cell>
        </row>
        <row r="1593">
          <cell r="H1593">
            <v>44592</v>
          </cell>
          <cell r="I1593">
            <v>71.85</v>
          </cell>
        </row>
        <row r="1593">
          <cell r="K1593">
            <v>44592</v>
          </cell>
          <cell r="L1593">
            <v>147.73</v>
          </cell>
        </row>
        <row r="1593">
          <cell r="N1593">
            <v>44648</v>
          </cell>
          <cell r="O1593">
            <v>109.22</v>
          </cell>
        </row>
        <row r="1594">
          <cell r="B1594">
            <v>44649</v>
          </cell>
          <cell r="C1594">
            <v>108.58</v>
          </cell>
        </row>
        <row r="1594">
          <cell r="E1594">
            <v>44593</v>
          </cell>
          <cell r="F1594">
            <v>122.05</v>
          </cell>
        </row>
        <row r="1594">
          <cell r="H1594">
            <v>44593</v>
          </cell>
          <cell r="I1594">
            <v>72.02</v>
          </cell>
        </row>
        <row r="1594">
          <cell r="K1594">
            <v>44593</v>
          </cell>
          <cell r="L1594">
            <v>146.86</v>
          </cell>
        </row>
        <row r="1594">
          <cell r="N1594">
            <v>44649</v>
          </cell>
          <cell r="O1594">
            <v>108.25</v>
          </cell>
        </row>
        <row r="1595">
          <cell r="B1595">
            <v>44650</v>
          </cell>
          <cell r="C1595">
            <v>108.59</v>
          </cell>
        </row>
        <row r="1595">
          <cell r="E1595">
            <v>44594</v>
          </cell>
          <cell r="F1595">
            <v>125.8</v>
          </cell>
        </row>
        <row r="1595">
          <cell r="H1595">
            <v>44594</v>
          </cell>
          <cell r="I1595">
            <v>72.55</v>
          </cell>
        </row>
        <row r="1595">
          <cell r="K1595">
            <v>44594</v>
          </cell>
          <cell r="L1595">
            <v>148.36</v>
          </cell>
        </row>
        <row r="1595">
          <cell r="N1595">
            <v>44650</v>
          </cell>
          <cell r="O1595">
            <v>109.17</v>
          </cell>
        </row>
        <row r="1596">
          <cell r="B1596">
            <v>44651</v>
          </cell>
          <cell r="C1596">
            <v>108.28</v>
          </cell>
        </row>
        <row r="1596">
          <cell r="E1596">
            <v>44595</v>
          </cell>
          <cell r="F1596">
            <v>126.66</v>
          </cell>
        </row>
        <row r="1596">
          <cell r="H1596">
            <v>44595</v>
          </cell>
          <cell r="I1596">
            <v>72.85</v>
          </cell>
        </row>
        <row r="1596">
          <cell r="K1596">
            <v>44595</v>
          </cell>
          <cell r="L1596">
            <v>147.83</v>
          </cell>
        </row>
        <row r="1596">
          <cell r="N1596">
            <v>44651</v>
          </cell>
          <cell r="O1596">
            <v>108.24</v>
          </cell>
        </row>
        <row r="1597">
          <cell r="B1597">
            <v>44652</v>
          </cell>
          <cell r="C1597">
            <v>108.42</v>
          </cell>
        </row>
        <row r="1597">
          <cell r="E1597">
            <v>44596</v>
          </cell>
          <cell r="F1597">
            <v>125.63</v>
          </cell>
        </row>
        <row r="1597">
          <cell r="H1597">
            <v>44596</v>
          </cell>
          <cell r="I1597">
            <v>72.22</v>
          </cell>
        </row>
        <row r="1597">
          <cell r="K1597">
            <v>44596</v>
          </cell>
          <cell r="L1597">
            <v>146.48</v>
          </cell>
        </row>
        <row r="1597">
          <cell r="N1597">
            <v>44652</v>
          </cell>
          <cell r="O1597">
            <v>107.74</v>
          </cell>
        </row>
        <row r="1598">
          <cell r="B1598">
            <v>44655</v>
          </cell>
          <cell r="C1598">
            <v>108.47</v>
          </cell>
        </row>
        <row r="1598">
          <cell r="E1598">
            <v>44599</v>
          </cell>
          <cell r="F1598">
            <v>125.11</v>
          </cell>
        </row>
        <row r="1598">
          <cell r="H1598">
            <v>44599</v>
          </cell>
          <cell r="I1598">
            <v>72.21</v>
          </cell>
        </row>
        <row r="1598">
          <cell r="K1598">
            <v>44599</v>
          </cell>
          <cell r="L1598">
            <v>145.29</v>
          </cell>
        </row>
        <row r="1598">
          <cell r="N1598">
            <v>44655</v>
          </cell>
          <cell r="O1598">
            <v>108.02</v>
          </cell>
        </row>
        <row r="1599">
          <cell r="B1599">
            <v>44656</v>
          </cell>
          <cell r="C1599">
            <v>108.5</v>
          </cell>
        </row>
        <row r="1599">
          <cell r="E1599">
            <v>44600</v>
          </cell>
          <cell r="F1599">
            <v>124.99</v>
          </cell>
        </row>
        <row r="1599">
          <cell r="H1599">
            <v>44600</v>
          </cell>
          <cell r="I1599">
            <v>71.93</v>
          </cell>
        </row>
        <row r="1599">
          <cell r="K1599">
            <v>44600</v>
          </cell>
          <cell r="L1599">
            <v>145.21</v>
          </cell>
        </row>
        <row r="1599">
          <cell r="N1599">
            <v>44656</v>
          </cell>
          <cell r="O1599">
            <v>108.85</v>
          </cell>
        </row>
        <row r="1600">
          <cell r="B1600">
            <v>44657</v>
          </cell>
          <cell r="C1600">
            <v>108.58</v>
          </cell>
        </row>
        <row r="1600">
          <cell r="E1600">
            <v>44601</v>
          </cell>
          <cell r="F1600">
            <v>124.62</v>
          </cell>
        </row>
        <row r="1600">
          <cell r="H1600">
            <v>44601</v>
          </cell>
          <cell r="I1600">
            <v>71.64</v>
          </cell>
        </row>
        <row r="1600">
          <cell r="K1600">
            <v>44601</v>
          </cell>
          <cell r="L1600">
            <v>144.52</v>
          </cell>
        </row>
        <row r="1600">
          <cell r="N1600">
            <v>44657</v>
          </cell>
          <cell r="O1600">
            <v>109.32</v>
          </cell>
        </row>
        <row r="1601">
          <cell r="B1601">
            <v>44658</v>
          </cell>
          <cell r="C1601">
            <v>108.43</v>
          </cell>
        </row>
        <row r="1601">
          <cell r="E1601">
            <v>44602</v>
          </cell>
          <cell r="F1601">
            <v>124.36</v>
          </cell>
        </row>
        <row r="1601">
          <cell r="H1601">
            <v>44602</v>
          </cell>
          <cell r="I1601">
            <v>71.56</v>
          </cell>
        </row>
        <row r="1601">
          <cell r="K1601">
            <v>44602</v>
          </cell>
          <cell r="L1601">
            <v>143.58</v>
          </cell>
        </row>
        <row r="1601">
          <cell r="N1601">
            <v>44658</v>
          </cell>
          <cell r="O1601">
            <v>109.53</v>
          </cell>
        </row>
        <row r="1602">
          <cell r="B1602">
            <v>44659</v>
          </cell>
          <cell r="C1602">
            <v>108.55</v>
          </cell>
        </row>
        <row r="1602">
          <cell r="E1602">
            <v>44603</v>
          </cell>
          <cell r="F1602">
            <v>122.1</v>
          </cell>
        </row>
        <row r="1602">
          <cell r="H1602">
            <v>44603</v>
          </cell>
          <cell r="I1602">
            <v>72.3</v>
          </cell>
        </row>
        <row r="1602">
          <cell r="K1602">
            <v>44603</v>
          </cell>
          <cell r="L1602">
            <v>142.81</v>
          </cell>
        </row>
        <row r="1602">
          <cell r="N1602">
            <v>44659</v>
          </cell>
          <cell r="O1602">
            <v>109.88</v>
          </cell>
        </row>
        <row r="1603">
          <cell r="B1603">
            <v>44662</v>
          </cell>
          <cell r="C1603">
            <v>107.81</v>
          </cell>
        </row>
        <row r="1603">
          <cell r="E1603">
            <v>44606</v>
          </cell>
          <cell r="F1603">
            <v>121.63</v>
          </cell>
        </row>
        <row r="1603">
          <cell r="H1603">
            <v>44606</v>
          </cell>
          <cell r="I1603">
            <v>72.02</v>
          </cell>
        </row>
        <row r="1603">
          <cell r="K1603">
            <v>44606</v>
          </cell>
          <cell r="L1603">
            <v>142.96</v>
          </cell>
        </row>
        <row r="1603">
          <cell r="N1603">
            <v>44662</v>
          </cell>
          <cell r="O1603">
            <v>109.29</v>
          </cell>
        </row>
        <row r="1604">
          <cell r="B1604">
            <v>44663</v>
          </cell>
          <cell r="C1604">
            <v>107.42</v>
          </cell>
        </row>
        <row r="1604">
          <cell r="E1604">
            <v>44607</v>
          </cell>
          <cell r="F1604">
            <v>120.84</v>
          </cell>
        </row>
        <row r="1604">
          <cell r="H1604">
            <v>44607</v>
          </cell>
          <cell r="I1604">
            <v>71.93</v>
          </cell>
        </row>
        <row r="1604">
          <cell r="K1604">
            <v>44607</v>
          </cell>
          <cell r="L1604">
            <v>142.85</v>
          </cell>
        </row>
        <row r="1604">
          <cell r="N1604">
            <v>44663</v>
          </cell>
          <cell r="O1604">
            <v>108.42</v>
          </cell>
        </row>
        <row r="1605">
          <cell r="B1605">
            <v>44664</v>
          </cell>
          <cell r="C1605">
            <v>107.17</v>
          </cell>
        </row>
        <row r="1605">
          <cell r="E1605">
            <v>44608</v>
          </cell>
          <cell r="F1605">
            <v>123.23</v>
          </cell>
        </row>
        <row r="1605">
          <cell r="H1605">
            <v>44608</v>
          </cell>
          <cell r="I1605">
            <v>71.96</v>
          </cell>
        </row>
        <row r="1605">
          <cell r="K1605">
            <v>44608</v>
          </cell>
          <cell r="L1605">
            <v>142.45</v>
          </cell>
        </row>
        <row r="1605">
          <cell r="N1605">
            <v>44664</v>
          </cell>
          <cell r="O1605">
            <v>108.08</v>
          </cell>
        </row>
        <row r="1606">
          <cell r="B1606">
            <v>44665</v>
          </cell>
          <cell r="C1606">
            <v>107.13</v>
          </cell>
        </row>
        <row r="1606">
          <cell r="E1606">
            <v>44609</v>
          </cell>
          <cell r="F1606">
            <v>123.2</v>
          </cell>
        </row>
        <row r="1606">
          <cell r="H1606">
            <v>44609</v>
          </cell>
          <cell r="I1606">
            <v>72.08</v>
          </cell>
        </row>
        <row r="1606">
          <cell r="K1606">
            <v>44609</v>
          </cell>
          <cell r="L1606">
            <v>143.61</v>
          </cell>
        </row>
        <row r="1606">
          <cell r="N1606">
            <v>44665</v>
          </cell>
          <cell r="O1606">
            <v>108.1</v>
          </cell>
        </row>
        <row r="1607">
          <cell r="B1607">
            <v>44666</v>
          </cell>
          <cell r="C1607">
            <v>107.13</v>
          </cell>
        </row>
        <row r="1607">
          <cell r="E1607">
            <v>44610</v>
          </cell>
          <cell r="F1607">
            <v>124.76</v>
          </cell>
        </row>
        <row r="1607">
          <cell r="H1607">
            <v>44610</v>
          </cell>
          <cell r="I1607">
            <v>72</v>
          </cell>
        </row>
        <row r="1607">
          <cell r="K1607">
            <v>44610</v>
          </cell>
          <cell r="L1607">
            <v>144.28</v>
          </cell>
        </row>
        <row r="1607">
          <cell r="N1607">
            <v>44666</v>
          </cell>
          <cell r="O1607">
            <v>108.1</v>
          </cell>
        </row>
        <row r="1608">
          <cell r="B1608">
            <v>44669</v>
          </cell>
          <cell r="C1608">
            <v>107.25</v>
          </cell>
        </row>
        <row r="1608">
          <cell r="E1608">
            <v>44613</v>
          </cell>
          <cell r="F1608">
            <v>124.75</v>
          </cell>
        </row>
        <row r="1608">
          <cell r="H1608">
            <v>44613</v>
          </cell>
          <cell r="I1608">
            <v>71.99</v>
          </cell>
        </row>
        <row r="1608">
          <cell r="K1608">
            <v>44613</v>
          </cell>
          <cell r="L1608">
            <v>144.27</v>
          </cell>
        </row>
        <row r="1608">
          <cell r="N1608">
            <v>44669</v>
          </cell>
          <cell r="O1608">
            <v>108.35</v>
          </cell>
        </row>
        <row r="1609">
          <cell r="B1609">
            <v>44670</v>
          </cell>
          <cell r="C1609">
            <v>107.06</v>
          </cell>
        </row>
        <row r="1609">
          <cell r="E1609">
            <v>44614</v>
          </cell>
          <cell r="F1609">
            <v>125.1</v>
          </cell>
        </row>
        <row r="1609">
          <cell r="H1609">
            <v>44614</v>
          </cell>
          <cell r="I1609">
            <v>71.72</v>
          </cell>
        </row>
        <row r="1609">
          <cell r="K1609">
            <v>44614</v>
          </cell>
          <cell r="L1609">
            <v>144.15</v>
          </cell>
        </row>
        <row r="1609">
          <cell r="N1609">
            <v>44670</v>
          </cell>
          <cell r="O1609">
            <v>108.3</v>
          </cell>
        </row>
        <row r="1610">
          <cell r="B1610">
            <v>44671</v>
          </cell>
          <cell r="C1610">
            <v>106.4</v>
          </cell>
        </row>
        <row r="1610">
          <cell r="E1610">
            <v>44615</v>
          </cell>
          <cell r="F1610">
            <v>125.06</v>
          </cell>
        </row>
        <row r="1610">
          <cell r="H1610">
            <v>44615</v>
          </cell>
          <cell r="I1610">
            <v>72.02</v>
          </cell>
        </row>
        <row r="1610">
          <cell r="K1610">
            <v>44615</v>
          </cell>
          <cell r="L1610">
            <v>144.35</v>
          </cell>
        </row>
        <row r="1610">
          <cell r="N1610">
            <v>44671</v>
          </cell>
          <cell r="O1610">
            <v>108.3</v>
          </cell>
        </row>
        <row r="1611">
          <cell r="B1611">
            <v>44672</v>
          </cell>
          <cell r="C1611">
            <v>105.88</v>
          </cell>
        </row>
        <row r="1611">
          <cell r="E1611">
            <v>44616</v>
          </cell>
          <cell r="F1611">
            <v>124.54</v>
          </cell>
        </row>
        <row r="1611">
          <cell r="H1611">
            <v>44616</v>
          </cell>
          <cell r="I1611">
            <v>71.25</v>
          </cell>
        </row>
        <row r="1611">
          <cell r="K1611">
            <v>44616</v>
          </cell>
          <cell r="L1611">
            <v>144.72</v>
          </cell>
        </row>
        <row r="1611">
          <cell r="N1611">
            <v>44672</v>
          </cell>
          <cell r="O1611">
            <v>108.99</v>
          </cell>
        </row>
        <row r="1612">
          <cell r="B1612">
            <v>44673</v>
          </cell>
          <cell r="C1612">
            <v>106.03</v>
          </cell>
        </row>
        <row r="1612">
          <cell r="E1612">
            <v>44617</v>
          </cell>
          <cell r="F1612">
            <v>125.18</v>
          </cell>
        </row>
        <row r="1612">
          <cell r="H1612">
            <v>44617</v>
          </cell>
          <cell r="I1612">
            <v>71.61</v>
          </cell>
        </row>
        <row r="1612">
          <cell r="K1612">
            <v>44617</v>
          </cell>
          <cell r="L1612">
            <v>145.01</v>
          </cell>
        </row>
        <row r="1612">
          <cell r="N1612">
            <v>44673</v>
          </cell>
          <cell r="O1612">
            <v>108.4</v>
          </cell>
        </row>
        <row r="1613">
          <cell r="B1613">
            <v>44676</v>
          </cell>
          <cell r="C1613">
            <v>106.18</v>
          </cell>
        </row>
        <row r="1613">
          <cell r="E1613">
            <v>44620</v>
          </cell>
          <cell r="F1613">
            <v>123.52</v>
          </cell>
        </row>
        <row r="1613">
          <cell r="H1613">
            <v>44620</v>
          </cell>
          <cell r="I1613">
            <v>71.5</v>
          </cell>
        </row>
        <row r="1613">
          <cell r="K1613">
            <v>44620</v>
          </cell>
          <cell r="L1613">
            <v>144.35</v>
          </cell>
        </row>
        <row r="1613">
          <cell r="N1613">
            <v>44676</v>
          </cell>
          <cell r="O1613">
            <v>108.5</v>
          </cell>
        </row>
        <row r="1614">
          <cell r="B1614">
            <v>44677</v>
          </cell>
          <cell r="C1614">
            <v>106.39</v>
          </cell>
        </row>
        <row r="1614">
          <cell r="E1614">
            <v>44621</v>
          </cell>
          <cell r="F1614">
            <v>122.14</v>
          </cell>
        </row>
        <row r="1614">
          <cell r="H1614">
            <v>44621</v>
          </cell>
          <cell r="I1614">
            <v>71.44</v>
          </cell>
        </row>
        <row r="1614">
          <cell r="K1614">
            <v>44621</v>
          </cell>
          <cell r="L1614">
            <v>144.07</v>
          </cell>
        </row>
        <row r="1614">
          <cell r="N1614">
            <v>44677</v>
          </cell>
          <cell r="O1614">
            <v>109.09</v>
          </cell>
        </row>
        <row r="1615">
          <cell r="B1615">
            <v>44678</v>
          </cell>
          <cell r="C1615">
            <v>106.39</v>
          </cell>
        </row>
        <row r="1615">
          <cell r="E1615">
            <v>44622</v>
          </cell>
          <cell r="F1615">
            <v>124.87</v>
          </cell>
        </row>
        <row r="1615">
          <cell r="H1615">
            <v>44622</v>
          </cell>
          <cell r="I1615">
            <v>71.78</v>
          </cell>
        </row>
        <row r="1615">
          <cell r="K1615">
            <v>44622</v>
          </cell>
          <cell r="L1615">
            <v>145.16</v>
          </cell>
        </row>
        <row r="1615">
          <cell r="N1615">
            <v>44678</v>
          </cell>
          <cell r="O1615">
            <v>110.04</v>
          </cell>
        </row>
        <row r="1616">
          <cell r="B1616">
            <v>44679</v>
          </cell>
          <cell r="C1616">
            <v>106.3</v>
          </cell>
        </row>
        <row r="1616">
          <cell r="E1616">
            <v>44623</v>
          </cell>
          <cell r="F1616">
            <v>126.84</v>
          </cell>
        </row>
        <row r="1616">
          <cell r="H1616">
            <v>44623</v>
          </cell>
          <cell r="I1616">
            <v>71.92</v>
          </cell>
        </row>
        <row r="1616">
          <cell r="K1616">
            <v>44623</v>
          </cell>
          <cell r="L1616">
            <v>145.71</v>
          </cell>
        </row>
        <row r="1616">
          <cell r="N1616">
            <v>44679</v>
          </cell>
          <cell r="O1616">
            <v>110.99</v>
          </cell>
        </row>
        <row r="1617">
          <cell r="B1617">
            <v>44680</v>
          </cell>
          <cell r="C1617">
            <v>105.91</v>
          </cell>
        </row>
        <row r="1617">
          <cell r="E1617">
            <v>44624</v>
          </cell>
          <cell r="F1617">
            <v>127.68</v>
          </cell>
        </row>
        <row r="1617">
          <cell r="H1617">
            <v>44624</v>
          </cell>
          <cell r="I1617">
            <v>71.41</v>
          </cell>
        </row>
        <row r="1617">
          <cell r="K1617">
            <v>44624</v>
          </cell>
          <cell r="L1617">
            <v>146.57</v>
          </cell>
        </row>
        <row r="1617">
          <cell r="N1617">
            <v>44680</v>
          </cell>
          <cell r="O1617">
            <v>110.51</v>
          </cell>
        </row>
        <row r="1618">
          <cell r="B1618">
            <v>44683</v>
          </cell>
          <cell r="C1618">
            <v>106.69</v>
          </cell>
        </row>
        <row r="1618">
          <cell r="E1618">
            <v>44627</v>
          </cell>
          <cell r="F1618">
            <v>125.81</v>
          </cell>
        </row>
        <row r="1618">
          <cell r="H1618">
            <v>44627</v>
          </cell>
          <cell r="I1618">
            <v>71.92</v>
          </cell>
        </row>
        <row r="1618">
          <cell r="K1618">
            <v>44627</v>
          </cell>
          <cell r="L1618">
            <v>145.34</v>
          </cell>
        </row>
        <row r="1618">
          <cell r="N1618">
            <v>44683</v>
          </cell>
          <cell r="O1618">
            <v>109.77</v>
          </cell>
        </row>
        <row r="1619">
          <cell r="B1619">
            <v>44684</v>
          </cell>
          <cell r="C1619">
            <v>106.42</v>
          </cell>
        </row>
        <row r="1619">
          <cell r="E1619">
            <v>44628</v>
          </cell>
          <cell r="F1619">
            <v>124.56</v>
          </cell>
        </row>
        <row r="1619">
          <cell r="H1619">
            <v>44628</v>
          </cell>
          <cell r="I1619">
            <v>72.72</v>
          </cell>
        </row>
        <row r="1619">
          <cell r="K1619">
            <v>44628</v>
          </cell>
          <cell r="L1619">
            <v>143.55</v>
          </cell>
        </row>
        <row r="1619">
          <cell r="N1619">
            <v>44684</v>
          </cell>
          <cell r="O1619">
            <v>109.5</v>
          </cell>
        </row>
        <row r="1620">
          <cell r="B1620">
            <v>44685</v>
          </cell>
          <cell r="C1620">
            <v>106.74</v>
          </cell>
        </row>
        <row r="1620">
          <cell r="E1620">
            <v>44629</v>
          </cell>
          <cell r="F1620">
            <v>125.04</v>
          </cell>
        </row>
        <row r="1620">
          <cell r="H1620">
            <v>44629</v>
          </cell>
          <cell r="I1620">
            <v>72.3</v>
          </cell>
        </row>
        <row r="1620">
          <cell r="K1620">
            <v>44629</v>
          </cell>
          <cell r="L1620">
            <v>143.64</v>
          </cell>
        </row>
        <row r="1620">
          <cell r="N1620">
            <v>44685</v>
          </cell>
          <cell r="O1620">
            <v>110.31</v>
          </cell>
        </row>
        <row r="1621">
          <cell r="B1621">
            <v>44686</v>
          </cell>
          <cell r="C1621">
            <v>106.39</v>
          </cell>
        </row>
        <row r="1621">
          <cell r="E1621">
            <v>44630</v>
          </cell>
          <cell r="F1621">
            <v>126.41</v>
          </cell>
        </row>
        <row r="1621">
          <cell r="H1621">
            <v>44630</v>
          </cell>
          <cell r="I1621">
            <v>72.19</v>
          </cell>
        </row>
        <row r="1621">
          <cell r="K1621">
            <v>44630</v>
          </cell>
          <cell r="L1621">
            <v>143.4</v>
          </cell>
        </row>
        <row r="1621">
          <cell r="N1621">
            <v>44686</v>
          </cell>
          <cell r="O1621">
            <v>110.77</v>
          </cell>
        </row>
        <row r="1622">
          <cell r="B1622">
            <v>44687</v>
          </cell>
          <cell r="C1622">
            <v>106.76</v>
          </cell>
        </row>
        <row r="1622">
          <cell r="E1622">
            <v>44631</v>
          </cell>
          <cell r="F1622">
            <v>128.28</v>
          </cell>
        </row>
        <row r="1622">
          <cell r="H1622">
            <v>44631</v>
          </cell>
          <cell r="I1622">
            <v>72.57</v>
          </cell>
        </row>
        <row r="1622">
          <cell r="K1622">
            <v>44631</v>
          </cell>
          <cell r="L1622">
            <v>143.72</v>
          </cell>
        </row>
        <row r="1622">
          <cell r="N1622">
            <v>44687</v>
          </cell>
          <cell r="O1622">
            <v>111.78</v>
          </cell>
        </row>
        <row r="1623">
          <cell r="B1623">
            <v>44690</v>
          </cell>
          <cell r="C1623">
            <v>106.93</v>
          </cell>
        </row>
        <row r="1623">
          <cell r="E1623">
            <v>44634</v>
          </cell>
          <cell r="F1623">
            <v>129.7</v>
          </cell>
        </row>
        <row r="1623">
          <cell r="H1623">
            <v>44634</v>
          </cell>
          <cell r="I1623">
            <v>72.38</v>
          </cell>
        </row>
        <row r="1623">
          <cell r="K1623">
            <v>44634</v>
          </cell>
          <cell r="L1623">
            <v>144.66</v>
          </cell>
        </row>
        <row r="1623">
          <cell r="N1623">
            <v>44690</v>
          </cell>
          <cell r="O1623">
            <v>111.74</v>
          </cell>
        </row>
        <row r="1624">
          <cell r="B1624">
            <v>44691</v>
          </cell>
          <cell r="C1624">
            <v>106.62</v>
          </cell>
        </row>
        <row r="1624">
          <cell r="E1624">
            <v>44635</v>
          </cell>
          <cell r="F1624">
            <v>130.31</v>
          </cell>
        </row>
        <row r="1624">
          <cell r="H1624">
            <v>44635</v>
          </cell>
          <cell r="I1624">
            <v>72.16</v>
          </cell>
        </row>
        <row r="1624">
          <cell r="K1624">
            <v>44635</v>
          </cell>
          <cell r="L1624">
            <v>145.14</v>
          </cell>
        </row>
        <row r="1624">
          <cell r="N1624">
            <v>44691</v>
          </cell>
          <cell r="O1624">
            <v>112.32</v>
          </cell>
        </row>
        <row r="1625">
          <cell r="B1625">
            <v>44692</v>
          </cell>
          <cell r="C1625">
            <v>106.24</v>
          </cell>
        </row>
        <row r="1625">
          <cell r="E1625">
            <v>44636</v>
          </cell>
          <cell r="F1625">
            <v>128.76</v>
          </cell>
        </row>
        <row r="1625">
          <cell r="H1625">
            <v>44636</v>
          </cell>
          <cell r="I1625">
            <v>72.3</v>
          </cell>
        </row>
        <row r="1625">
          <cell r="K1625">
            <v>44636</v>
          </cell>
          <cell r="L1625">
            <v>144.64</v>
          </cell>
        </row>
        <row r="1625">
          <cell r="N1625">
            <v>44692</v>
          </cell>
          <cell r="O1625">
            <v>112.81</v>
          </cell>
        </row>
        <row r="1626">
          <cell r="B1626">
            <v>44693</v>
          </cell>
          <cell r="C1626">
            <v>106.77</v>
          </cell>
        </row>
        <row r="1626">
          <cell r="E1626">
            <v>44637</v>
          </cell>
          <cell r="F1626">
            <v>127.57</v>
          </cell>
        </row>
        <row r="1626">
          <cell r="H1626">
            <v>44637</v>
          </cell>
          <cell r="I1626">
            <v>72.5</v>
          </cell>
        </row>
        <row r="1626">
          <cell r="K1626">
            <v>44637</v>
          </cell>
          <cell r="L1626">
            <v>144</v>
          </cell>
        </row>
        <row r="1626">
          <cell r="N1626">
            <v>44693</v>
          </cell>
          <cell r="O1626">
            <v>111.62</v>
          </cell>
        </row>
        <row r="1627">
          <cell r="B1627">
            <v>44694</v>
          </cell>
          <cell r="C1627">
            <v>107.07</v>
          </cell>
        </row>
        <row r="1627">
          <cell r="E1627">
            <v>44638</v>
          </cell>
          <cell r="F1627">
            <v>126.32</v>
          </cell>
        </row>
        <row r="1627">
          <cell r="H1627">
            <v>44638</v>
          </cell>
          <cell r="I1627">
            <v>71.97</v>
          </cell>
        </row>
        <row r="1627">
          <cell r="K1627">
            <v>44638</v>
          </cell>
          <cell r="L1627">
            <v>143.95</v>
          </cell>
        </row>
        <row r="1627">
          <cell r="N1627">
            <v>44694</v>
          </cell>
          <cell r="O1627">
            <v>111.17</v>
          </cell>
        </row>
        <row r="1628">
          <cell r="B1628">
            <v>44697</v>
          </cell>
          <cell r="C1628">
            <v>106.82</v>
          </cell>
        </row>
        <row r="1628">
          <cell r="E1628">
            <v>44641</v>
          </cell>
          <cell r="F1628">
            <v>127.34</v>
          </cell>
        </row>
        <row r="1628">
          <cell r="H1628">
            <v>44641</v>
          </cell>
          <cell r="I1628">
            <v>71.92</v>
          </cell>
        </row>
        <row r="1628">
          <cell r="K1628">
            <v>44641</v>
          </cell>
          <cell r="L1628">
            <v>143.78</v>
          </cell>
        </row>
        <row r="1628">
          <cell r="N1628">
            <v>44697</v>
          </cell>
          <cell r="O1628">
            <v>111.14</v>
          </cell>
        </row>
        <row r="1629">
          <cell r="B1629">
            <v>44698</v>
          </cell>
          <cell r="C1629">
            <v>107.03</v>
          </cell>
        </row>
        <row r="1629">
          <cell r="E1629">
            <v>44642</v>
          </cell>
          <cell r="F1629">
            <v>125.59</v>
          </cell>
        </row>
        <row r="1629">
          <cell r="H1629">
            <v>44642</v>
          </cell>
          <cell r="I1629">
            <v>71.77</v>
          </cell>
        </row>
        <row r="1629">
          <cell r="K1629">
            <v>44642</v>
          </cell>
          <cell r="L1629">
            <v>143.07</v>
          </cell>
        </row>
        <row r="1629">
          <cell r="N1629">
            <v>44698</v>
          </cell>
          <cell r="O1629">
            <v>110.44</v>
          </cell>
        </row>
        <row r="1630">
          <cell r="B1630">
            <v>44699</v>
          </cell>
          <cell r="C1630">
            <v>107.32</v>
          </cell>
        </row>
        <row r="1630">
          <cell r="E1630">
            <v>44643</v>
          </cell>
          <cell r="F1630">
            <v>125.8</v>
          </cell>
        </row>
        <row r="1630">
          <cell r="H1630">
            <v>44643</v>
          </cell>
          <cell r="I1630">
            <v>71.82</v>
          </cell>
        </row>
        <row r="1630">
          <cell r="K1630">
            <v>44643</v>
          </cell>
          <cell r="L1630">
            <v>142.27</v>
          </cell>
        </row>
        <row r="1630">
          <cell r="N1630">
            <v>44699</v>
          </cell>
          <cell r="O1630">
            <v>109.8</v>
          </cell>
        </row>
        <row r="1631">
          <cell r="B1631">
            <v>44700</v>
          </cell>
          <cell r="C1631">
            <v>107.48</v>
          </cell>
        </row>
        <row r="1631">
          <cell r="E1631">
            <v>44644</v>
          </cell>
          <cell r="F1631">
            <v>125.97</v>
          </cell>
        </row>
        <row r="1631">
          <cell r="H1631">
            <v>44644</v>
          </cell>
          <cell r="I1631">
            <v>71.92</v>
          </cell>
        </row>
        <row r="1631">
          <cell r="K1631">
            <v>44644</v>
          </cell>
          <cell r="L1631">
            <v>142.11</v>
          </cell>
        </row>
        <row r="1631">
          <cell r="N1631">
            <v>44700</v>
          </cell>
          <cell r="O1631">
            <v>109.38</v>
          </cell>
        </row>
        <row r="1632">
          <cell r="B1632">
            <v>44701</v>
          </cell>
          <cell r="C1632">
            <v>107.7</v>
          </cell>
        </row>
        <row r="1632">
          <cell r="E1632">
            <v>44645</v>
          </cell>
          <cell r="F1632">
            <v>127.42</v>
          </cell>
        </row>
        <row r="1632">
          <cell r="H1632">
            <v>44645</v>
          </cell>
          <cell r="I1632">
            <v>72.19</v>
          </cell>
        </row>
        <row r="1632">
          <cell r="K1632">
            <v>44645</v>
          </cell>
          <cell r="L1632">
            <v>142.23</v>
          </cell>
        </row>
        <row r="1632">
          <cell r="N1632">
            <v>44701</v>
          </cell>
          <cell r="O1632">
            <v>109.84</v>
          </cell>
        </row>
        <row r="1633">
          <cell r="B1633">
            <v>44704</v>
          </cell>
          <cell r="C1633">
            <v>108.19</v>
          </cell>
        </row>
        <row r="1633">
          <cell r="E1633">
            <v>44648</v>
          </cell>
          <cell r="F1633">
            <v>128.21</v>
          </cell>
        </row>
        <row r="1633">
          <cell r="H1633">
            <v>44648</v>
          </cell>
          <cell r="I1633">
            <v>71.38</v>
          </cell>
        </row>
        <row r="1633">
          <cell r="K1633">
            <v>44648</v>
          </cell>
          <cell r="L1633">
            <v>142.89</v>
          </cell>
        </row>
        <row r="1633">
          <cell r="N1633">
            <v>44704</v>
          </cell>
          <cell r="O1633">
            <v>110.47</v>
          </cell>
        </row>
        <row r="1634">
          <cell r="B1634">
            <v>44705</v>
          </cell>
          <cell r="C1634">
            <v>108.2</v>
          </cell>
        </row>
        <row r="1634">
          <cell r="E1634">
            <v>44649</v>
          </cell>
          <cell r="F1634">
            <v>125.6</v>
          </cell>
        </row>
        <row r="1634">
          <cell r="H1634">
            <v>44649</v>
          </cell>
          <cell r="I1634">
            <v>71.57</v>
          </cell>
        </row>
        <row r="1634">
          <cell r="K1634">
            <v>44649</v>
          </cell>
          <cell r="L1634">
            <v>142.08</v>
          </cell>
        </row>
        <row r="1634">
          <cell r="N1634">
            <v>44705</v>
          </cell>
          <cell r="O1634">
            <v>111.02</v>
          </cell>
        </row>
        <row r="1635">
          <cell r="B1635">
            <v>44706</v>
          </cell>
          <cell r="C1635">
            <v>107.79</v>
          </cell>
        </row>
        <row r="1635">
          <cell r="E1635">
            <v>44650</v>
          </cell>
          <cell r="F1635">
            <v>126.49</v>
          </cell>
        </row>
        <row r="1635">
          <cell r="H1635">
            <v>44650</v>
          </cell>
          <cell r="I1635">
            <v>71.26</v>
          </cell>
        </row>
        <row r="1635">
          <cell r="K1635">
            <v>44650</v>
          </cell>
          <cell r="L1635">
            <v>141.86</v>
          </cell>
        </row>
        <row r="1635">
          <cell r="N1635">
            <v>44706</v>
          </cell>
          <cell r="O1635">
            <v>110.08</v>
          </cell>
        </row>
        <row r="1636">
          <cell r="B1636">
            <v>44707</v>
          </cell>
          <cell r="C1636">
            <v>107.33</v>
          </cell>
        </row>
        <row r="1636">
          <cell r="E1636">
            <v>44651</v>
          </cell>
          <cell r="F1636">
            <v>126.82</v>
          </cell>
        </row>
        <row r="1636">
          <cell r="H1636">
            <v>44651</v>
          </cell>
          <cell r="I1636">
            <v>70.71</v>
          </cell>
        </row>
        <row r="1636">
          <cell r="K1636">
            <v>44651</v>
          </cell>
          <cell r="L1636">
            <v>141.36</v>
          </cell>
        </row>
        <row r="1636">
          <cell r="N1636">
            <v>44707</v>
          </cell>
          <cell r="O1636">
            <v>110.26</v>
          </cell>
        </row>
        <row r="1637">
          <cell r="B1637">
            <v>44708</v>
          </cell>
          <cell r="C1637">
            <v>107.51</v>
          </cell>
        </row>
        <row r="1637">
          <cell r="E1637">
            <v>44652</v>
          </cell>
          <cell r="F1637">
            <v>125.68</v>
          </cell>
        </row>
        <row r="1637">
          <cell r="H1637">
            <v>44652</v>
          </cell>
          <cell r="I1637">
            <v>70.48</v>
          </cell>
        </row>
        <row r="1637">
          <cell r="K1637">
            <v>44652</v>
          </cell>
          <cell r="L1637">
            <v>140.6</v>
          </cell>
        </row>
        <row r="1637">
          <cell r="N1637">
            <v>44708</v>
          </cell>
          <cell r="O1637">
            <v>110.12</v>
          </cell>
        </row>
        <row r="1638">
          <cell r="B1638">
            <v>44711</v>
          </cell>
          <cell r="C1638">
            <v>107.5</v>
          </cell>
        </row>
        <row r="1638">
          <cell r="E1638">
            <v>44655</v>
          </cell>
          <cell r="F1638">
            <v>122.84</v>
          </cell>
        </row>
        <row r="1638">
          <cell r="H1638">
            <v>44655</v>
          </cell>
          <cell r="I1638">
            <v>70.51</v>
          </cell>
        </row>
        <row r="1638">
          <cell r="K1638">
            <v>44655</v>
          </cell>
          <cell r="L1638">
            <v>140.63</v>
          </cell>
        </row>
        <row r="1638">
          <cell r="N1638">
            <v>44711</v>
          </cell>
          <cell r="O1638">
            <v>110.1</v>
          </cell>
        </row>
        <row r="1639">
          <cell r="B1639">
            <v>44712</v>
          </cell>
          <cell r="C1639">
            <v>107.11</v>
          </cell>
        </row>
        <row r="1639">
          <cell r="E1639">
            <v>44656</v>
          </cell>
          <cell r="F1639">
            <v>123.78</v>
          </cell>
        </row>
        <row r="1639">
          <cell r="H1639">
            <v>44656</v>
          </cell>
          <cell r="I1639">
            <v>69.81</v>
          </cell>
        </row>
        <row r="1639">
          <cell r="K1639">
            <v>44656</v>
          </cell>
          <cell r="L1639">
            <v>140.53</v>
          </cell>
        </row>
        <row r="1639">
          <cell r="N1639">
            <v>44712</v>
          </cell>
          <cell r="O1639">
            <v>110.65</v>
          </cell>
        </row>
        <row r="1640">
          <cell r="B1640">
            <v>44713</v>
          </cell>
          <cell r="C1640">
            <v>107.17</v>
          </cell>
        </row>
        <row r="1640">
          <cell r="E1640">
            <v>44657</v>
          </cell>
          <cell r="F1640">
            <v>125.13</v>
          </cell>
        </row>
        <row r="1640">
          <cell r="H1640">
            <v>44657</v>
          </cell>
          <cell r="I1640">
            <v>69.54</v>
          </cell>
        </row>
        <row r="1640">
          <cell r="K1640">
            <v>44657</v>
          </cell>
          <cell r="L1640">
            <v>141.02</v>
          </cell>
        </row>
        <row r="1640">
          <cell r="N1640">
            <v>44713</v>
          </cell>
          <cell r="O1640">
            <v>110.13</v>
          </cell>
        </row>
        <row r="1641">
          <cell r="B1641">
            <v>44714</v>
          </cell>
          <cell r="C1641">
            <v>107.33</v>
          </cell>
        </row>
        <row r="1641">
          <cell r="E1641">
            <v>44658</v>
          </cell>
          <cell r="F1641">
            <v>127.27</v>
          </cell>
        </row>
        <row r="1641">
          <cell r="H1641">
            <v>44658</v>
          </cell>
          <cell r="I1641">
            <v>69.54</v>
          </cell>
        </row>
        <row r="1641">
          <cell r="K1641">
            <v>44658</v>
          </cell>
          <cell r="L1641">
            <v>142.34</v>
          </cell>
        </row>
        <row r="1641">
          <cell r="N1641">
            <v>44714</v>
          </cell>
          <cell r="O1641">
            <v>109.28</v>
          </cell>
        </row>
        <row r="1642">
          <cell r="B1642">
            <v>44715</v>
          </cell>
          <cell r="C1642">
            <v>107.59</v>
          </cell>
        </row>
        <row r="1642">
          <cell r="E1642">
            <v>44659</v>
          </cell>
          <cell r="F1642">
            <v>127.68</v>
          </cell>
        </row>
        <row r="1642">
          <cell r="H1642">
            <v>44659</v>
          </cell>
          <cell r="I1642">
            <v>70.39</v>
          </cell>
        </row>
        <row r="1642">
          <cell r="K1642">
            <v>44659</v>
          </cell>
          <cell r="L1642">
            <v>142.79</v>
          </cell>
        </row>
        <row r="1642">
          <cell r="N1642">
            <v>44715</v>
          </cell>
          <cell r="O1642">
            <v>109.03</v>
          </cell>
        </row>
        <row r="1643">
          <cell r="B1643">
            <v>44718</v>
          </cell>
          <cell r="C1643">
            <v>108.04</v>
          </cell>
        </row>
        <row r="1643">
          <cell r="E1643">
            <v>44662</v>
          </cell>
          <cell r="F1643">
            <v>126.04</v>
          </cell>
        </row>
        <row r="1643">
          <cell r="H1643">
            <v>44662</v>
          </cell>
          <cell r="I1643">
            <v>70.88</v>
          </cell>
        </row>
        <row r="1643">
          <cell r="K1643">
            <v>44662</v>
          </cell>
          <cell r="L1643">
            <v>141.35</v>
          </cell>
        </row>
        <row r="1643">
          <cell r="N1643">
            <v>44718</v>
          </cell>
          <cell r="O1643">
            <v>108.93</v>
          </cell>
        </row>
        <row r="1644">
          <cell r="B1644">
            <v>44719</v>
          </cell>
          <cell r="C1644">
            <v>107.41</v>
          </cell>
        </row>
        <row r="1644">
          <cell r="E1644">
            <v>44663</v>
          </cell>
          <cell r="F1644">
            <v>127.14</v>
          </cell>
        </row>
        <row r="1644">
          <cell r="H1644">
            <v>44663</v>
          </cell>
          <cell r="I1644">
            <v>71.12</v>
          </cell>
        </row>
        <row r="1644">
          <cell r="K1644">
            <v>44663</v>
          </cell>
          <cell r="L1644">
            <v>141.37</v>
          </cell>
        </row>
        <row r="1644">
          <cell r="N1644">
            <v>44719</v>
          </cell>
          <cell r="O1644">
            <v>108.77</v>
          </cell>
        </row>
        <row r="1645">
          <cell r="B1645">
            <v>44720</v>
          </cell>
          <cell r="C1645">
            <v>107.62</v>
          </cell>
        </row>
        <row r="1645">
          <cell r="E1645">
            <v>44664</v>
          </cell>
          <cell r="F1645">
            <v>127.37</v>
          </cell>
        </row>
        <row r="1645">
          <cell r="H1645">
            <v>44664</v>
          </cell>
          <cell r="I1645">
            <v>70.96</v>
          </cell>
        </row>
        <row r="1645">
          <cell r="K1645">
            <v>44664</v>
          </cell>
          <cell r="L1645">
            <v>140.79</v>
          </cell>
        </row>
        <row r="1645">
          <cell r="N1645">
            <v>44720</v>
          </cell>
          <cell r="O1645">
            <v>109.07</v>
          </cell>
        </row>
        <row r="1646">
          <cell r="B1646">
            <v>44721</v>
          </cell>
          <cell r="C1646">
            <v>107.72</v>
          </cell>
        </row>
        <row r="1646">
          <cell r="E1646">
            <v>44665</v>
          </cell>
          <cell r="F1646">
            <v>127.56</v>
          </cell>
        </row>
        <row r="1646">
          <cell r="H1646">
            <v>44665</v>
          </cell>
          <cell r="I1646">
            <v>71.26</v>
          </cell>
        </row>
        <row r="1646">
          <cell r="K1646">
            <v>44665</v>
          </cell>
          <cell r="L1646">
            <v>140.14</v>
          </cell>
        </row>
        <row r="1646">
          <cell r="N1646">
            <v>44721</v>
          </cell>
          <cell r="O1646">
            <v>109.09</v>
          </cell>
        </row>
        <row r="1647">
          <cell r="B1647">
            <v>44722</v>
          </cell>
          <cell r="C1647">
            <v>107.82</v>
          </cell>
        </row>
        <row r="1647">
          <cell r="E1647">
            <v>44666</v>
          </cell>
          <cell r="F1647">
            <v>127.56</v>
          </cell>
        </row>
        <row r="1647">
          <cell r="H1647">
            <v>44666</v>
          </cell>
          <cell r="I1647">
            <v>71.26</v>
          </cell>
        </row>
        <row r="1647">
          <cell r="K1647">
            <v>44666</v>
          </cell>
          <cell r="L1647">
            <v>140.13</v>
          </cell>
        </row>
        <row r="1647">
          <cell r="N1647">
            <v>44722</v>
          </cell>
          <cell r="O1647">
            <v>108.53</v>
          </cell>
        </row>
        <row r="1648">
          <cell r="B1648">
            <v>44725</v>
          </cell>
          <cell r="C1648">
            <v>108.6</v>
          </cell>
        </row>
        <row r="1648">
          <cell r="E1648">
            <v>44669</v>
          </cell>
          <cell r="F1648">
            <v>129.23</v>
          </cell>
        </row>
        <row r="1648">
          <cell r="H1648">
            <v>44669</v>
          </cell>
          <cell r="I1648">
            <v>72.39</v>
          </cell>
        </row>
        <row r="1648">
          <cell r="K1648">
            <v>44669</v>
          </cell>
          <cell r="L1648">
            <v>141</v>
          </cell>
        </row>
        <row r="1648">
          <cell r="N1648">
            <v>44725</v>
          </cell>
          <cell r="O1648">
            <v>109.16</v>
          </cell>
        </row>
        <row r="1649">
          <cell r="B1649">
            <v>44726</v>
          </cell>
          <cell r="C1649">
            <v>108.9</v>
          </cell>
        </row>
        <row r="1649">
          <cell r="E1649">
            <v>44670</v>
          </cell>
          <cell r="F1649">
            <v>128.44</v>
          </cell>
        </row>
        <row r="1649">
          <cell r="H1649">
            <v>44670</v>
          </cell>
          <cell r="I1649">
            <v>72.02</v>
          </cell>
        </row>
        <row r="1649">
          <cell r="K1649">
            <v>44670</v>
          </cell>
          <cell r="L1649">
            <v>141.21</v>
          </cell>
        </row>
        <row r="1649">
          <cell r="N1649">
            <v>44726</v>
          </cell>
          <cell r="O1649">
            <v>109.32</v>
          </cell>
        </row>
        <row r="1650">
          <cell r="B1650">
            <v>44727</v>
          </cell>
          <cell r="C1650">
            <v>108.79</v>
          </cell>
        </row>
        <row r="1650">
          <cell r="E1650">
            <v>44671</v>
          </cell>
          <cell r="F1650">
            <v>130.86</v>
          </cell>
        </row>
        <row r="1650">
          <cell r="H1650">
            <v>44671</v>
          </cell>
          <cell r="I1650">
            <v>72.09</v>
          </cell>
        </row>
        <row r="1650">
          <cell r="K1650">
            <v>44671</v>
          </cell>
          <cell r="L1650">
            <v>141.27</v>
          </cell>
        </row>
        <row r="1650">
          <cell r="N1650">
            <v>44727</v>
          </cell>
          <cell r="O1650">
            <v>108.98</v>
          </cell>
        </row>
        <row r="1651">
          <cell r="B1651">
            <v>44728</v>
          </cell>
          <cell r="C1651">
            <v>108.73</v>
          </cell>
        </row>
        <row r="1651">
          <cell r="E1651">
            <v>44672</v>
          </cell>
          <cell r="F1651">
            <v>130.32</v>
          </cell>
        </row>
        <row r="1651">
          <cell r="H1651">
            <v>44672</v>
          </cell>
          <cell r="I1651">
            <v>72.76</v>
          </cell>
        </row>
        <row r="1651">
          <cell r="K1651">
            <v>44672</v>
          </cell>
          <cell r="L1651">
            <v>141.73</v>
          </cell>
        </row>
        <row r="1651">
          <cell r="N1651">
            <v>44728</v>
          </cell>
          <cell r="O1651">
            <v>109.61</v>
          </cell>
        </row>
        <row r="1652">
          <cell r="B1652">
            <v>44729</v>
          </cell>
          <cell r="C1652">
            <v>108.98</v>
          </cell>
        </row>
        <row r="1652">
          <cell r="E1652">
            <v>44673</v>
          </cell>
          <cell r="F1652">
            <v>129.08</v>
          </cell>
        </row>
        <row r="1652">
          <cell r="H1652">
            <v>44673</v>
          </cell>
          <cell r="I1652">
            <v>72.14</v>
          </cell>
        </row>
        <row r="1652">
          <cell r="K1652">
            <v>44673</v>
          </cell>
          <cell r="L1652">
            <v>142.3</v>
          </cell>
        </row>
        <row r="1652">
          <cell r="N1652">
            <v>44729</v>
          </cell>
          <cell r="O1652">
            <v>108.51</v>
          </cell>
        </row>
        <row r="1653">
          <cell r="B1653">
            <v>44732</v>
          </cell>
          <cell r="C1653">
            <v>108.98</v>
          </cell>
        </row>
        <row r="1653">
          <cell r="E1653">
            <v>44676</v>
          </cell>
          <cell r="F1653">
            <v>129.22</v>
          </cell>
        </row>
        <row r="1653">
          <cell r="H1653">
            <v>44676</v>
          </cell>
          <cell r="I1653">
            <v>72.21</v>
          </cell>
        </row>
        <row r="1653">
          <cell r="K1653">
            <v>44676</v>
          </cell>
          <cell r="L1653">
            <v>142.48</v>
          </cell>
        </row>
        <row r="1653">
          <cell r="N1653">
            <v>44732</v>
          </cell>
          <cell r="O1653">
            <v>108.51</v>
          </cell>
        </row>
        <row r="1654">
          <cell r="B1654">
            <v>44733</v>
          </cell>
          <cell r="C1654">
            <v>108.5</v>
          </cell>
        </row>
        <row r="1654">
          <cell r="E1654">
            <v>44677</v>
          </cell>
          <cell r="F1654">
            <v>129.84</v>
          </cell>
        </row>
        <row r="1654">
          <cell r="H1654">
            <v>44677</v>
          </cell>
          <cell r="I1654">
            <v>72.58</v>
          </cell>
        </row>
        <row r="1654">
          <cell r="K1654">
            <v>44677</v>
          </cell>
          <cell r="L1654">
            <v>143.57</v>
          </cell>
        </row>
        <row r="1654">
          <cell r="N1654">
            <v>44733</v>
          </cell>
          <cell r="O1654">
            <v>109.32</v>
          </cell>
        </row>
        <row r="1655">
          <cell r="B1655">
            <v>44734</v>
          </cell>
          <cell r="C1655">
            <v>108.5</v>
          </cell>
        </row>
        <row r="1655">
          <cell r="E1655">
            <v>44678</v>
          </cell>
          <cell r="F1655">
            <v>130.56</v>
          </cell>
        </row>
        <row r="1655">
          <cell r="H1655">
            <v>44678</v>
          </cell>
          <cell r="I1655">
            <v>72.83</v>
          </cell>
        </row>
        <row r="1655">
          <cell r="K1655">
            <v>44678</v>
          </cell>
          <cell r="L1655">
            <v>143.84</v>
          </cell>
        </row>
        <row r="1655">
          <cell r="N1655">
            <v>44734</v>
          </cell>
          <cell r="O1655">
            <v>109.49</v>
          </cell>
        </row>
        <row r="1656">
          <cell r="B1656">
            <v>44735</v>
          </cell>
          <cell r="C1656">
            <v>108.96</v>
          </cell>
        </row>
        <row r="1656">
          <cell r="E1656">
            <v>44679</v>
          </cell>
          <cell r="F1656">
            <v>130.95</v>
          </cell>
        </row>
        <row r="1656">
          <cell r="H1656">
            <v>44679</v>
          </cell>
          <cell r="I1656">
            <v>72.96</v>
          </cell>
        </row>
        <row r="1656">
          <cell r="K1656">
            <v>44679</v>
          </cell>
          <cell r="L1656">
            <v>145.55</v>
          </cell>
        </row>
        <row r="1656">
          <cell r="N1656">
            <v>44735</v>
          </cell>
          <cell r="O1656">
            <v>109.05</v>
          </cell>
        </row>
        <row r="1657">
          <cell r="B1657">
            <v>44736</v>
          </cell>
          <cell r="C1657">
            <v>108.23</v>
          </cell>
        </row>
        <row r="1657">
          <cell r="E1657">
            <v>44680</v>
          </cell>
          <cell r="F1657">
            <v>129.78</v>
          </cell>
        </row>
        <row r="1657">
          <cell r="H1657">
            <v>44680</v>
          </cell>
          <cell r="I1657">
            <v>73.45</v>
          </cell>
        </row>
        <row r="1657">
          <cell r="K1657">
            <v>44680</v>
          </cell>
          <cell r="L1657">
            <v>144.59</v>
          </cell>
        </row>
        <row r="1657">
          <cell r="N1657">
            <v>44736</v>
          </cell>
          <cell r="O1657">
            <v>109.52</v>
          </cell>
        </row>
        <row r="1658">
          <cell r="B1658">
            <v>44739</v>
          </cell>
          <cell r="C1658">
            <v>108.34</v>
          </cell>
        </row>
        <row r="1658">
          <cell r="E1658">
            <v>44683</v>
          </cell>
          <cell r="F1658">
            <v>128.75</v>
          </cell>
        </row>
        <row r="1658">
          <cell r="H1658">
            <v>44683</v>
          </cell>
          <cell r="I1658">
            <v>74.1</v>
          </cell>
        </row>
        <row r="1658">
          <cell r="K1658">
            <v>44683</v>
          </cell>
          <cell r="L1658">
            <v>145.25</v>
          </cell>
        </row>
        <row r="1658">
          <cell r="N1658">
            <v>44739</v>
          </cell>
          <cell r="O1658">
            <v>108.49</v>
          </cell>
        </row>
        <row r="1659">
          <cell r="B1659">
            <v>44740</v>
          </cell>
          <cell r="C1659">
            <v>108.07</v>
          </cell>
        </row>
        <row r="1659">
          <cell r="E1659">
            <v>44684</v>
          </cell>
          <cell r="F1659">
            <v>128.4</v>
          </cell>
        </row>
        <row r="1659">
          <cell r="H1659">
            <v>44684</v>
          </cell>
          <cell r="I1659">
            <v>74.97</v>
          </cell>
        </row>
        <row r="1659">
          <cell r="K1659">
            <v>44684</v>
          </cell>
          <cell r="L1659">
            <v>146.26</v>
          </cell>
        </row>
        <row r="1659">
          <cell r="N1659">
            <v>44740</v>
          </cell>
          <cell r="O1659">
            <v>108.64</v>
          </cell>
        </row>
        <row r="1660">
          <cell r="B1660">
            <v>44741</v>
          </cell>
          <cell r="C1660">
            <v>108.58</v>
          </cell>
        </row>
        <row r="1660">
          <cell r="E1660">
            <v>44685</v>
          </cell>
          <cell r="F1660">
            <v>128.23</v>
          </cell>
        </row>
        <row r="1660">
          <cell r="H1660">
            <v>44685</v>
          </cell>
          <cell r="I1660">
            <v>75.8</v>
          </cell>
        </row>
        <row r="1660">
          <cell r="K1660">
            <v>44685</v>
          </cell>
          <cell r="L1660">
            <v>146.74</v>
          </cell>
        </row>
        <row r="1660">
          <cell r="N1660">
            <v>44741</v>
          </cell>
          <cell r="O1660">
            <v>108.89</v>
          </cell>
        </row>
        <row r="1661">
          <cell r="B1661">
            <v>44742</v>
          </cell>
          <cell r="C1661">
            <v>108.12</v>
          </cell>
        </row>
        <row r="1661">
          <cell r="E1661">
            <v>44686</v>
          </cell>
          <cell r="F1661">
            <v>127.67</v>
          </cell>
        </row>
        <row r="1661">
          <cell r="H1661">
            <v>44686</v>
          </cell>
          <cell r="I1661">
            <v>76.1</v>
          </cell>
        </row>
        <row r="1661">
          <cell r="K1661">
            <v>44686</v>
          </cell>
          <cell r="L1661">
            <v>145.58</v>
          </cell>
        </row>
        <row r="1661">
          <cell r="N1661">
            <v>44742</v>
          </cell>
          <cell r="O1661">
            <v>108.94</v>
          </cell>
        </row>
        <row r="1662">
          <cell r="B1662">
            <v>44743</v>
          </cell>
          <cell r="C1662">
            <v>108.58</v>
          </cell>
        </row>
        <row r="1662">
          <cell r="E1662">
            <v>44687</v>
          </cell>
          <cell r="F1662">
            <v>127.86</v>
          </cell>
        </row>
        <row r="1662">
          <cell r="H1662">
            <v>44687</v>
          </cell>
          <cell r="I1662">
            <v>76.44</v>
          </cell>
        </row>
        <row r="1662">
          <cell r="K1662">
            <v>44687</v>
          </cell>
          <cell r="L1662">
            <v>146.68</v>
          </cell>
        </row>
        <row r="1662">
          <cell r="N1662">
            <v>44743</v>
          </cell>
          <cell r="O1662">
            <v>109.26</v>
          </cell>
        </row>
        <row r="1663">
          <cell r="B1663">
            <v>44746</v>
          </cell>
          <cell r="C1663">
            <v>108.6</v>
          </cell>
        </row>
        <row r="1663">
          <cell r="E1663">
            <v>44690</v>
          </cell>
          <cell r="F1663">
            <v>126</v>
          </cell>
        </row>
        <row r="1663">
          <cell r="H1663">
            <v>44690</v>
          </cell>
          <cell r="I1663">
            <v>78.22</v>
          </cell>
        </row>
        <row r="1663">
          <cell r="K1663">
            <v>44690</v>
          </cell>
          <cell r="L1663">
            <v>148.24</v>
          </cell>
        </row>
        <row r="1663">
          <cell r="N1663">
            <v>44746</v>
          </cell>
          <cell r="O1663">
            <v>109.26</v>
          </cell>
        </row>
        <row r="1664">
          <cell r="B1664">
            <v>44747</v>
          </cell>
          <cell r="C1664">
            <v>108.45</v>
          </cell>
        </row>
        <row r="1664">
          <cell r="E1664">
            <v>44691</v>
          </cell>
          <cell r="F1664">
            <v>128.27</v>
          </cell>
        </row>
        <row r="1664">
          <cell r="H1664">
            <v>44691</v>
          </cell>
          <cell r="I1664">
            <v>77.79</v>
          </cell>
        </row>
        <row r="1664">
          <cell r="K1664">
            <v>44691</v>
          </cell>
          <cell r="L1664">
            <v>148.41</v>
          </cell>
        </row>
        <row r="1664">
          <cell r="N1664">
            <v>44747</v>
          </cell>
          <cell r="O1664">
            <v>108.73</v>
          </cell>
        </row>
        <row r="1665">
          <cell r="B1665">
            <v>44748</v>
          </cell>
          <cell r="C1665">
            <v>108.25</v>
          </cell>
        </row>
        <row r="1665">
          <cell r="E1665">
            <v>44692</v>
          </cell>
          <cell r="F1665">
            <v>128.98</v>
          </cell>
        </row>
        <row r="1665">
          <cell r="H1665">
            <v>44692</v>
          </cell>
          <cell r="I1665">
            <v>77.46</v>
          </cell>
        </row>
        <row r="1665">
          <cell r="K1665">
            <v>44692</v>
          </cell>
          <cell r="L1665">
            <v>148.84</v>
          </cell>
        </row>
        <row r="1665">
          <cell r="N1665">
            <v>44748</v>
          </cell>
          <cell r="O1665">
            <v>109.77</v>
          </cell>
        </row>
        <row r="1666">
          <cell r="B1666">
            <v>44749</v>
          </cell>
          <cell r="C1666">
            <v>108.34</v>
          </cell>
        </row>
        <row r="1666">
          <cell r="E1666">
            <v>44693</v>
          </cell>
          <cell r="F1666">
            <v>127.75</v>
          </cell>
        </row>
        <row r="1666">
          <cell r="H1666">
            <v>44693</v>
          </cell>
          <cell r="I1666">
            <v>77.41</v>
          </cell>
        </row>
        <row r="1666">
          <cell r="K1666">
            <v>44693</v>
          </cell>
          <cell r="L1666">
            <v>149.43</v>
          </cell>
        </row>
        <row r="1666">
          <cell r="N1666">
            <v>44749</v>
          </cell>
          <cell r="O1666">
            <v>109.18</v>
          </cell>
        </row>
        <row r="1667">
          <cell r="B1667">
            <v>44750</v>
          </cell>
          <cell r="C1667">
            <v>108.65</v>
          </cell>
        </row>
        <row r="1667">
          <cell r="E1667">
            <v>44694</v>
          </cell>
          <cell r="F1667">
            <v>127.63</v>
          </cell>
        </row>
        <row r="1667">
          <cell r="H1667">
            <v>44694</v>
          </cell>
          <cell r="I1667">
            <v>76.79</v>
          </cell>
        </row>
        <row r="1667">
          <cell r="K1667">
            <v>44694</v>
          </cell>
          <cell r="L1667">
            <v>147.82</v>
          </cell>
        </row>
        <row r="1667">
          <cell r="N1667">
            <v>44750</v>
          </cell>
          <cell r="O1667">
            <v>109.3</v>
          </cell>
        </row>
        <row r="1668">
          <cell r="B1668">
            <v>44753</v>
          </cell>
          <cell r="C1668">
            <v>108.62</v>
          </cell>
        </row>
        <row r="1668">
          <cell r="E1668">
            <v>44697</v>
          </cell>
          <cell r="F1668">
            <v>127.76</v>
          </cell>
        </row>
        <row r="1668">
          <cell r="H1668">
            <v>44697</v>
          </cell>
          <cell r="I1668">
            <v>77.42</v>
          </cell>
        </row>
        <row r="1668">
          <cell r="K1668">
            <v>44697</v>
          </cell>
          <cell r="L1668">
            <v>148.49</v>
          </cell>
        </row>
        <row r="1668">
          <cell r="N1668">
            <v>44753</v>
          </cell>
          <cell r="O1668">
            <v>110.19</v>
          </cell>
        </row>
        <row r="1669">
          <cell r="B1669">
            <v>44754</v>
          </cell>
          <cell r="C1669">
            <v>107.7</v>
          </cell>
        </row>
        <row r="1669">
          <cell r="E1669">
            <v>44698</v>
          </cell>
          <cell r="F1669">
            <v>126.81</v>
          </cell>
        </row>
        <row r="1669">
          <cell r="H1669">
            <v>44698</v>
          </cell>
          <cell r="I1669">
            <v>78.46</v>
          </cell>
        </row>
        <row r="1669">
          <cell r="K1669">
            <v>44698</v>
          </cell>
          <cell r="L1669">
            <v>148.17</v>
          </cell>
        </row>
        <row r="1669">
          <cell r="N1669">
            <v>44754</v>
          </cell>
          <cell r="O1669">
            <v>110.07</v>
          </cell>
        </row>
        <row r="1670">
          <cell r="B1670">
            <v>44755</v>
          </cell>
          <cell r="C1670">
            <v>107.64</v>
          </cell>
        </row>
        <row r="1670">
          <cell r="E1670">
            <v>44699</v>
          </cell>
          <cell r="F1670">
            <v>125.25</v>
          </cell>
        </row>
        <row r="1670">
          <cell r="H1670">
            <v>44699</v>
          </cell>
          <cell r="I1670">
            <v>78.38</v>
          </cell>
        </row>
        <row r="1670">
          <cell r="K1670">
            <v>44699</v>
          </cell>
          <cell r="L1670">
            <v>146.8</v>
          </cell>
        </row>
        <row r="1670">
          <cell r="N1670">
            <v>44755</v>
          </cell>
          <cell r="O1670">
            <v>109.83</v>
          </cell>
        </row>
        <row r="1671">
          <cell r="B1671">
            <v>44756</v>
          </cell>
          <cell r="C1671">
            <v>107.45</v>
          </cell>
        </row>
        <row r="1671">
          <cell r="E1671">
            <v>44700</v>
          </cell>
          <cell r="F1671">
            <v>124.38</v>
          </cell>
        </row>
        <row r="1671">
          <cell r="H1671">
            <v>44700</v>
          </cell>
          <cell r="I1671">
            <v>77.81</v>
          </cell>
        </row>
        <row r="1671">
          <cell r="K1671">
            <v>44700</v>
          </cell>
          <cell r="L1671">
            <v>145.59</v>
          </cell>
        </row>
        <row r="1671">
          <cell r="N1671">
            <v>44756</v>
          </cell>
          <cell r="O1671">
            <v>110.05</v>
          </cell>
        </row>
        <row r="1672">
          <cell r="B1672">
            <v>44757</v>
          </cell>
          <cell r="C1672">
            <v>107.41</v>
          </cell>
        </row>
        <row r="1672">
          <cell r="E1672">
            <v>44701</v>
          </cell>
          <cell r="F1672">
            <v>124.43</v>
          </cell>
        </row>
        <row r="1672">
          <cell r="H1672">
            <v>44701</v>
          </cell>
          <cell r="I1672">
            <v>77.56</v>
          </cell>
        </row>
        <row r="1672">
          <cell r="K1672">
            <v>44701</v>
          </cell>
          <cell r="L1672">
            <v>145.24</v>
          </cell>
        </row>
        <row r="1672">
          <cell r="N1672">
            <v>44757</v>
          </cell>
          <cell r="O1672">
            <v>110.03</v>
          </cell>
        </row>
        <row r="1673">
          <cell r="B1673">
            <v>44760</v>
          </cell>
          <cell r="C1673">
            <v>107.75</v>
          </cell>
        </row>
        <row r="1673">
          <cell r="E1673">
            <v>44704</v>
          </cell>
          <cell r="F1673">
            <v>124.9</v>
          </cell>
        </row>
        <row r="1673">
          <cell r="H1673">
            <v>44704</v>
          </cell>
          <cell r="I1673">
            <v>77.64</v>
          </cell>
        </row>
        <row r="1673">
          <cell r="K1673">
            <v>44704</v>
          </cell>
          <cell r="L1673">
            <v>146.1</v>
          </cell>
        </row>
        <row r="1673">
          <cell r="N1673">
            <v>44760</v>
          </cell>
          <cell r="O1673">
            <v>109.53</v>
          </cell>
        </row>
        <row r="1674">
          <cell r="B1674">
            <v>44761</v>
          </cell>
          <cell r="C1674">
            <v>107.53</v>
          </cell>
        </row>
        <row r="1674">
          <cell r="E1674">
            <v>44705</v>
          </cell>
          <cell r="F1674">
            <v>126.34</v>
          </cell>
        </row>
        <row r="1674">
          <cell r="H1674">
            <v>44705</v>
          </cell>
          <cell r="I1674">
            <v>78.29</v>
          </cell>
        </row>
        <row r="1674">
          <cell r="K1674">
            <v>44705</v>
          </cell>
          <cell r="L1674">
            <v>146.05</v>
          </cell>
        </row>
        <row r="1674">
          <cell r="N1674">
            <v>44761</v>
          </cell>
          <cell r="O1674">
            <v>109.15</v>
          </cell>
        </row>
        <row r="1675">
          <cell r="B1675">
            <v>44762</v>
          </cell>
          <cell r="C1675">
            <v>107.36</v>
          </cell>
        </row>
        <row r="1675">
          <cell r="E1675">
            <v>44706</v>
          </cell>
          <cell r="F1675">
            <v>126.15</v>
          </cell>
        </row>
        <row r="1675">
          <cell r="H1675">
            <v>44706</v>
          </cell>
          <cell r="I1675">
            <v>78.97</v>
          </cell>
        </row>
        <row r="1675">
          <cell r="K1675">
            <v>44706</v>
          </cell>
          <cell r="L1675">
            <v>146.24</v>
          </cell>
        </row>
        <row r="1675">
          <cell r="N1675">
            <v>44762</v>
          </cell>
          <cell r="O1675">
            <v>108.37</v>
          </cell>
        </row>
        <row r="1676">
          <cell r="B1676">
            <v>44763</v>
          </cell>
          <cell r="C1676">
            <v>107.72</v>
          </cell>
        </row>
        <row r="1676">
          <cell r="E1676">
            <v>44707</v>
          </cell>
          <cell r="F1676">
            <v>126.6</v>
          </cell>
        </row>
        <row r="1676">
          <cell r="H1676">
            <v>44707</v>
          </cell>
          <cell r="I1676">
            <v>78.87</v>
          </cell>
        </row>
        <row r="1676">
          <cell r="K1676">
            <v>44707</v>
          </cell>
          <cell r="L1676">
            <v>146.54</v>
          </cell>
        </row>
        <row r="1676">
          <cell r="N1676">
            <v>44763</v>
          </cell>
          <cell r="O1676">
            <v>108.74</v>
          </cell>
        </row>
        <row r="1677">
          <cell r="B1677">
            <v>44764</v>
          </cell>
          <cell r="C1677">
            <v>107.86</v>
          </cell>
        </row>
        <row r="1677">
          <cell r="E1677">
            <v>44708</v>
          </cell>
          <cell r="F1677">
            <v>127.55</v>
          </cell>
        </row>
        <row r="1677">
          <cell r="H1677">
            <v>44708</v>
          </cell>
          <cell r="I1677">
            <v>78.39</v>
          </cell>
        </row>
        <row r="1677">
          <cell r="K1677">
            <v>44708</v>
          </cell>
          <cell r="L1677">
            <v>146.5</v>
          </cell>
        </row>
        <row r="1677">
          <cell r="N1677">
            <v>44764</v>
          </cell>
          <cell r="O1677">
            <v>109.33</v>
          </cell>
        </row>
        <row r="1678">
          <cell r="B1678">
            <v>44767</v>
          </cell>
          <cell r="C1678">
            <v>107.71</v>
          </cell>
        </row>
        <row r="1678">
          <cell r="E1678">
            <v>44711</v>
          </cell>
          <cell r="F1678">
            <v>127.57</v>
          </cell>
        </row>
        <row r="1678">
          <cell r="H1678">
            <v>44711</v>
          </cell>
          <cell r="I1678">
            <v>78.59</v>
          </cell>
        </row>
        <row r="1678">
          <cell r="K1678">
            <v>44711</v>
          </cell>
          <cell r="L1678">
            <v>146.14</v>
          </cell>
        </row>
        <row r="1678">
          <cell r="N1678">
            <v>44767</v>
          </cell>
          <cell r="O1678">
            <v>108.88</v>
          </cell>
        </row>
        <row r="1679">
          <cell r="B1679">
            <v>44768</v>
          </cell>
          <cell r="C1679">
            <v>107.63</v>
          </cell>
        </row>
        <row r="1679">
          <cell r="E1679">
            <v>44712</v>
          </cell>
          <cell r="F1679">
            <v>127.72</v>
          </cell>
        </row>
        <row r="1679">
          <cell r="H1679">
            <v>44712</v>
          </cell>
          <cell r="I1679">
            <v>79.32</v>
          </cell>
        </row>
        <row r="1679">
          <cell r="K1679">
            <v>44712</v>
          </cell>
          <cell r="L1679">
            <v>146.88</v>
          </cell>
        </row>
        <row r="1679">
          <cell r="N1679">
            <v>44768</v>
          </cell>
          <cell r="O1679">
            <v>108.76</v>
          </cell>
        </row>
        <row r="1680">
          <cell r="B1680">
            <v>44769</v>
          </cell>
          <cell r="C1680">
            <v>107.73</v>
          </cell>
        </row>
        <row r="1680">
          <cell r="E1680">
            <v>44713</v>
          </cell>
          <cell r="F1680">
            <v>128.58</v>
          </cell>
        </row>
        <row r="1680">
          <cell r="H1680">
            <v>44713</v>
          </cell>
          <cell r="I1680">
            <v>79.56</v>
          </cell>
        </row>
        <row r="1680">
          <cell r="K1680">
            <v>44713</v>
          </cell>
          <cell r="L1680">
            <v>147.18</v>
          </cell>
        </row>
        <row r="1680">
          <cell r="N1680">
            <v>44769</v>
          </cell>
          <cell r="O1680">
            <v>108.3</v>
          </cell>
        </row>
        <row r="1681">
          <cell r="B1681">
            <v>44770</v>
          </cell>
          <cell r="C1681">
            <v>107.12</v>
          </cell>
        </row>
        <row r="1681">
          <cell r="E1681">
            <v>44714</v>
          </cell>
          <cell r="F1681">
            <v>128.12</v>
          </cell>
        </row>
        <row r="1681">
          <cell r="H1681">
            <v>44714</v>
          </cell>
          <cell r="I1681">
            <v>78.44</v>
          </cell>
        </row>
        <row r="1681">
          <cell r="K1681">
            <v>44714</v>
          </cell>
          <cell r="L1681">
            <v>146.05</v>
          </cell>
        </row>
        <row r="1681">
          <cell r="N1681">
            <v>44770</v>
          </cell>
          <cell r="O1681">
            <v>108.07</v>
          </cell>
        </row>
        <row r="1682">
          <cell r="B1682">
            <v>44771</v>
          </cell>
          <cell r="C1682">
            <v>107.35</v>
          </cell>
        </row>
        <row r="1682">
          <cell r="E1682">
            <v>44715</v>
          </cell>
          <cell r="F1682">
            <v>129.74</v>
          </cell>
        </row>
        <row r="1682">
          <cell r="H1682">
            <v>44715</v>
          </cell>
          <cell r="I1682">
            <v>78.65</v>
          </cell>
        </row>
        <row r="1682">
          <cell r="K1682">
            <v>44715</v>
          </cell>
          <cell r="L1682">
            <v>146.52</v>
          </cell>
        </row>
        <row r="1682">
          <cell r="N1682">
            <v>44771</v>
          </cell>
          <cell r="O1682">
            <v>108.26</v>
          </cell>
        </row>
        <row r="1683">
          <cell r="B1683">
            <v>44774</v>
          </cell>
          <cell r="C1683">
            <v>107.26</v>
          </cell>
        </row>
        <row r="1683">
          <cell r="E1683">
            <v>44718</v>
          </cell>
          <cell r="F1683">
            <v>129.47</v>
          </cell>
        </row>
        <row r="1683">
          <cell r="H1683">
            <v>44718</v>
          </cell>
          <cell r="I1683">
            <v>78.89</v>
          </cell>
        </row>
        <row r="1683">
          <cell r="K1683">
            <v>44718</v>
          </cell>
          <cell r="L1683">
            <v>146.59</v>
          </cell>
        </row>
        <row r="1683">
          <cell r="N1683">
            <v>44774</v>
          </cell>
          <cell r="O1683">
            <v>107.92</v>
          </cell>
        </row>
        <row r="1684">
          <cell r="B1684">
            <v>44775</v>
          </cell>
          <cell r="C1684">
            <v>107.87</v>
          </cell>
        </row>
        <row r="1684">
          <cell r="E1684">
            <v>44719</v>
          </cell>
          <cell r="F1684">
            <v>130.12</v>
          </cell>
        </row>
        <row r="1684">
          <cell r="H1684">
            <v>44719</v>
          </cell>
          <cell r="I1684">
            <v>78.74</v>
          </cell>
        </row>
        <row r="1684">
          <cell r="K1684">
            <v>44719</v>
          </cell>
          <cell r="L1684">
            <v>146.46</v>
          </cell>
        </row>
        <row r="1684">
          <cell r="N1684">
            <v>44775</v>
          </cell>
          <cell r="O1684">
            <v>107.45</v>
          </cell>
        </row>
        <row r="1685">
          <cell r="B1685">
            <v>44776</v>
          </cell>
          <cell r="C1685">
            <v>107.74</v>
          </cell>
        </row>
        <row r="1685">
          <cell r="E1685">
            <v>44720</v>
          </cell>
          <cell r="F1685">
            <v>128.99</v>
          </cell>
        </row>
        <row r="1685">
          <cell r="H1685">
            <v>44720</v>
          </cell>
          <cell r="I1685">
            <v>78.36</v>
          </cell>
        </row>
        <row r="1685">
          <cell r="K1685">
            <v>44720</v>
          </cell>
          <cell r="L1685">
            <v>146.35</v>
          </cell>
        </row>
        <row r="1685">
          <cell r="N1685">
            <v>44776</v>
          </cell>
          <cell r="O1685">
            <v>107.61</v>
          </cell>
        </row>
        <row r="1686">
          <cell r="B1686">
            <v>44777</v>
          </cell>
          <cell r="C1686">
            <v>107.94</v>
          </cell>
        </row>
        <row r="1686">
          <cell r="E1686">
            <v>44721</v>
          </cell>
          <cell r="F1686">
            <v>129.76</v>
          </cell>
        </row>
        <row r="1686">
          <cell r="H1686">
            <v>44721</v>
          </cell>
          <cell r="I1686">
            <v>78.81</v>
          </cell>
        </row>
        <row r="1686">
          <cell r="K1686">
            <v>44721</v>
          </cell>
          <cell r="L1686">
            <v>147.11</v>
          </cell>
        </row>
        <row r="1686">
          <cell r="N1686">
            <v>44777</v>
          </cell>
          <cell r="O1686">
            <v>108.32</v>
          </cell>
        </row>
        <row r="1687">
          <cell r="B1687">
            <v>44778</v>
          </cell>
          <cell r="C1687">
            <v>108.07</v>
          </cell>
        </row>
        <row r="1687">
          <cell r="E1687">
            <v>44722</v>
          </cell>
          <cell r="F1687">
            <v>130.29</v>
          </cell>
        </row>
        <row r="1687">
          <cell r="H1687">
            <v>44722</v>
          </cell>
          <cell r="I1687">
            <v>78.14</v>
          </cell>
        </row>
        <row r="1687">
          <cell r="K1687">
            <v>44722</v>
          </cell>
          <cell r="L1687">
            <v>146.25</v>
          </cell>
        </row>
        <row r="1687">
          <cell r="N1687">
            <v>44778</v>
          </cell>
          <cell r="O1687">
            <v>107.85</v>
          </cell>
        </row>
        <row r="1688">
          <cell r="B1688">
            <v>44781</v>
          </cell>
          <cell r="C1688">
            <v>108.12</v>
          </cell>
        </row>
        <row r="1688">
          <cell r="E1688">
            <v>44725</v>
          </cell>
          <cell r="F1688">
            <v>130.99</v>
          </cell>
        </row>
        <row r="1688">
          <cell r="H1688">
            <v>44725</v>
          </cell>
          <cell r="I1688">
            <v>77.52</v>
          </cell>
        </row>
        <row r="1688">
          <cell r="K1688">
            <v>44725</v>
          </cell>
          <cell r="L1688">
            <v>147.27</v>
          </cell>
        </row>
        <row r="1688">
          <cell r="N1688">
            <v>44781</v>
          </cell>
          <cell r="O1688">
            <v>106.71</v>
          </cell>
        </row>
        <row r="1689">
          <cell r="B1689">
            <v>44782</v>
          </cell>
          <cell r="C1689">
            <v>108.18</v>
          </cell>
        </row>
        <row r="1689">
          <cell r="E1689">
            <v>44726</v>
          </cell>
          <cell r="F1689">
            <v>132.34</v>
          </cell>
        </row>
        <row r="1689">
          <cell r="H1689">
            <v>44726</v>
          </cell>
          <cell r="I1689">
            <v>78.21</v>
          </cell>
        </row>
        <row r="1689">
          <cell r="K1689">
            <v>44726</v>
          </cell>
          <cell r="L1689">
            <v>148.01</v>
          </cell>
        </row>
        <row r="1689">
          <cell r="N1689">
            <v>44782</v>
          </cell>
          <cell r="O1689">
            <v>107.25</v>
          </cell>
        </row>
        <row r="1690">
          <cell r="B1690">
            <v>44783</v>
          </cell>
          <cell r="C1690">
            <v>108.6</v>
          </cell>
        </row>
        <row r="1690">
          <cell r="E1690">
            <v>44727</v>
          </cell>
          <cell r="F1690">
            <v>131.61</v>
          </cell>
        </row>
        <row r="1690">
          <cell r="H1690">
            <v>44727</v>
          </cell>
          <cell r="I1690">
            <v>78.09</v>
          </cell>
        </row>
        <row r="1690">
          <cell r="K1690">
            <v>44727</v>
          </cell>
          <cell r="L1690">
            <v>147.17</v>
          </cell>
        </row>
        <row r="1690">
          <cell r="N1690">
            <v>44783</v>
          </cell>
          <cell r="O1690">
            <v>106.56</v>
          </cell>
        </row>
        <row r="1691">
          <cell r="B1691">
            <v>44784</v>
          </cell>
          <cell r="C1691">
            <v>108.24</v>
          </cell>
        </row>
        <row r="1691">
          <cell r="E1691">
            <v>44728</v>
          </cell>
          <cell r="F1691">
            <v>131.49</v>
          </cell>
        </row>
        <row r="1691">
          <cell r="H1691">
            <v>44728</v>
          </cell>
          <cell r="I1691">
            <v>77.35</v>
          </cell>
        </row>
        <row r="1691">
          <cell r="K1691">
            <v>44728</v>
          </cell>
          <cell r="L1691">
            <v>147.09</v>
          </cell>
        </row>
        <row r="1691">
          <cell r="N1691">
            <v>44784</v>
          </cell>
          <cell r="O1691">
            <v>106.31</v>
          </cell>
        </row>
        <row r="1692">
          <cell r="B1692">
            <v>44785</v>
          </cell>
          <cell r="C1692">
            <v>107.88</v>
          </cell>
        </row>
        <row r="1692">
          <cell r="E1692">
            <v>44729</v>
          </cell>
          <cell r="F1692">
            <v>130.08</v>
          </cell>
        </row>
        <row r="1692">
          <cell r="H1692">
            <v>44729</v>
          </cell>
          <cell r="I1692">
            <v>76.93</v>
          </cell>
        </row>
        <row r="1692">
          <cell r="K1692">
            <v>44729</v>
          </cell>
          <cell r="L1692">
            <v>145.72</v>
          </cell>
        </row>
        <row r="1692">
          <cell r="N1692">
            <v>44785</v>
          </cell>
          <cell r="O1692">
            <v>106.01</v>
          </cell>
        </row>
        <row r="1693">
          <cell r="B1693">
            <v>44788</v>
          </cell>
          <cell r="C1693">
            <v>107.67</v>
          </cell>
        </row>
        <row r="1693">
          <cell r="E1693">
            <v>44732</v>
          </cell>
          <cell r="F1693">
            <v>130.09</v>
          </cell>
        </row>
        <row r="1693">
          <cell r="H1693">
            <v>44732</v>
          </cell>
          <cell r="I1693">
            <v>77.16</v>
          </cell>
        </row>
        <row r="1693">
          <cell r="K1693">
            <v>44732</v>
          </cell>
          <cell r="L1693">
            <v>145.39</v>
          </cell>
        </row>
        <row r="1693">
          <cell r="N1693">
            <v>44788</v>
          </cell>
          <cell r="O1693">
            <v>106.02</v>
          </cell>
        </row>
        <row r="1694">
          <cell r="B1694">
            <v>44789</v>
          </cell>
          <cell r="C1694">
            <v>107.75</v>
          </cell>
        </row>
        <row r="1694">
          <cell r="E1694">
            <v>44733</v>
          </cell>
          <cell r="F1694">
            <v>131</v>
          </cell>
        </row>
        <row r="1694">
          <cell r="H1694">
            <v>44733</v>
          </cell>
          <cell r="I1694">
            <v>77.05</v>
          </cell>
        </row>
        <row r="1694">
          <cell r="K1694">
            <v>44733</v>
          </cell>
          <cell r="L1694">
            <v>144.73</v>
          </cell>
        </row>
        <row r="1694">
          <cell r="N1694">
            <v>44789</v>
          </cell>
          <cell r="O1694">
            <v>105.98</v>
          </cell>
        </row>
        <row r="1695">
          <cell r="B1695">
            <v>44790</v>
          </cell>
          <cell r="C1695">
            <v>107.88</v>
          </cell>
        </row>
        <row r="1695">
          <cell r="E1695">
            <v>44734</v>
          </cell>
          <cell r="F1695">
            <v>129.03</v>
          </cell>
        </row>
        <row r="1695">
          <cell r="H1695">
            <v>44734</v>
          </cell>
          <cell r="I1695">
            <v>76.12</v>
          </cell>
        </row>
        <row r="1695">
          <cell r="K1695">
            <v>44734</v>
          </cell>
          <cell r="L1695">
            <v>144.14</v>
          </cell>
        </row>
        <row r="1695">
          <cell r="N1695">
            <v>44790</v>
          </cell>
          <cell r="O1695">
            <v>106.41</v>
          </cell>
        </row>
        <row r="1696">
          <cell r="B1696">
            <v>44791</v>
          </cell>
          <cell r="C1696">
            <v>107.88</v>
          </cell>
        </row>
        <row r="1696">
          <cell r="E1696">
            <v>44735</v>
          </cell>
          <cell r="F1696">
            <v>125.19</v>
          </cell>
        </row>
        <row r="1696">
          <cell r="H1696">
            <v>44735</v>
          </cell>
          <cell r="I1696">
            <v>75.18</v>
          </cell>
        </row>
        <row r="1696">
          <cell r="K1696">
            <v>44735</v>
          </cell>
          <cell r="L1696">
            <v>143.4</v>
          </cell>
        </row>
        <row r="1696">
          <cell r="N1696">
            <v>44791</v>
          </cell>
          <cell r="O1696">
            <v>105.77</v>
          </cell>
        </row>
        <row r="1697">
          <cell r="B1697">
            <v>44792</v>
          </cell>
          <cell r="C1697">
            <v>107.54</v>
          </cell>
        </row>
        <row r="1697">
          <cell r="E1697">
            <v>44736</v>
          </cell>
          <cell r="F1697">
            <v>124.65</v>
          </cell>
        </row>
        <row r="1697">
          <cell r="H1697">
            <v>44736</v>
          </cell>
          <cell r="I1697">
            <v>74.97</v>
          </cell>
        </row>
        <row r="1697">
          <cell r="K1697">
            <v>44736</v>
          </cell>
          <cell r="L1697">
            <v>143.49</v>
          </cell>
        </row>
        <row r="1697">
          <cell r="N1697">
            <v>44792</v>
          </cell>
          <cell r="O1697">
            <v>106.17</v>
          </cell>
        </row>
        <row r="1698">
          <cell r="B1698">
            <v>44795</v>
          </cell>
          <cell r="C1698">
            <v>107.94</v>
          </cell>
        </row>
        <row r="1698">
          <cell r="E1698">
            <v>44739</v>
          </cell>
          <cell r="F1698">
            <v>126.33</v>
          </cell>
        </row>
        <row r="1698">
          <cell r="H1698">
            <v>44739</v>
          </cell>
          <cell r="I1698">
            <v>75.04</v>
          </cell>
        </row>
        <row r="1698">
          <cell r="K1698">
            <v>44739</v>
          </cell>
          <cell r="L1698">
            <v>143.19</v>
          </cell>
        </row>
        <row r="1698">
          <cell r="N1698">
            <v>44795</v>
          </cell>
          <cell r="O1698">
            <v>105.86</v>
          </cell>
        </row>
        <row r="1699">
          <cell r="B1699">
            <v>44796</v>
          </cell>
          <cell r="C1699">
            <v>108.33</v>
          </cell>
        </row>
        <row r="1699">
          <cell r="E1699">
            <v>44740</v>
          </cell>
          <cell r="F1699">
            <v>128</v>
          </cell>
        </row>
        <row r="1699">
          <cell r="H1699">
            <v>44740</v>
          </cell>
          <cell r="I1699">
            <v>75.25</v>
          </cell>
        </row>
        <row r="1699">
          <cell r="K1699">
            <v>44740</v>
          </cell>
          <cell r="L1699">
            <v>143.49</v>
          </cell>
        </row>
        <row r="1699">
          <cell r="N1699">
            <v>44796</v>
          </cell>
          <cell r="O1699">
            <v>105.63</v>
          </cell>
        </row>
        <row r="1700">
          <cell r="B1700">
            <v>44797</v>
          </cell>
          <cell r="C1700">
            <v>108.44</v>
          </cell>
        </row>
        <row r="1700">
          <cell r="E1700">
            <v>44741</v>
          </cell>
          <cell r="F1700">
            <v>128.27</v>
          </cell>
        </row>
        <row r="1700">
          <cell r="H1700">
            <v>44741</v>
          </cell>
          <cell r="I1700">
            <v>75.07</v>
          </cell>
        </row>
        <row r="1700">
          <cell r="K1700">
            <v>44741</v>
          </cell>
          <cell r="L1700">
            <v>144.4</v>
          </cell>
        </row>
        <row r="1700">
          <cell r="N1700">
            <v>44797</v>
          </cell>
          <cell r="O1700">
            <v>105.66</v>
          </cell>
        </row>
        <row r="1701">
          <cell r="B1701">
            <v>44798</v>
          </cell>
          <cell r="C1701">
            <v>108.21</v>
          </cell>
        </row>
        <row r="1701">
          <cell r="E1701">
            <v>44742</v>
          </cell>
          <cell r="F1701">
            <v>129.9</v>
          </cell>
        </row>
        <row r="1701">
          <cell r="H1701">
            <v>44742</v>
          </cell>
          <cell r="I1701">
            <v>74.6</v>
          </cell>
        </row>
        <row r="1701">
          <cell r="K1701">
            <v>44742</v>
          </cell>
          <cell r="L1701">
            <v>145.11</v>
          </cell>
        </row>
        <row r="1701">
          <cell r="N1701">
            <v>44798</v>
          </cell>
          <cell r="O1701">
            <v>105.68</v>
          </cell>
        </row>
        <row r="1702">
          <cell r="B1702">
            <v>44799</v>
          </cell>
          <cell r="C1702">
            <v>108.72</v>
          </cell>
        </row>
        <row r="1702">
          <cell r="E1702">
            <v>44743</v>
          </cell>
          <cell r="F1702">
            <v>127.82</v>
          </cell>
        </row>
        <row r="1702">
          <cell r="H1702">
            <v>44743</v>
          </cell>
          <cell r="I1702">
            <v>74.09</v>
          </cell>
        </row>
        <row r="1702">
          <cell r="K1702">
            <v>44743</v>
          </cell>
          <cell r="L1702">
            <v>144.74</v>
          </cell>
        </row>
        <row r="1702">
          <cell r="N1702">
            <v>44799</v>
          </cell>
          <cell r="O1702">
            <v>105.53</v>
          </cell>
        </row>
        <row r="1703">
          <cell r="B1703">
            <v>44802</v>
          </cell>
          <cell r="C1703">
            <v>108.97</v>
          </cell>
        </row>
        <row r="1703">
          <cell r="E1703">
            <v>44746</v>
          </cell>
          <cell r="F1703">
            <v>127.52</v>
          </cell>
        </row>
        <row r="1703">
          <cell r="H1703">
            <v>44746</v>
          </cell>
          <cell r="I1703">
            <v>74.09</v>
          </cell>
        </row>
        <row r="1703">
          <cell r="K1703">
            <v>44746</v>
          </cell>
          <cell r="L1703">
            <v>144.31</v>
          </cell>
        </row>
        <row r="1703">
          <cell r="N1703">
            <v>44802</v>
          </cell>
          <cell r="O1703">
            <v>105.9</v>
          </cell>
        </row>
        <row r="1704">
          <cell r="B1704">
            <v>44803</v>
          </cell>
          <cell r="C1704">
            <v>108.77</v>
          </cell>
        </row>
        <row r="1704">
          <cell r="E1704">
            <v>44747</v>
          </cell>
          <cell r="F1704">
            <v>124.2</v>
          </cell>
        </row>
        <row r="1704">
          <cell r="H1704">
            <v>44747</v>
          </cell>
          <cell r="I1704">
            <v>73.74</v>
          </cell>
        </row>
        <row r="1704">
          <cell r="K1704">
            <v>44747</v>
          </cell>
          <cell r="L1704">
            <v>144.11</v>
          </cell>
        </row>
        <row r="1704">
          <cell r="N1704">
            <v>44803</v>
          </cell>
          <cell r="O1704">
            <v>106.48</v>
          </cell>
        </row>
        <row r="1705">
          <cell r="B1705">
            <v>44804</v>
          </cell>
          <cell r="C1705">
            <v>108.82</v>
          </cell>
        </row>
        <row r="1705">
          <cell r="E1705">
            <v>44748</v>
          </cell>
          <cell r="F1705">
            <v>126</v>
          </cell>
        </row>
        <row r="1705">
          <cell r="H1705">
            <v>44748</v>
          </cell>
          <cell r="I1705">
            <v>73.54</v>
          </cell>
        </row>
        <row r="1705">
          <cell r="K1705">
            <v>44748</v>
          </cell>
          <cell r="L1705">
            <v>145.14</v>
          </cell>
        </row>
        <row r="1705">
          <cell r="N1705">
            <v>44804</v>
          </cell>
          <cell r="O1705">
            <v>106.47</v>
          </cell>
        </row>
        <row r="1706">
          <cell r="B1706">
            <v>44805</v>
          </cell>
          <cell r="C1706">
            <v>109.23</v>
          </cell>
        </row>
        <row r="1706">
          <cell r="E1706">
            <v>44749</v>
          </cell>
          <cell r="F1706">
            <v>125.5</v>
          </cell>
        </row>
        <row r="1706">
          <cell r="H1706">
            <v>44749</v>
          </cell>
          <cell r="I1706">
            <v>73.9</v>
          </cell>
        </row>
        <row r="1706">
          <cell r="K1706">
            <v>44749</v>
          </cell>
          <cell r="L1706">
            <v>144.68</v>
          </cell>
        </row>
        <row r="1706">
          <cell r="N1706">
            <v>44805</v>
          </cell>
          <cell r="O1706">
            <v>107.9</v>
          </cell>
        </row>
        <row r="1707">
          <cell r="B1707">
            <v>44806</v>
          </cell>
          <cell r="C1707">
            <v>109.29</v>
          </cell>
        </row>
        <row r="1707">
          <cell r="E1707">
            <v>44750</v>
          </cell>
          <cell r="F1707">
            <v>126.73</v>
          </cell>
        </row>
        <row r="1707">
          <cell r="H1707">
            <v>44750</v>
          </cell>
          <cell r="I1707">
            <v>74.1</v>
          </cell>
        </row>
        <row r="1707">
          <cell r="K1707">
            <v>44750</v>
          </cell>
          <cell r="L1707">
            <v>144.41</v>
          </cell>
        </row>
        <row r="1707">
          <cell r="N1707">
            <v>44806</v>
          </cell>
          <cell r="O1707">
            <v>107.9</v>
          </cell>
        </row>
        <row r="1708">
          <cell r="B1708">
            <v>44809</v>
          </cell>
          <cell r="C1708">
            <v>109.27</v>
          </cell>
        </row>
        <row r="1708">
          <cell r="E1708">
            <v>44753</v>
          </cell>
          <cell r="F1708">
            <v>128.59</v>
          </cell>
        </row>
        <row r="1708">
          <cell r="H1708">
            <v>44753</v>
          </cell>
          <cell r="I1708">
            <v>73.83</v>
          </cell>
        </row>
        <row r="1708">
          <cell r="K1708">
            <v>44753</v>
          </cell>
          <cell r="L1708">
            <v>145.14</v>
          </cell>
        </row>
        <row r="1708">
          <cell r="N1708">
            <v>44809</v>
          </cell>
          <cell r="O1708">
            <v>107.88</v>
          </cell>
        </row>
        <row r="1709">
          <cell r="B1709">
            <v>44810</v>
          </cell>
          <cell r="C1709">
            <v>108.52</v>
          </cell>
        </row>
        <row r="1709">
          <cell r="E1709">
            <v>44754</v>
          </cell>
          <cell r="F1709">
            <v>126.78</v>
          </cell>
        </row>
        <row r="1709">
          <cell r="H1709">
            <v>44754</v>
          </cell>
          <cell r="I1709">
            <v>74.6</v>
          </cell>
        </row>
        <row r="1709">
          <cell r="K1709">
            <v>44754</v>
          </cell>
          <cell r="L1709">
            <v>144.89</v>
          </cell>
        </row>
        <row r="1709">
          <cell r="N1709">
            <v>44810</v>
          </cell>
          <cell r="O1709">
            <v>108.77</v>
          </cell>
        </row>
        <row r="1710">
          <cell r="B1710">
            <v>44811</v>
          </cell>
          <cell r="C1710">
            <v>108.49</v>
          </cell>
        </row>
        <row r="1710">
          <cell r="E1710">
            <v>44755</v>
          </cell>
          <cell r="F1710">
            <v>127.69</v>
          </cell>
        </row>
        <row r="1710">
          <cell r="H1710">
            <v>44755</v>
          </cell>
          <cell r="I1710">
            <v>74.45</v>
          </cell>
        </row>
        <row r="1710">
          <cell r="K1710">
            <v>44755</v>
          </cell>
          <cell r="L1710">
            <v>144.28</v>
          </cell>
        </row>
        <row r="1710">
          <cell r="N1710">
            <v>44811</v>
          </cell>
          <cell r="O1710">
            <v>108.59</v>
          </cell>
        </row>
        <row r="1711">
          <cell r="B1711">
            <v>44812</v>
          </cell>
          <cell r="C1711">
            <v>109.09</v>
          </cell>
        </row>
        <row r="1711">
          <cell r="E1711">
            <v>44756</v>
          </cell>
          <cell r="F1711">
            <v>128.73</v>
          </cell>
        </row>
        <row r="1711">
          <cell r="H1711">
            <v>44756</v>
          </cell>
          <cell r="I1711">
            <v>73.67</v>
          </cell>
        </row>
        <row r="1711">
          <cell r="K1711">
            <v>44756</v>
          </cell>
          <cell r="L1711">
            <v>145.46</v>
          </cell>
        </row>
        <row r="1711">
          <cell r="N1711">
            <v>44812</v>
          </cell>
          <cell r="O1711">
            <v>109</v>
          </cell>
        </row>
        <row r="1712">
          <cell r="B1712">
            <v>44813</v>
          </cell>
          <cell r="C1712">
            <v>109.3</v>
          </cell>
        </row>
        <row r="1712">
          <cell r="E1712">
            <v>44757</v>
          </cell>
          <cell r="F1712">
            <v>128.65</v>
          </cell>
        </row>
        <row r="1712">
          <cell r="H1712">
            <v>44757</v>
          </cell>
          <cell r="I1712">
            <v>74.06</v>
          </cell>
        </row>
        <row r="1712">
          <cell r="K1712">
            <v>44757</v>
          </cell>
          <cell r="L1712">
            <v>146.22</v>
          </cell>
        </row>
        <row r="1712">
          <cell r="N1712">
            <v>44813</v>
          </cell>
          <cell r="O1712">
            <v>108.72</v>
          </cell>
        </row>
        <row r="1713">
          <cell r="B1713">
            <v>44816</v>
          </cell>
          <cell r="C1713">
            <v>109.07</v>
          </cell>
        </row>
        <row r="1713">
          <cell r="E1713">
            <v>44760</v>
          </cell>
          <cell r="F1713">
            <v>128.17</v>
          </cell>
        </row>
        <row r="1713">
          <cell r="H1713">
            <v>44760</v>
          </cell>
          <cell r="I1713">
            <v>74.6</v>
          </cell>
        </row>
        <row r="1713">
          <cell r="K1713">
            <v>44760</v>
          </cell>
          <cell r="L1713">
            <v>145.37</v>
          </cell>
        </row>
        <row r="1713">
          <cell r="N1713">
            <v>44816</v>
          </cell>
          <cell r="O1713">
            <v>108.42</v>
          </cell>
        </row>
        <row r="1714">
          <cell r="B1714">
            <v>44817</v>
          </cell>
          <cell r="C1714">
            <v>109.41</v>
          </cell>
        </row>
        <row r="1714">
          <cell r="E1714">
            <v>44761</v>
          </cell>
          <cell r="F1714">
            <v>128.43</v>
          </cell>
        </row>
        <row r="1714">
          <cell r="H1714">
            <v>44761</v>
          </cell>
          <cell r="I1714">
            <v>74.82</v>
          </cell>
        </row>
        <row r="1714">
          <cell r="K1714">
            <v>44761</v>
          </cell>
          <cell r="L1714">
            <v>146.75</v>
          </cell>
        </row>
        <row r="1714">
          <cell r="N1714">
            <v>44817</v>
          </cell>
          <cell r="O1714">
            <v>108.19</v>
          </cell>
        </row>
        <row r="1715">
          <cell r="B1715">
            <v>44818</v>
          </cell>
          <cell r="C1715">
            <v>109.59</v>
          </cell>
        </row>
        <row r="1715">
          <cell r="E1715">
            <v>44762</v>
          </cell>
          <cell r="F1715">
            <v>126.68</v>
          </cell>
        </row>
        <row r="1715">
          <cell r="H1715">
            <v>44762</v>
          </cell>
          <cell r="I1715">
            <v>74.38</v>
          </cell>
        </row>
        <row r="1715">
          <cell r="K1715">
            <v>44762</v>
          </cell>
          <cell r="L1715">
            <v>146.64</v>
          </cell>
        </row>
        <row r="1715">
          <cell r="N1715">
            <v>44818</v>
          </cell>
          <cell r="O1715">
            <v>108.32</v>
          </cell>
        </row>
        <row r="1716">
          <cell r="B1716">
            <v>44819</v>
          </cell>
          <cell r="C1716">
            <v>109.78</v>
          </cell>
        </row>
        <row r="1716">
          <cell r="E1716">
            <v>44763</v>
          </cell>
          <cell r="F1716">
            <v>125.99</v>
          </cell>
        </row>
        <row r="1716">
          <cell r="H1716">
            <v>44763</v>
          </cell>
          <cell r="I1716">
            <v>73.98</v>
          </cell>
        </row>
        <row r="1716">
          <cell r="K1716">
            <v>44763</v>
          </cell>
          <cell r="L1716">
            <v>146.52</v>
          </cell>
        </row>
        <row r="1716">
          <cell r="N1716">
            <v>44819</v>
          </cell>
          <cell r="O1716">
            <v>108.25</v>
          </cell>
        </row>
        <row r="1717">
          <cell r="B1717">
            <v>44820</v>
          </cell>
          <cell r="C1717">
            <v>109.61</v>
          </cell>
        </row>
        <row r="1717">
          <cell r="E1717">
            <v>44764</v>
          </cell>
          <cell r="F1717">
            <v>127.52</v>
          </cell>
        </row>
        <row r="1717">
          <cell r="H1717">
            <v>44764</v>
          </cell>
          <cell r="I1717">
            <v>74.04</v>
          </cell>
        </row>
        <row r="1717">
          <cell r="K1717">
            <v>44764</v>
          </cell>
          <cell r="L1717">
            <v>146.32</v>
          </cell>
        </row>
        <row r="1717">
          <cell r="N1717">
            <v>44820</v>
          </cell>
          <cell r="O1717">
            <v>108.98</v>
          </cell>
        </row>
        <row r="1718">
          <cell r="B1718">
            <v>44823</v>
          </cell>
          <cell r="C1718">
            <v>109.97</v>
          </cell>
        </row>
        <row r="1718">
          <cell r="E1718">
            <v>44767</v>
          </cell>
          <cell r="F1718">
            <v>129.94</v>
          </cell>
        </row>
        <row r="1718">
          <cell r="H1718">
            <v>44767</v>
          </cell>
          <cell r="I1718">
            <v>74.18</v>
          </cell>
        </row>
        <row r="1718">
          <cell r="K1718">
            <v>44767</v>
          </cell>
          <cell r="L1718">
            <v>146.42</v>
          </cell>
        </row>
        <row r="1718">
          <cell r="N1718">
            <v>44823</v>
          </cell>
          <cell r="O1718">
            <v>108.59</v>
          </cell>
        </row>
        <row r="1719">
          <cell r="B1719">
            <v>44824</v>
          </cell>
          <cell r="C1719">
            <v>109.63</v>
          </cell>
        </row>
        <row r="1719">
          <cell r="E1719">
            <v>44768</v>
          </cell>
          <cell r="F1719">
            <v>131.39</v>
          </cell>
        </row>
        <row r="1719">
          <cell r="H1719">
            <v>44768</v>
          </cell>
          <cell r="I1719">
            <v>73.72</v>
          </cell>
        </row>
        <row r="1719">
          <cell r="K1719">
            <v>44768</v>
          </cell>
          <cell r="L1719">
            <v>145.54</v>
          </cell>
        </row>
        <row r="1719">
          <cell r="N1719">
            <v>44824</v>
          </cell>
          <cell r="O1719">
            <v>108.56</v>
          </cell>
        </row>
        <row r="1720">
          <cell r="B1720">
            <v>44825</v>
          </cell>
          <cell r="C1720">
            <v>109.9</v>
          </cell>
        </row>
        <row r="1720">
          <cell r="E1720">
            <v>44769</v>
          </cell>
          <cell r="F1720">
            <v>131.83</v>
          </cell>
        </row>
        <row r="1720">
          <cell r="H1720">
            <v>44769</v>
          </cell>
          <cell r="I1720">
            <v>73.82</v>
          </cell>
        </row>
        <row r="1720">
          <cell r="K1720">
            <v>44769</v>
          </cell>
          <cell r="L1720">
            <v>146.23</v>
          </cell>
        </row>
        <row r="1720">
          <cell r="N1720">
            <v>44825</v>
          </cell>
          <cell r="O1720">
            <v>107.6</v>
          </cell>
        </row>
        <row r="1721">
          <cell r="B1721">
            <v>44826</v>
          </cell>
          <cell r="C1721">
            <v>110.12</v>
          </cell>
        </row>
        <row r="1721">
          <cell r="E1721">
            <v>44770</v>
          </cell>
          <cell r="F1721">
            <v>132.31</v>
          </cell>
        </row>
        <row r="1721">
          <cell r="H1721">
            <v>44770</v>
          </cell>
          <cell r="I1721">
            <v>72.75</v>
          </cell>
        </row>
        <row r="1721">
          <cell r="K1721">
            <v>44770</v>
          </cell>
          <cell r="L1721">
            <v>146.46</v>
          </cell>
        </row>
        <row r="1721">
          <cell r="N1721">
            <v>44826</v>
          </cell>
          <cell r="O1721">
            <v>108.54</v>
          </cell>
        </row>
        <row r="1722">
          <cell r="B1722">
            <v>44827</v>
          </cell>
          <cell r="C1722">
            <v>110.04</v>
          </cell>
        </row>
        <row r="1722">
          <cell r="E1722">
            <v>44771</v>
          </cell>
          <cell r="F1722">
            <v>134.39</v>
          </cell>
        </row>
        <row r="1722">
          <cell r="H1722">
            <v>44771</v>
          </cell>
          <cell r="I1722">
            <v>73.13</v>
          </cell>
        </row>
        <row r="1722">
          <cell r="K1722">
            <v>44771</v>
          </cell>
          <cell r="L1722">
            <v>146.83</v>
          </cell>
        </row>
        <row r="1722">
          <cell r="N1722">
            <v>44827</v>
          </cell>
          <cell r="O1722">
            <v>108.9</v>
          </cell>
        </row>
        <row r="1723">
          <cell r="B1723">
            <v>44830</v>
          </cell>
          <cell r="C1723">
            <v>109.94</v>
          </cell>
        </row>
        <row r="1723">
          <cell r="E1723">
            <v>44774</v>
          </cell>
          <cell r="F1723">
            <v>132.83</v>
          </cell>
        </row>
        <row r="1723">
          <cell r="H1723">
            <v>44774</v>
          </cell>
          <cell r="I1723">
            <v>73.3</v>
          </cell>
        </row>
        <row r="1723">
          <cell r="K1723">
            <v>44774</v>
          </cell>
          <cell r="L1723">
            <v>146.72</v>
          </cell>
        </row>
        <row r="1723">
          <cell r="N1723">
            <v>44830</v>
          </cell>
          <cell r="O1723">
            <v>109.24</v>
          </cell>
        </row>
        <row r="1724">
          <cell r="B1724">
            <v>44831</v>
          </cell>
          <cell r="C1724">
            <v>110.16</v>
          </cell>
        </row>
        <row r="1724">
          <cell r="E1724">
            <v>44775</v>
          </cell>
          <cell r="F1724">
            <v>131.16</v>
          </cell>
        </row>
        <row r="1724">
          <cell r="H1724">
            <v>44775</v>
          </cell>
          <cell r="I1724">
            <v>71.43</v>
          </cell>
        </row>
        <row r="1724">
          <cell r="K1724">
            <v>44775</v>
          </cell>
          <cell r="L1724">
            <v>145.38</v>
          </cell>
        </row>
        <row r="1724">
          <cell r="N1724">
            <v>44831</v>
          </cell>
          <cell r="O1724">
            <v>108.49</v>
          </cell>
        </row>
        <row r="1725">
          <cell r="B1725">
            <v>44832</v>
          </cell>
          <cell r="C1725">
            <v>109.98</v>
          </cell>
        </row>
        <row r="1725">
          <cell r="E1725">
            <v>44776</v>
          </cell>
          <cell r="F1725">
            <v>128.39</v>
          </cell>
        </row>
        <row r="1725">
          <cell r="H1725">
            <v>44776</v>
          </cell>
          <cell r="I1725">
            <v>70.96</v>
          </cell>
        </row>
        <row r="1725">
          <cell r="K1725">
            <v>44776</v>
          </cell>
          <cell r="L1725">
            <v>144.71</v>
          </cell>
        </row>
        <row r="1725">
          <cell r="N1725">
            <v>44832</v>
          </cell>
          <cell r="O1725">
            <v>107.96</v>
          </cell>
        </row>
        <row r="1726">
          <cell r="B1726">
            <v>44833</v>
          </cell>
          <cell r="C1726">
            <v>110.57</v>
          </cell>
        </row>
        <row r="1726">
          <cell r="E1726">
            <v>44777</v>
          </cell>
          <cell r="F1726">
            <v>127.18</v>
          </cell>
        </row>
        <row r="1726">
          <cell r="H1726">
            <v>44777</v>
          </cell>
          <cell r="I1726">
            <v>70.73</v>
          </cell>
        </row>
        <row r="1726">
          <cell r="K1726">
            <v>44777</v>
          </cell>
          <cell r="L1726">
            <v>144.73</v>
          </cell>
        </row>
        <row r="1726">
          <cell r="N1726">
            <v>44833</v>
          </cell>
          <cell r="O1726">
            <v>108.27</v>
          </cell>
        </row>
        <row r="1727">
          <cell r="B1727">
            <v>44834</v>
          </cell>
          <cell r="C1727">
            <v>110.75</v>
          </cell>
        </row>
        <row r="1727">
          <cell r="E1727">
            <v>44778</v>
          </cell>
          <cell r="F1727">
            <v>127.21</v>
          </cell>
        </row>
        <row r="1727">
          <cell r="H1727">
            <v>44778</v>
          </cell>
          <cell r="I1727">
            <v>69.54</v>
          </cell>
        </row>
        <row r="1727">
          <cell r="K1727">
            <v>44778</v>
          </cell>
          <cell r="L1727">
            <v>143.98</v>
          </cell>
        </row>
        <row r="1727">
          <cell r="N1727">
            <v>44834</v>
          </cell>
          <cell r="O1727">
            <v>107.49</v>
          </cell>
        </row>
        <row r="1728">
          <cell r="B1728">
            <v>44837</v>
          </cell>
          <cell r="C1728">
            <v>111.31</v>
          </cell>
        </row>
        <row r="1728">
          <cell r="E1728">
            <v>44781</v>
          </cell>
          <cell r="F1728">
            <v>125.25</v>
          </cell>
        </row>
        <row r="1728">
          <cell r="H1728">
            <v>44781</v>
          </cell>
          <cell r="I1728">
            <v>69.59</v>
          </cell>
        </row>
        <row r="1728">
          <cell r="K1728">
            <v>44781</v>
          </cell>
          <cell r="L1728">
            <v>143.82</v>
          </cell>
        </row>
        <row r="1728">
          <cell r="N1728">
            <v>44837</v>
          </cell>
          <cell r="O1728">
            <v>107.98</v>
          </cell>
        </row>
        <row r="1729">
          <cell r="B1729">
            <v>44838</v>
          </cell>
          <cell r="C1729">
            <v>110.61</v>
          </cell>
        </row>
        <row r="1729">
          <cell r="E1729">
            <v>44782</v>
          </cell>
          <cell r="F1729">
            <v>129.03</v>
          </cell>
        </row>
        <row r="1729">
          <cell r="H1729">
            <v>44782</v>
          </cell>
          <cell r="I1729">
            <v>69.42</v>
          </cell>
        </row>
        <row r="1729">
          <cell r="K1729">
            <v>44782</v>
          </cell>
          <cell r="L1729">
            <v>143.4</v>
          </cell>
        </row>
        <row r="1729">
          <cell r="N1729">
            <v>44838</v>
          </cell>
          <cell r="O1729">
            <v>107.67</v>
          </cell>
        </row>
        <row r="1730">
          <cell r="B1730">
            <v>44839</v>
          </cell>
          <cell r="C1730">
            <v>110.55</v>
          </cell>
        </row>
        <row r="1730">
          <cell r="E1730">
            <v>44783</v>
          </cell>
          <cell r="F1730">
            <v>126.95</v>
          </cell>
        </row>
        <row r="1730">
          <cell r="H1730">
            <v>44783</v>
          </cell>
          <cell r="I1730">
            <v>69.37</v>
          </cell>
        </row>
        <row r="1730">
          <cell r="K1730">
            <v>44783</v>
          </cell>
          <cell r="L1730">
            <v>142.28</v>
          </cell>
        </row>
        <row r="1730">
          <cell r="N1730">
            <v>44839</v>
          </cell>
          <cell r="O1730">
            <v>108.05</v>
          </cell>
        </row>
        <row r="1731">
          <cell r="B1731">
            <v>44840</v>
          </cell>
          <cell r="C1731">
            <v>110.94</v>
          </cell>
        </row>
        <row r="1731">
          <cell r="E1731">
            <v>44784</v>
          </cell>
          <cell r="F1731">
            <v>128.33</v>
          </cell>
        </row>
        <row r="1731">
          <cell r="H1731">
            <v>44784</v>
          </cell>
          <cell r="I1731">
            <v>70.36</v>
          </cell>
        </row>
        <row r="1731">
          <cell r="K1731">
            <v>44784</v>
          </cell>
          <cell r="L1731">
            <v>142.47</v>
          </cell>
        </row>
        <row r="1731">
          <cell r="N1731">
            <v>44840</v>
          </cell>
          <cell r="O1731">
            <v>107.65</v>
          </cell>
        </row>
        <row r="1732">
          <cell r="B1732">
            <v>44841</v>
          </cell>
          <cell r="C1732">
            <v>111.03</v>
          </cell>
        </row>
        <row r="1732">
          <cell r="E1732">
            <v>44785</v>
          </cell>
          <cell r="F1732">
            <v>128.19</v>
          </cell>
        </row>
        <row r="1732">
          <cell r="H1732">
            <v>44785</v>
          </cell>
          <cell r="I1732">
            <v>69.76</v>
          </cell>
        </row>
        <row r="1732">
          <cell r="K1732">
            <v>44785</v>
          </cell>
          <cell r="L1732">
            <v>142.4</v>
          </cell>
        </row>
        <row r="1732">
          <cell r="N1732">
            <v>44841</v>
          </cell>
          <cell r="O1732">
            <v>107.77</v>
          </cell>
        </row>
        <row r="1733">
          <cell r="B1733">
            <v>44844</v>
          </cell>
          <cell r="C1733">
            <v>111.34</v>
          </cell>
        </row>
        <row r="1733">
          <cell r="E1733">
            <v>44788</v>
          </cell>
          <cell r="F1733">
            <v>127.99</v>
          </cell>
        </row>
        <row r="1733">
          <cell r="H1733">
            <v>44788</v>
          </cell>
          <cell r="I1733">
            <v>69.05</v>
          </cell>
        </row>
        <row r="1733">
          <cell r="K1733">
            <v>44788</v>
          </cell>
          <cell r="L1733">
            <v>142.86</v>
          </cell>
        </row>
        <row r="1733">
          <cell r="N1733">
            <v>44844</v>
          </cell>
          <cell r="O1733">
            <v>107.47</v>
          </cell>
        </row>
        <row r="1734">
          <cell r="B1734">
            <v>44845</v>
          </cell>
          <cell r="C1734">
            <v>110.9</v>
          </cell>
        </row>
        <row r="1734">
          <cell r="E1734">
            <v>44789</v>
          </cell>
          <cell r="F1734">
            <v>127.79</v>
          </cell>
        </row>
        <row r="1734">
          <cell r="H1734">
            <v>44789</v>
          </cell>
          <cell r="I1734">
            <v>69.06</v>
          </cell>
        </row>
        <row r="1734">
          <cell r="K1734">
            <v>44789</v>
          </cell>
          <cell r="L1734">
            <v>143.18</v>
          </cell>
        </row>
        <row r="1734">
          <cell r="N1734">
            <v>44845</v>
          </cell>
          <cell r="O1734">
            <v>106.76</v>
          </cell>
        </row>
        <row r="1735">
          <cell r="B1735">
            <v>44846</v>
          </cell>
          <cell r="C1735">
            <v>110.49</v>
          </cell>
        </row>
        <row r="1735">
          <cell r="E1735">
            <v>44790</v>
          </cell>
          <cell r="F1735">
            <v>130.82</v>
          </cell>
        </row>
        <row r="1735">
          <cell r="H1735">
            <v>44790</v>
          </cell>
          <cell r="I1735">
            <v>69</v>
          </cell>
        </row>
        <row r="1735">
          <cell r="K1735">
            <v>44790</v>
          </cell>
          <cell r="L1735">
            <v>144.04</v>
          </cell>
        </row>
        <row r="1735">
          <cell r="N1735">
            <v>44846</v>
          </cell>
          <cell r="O1735">
            <v>106.8</v>
          </cell>
        </row>
        <row r="1736">
          <cell r="B1736">
            <v>44847</v>
          </cell>
          <cell r="C1736">
            <v>110.37</v>
          </cell>
        </row>
        <row r="1736">
          <cell r="E1736">
            <v>44791</v>
          </cell>
          <cell r="F1736">
            <v>132.45</v>
          </cell>
        </row>
        <row r="1736">
          <cell r="H1736">
            <v>44791</v>
          </cell>
          <cell r="I1736">
            <v>69.57</v>
          </cell>
        </row>
        <row r="1736">
          <cell r="K1736">
            <v>44791</v>
          </cell>
          <cell r="L1736">
            <v>144.81</v>
          </cell>
        </row>
        <row r="1736">
          <cell r="N1736">
            <v>44847</v>
          </cell>
          <cell r="O1736">
            <v>107.16</v>
          </cell>
        </row>
        <row r="1737">
          <cell r="B1737">
            <v>44848</v>
          </cell>
          <cell r="C1737">
            <v>109.69</v>
          </cell>
        </row>
        <row r="1737">
          <cell r="E1737">
            <v>44792</v>
          </cell>
          <cell r="F1737">
            <v>134.54</v>
          </cell>
        </row>
        <row r="1737">
          <cell r="H1737">
            <v>44792</v>
          </cell>
          <cell r="I1737">
            <v>70.04</v>
          </cell>
        </row>
        <row r="1737">
          <cell r="K1737">
            <v>44792</v>
          </cell>
          <cell r="L1737">
            <v>144.84</v>
          </cell>
        </row>
        <row r="1737">
          <cell r="N1737">
            <v>44848</v>
          </cell>
          <cell r="O1737">
            <v>107.31</v>
          </cell>
        </row>
        <row r="1738">
          <cell r="B1738">
            <v>44851</v>
          </cell>
          <cell r="C1738">
            <v>108.97</v>
          </cell>
        </row>
        <row r="1738">
          <cell r="E1738">
            <v>44795</v>
          </cell>
          <cell r="F1738">
            <v>135.45</v>
          </cell>
        </row>
        <row r="1738">
          <cell r="H1738">
            <v>44795</v>
          </cell>
          <cell r="I1738">
            <v>69.75</v>
          </cell>
        </row>
        <row r="1738">
          <cell r="K1738">
            <v>44795</v>
          </cell>
          <cell r="L1738">
            <v>144.39</v>
          </cell>
        </row>
        <row r="1738">
          <cell r="N1738">
            <v>44851</v>
          </cell>
          <cell r="O1738">
            <v>106.55</v>
          </cell>
        </row>
        <row r="1739">
          <cell r="B1739">
            <v>44852</v>
          </cell>
          <cell r="C1739">
            <v>108.65</v>
          </cell>
        </row>
        <row r="1739">
          <cell r="E1739">
            <v>44796</v>
          </cell>
          <cell r="F1739">
            <v>137.15</v>
          </cell>
        </row>
        <row r="1739">
          <cell r="H1739">
            <v>44796</v>
          </cell>
          <cell r="I1739">
            <v>70.53</v>
          </cell>
        </row>
        <row r="1739">
          <cell r="K1739">
            <v>44796</v>
          </cell>
          <cell r="L1739">
            <v>143.75</v>
          </cell>
        </row>
        <row r="1739">
          <cell r="N1739">
            <v>44852</v>
          </cell>
          <cell r="O1739">
            <v>106.69</v>
          </cell>
        </row>
        <row r="1740">
          <cell r="B1740">
            <v>44853</v>
          </cell>
          <cell r="C1740">
            <v>107.9</v>
          </cell>
        </row>
        <row r="1740">
          <cell r="E1740">
            <v>44797</v>
          </cell>
          <cell r="F1740">
            <v>136.81</v>
          </cell>
        </row>
        <row r="1740">
          <cell r="H1740">
            <v>44797</v>
          </cell>
          <cell r="I1740">
            <v>69.57</v>
          </cell>
        </row>
        <row r="1740">
          <cell r="K1740">
            <v>44797</v>
          </cell>
          <cell r="L1740">
            <v>142.56</v>
          </cell>
        </row>
        <row r="1740">
          <cell r="N1740">
            <v>44853</v>
          </cell>
          <cell r="O1740">
            <v>107.59</v>
          </cell>
        </row>
        <row r="1741">
          <cell r="B1741">
            <v>44854</v>
          </cell>
          <cell r="C1741">
            <v>107.87</v>
          </cell>
        </row>
        <row r="1741">
          <cell r="E1741">
            <v>44798</v>
          </cell>
          <cell r="F1741">
            <v>137.26</v>
          </cell>
        </row>
        <row r="1741">
          <cell r="H1741">
            <v>44798</v>
          </cell>
          <cell r="I1741">
            <v>70.3</v>
          </cell>
        </row>
        <row r="1741">
          <cell r="K1741">
            <v>44798</v>
          </cell>
          <cell r="L1741">
            <v>143.02</v>
          </cell>
        </row>
        <row r="1741">
          <cell r="N1741">
            <v>44854</v>
          </cell>
          <cell r="O1741">
            <v>108.26</v>
          </cell>
        </row>
        <row r="1742">
          <cell r="B1742">
            <v>44855</v>
          </cell>
          <cell r="C1742">
            <v>107.83</v>
          </cell>
        </row>
        <row r="1742">
          <cell r="E1742">
            <v>44799</v>
          </cell>
          <cell r="F1742">
            <v>138.39</v>
          </cell>
        </row>
        <row r="1742">
          <cell r="H1742">
            <v>44799</v>
          </cell>
          <cell r="I1742">
            <v>69.84</v>
          </cell>
        </row>
        <row r="1742">
          <cell r="K1742">
            <v>44799</v>
          </cell>
          <cell r="L1742">
            <v>143.07</v>
          </cell>
        </row>
        <row r="1742">
          <cell r="N1742">
            <v>44855</v>
          </cell>
          <cell r="O1742">
            <v>108.56</v>
          </cell>
        </row>
        <row r="1743">
          <cell r="B1743">
            <v>44858</v>
          </cell>
          <cell r="C1743">
            <v>107.82</v>
          </cell>
        </row>
        <row r="1743">
          <cell r="E1743">
            <v>44802</v>
          </cell>
          <cell r="F1743">
            <v>138.42</v>
          </cell>
        </row>
        <row r="1743">
          <cell r="H1743">
            <v>44802</v>
          </cell>
          <cell r="I1743">
            <v>69.66</v>
          </cell>
        </row>
        <row r="1743">
          <cell r="K1743">
            <v>44802</v>
          </cell>
          <cell r="L1743">
            <v>142.93</v>
          </cell>
        </row>
        <row r="1743">
          <cell r="N1743">
            <v>44858</v>
          </cell>
          <cell r="O1743">
            <v>109.06</v>
          </cell>
        </row>
        <row r="1744">
          <cell r="B1744">
            <v>44859</v>
          </cell>
          <cell r="C1744">
            <v>107.67</v>
          </cell>
        </row>
        <row r="1744">
          <cell r="E1744">
            <v>44803</v>
          </cell>
          <cell r="F1744">
            <v>137.4</v>
          </cell>
        </row>
        <row r="1744">
          <cell r="H1744">
            <v>44803</v>
          </cell>
          <cell r="I1744">
            <v>69.25</v>
          </cell>
        </row>
        <row r="1744">
          <cell r="K1744">
            <v>44803</v>
          </cell>
          <cell r="L1744">
            <v>142.97</v>
          </cell>
        </row>
        <row r="1744">
          <cell r="N1744">
            <v>44859</v>
          </cell>
          <cell r="O1744">
            <v>107.76</v>
          </cell>
        </row>
        <row r="1745">
          <cell r="B1745">
            <v>44860</v>
          </cell>
          <cell r="C1745">
            <v>107.43</v>
          </cell>
        </row>
        <row r="1745">
          <cell r="E1745">
            <v>44804</v>
          </cell>
          <cell r="F1745">
            <v>136.73</v>
          </cell>
        </row>
        <row r="1745">
          <cell r="H1745">
            <v>44804</v>
          </cell>
          <cell r="I1745">
            <v>68.9</v>
          </cell>
        </row>
        <row r="1745">
          <cell r="K1745">
            <v>44804</v>
          </cell>
          <cell r="L1745">
            <v>143.31</v>
          </cell>
        </row>
        <row r="1745">
          <cell r="N1745">
            <v>44860</v>
          </cell>
          <cell r="O1745">
            <v>107.81</v>
          </cell>
        </row>
        <row r="1746">
          <cell r="B1746">
            <v>44861</v>
          </cell>
          <cell r="C1746">
            <v>107.33</v>
          </cell>
        </row>
        <row r="1746">
          <cell r="E1746">
            <v>44805</v>
          </cell>
          <cell r="F1746">
            <v>135.63</v>
          </cell>
        </row>
        <row r="1746">
          <cell r="H1746">
            <v>44805</v>
          </cell>
          <cell r="I1746">
            <v>68.18</v>
          </cell>
        </row>
        <row r="1746">
          <cell r="K1746">
            <v>44805</v>
          </cell>
          <cell r="L1746">
            <v>144.84</v>
          </cell>
        </row>
        <row r="1746">
          <cell r="N1746">
            <v>44861</v>
          </cell>
          <cell r="O1746">
            <v>107.65</v>
          </cell>
        </row>
        <row r="1747">
          <cell r="B1747">
            <v>44862</v>
          </cell>
          <cell r="C1747">
            <v>107.29</v>
          </cell>
        </row>
        <row r="1747">
          <cell r="E1747">
            <v>44806</v>
          </cell>
          <cell r="F1747">
            <v>136.12</v>
          </cell>
        </row>
        <row r="1747">
          <cell r="H1747">
            <v>44806</v>
          </cell>
          <cell r="I1747">
            <v>68.79</v>
          </cell>
        </row>
        <row r="1747">
          <cell r="K1747">
            <v>44806</v>
          </cell>
          <cell r="L1747">
            <v>144.21</v>
          </cell>
        </row>
        <row r="1747">
          <cell r="N1747">
            <v>44862</v>
          </cell>
          <cell r="O1747">
            <v>107.8</v>
          </cell>
        </row>
        <row r="1748">
          <cell r="B1748">
            <v>44865</v>
          </cell>
          <cell r="C1748">
            <v>107.09</v>
          </cell>
        </row>
        <row r="1748">
          <cell r="E1748">
            <v>44809</v>
          </cell>
          <cell r="F1748">
            <v>136.19</v>
          </cell>
        </row>
        <row r="1748">
          <cell r="H1748">
            <v>44809</v>
          </cell>
          <cell r="I1748">
            <v>68.74</v>
          </cell>
        </row>
        <row r="1748">
          <cell r="K1748">
            <v>44809</v>
          </cell>
          <cell r="L1748">
            <v>144.31</v>
          </cell>
        </row>
        <row r="1748">
          <cell r="N1748">
            <v>44865</v>
          </cell>
          <cell r="O1748">
            <v>107.07</v>
          </cell>
        </row>
        <row r="1749">
          <cell r="B1749">
            <v>44866</v>
          </cell>
          <cell r="C1749">
            <v>107.31</v>
          </cell>
        </row>
        <row r="1749">
          <cell r="E1749">
            <v>44810</v>
          </cell>
          <cell r="F1749">
            <v>136.6</v>
          </cell>
        </row>
        <row r="1749">
          <cell r="H1749">
            <v>44810</v>
          </cell>
          <cell r="I1749">
            <v>68.36</v>
          </cell>
        </row>
        <row r="1749">
          <cell r="K1749">
            <v>44810</v>
          </cell>
          <cell r="L1749">
            <v>144.55</v>
          </cell>
        </row>
        <row r="1749">
          <cell r="N1749">
            <v>44866</v>
          </cell>
          <cell r="O1749">
            <v>107.02</v>
          </cell>
        </row>
        <row r="1750">
          <cell r="B1750">
            <v>44867</v>
          </cell>
          <cell r="C1750">
            <v>107.35</v>
          </cell>
        </row>
        <row r="1750">
          <cell r="E1750">
            <v>44811</v>
          </cell>
          <cell r="F1750">
            <v>135.05</v>
          </cell>
        </row>
        <row r="1750">
          <cell r="H1750">
            <v>44811</v>
          </cell>
          <cell r="I1750">
            <v>67.39</v>
          </cell>
        </row>
        <row r="1750">
          <cell r="K1750">
            <v>44811</v>
          </cell>
          <cell r="L1750">
            <v>143.9</v>
          </cell>
        </row>
        <row r="1750">
          <cell r="N1750">
            <v>44867</v>
          </cell>
          <cell r="O1750">
            <v>107.97</v>
          </cell>
        </row>
        <row r="1751">
          <cell r="B1751">
            <v>44868</v>
          </cell>
          <cell r="C1751">
            <v>107.29</v>
          </cell>
        </row>
        <row r="1751">
          <cell r="E1751">
            <v>44812</v>
          </cell>
          <cell r="F1751">
            <v>134.68</v>
          </cell>
        </row>
        <row r="1751">
          <cell r="H1751">
            <v>44812</v>
          </cell>
          <cell r="I1751">
            <v>67.31</v>
          </cell>
        </row>
        <row r="1751">
          <cell r="K1751">
            <v>44812</v>
          </cell>
          <cell r="L1751">
            <v>143.24</v>
          </cell>
        </row>
        <row r="1751">
          <cell r="N1751">
            <v>44868</v>
          </cell>
          <cell r="O1751">
            <v>108.09</v>
          </cell>
        </row>
        <row r="1752">
          <cell r="B1752">
            <v>44869</v>
          </cell>
          <cell r="C1752">
            <v>107.03</v>
          </cell>
        </row>
        <row r="1752">
          <cell r="E1752">
            <v>44813</v>
          </cell>
          <cell r="F1752">
            <v>133.5</v>
          </cell>
        </row>
        <row r="1752">
          <cell r="H1752">
            <v>44813</v>
          </cell>
          <cell r="I1752">
            <v>67.86</v>
          </cell>
        </row>
        <row r="1752">
          <cell r="K1752">
            <v>44813</v>
          </cell>
          <cell r="L1752">
            <v>142.52</v>
          </cell>
        </row>
        <row r="1752">
          <cell r="N1752">
            <v>44869</v>
          </cell>
          <cell r="O1752">
            <v>108.68</v>
          </cell>
        </row>
        <row r="1753">
          <cell r="B1753">
            <v>44872</v>
          </cell>
          <cell r="C1753">
            <v>106.88</v>
          </cell>
        </row>
        <row r="1753">
          <cell r="E1753">
            <v>44816</v>
          </cell>
          <cell r="F1753">
            <v>132.45</v>
          </cell>
        </row>
        <row r="1753">
          <cell r="H1753">
            <v>44816</v>
          </cell>
          <cell r="I1753">
            <v>68.25</v>
          </cell>
        </row>
        <row r="1753">
          <cell r="K1753">
            <v>44816</v>
          </cell>
          <cell r="L1753">
            <v>140.97</v>
          </cell>
        </row>
        <row r="1753">
          <cell r="N1753">
            <v>44872</v>
          </cell>
          <cell r="O1753">
            <v>109.32</v>
          </cell>
        </row>
        <row r="1754">
          <cell r="B1754">
            <v>44873</v>
          </cell>
          <cell r="C1754">
            <v>107.12</v>
          </cell>
        </row>
        <row r="1754">
          <cell r="E1754">
            <v>44817</v>
          </cell>
          <cell r="F1754">
            <v>133.75</v>
          </cell>
        </row>
        <row r="1754">
          <cell r="H1754">
            <v>44817</v>
          </cell>
          <cell r="I1754">
            <v>67.57</v>
          </cell>
        </row>
        <row r="1754">
          <cell r="K1754">
            <v>44817</v>
          </cell>
          <cell r="L1754">
            <v>140.42</v>
          </cell>
        </row>
        <row r="1754">
          <cell r="N1754">
            <v>44873</v>
          </cell>
          <cell r="O1754">
            <v>109.85</v>
          </cell>
        </row>
        <row r="1755">
          <cell r="B1755">
            <v>44874</v>
          </cell>
          <cell r="C1755">
            <v>106.78</v>
          </cell>
        </row>
        <row r="1755">
          <cell r="E1755">
            <v>44818</v>
          </cell>
          <cell r="F1755">
            <v>134.16</v>
          </cell>
        </row>
        <row r="1755">
          <cell r="H1755">
            <v>44818</v>
          </cell>
          <cell r="I1755">
            <v>66.91</v>
          </cell>
        </row>
        <row r="1755">
          <cell r="K1755">
            <v>44818</v>
          </cell>
          <cell r="L1755">
            <v>139.19</v>
          </cell>
        </row>
        <row r="1755">
          <cell r="N1755">
            <v>44874</v>
          </cell>
          <cell r="O1755">
            <v>110.44</v>
          </cell>
        </row>
        <row r="1756">
          <cell r="B1756">
            <v>44875</v>
          </cell>
          <cell r="C1756">
            <v>106.35</v>
          </cell>
        </row>
        <row r="1756">
          <cell r="E1756">
            <v>44819</v>
          </cell>
          <cell r="F1756">
            <v>133.54</v>
          </cell>
        </row>
        <row r="1756">
          <cell r="H1756">
            <v>44819</v>
          </cell>
          <cell r="I1756">
            <v>66.99</v>
          </cell>
        </row>
        <row r="1756">
          <cell r="K1756">
            <v>44819</v>
          </cell>
          <cell r="L1756">
            <v>138.78</v>
          </cell>
        </row>
        <row r="1756">
          <cell r="N1756">
            <v>44875</v>
          </cell>
          <cell r="O1756">
            <v>109.82</v>
          </cell>
        </row>
        <row r="1757">
          <cell r="B1757">
            <v>44876</v>
          </cell>
          <cell r="C1757">
            <v>106.68</v>
          </cell>
        </row>
        <row r="1757">
          <cell r="E1757">
            <v>44820</v>
          </cell>
          <cell r="F1757">
            <v>134.89</v>
          </cell>
        </row>
        <row r="1757">
          <cell r="H1757">
            <v>44820</v>
          </cell>
          <cell r="I1757">
            <v>67.35</v>
          </cell>
        </row>
        <row r="1757">
          <cell r="K1757">
            <v>44820</v>
          </cell>
          <cell r="L1757">
            <v>139.54</v>
          </cell>
        </row>
        <row r="1757">
          <cell r="N1757">
            <v>44876</v>
          </cell>
          <cell r="O1757">
            <v>109.65</v>
          </cell>
        </row>
        <row r="1758">
          <cell r="B1758">
            <v>44879</v>
          </cell>
          <cell r="C1758">
            <v>106.82</v>
          </cell>
        </row>
        <row r="1758">
          <cell r="E1758">
            <v>44823</v>
          </cell>
          <cell r="F1758">
            <v>135.6</v>
          </cell>
        </row>
        <row r="1758">
          <cell r="H1758">
            <v>44823</v>
          </cell>
          <cell r="I1758">
            <v>67.55</v>
          </cell>
        </row>
        <row r="1758">
          <cell r="K1758">
            <v>44823</v>
          </cell>
          <cell r="L1758">
            <v>139.49</v>
          </cell>
        </row>
        <row r="1758">
          <cell r="N1758">
            <v>44879</v>
          </cell>
          <cell r="O1758">
            <v>109.5</v>
          </cell>
        </row>
        <row r="1759">
          <cell r="B1759">
            <v>44880</v>
          </cell>
          <cell r="C1759">
            <v>106.73</v>
          </cell>
        </row>
        <row r="1759">
          <cell r="E1759">
            <v>44824</v>
          </cell>
          <cell r="F1759">
            <v>136.36</v>
          </cell>
        </row>
        <row r="1759">
          <cell r="H1759">
            <v>44824</v>
          </cell>
          <cell r="I1759">
            <v>67.07</v>
          </cell>
        </row>
        <row r="1759">
          <cell r="K1759">
            <v>44824</v>
          </cell>
          <cell r="L1759">
            <v>139.86</v>
          </cell>
        </row>
        <row r="1759">
          <cell r="N1759">
            <v>44880</v>
          </cell>
          <cell r="O1759">
            <v>108.82</v>
          </cell>
        </row>
        <row r="1760">
          <cell r="B1760">
            <v>44881</v>
          </cell>
          <cell r="C1760">
            <v>106.5</v>
          </cell>
        </row>
        <row r="1760">
          <cell r="E1760">
            <v>44825</v>
          </cell>
          <cell r="F1760">
            <v>135.78</v>
          </cell>
        </row>
        <row r="1760">
          <cell r="H1760">
            <v>44825</v>
          </cell>
          <cell r="I1760">
            <v>67.16</v>
          </cell>
        </row>
        <row r="1760">
          <cell r="K1760">
            <v>44825</v>
          </cell>
          <cell r="L1760">
            <v>139.83</v>
          </cell>
        </row>
        <row r="1760">
          <cell r="N1760">
            <v>44881</v>
          </cell>
          <cell r="O1760">
            <v>109.47</v>
          </cell>
        </row>
        <row r="1761">
          <cell r="B1761">
            <v>44882</v>
          </cell>
          <cell r="C1761">
            <v>106.5</v>
          </cell>
        </row>
        <row r="1761">
          <cell r="E1761">
            <v>44826</v>
          </cell>
          <cell r="F1761">
            <v>136.3</v>
          </cell>
        </row>
        <row r="1761">
          <cell r="H1761">
            <v>44826</v>
          </cell>
          <cell r="I1761">
            <v>67.63</v>
          </cell>
        </row>
        <row r="1761">
          <cell r="K1761">
            <v>44826</v>
          </cell>
          <cell r="L1761">
            <v>140.01</v>
          </cell>
        </row>
        <row r="1761">
          <cell r="N1761">
            <v>44882</v>
          </cell>
          <cell r="O1761">
            <v>109.64</v>
          </cell>
        </row>
        <row r="1762">
          <cell r="B1762">
            <v>44883</v>
          </cell>
          <cell r="C1762">
            <v>106.59</v>
          </cell>
        </row>
        <row r="1762">
          <cell r="E1762">
            <v>44827</v>
          </cell>
          <cell r="F1762">
            <v>135.78</v>
          </cell>
        </row>
        <row r="1762">
          <cell r="H1762">
            <v>44827</v>
          </cell>
          <cell r="I1762">
            <v>66.86</v>
          </cell>
        </row>
        <row r="1762">
          <cell r="K1762">
            <v>44827</v>
          </cell>
          <cell r="L1762">
            <v>141.07</v>
          </cell>
        </row>
        <row r="1762">
          <cell r="N1762">
            <v>44883</v>
          </cell>
          <cell r="O1762">
            <v>109.56</v>
          </cell>
        </row>
        <row r="1763">
          <cell r="B1763">
            <v>44886</v>
          </cell>
          <cell r="C1763">
            <v>106.54</v>
          </cell>
        </row>
        <row r="1763">
          <cell r="E1763">
            <v>44830</v>
          </cell>
          <cell r="F1763">
            <v>136.5</v>
          </cell>
        </row>
        <row r="1763">
          <cell r="H1763">
            <v>44830</v>
          </cell>
          <cell r="I1763">
            <v>66.44</v>
          </cell>
        </row>
        <row r="1763">
          <cell r="K1763">
            <v>44830</v>
          </cell>
          <cell r="L1763">
            <v>141.34</v>
          </cell>
        </row>
        <row r="1763">
          <cell r="N1763">
            <v>44886</v>
          </cell>
          <cell r="O1763">
            <v>109.42</v>
          </cell>
        </row>
        <row r="1764">
          <cell r="B1764">
            <v>44887</v>
          </cell>
          <cell r="C1764">
            <v>106.72</v>
          </cell>
        </row>
        <row r="1764">
          <cell r="E1764">
            <v>44831</v>
          </cell>
          <cell r="F1764">
            <v>137.63</v>
          </cell>
        </row>
        <row r="1764">
          <cell r="H1764">
            <v>44831</v>
          </cell>
          <cell r="I1764">
            <v>66.57</v>
          </cell>
        </row>
        <row r="1764">
          <cell r="K1764">
            <v>44831</v>
          </cell>
          <cell r="L1764">
            <v>141.42</v>
          </cell>
        </row>
        <row r="1764">
          <cell r="N1764">
            <v>44887</v>
          </cell>
          <cell r="O1764">
            <v>109.63</v>
          </cell>
        </row>
        <row r="1765">
          <cell r="B1765">
            <v>44888</v>
          </cell>
          <cell r="C1765">
            <v>106.87</v>
          </cell>
        </row>
        <row r="1765">
          <cell r="E1765">
            <v>44832</v>
          </cell>
          <cell r="F1765">
            <v>136.42</v>
          </cell>
        </row>
        <row r="1765">
          <cell r="H1765">
            <v>44832</v>
          </cell>
          <cell r="I1765">
            <v>66.74</v>
          </cell>
        </row>
        <row r="1765">
          <cell r="K1765">
            <v>44832</v>
          </cell>
          <cell r="L1765">
            <v>140.19</v>
          </cell>
        </row>
        <row r="1765">
          <cell r="N1765">
            <v>44888</v>
          </cell>
          <cell r="O1765">
            <v>109.73</v>
          </cell>
        </row>
        <row r="1766">
          <cell r="B1766">
            <v>44889</v>
          </cell>
          <cell r="C1766">
            <v>106.86</v>
          </cell>
        </row>
        <row r="1766">
          <cell r="E1766">
            <v>44833</v>
          </cell>
          <cell r="F1766">
            <v>137.34</v>
          </cell>
        </row>
        <row r="1766">
          <cell r="H1766">
            <v>44833</v>
          </cell>
          <cell r="I1766">
            <v>66.86</v>
          </cell>
        </row>
        <row r="1766">
          <cell r="K1766">
            <v>44833</v>
          </cell>
          <cell r="L1766">
            <v>140.44</v>
          </cell>
        </row>
        <row r="1766">
          <cell r="N1766">
            <v>44889</v>
          </cell>
          <cell r="O1766">
            <v>109.75</v>
          </cell>
        </row>
        <row r="1767">
          <cell r="B1767">
            <v>44890</v>
          </cell>
          <cell r="C1767">
            <v>107.06</v>
          </cell>
        </row>
        <row r="1767">
          <cell r="E1767">
            <v>44834</v>
          </cell>
          <cell r="F1767">
            <v>137.58</v>
          </cell>
        </row>
        <row r="1767">
          <cell r="H1767">
            <v>44834</v>
          </cell>
          <cell r="I1767">
            <v>67.32</v>
          </cell>
        </row>
        <row r="1767">
          <cell r="K1767">
            <v>44834</v>
          </cell>
          <cell r="L1767">
            <v>139.84</v>
          </cell>
        </row>
        <row r="1767">
          <cell r="N1767">
            <v>44890</v>
          </cell>
          <cell r="O1767">
            <v>109.34</v>
          </cell>
        </row>
        <row r="1768">
          <cell r="B1768">
            <v>44893</v>
          </cell>
          <cell r="C1768">
            <v>107.13</v>
          </cell>
        </row>
        <row r="1768">
          <cell r="E1768">
            <v>44837</v>
          </cell>
          <cell r="F1768">
            <v>138.3</v>
          </cell>
        </row>
        <row r="1768">
          <cell r="H1768">
            <v>44837</v>
          </cell>
          <cell r="I1768">
            <v>68.39</v>
          </cell>
        </row>
        <row r="1768">
          <cell r="K1768">
            <v>44837</v>
          </cell>
          <cell r="L1768">
            <v>140.58</v>
          </cell>
        </row>
        <row r="1768">
          <cell r="N1768">
            <v>44893</v>
          </cell>
          <cell r="O1768">
            <v>109.74</v>
          </cell>
        </row>
        <row r="1769">
          <cell r="B1769">
            <v>44894</v>
          </cell>
          <cell r="C1769">
            <v>106.97</v>
          </cell>
        </row>
        <row r="1769">
          <cell r="E1769">
            <v>44838</v>
          </cell>
          <cell r="F1769">
            <v>137.42</v>
          </cell>
        </row>
        <row r="1769">
          <cell r="H1769">
            <v>44838</v>
          </cell>
          <cell r="I1769">
            <v>68.46</v>
          </cell>
        </row>
        <row r="1769">
          <cell r="K1769">
            <v>44838</v>
          </cell>
          <cell r="L1769">
            <v>139.49</v>
          </cell>
        </row>
        <row r="1769">
          <cell r="N1769">
            <v>44894</v>
          </cell>
          <cell r="O1769">
            <v>110.01</v>
          </cell>
        </row>
        <row r="1770">
          <cell r="B1770">
            <v>44895</v>
          </cell>
          <cell r="C1770">
            <v>107.31</v>
          </cell>
        </row>
        <row r="1770">
          <cell r="E1770">
            <v>44839</v>
          </cell>
          <cell r="F1770">
            <v>138.73</v>
          </cell>
        </row>
        <row r="1770">
          <cell r="H1770">
            <v>44839</v>
          </cell>
          <cell r="I1770">
            <v>68.57</v>
          </cell>
        </row>
        <row r="1770">
          <cell r="K1770">
            <v>44839</v>
          </cell>
          <cell r="L1770">
            <v>140.05</v>
          </cell>
        </row>
        <row r="1770">
          <cell r="N1770">
            <v>44895</v>
          </cell>
          <cell r="O1770">
            <v>110.02</v>
          </cell>
        </row>
        <row r="1771">
          <cell r="B1771">
            <v>44896</v>
          </cell>
          <cell r="C1771">
            <v>107.2</v>
          </cell>
        </row>
        <row r="1771">
          <cell r="E1771">
            <v>44840</v>
          </cell>
          <cell r="F1771">
            <v>139.17</v>
          </cell>
        </row>
        <row r="1771">
          <cell r="H1771">
            <v>44840</v>
          </cell>
          <cell r="I1771">
            <v>68.59</v>
          </cell>
        </row>
        <row r="1771">
          <cell r="K1771">
            <v>44840</v>
          </cell>
          <cell r="L1771">
            <v>140.25</v>
          </cell>
        </row>
        <row r="1771">
          <cell r="N1771">
            <v>44896</v>
          </cell>
          <cell r="O1771">
            <v>110.07</v>
          </cell>
        </row>
        <row r="1772">
          <cell r="B1772">
            <v>44897</v>
          </cell>
          <cell r="C1772">
            <v>107.61</v>
          </cell>
        </row>
        <row r="1772">
          <cell r="E1772">
            <v>44841</v>
          </cell>
          <cell r="F1772">
            <v>140.77</v>
          </cell>
        </row>
        <row r="1772">
          <cell r="H1772">
            <v>44841</v>
          </cell>
          <cell r="I1772">
            <v>69.04</v>
          </cell>
        </row>
        <row r="1772">
          <cell r="K1772">
            <v>44841</v>
          </cell>
          <cell r="L1772">
            <v>140.61</v>
          </cell>
        </row>
        <row r="1772">
          <cell r="N1772">
            <v>44897</v>
          </cell>
          <cell r="O1772">
            <v>109.3</v>
          </cell>
        </row>
        <row r="1773">
          <cell r="B1773">
            <v>44900</v>
          </cell>
          <cell r="C1773">
            <v>107.66</v>
          </cell>
        </row>
        <row r="1773">
          <cell r="E1773">
            <v>44844</v>
          </cell>
          <cell r="F1773">
            <v>140.66</v>
          </cell>
        </row>
        <row r="1773">
          <cell r="H1773">
            <v>44844</v>
          </cell>
          <cell r="I1773">
            <v>69.25</v>
          </cell>
        </row>
        <row r="1773">
          <cell r="K1773">
            <v>44844</v>
          </cell>
          <cell r="L1773">
            <v>141.32</v>
          </cell>
        </row>
        <row r="1773">
          <cell r="N1773">
            <v>44900</v>
          </cell>
          <cell r="O1773">
            <v>110.07</v>
          </cell>
        </row>
        <row r="1774">
          <cell r="B1774">
            <v>44901</v>
          </cell>
          <cell r="C1774">
            <v>107.45</v>
          </cell>
        </row>
        <row r="1774">
          <cell r="E1774">
            <v>44845</v>
          </cell>
          <cell r="F1774">
            <v>141.39</v>
          </cell>
        </row>
        <row r="1774">
          <cell r="H1774">
            <v>44845</v>
          </cell>
          <cell r="I1774">
            <v>69.66</v>
          </cell>
        </row>
        <row r="1774">
          <cell r="K1774">
            <v>44845</v>
          </cell>
          <cell r="L1774">
            <v>142.22</v>
          </cell>
        </row>
        <row r="1774">
          <cell r="N1774">
            <v>44901</v>
          </cell>
          <cell r="O1774">
            <v>110.41</v>
          </cell>
        </row>
        <row r="1775">
          <cell r="B1775">
            <v>44902</v>
          </cell>
          <cell r="C1775">
            <v>107.21</v>
          </cell>
        </row>
        <row r="1775">
          <cell r="E1775">
            <v>44846</v>
          </cell>
          <cell r="F1775">
            <v>140.52</v>
          </cell>
        </row>
        <row r="1775">
          <cell r="H1775">
            <v>44846</v>
          </cell>
          <cell r="I1775">
            <v>70.25</v>
          </cell>
        </row>
        <row r="1775">
          <cell r="K1775">
            <v>44846</v>
          </cell>
          <cell r="L1775">
            <v>141.78</v>
          </cell>
        </row>
        <row r="1775">
          <cell r="N1775">
            <v>44902</v>
          </cell>
          <cell r="O1775">
            <v>110.9</v>
          </cell>
        </row>
        <row r="1776">
          <cell r="B1776">
            <v>44903</v>
          </cell>
          <cell r="C1776">
            <v>106.94</v>
          </cell>
        </row>
        <row r="1776">
          <cell r="E1776">
            <v>44847</v>
          </cell>
          <cell r="F1776">
            <v>141.8</v>
          </cell>
        </row>
        <row r="1776">
          <cell r="H1776">
            <v>44847</v>
          </cell>
          <cell r="I1776">
            <v>71.03</v>
          </cell>
        </row>
        <row r="1776">
          <cell r="K1776">
            <v>44847</v>
          </cell>
          <cell r="L1776">
            <v>142.64</v>
          </cell>
        </row>
        <row r="1776">
          <cell r="N1776">
            <v>44903</v>
          </cell>
          <cell r="O1776">
            <v>110.73</v>
          </cell>
        </row>
        <row r="1777">
          <cell r="B1777">
            <v>44904</v>
          </cell>
          <cell r="C1777">
            <v>106.9</v>
          </cell>
        </row>
        <row r="1777">
          <cell r="E1777">
            <v>44848</v>
          </cell>
          <cell r="F1777">
            <v>140.2</v>
          </cell>
        </row>
        <row r="1777">
          <cell r="H1777">
            <v>44848</v>
          </cell>
          <cell r="I1777">
            <v>71.34</v>
          </cell>
        </row>
        <row r="1777">
          <cell r="K1777">
            <v>44848</v>
          </cell>
          <cell r="L1777">
            <v>142.76</v>
          </cell>
        </row>
        <row r="1777">
          <cell r="N1777">
            <v>44904</v>
          </cell>
          <cell r="O1777">
            <v>110.88</v>
          </cell>
        </row>
        <row r="1778">
          <cell r="B1778">
            <v>44907</v>
          </cell>
          <cell r="C1778">
            <v>106.7</v>
          </cell>
        </row>
        <row r="1778">
          <cell r="E1778">
            <v>44851</v>
          </cell>
          <cell r="F1778">
            <v>138.81</v>
          </cell>
        </row>
        <row r="1778">
          <cell r="H1778">
            <v>44851</v>
          </cell>
          <cell r="I1778">
            <v>70.59</v>
          </cell>
        </row>
        <row r="1778">
          <cell r="K1778">
            <v>44851</v>
          </cell>
          <cell r="L1778">
            <v>142.56</v>
          </cell>
        </row>
        <row r="1778">
          <cell r="N1778">
            <v>44907</v>
          </cell>
          <cell r="O1778">
            <v>111.33</v>
          </cell>
        </row>
        <row r="1779">
          <cell r="B1779">
            <v>44908</v>
          </cell>
          <cell r="C1779">
            <v>107.2</v>
          </cell>
        </row>
        <row r="1779">
          <cell r="E1779">
            <v>44852</v>
          </cell>
          <cell r="F1779">
            <v>139.36</v>
          </cell>
        </row>
        <row r="1779">
          <cell r="H1779">
            <v>44852</v>
          </cell>
          <cell r="I1779">
            <v>69.9</v>
          </cell>
        </row>
        <row r="1779">
          <cell r="K1779">
            <v>44852</v>
          </cell>
          <cell r="L1779">
            <v>142.01</v>
          </cell>
        </row>
        <row r="1779">
          <cell r="N1779">
            <v>44908</v>
          </cell>
          <cell r="O1779">
            <v>111.41</v>
          </cell>
        </row>
        <row r="1780">
          <cell r="B1780">
            <v>44909</v>
          </cell>
          <cell r="C1780">
            <v>106.83</v>
          </cell>
        </row>
        <row r="1780">
          <cell r="E1780">
            <v>44853</v>
          </cell>
          <cell r="F1780">
            <v>141.76</v>
          </cell>
        </row>
        <row r="1780">
          <cell r="H1780">
            <v>44853</v>
          </cell>
          <cell r="I1780">
            <v>70.18</v>
          </cell>
        </row>
        <row r="1780">
          <cell r="K1780">
            <v>44853</v>
          </cell>
          <cell r="L1780">
            <v>142.33</v>
          </cell>
        </row>
        <row r="1780">
          <cell r="N1780">
            <v>44909</v>
          </cell>
          <cell r="O1780">
            <v>111.5</v>
          </cell>
        </row>
        <row r="1781">
          <cell r="B1781">
            <v>44910</v>
          </cell>
          <cell r="C1781">
            <v>106.33</v>
          </cell>
        </row>
        <row r="1781">
          <cell r="E1781">
            <v>44854</v>
          </cell>
          <cell r="F1781">
            <v>141.91</v>
          </cell>
        </row>
        <row r="1781">
          <cell r="H1781">
            <v>44854</v>
          </cell>
          <cell r="I1781">
            <v>70.27</v>
          </cell>
        </row>
        <row r="1781">
          <cell r="K1781">
            <v>44854</v>
          </cell>
          <cell r="L1781">
            <v>141.75</v>
          </cell>
        </row>
        <row r="1781">
          <cell r="N1781">
            <v>44910</v>
          </cell>
          <cell r="O1781">
            <v>111.53</v>
          </cell>
        </row>
        <row r="1782">
          <cell r="B1782">
            <v>44911</v>
          </cell>
          <cell r="C1782">
            <v>106.02</v>
          </cell>
        </row>
        <row r="1782">
          <cell r="E1782">
            <v>44855</v>
          </cell>
          <cell r="F1782">
            <v>143.63</v>
          </cell>
        </row>
        <row r="1782">
          <cell r="H1782">
            <v>44855</v>
          </cell>
          <cell r="I1782">
            <v>71.03</v>
          </cell>
        </row>
        <row r="1782">
          <cell r="K1782">
            <v>44855</v>
          </cell>
          <cell r="L1782">
            <v>142.04</v>
          </cell>
        </row>
        <row r="1782">
          <cell r="N1782">
            <v>44911</v>
          </cell>
          <cell r="O1782">
            <v>111.05</v>
          </cell>
        </row>
        <row r="1783">
          <cell r="B1783">
            <v>44914</v>
          </cell>
          <cell r="C1783">
            <v>104.97</v>
          </cell>
        </row>
        <row r="1783">
          <cell r="E1783">
            <v>44858</v>
          </cell>
          <cell r="F1783">
            <v>143.66</v>
          </cell>
        </row>
        <row r="1783">
          <cell r="H1783">
            <v>44858</v>
          </cell>
          <cell r="I1783">
            <v>71.53</v>
          </cell>
        </row>
        <row r="1783">
          <cell r="K1783">
            <v>44858</v>
          </cell>
          <cell r="L1783">
            <v>142.98</v>
          </cell>
        </row>
        <row r="1783">
          <cell r="N1783">
            <v>44914</v>
          </cell>
          <cell r="O1783">
            <v>111.64</v>
          </cell>
        </row>
        <row r="1784">
          <cell r="B1784">
            <v>44915</v>
          </cell>
          <cell r="C1784">
            <v>105.33</v>
          </cell>
        </row>
        <row r="1784">
          <cell r="E1784">
            <v>44859</v>
          </cell>
          <cell r="F1784">
            <v>141.48</v>
          </cell>
        </row>
        <row r="1784">
          <cell r="H1784">
            <v>44859</v>
          </cell>
          <cell r="I1784">
            <v>70.98</v>
          </cell>
        </row>
        <row r="1784">
          <cell r="K1784">
            <v>44859</v>
          </cell>
          <cell r="L1784">
            <v>142.19</v>
          </cell>
        </row>
        <row r="1784">
          <cell r="N1784">
            <v>44915</v>
          </cell>
          <cell r="O1784">
            <v>111.16</v>
          </cell>
        </row>
        <row r="1785">
          <cell r="B1785">
            <v>44916</v>
          </cell>
          <cell r="C1785">
            <v>105.35</v>
          </cell>
        </row>
        <row r="1785">
          <cell r="E1785">
            <v>44860</v>
          </cell>
          <cell r="F1785">
            <v>141.21</v>
          </cell>
        </row>
        <row r="1785">
          <cell r="H1785">
            <v>44860</v>
          </cell>
          <cell r="I1785">
            <v>72.02</v>
          </cell>
        </row>
        <row r="1785">
          <cell r="K1785">
            <v>44860</v>
          </cell>
          <cell r="L1785">
            <v>141.49</v>
          </cell>
        </row>
        <row r="1785">
          <cell r="N1785">
            <v>44916</v>
          </cell>
          <cell r="O1785">
            <v>111.25</v>
          </cell>
        </row>
        <row r="1786">
          <cell r="B1786">
            <v>44917</v>
          </cell>
          <cell r="C1786">
            <v>105.18</v>
          </cell>
        </row>
        <row r="1786">
          <cell r="E1786">
            <v>44861</v>
          </cell>
          <cell r="F1786">
            <v>142.06</v>
          </cell>
        </row>
        <row r="1786">
          <cell r="H1786">
            <v>44861</v>
          </cell>
          <cell r="I1786">
            <v>71.39</v>
          </cell>
        </row>
        <row r="1786">
          <cell r="K1786">
            <v>44861</v>
          </cell>
          <cell r="L1786">
            <v>140.83</v>
          </cell>
        </row>
        <row r="1786">
          <cell r="N1786">
            <v>44917</v>
          </cell>
          <cell r="O1786">
            <v>111.11</v>
          </cell>
        </row>
        <row r="1787">
          <cell r="B1787">
            <v>44918</v>
          </cell>
          <cell r="C1787">
            <v>105.25</v>
          </cell>
        </row>
        <row r="1787">
          <cell r="E1787">
            <v>44862</v>
          </cell>
          <cell r="F1787">
            <v>142.39</v>
          </cell>
        </row>
        <row r="1787">
          <cell r="H1787">
            <v>44862</v>
          </cell>
          <cell r="I1787">
            <v>70.87</v>
          </cell>
        </row>
        <row r="1787">
          <cell r="K1787">
            <v>44862</v>
          </cell>
          <cell r="L1787">
            <v>141.85</v>
          </cell>
        </row>
        <row r="1787">
          <cell r="N1787">
            <v>44918</v>
          </cell>
          <cell r="O1787">
            <v>111.24</v>
          </cell>
        </row>
        <row r="1788">
          <cell r="B1788">
            <v>44921</v>
          </cell>
          <cell r="C1788">
            <v>105.25</v>
          </cell>
        </row>
        <row r="1788">
          <cell r="E1788">
            <v>44865</v>
          </cell>
          <cell r="F1788">
            <v>143.06</v>
          </cell>
        </row>
        <row r="1788">
          <cell r="H1788">
            <v>44865</v>
          </cell>
          <cell r="I1788">
            <v>70.58</v>
          </cell>
        </row>
        <row r="1788">
          <cell r="K1788">
            <v>44865</v>
          </cell>
          <cell r="L1788">
            <v>141.45</v>
          </cell>
        </row>
        <row r="1788">
          <cell r="N1788">
            <v>44921</v>
          </cell>
          <cell r="O1788">
            <v>111.25</v>
          </cell>
        </row>
        <row r="1789">
          <cell r="B1789">
            <v>44922</v>
          </cell>
          <cell r="C1789">
            <v>105.4</v>
          </cell>
        </row>
        <row r="1789">
          <cell r="E1789">
            <v>44866</v>
          </cell>
          <cell r="F1789">
            <v>143.27</v>
          </cell>
        </row>
        <row r="1789">
          <cell r="H1789">
            <v>44866</v>
          </cell>
          <cell r="I1789">
            <v>71.28</v>
          </cell>
        </row>
        <row r="1789">
          <cell r="K1789">
            <v>44866</v>
          </cell>
          <cell r="L1789">
            <v>141.69</v>
          </cell>
        </row>
        <row r="1789">
          <cell r="N1789">
            <v>44922</v>
          </cell>
          <cell r="O1789">
            <v>111.62</v>
          </cell>
        </row>
        <row r="1790">
          <cell r="B1790">
            <v>44923</v>
          </cell>
          <cell r="C1790">
            <v>105.64</v>
          </cell>
        </row>
        <row r="1790">
          <cell r="E1790">
            <v>44867</v>
          </cell>
          <cell r="F1790">
            <v>143.66</v>
          </cell>
        </row>
        <row r="1790">
          <cell r="H1790">
            <v>44867</v>
          </cell>
          <cell r="I1790">
            <v>71.45</v>
          </cell>
        </row>
        <row r="1790">
          <cell r="K1790">
            <v>44867</v>
          </cell>
          <cell r="L1790">
            <v>140.21</v>
          </cell>
        </row>
        <row r="1790">
          <cell r="N1790">
            <v>44923</v>
          </cell>
          <cell r="O1790">
            <v>111.98</v>
          </cell>
        </row>
        <row r="1791">
          <cell r="B1791">
            <v>44924</v>
          </cell>
          <cell r="C1791">
            <v>105.62</v>
          </cell>
        </row>
        <row r="1791">
          <cell r="E1791">
            <v>44868</v>
          </cell>
          <cell r="F1791">
            <v>144.97</v>
          </cell>
        </row>
        <row r="1791">
          <cell r="H1791">
            <v>44868</v>
          </cell>
          <cell r="I1791">
            <v>70.54</v>
          </cell>
        </row>
        <row r="1791">
          <cell r="K1791">
            <v>44868</v>
          </cell>
          <cell r="L1791">
            <v>139.85</v>
          </cell>
        </row>
        <row r="1791">
          <cell r="N1791">
            <v>44924</v>
          </cell>
          <cell r="O1791">
            <v>111.1</v>
          </cell>
        </row>
        <row r="1792">
          <cell r="B1792">
            <v>44925</v>
          </cell>
          <cell r="C1792">
            <v>105.78</v>
          </cell>
        </row>
        <row r="1792">
          <cell r="E1792">
            <v>44869</v>
          </cell>
          <cell r="F1792">
            <v>144.15</v>
          </cell>
        </row>
        <row r="1792">
          <cell r="H1792">
            <v>44869</v>
          </cell>
          <cell r="I1792">
            <v>72.16</v>
          </cell>
        </row>
        <row r="1792">
          <cell r="K1792">
            <v>44869</v>
          </cell>
          <cell r="L1792">
            <v>139.89</v>
          </cell>
        </row>
        <row r="1792">
          <cell r="N1792">
            <v>44925</v>
          </cell>
          <cell r="O1792">
            <v>111.25</v>
          </cell>
        </row>
        <row r="1793">
          <cell r="B1793">
            <v>44928</v>
          </cell>
          <cell r="C1793">
            <v>105.78</v>
          </cell>
        </row>
        <row r="1793">
          <cell r="E1793">
            <v>44872</v>
          </cell>
          <cell r="F1793">
            <v>143.97</v>
          </cell>
        </row>
        <row r="1793">
          <cell r="H1793">
            <v>44872</v>
          </cell>
          <cell r="I1793">
            <v>72.72</v>
          </cell>
        </row>
        <row r="1793">
          <cell r="K1793">
            <v>44872</v>
          </cell>
          <cell r="L1793">
            <v>140.8</v>
          </cell>
        </row>
        <row r="1793">
          <cell r="N1793">
            <v>44928</v>
          </cell>
          <cell r="O1793">
            <v>111.24</v>
          </cell>
        </row>
        <row r="1794">
          <cell r="B1794">
            <v>44929</v>
          </cell>
          <cell r="C1794">
            <v>105.72</v>
          </cell>
        </row>
        <row r="1794">
          <cell r="E1794">
            <v>44873</v>
          </cell>
          <cell r="F1794">
            <v>145.48</v>
          </cell>
        </row>
        <row r="1794">
          <cell r="H1794">
            <v>44873</v>
          </cell>
          <cell r="I1794">
            <v>72.66</v>
          </cell>
        </row>
        <row r="1794">
          <cell r="K1794">
            <v>44873</v>
          </cell>
          <cell r="L1794">
            <v>139.96</v>
          </cell>
        </row>
        <row r="1794">
          <cell r="N1794">
            <v>44929</v>
          </cell>
          <cell r="O1794">
            <v>111.35</v>
          </cell>
        </row>
        <row r="1795">
          <cell r="B1795">
            <v>44930</v>
          </cell>
          <cell r="C1795">
            <v>105.61</v>
          </cell>
        </row>
        <row r="1795">
          <cell r="E1795">
            <v>44874</v>
          </cell>
          <cell r="F1795">
            <v>145.74</v>
          </cell>
        </row>
        <row r="1795">
          <cell r="H1795">
            <v>44874</v>
          </cell>
          <cell r="I1795">
            <v>71.95</v>
          </cell>
        </row>
        <row r="1795">
          <cell r="K1795">
            <v>44874</v>
          </cell>
          <cell r="L1795">
            <v>141.23</v>
          </cell>
        </row>
        <row r="1795">
          <cell r="N1795">
            <v>44930</v>
          </cell>
          <cell r="O1795">
            <v>112.03</v>
          </cell>
        </row>
        <row r="1796">
          <cell r="B1796">
            <v>44931</v>
          </cell>
          <cell r="C1796">
            <v>105.53</v>
          </cell>
        </row>
        <row r="1796">
          <cell r="E1796">
            <v>44875</v>
          </cell>
          <cell r="F1796">
            <v>142.19</v>
          </cell>
        </row>
        <row r="1796">
          <cell r="H1796">
            <v>44875</v>
          </cell>
          <cell r="I1796">
            <v>71.92</v>
          </cell>
        </row>
        <row r="1796">
          <cell r="K1796">
            <v>44875</v>
          </cell>
          <cell r="L1796">
            <v>142.11</v>
          </cell>
        </row>
        <row r="1796">
          <cell r="N1796">
            <v>44931</v>
          </cell>
          <cell r="O1796">
            <v>112.29</v>
          </cell>
        </row>
        <row r="1797">
          <cell r="B1797">
            <v>44932</v>
          </cell>
          <cell r="C1797">
            <v>105.79</v>
          </cell>
        </row>
        <row r="1797">
          <cell r="E1797">
            <v>44876</v>
          </cell>
          <cell r="F1797">
            <v>136.93</v>
          </cell>
        </row>
        <row r="1797">
          <cell r="H1797">
            <v>44876</v>
          </cell>
          <cell r="I1797">
            <v>73.07</v>
          </cell>
        </row>
        <row r="1797">
          <cell r="K1797">
            <v>44876</v>
          </cell>
          <cell r="L1797">
            <v>141.78</v>
          </cell>
        </row>
        <row r="1797">
          <cell r="N1797">
            <v>44932</v>
          </cell>
          <cell r="O1797">
            <v>112.59</v>
          </cell>
        </row>
        <row r="1798">
          <cell r="B1798">
            <v>44935</v>
          </cell>
          <cell r="C1798">
            <v>106.28</v>
          </cell>
        </row>
        <row r="1798">
          <cell r="E1798">
            <v>44879</v>
          </cell>
          <cell r="F1798">
            <v>139.57</v>
          </cell>
        </row>
        <row r="1798">
          <cell r="H1798">
            <v>44879</v>
          </cell>
          <cell r="I1798">
            <v>73.12</v>
          </cell>
        </row>
        <row r="1798">
          <cell r="K1798">
            <v>44879</v>
          </cell>
          <cell r="L1798">
            <v>142.27</v>
          </cell>
        </row>
        <row r="1798">
          <cell r="N1798">
            <v>44935</v>
          </cell>
          <cell r="O1798">
            <v>112.36</v>
          </cell>
        </row>
        <row r="1799">
          <cell r="B1799">
            <v>44936</v>
          </cell>
          <cell r="C1799">
            <v>106.82</v>
          </cell>
        </row>
        <row r="1799">
          <cell r="E1799">
            <v>44880</v>
          </cell>
          <cell r="F1799">
            <v>139.09</v>
          </cell>
        </row>
        <row r="1799">
          <cell r="H1799">
            <v>44880</v>
          </cell>
          <cell r="I1799">
            <v>72.57</v>
          </cell>
        </row>
        <row r="1799">
          <cell r="K1799">
            <v>44880</v>
          </cell>
          <cell r="L1799">
            <v>143.21</v>
          </cell>
        </row>
        <row r="1799">
          <cell r="N1799">
            <v>44936</v>
          </cell>
          <cell r="O1799">
            <v>111.24</v>
          </cell>
        </row>
        <row r="1800">
          <cell r="B1800">
            <v>44937</v>
          </cell>
          <cell r="C1800">
            <v>106.34</v>
          </cell>
        </row>
        <row r="1800">
          <cell r="E1800">
            <v>44881</v>
          </cell>
          <cell r="F1800">
            <v>140.47</v>
          </cell>
        </row>
        <row r="1800">
          <cell r="H1800">
            <v>44881</v>
          </cell>
          <cell r="I1800">
            <v>71.64</v>
          </cell>
        </row>
        <row r="1800">
          <cell r="K1800">
            <v>44881</v>
          </cell>
          <cell r="L1800">
            <v>143.18</v>
          </cell>
        </row>
        <row r="1800">
          <cell r="N1800">
            <v>44937</v>
          </cell>
          <cell r="O1800">
            <v>111.29</v>
          </cell>
        </row>
        <row r="1801">
          <cell r="B1801">
            <v>44938</v>
          </cell>
          <cell r="C1801">
            <v>105.67</v>
          </cell>
        </row>
        <row r="1801">
          <cell r="E1801">
            <v>44882</v>
          </cell>
          <cell r="F1801">
            <v>142.39</v>
          </cell>
        </row>
        <row r="1801">
          <cell r="H1801">
            <v>44882</v>
          </cell>
          <cell r="I1801">
            <v>72.34</v>
          </cell>
        </row>
        <row r="1801">
          <cell r="K1801">
            <v>44882</v>
          </cell>
          <cell r="L1801">
            <v>143.61</v>
          </cell>
        </row>
        <row r="1801">
          <cell r="N1801">
            <v>44938</v>
          </cell>
          <cell r="O1801">
            <v>110.57</v>
          </cell>
        </row>
        <row r="1802">
          <cell r="B1802">
            <v>44939</v>
          </cell>
          <cell r="C1802">
            <v>105.55</v>
          </cell>
        </row>
        <row r="1802">
          <cell r="E1802">
            <v>44883</v>
          </cell>
          <cell r="F1802">
            <v>143.16</v>
          </cell>
        </row>
        <row r="1802">
          <cell r="H1802">
            <v>44883</v>
          </cell>
          <cell r="I1802">
            <v>72.04</v>
          </cell>
        </row>
        <row r="1802">
          <cell r="K1802">
            <v>44883</v>
          </cell>
          <cell r="L1802">
            <v>143.29</v>
          </cell>
        </row>
        <row r="1802">
          <cell r="N1802">
            <v>44939</v>
          </cell>
          <cell r="O1802">
            <v>110.46</v>
          </cell>
        </row>
        <row r="1803">
          <cell r="B1803">
            <v>44942</v>
          </cell>
          <cell r="C1803">
            <v>105.56</v>
          </cell>
        </row>
        <row r="1803">
          <cell r="E1803">
            <v>44886</v>
          </cell>
          <cell r="F1803">
            <v>143.53</v>
          </cell>
        </row>
        <row r="1803">
          <cell r="H1803">
            <v>44886</v>
          </cell>
          <cell r="I1803">
            <v>72.13</v>
          </cell>
        </row>
        <row r="1803">
          <cell r="K1803">
            <v>44886</v>
          </cell>
          <cell r="L1803">
            <v>143.9</v>
          </cell>
        </row>
        <row r="1803">
          <cell r="N1803">
            <v>44942</v>
          </cell>
          <cell r="O1803">
            <v>110.46</v>
          </cell>
        </row>
        <row r="1804">
          <cell r="B1804">
            <v>44943</v>
          </cell>
          <cell r="C1804">
            <v>104.81</v>
          </cell>
        </row>
        <row r="1804">
          <cell r="E1804">
            <v>44887</v>
          </cell>
          <cell r="F1804">
            <v>143.92</v>
          </cell>
        </row>
        <row r="1804">
          <cell r="H1804">
            <v>44887</v>
          </cell>
          <cell r="I1804">
            <v>72.89</v>
          </cell>
        </row>
        <row r="1804">
          <cell r="K1804">
            <v>44887</v>
          </cell>
          <cell r="L1804">
            <v>143.7</v>
          </cell>
        </row>
        <row r="1804">
          <cell r="N1804">
            <v>44943</v>
          </cell>
          <cell r="O1804">
            <v>110.48</v>
          </cell>
        </row>
        <row r="1805">
          <cell r="B1805">
            <v>44944</v>
          </cell>
          <cell r="C1805">
            <v>104.51</v>
          </cell>
        </row>
        <row r="1805">
          <cell r="E1805">
            <v>44888</v>
          </cell>
          <cell r="F1805">
            <v>142.75</v>
          </cell>
        </row>
        <row r="1805">
          <cell r="H1805">
            <v>44888</v>
          </cell>
          <cell r="I1805">
            <v>72.28</v>
          </cell>
        </row>
        <row r="1805">
          <cell r="K1805">
            <v>44888</v>
          </cell>
          <cell r="L1805">
            <v>142.53</v>
          </cell>
        </row>
        <row r="1805">
          <cell r="N1805">
            <v>44944</v>
          </cell>
          <cell r="O1805">
            <v>110.35</v>
          </cell>
        </row>
        <row r="1806">
          <cell r="B1806">
            <v>44945</v>
          </cell>
          <cell r="C1806">
            <v>104.29</v>
          </cell>
        </row>
        <row r="1806">
          <cell r="E1806">
            <v>44889</v>
          </cell>
          <cell r="F1806">
            <v>142.59</v>
          </cell>
        </row>
        <row r="1806">
          <cell r="H1806">
            <v>44889</v>
          </cell>
          <cell r="I1806">
            <v>72.39</v>
          </cell>
        </row>
        <row r="1806">
          <cell r="K1806">
            <v>44889</v>
          </cell>
          <cell r="L1806">
            <v>142.27</v>
          </cell>
        </row>
        <row r="1806">
          <cell r="N1806">
            <v>44945</v>
          </cell>
          <cell r="O1806">
            <v>110.36</v>
          </cell>
        </row>
        <row r="1807">
          <cell r="B1807">
            <v>44946</v>
          </cell>
          <cell r="C1807">
            <v>104.31</v>
          </cell>
        </row>
        <row r="1807">
          <cell r="E1807">
            <v>44890</v>
          </cell>
          <cell r="F1807">
            <v>142.88</v>
          </cell>
        </row>
        <row r="1807">
          <cell r="H1807">
            <v>44890</v>
          </cell>
          <cell r="I1807">
            <v>72.64</v>
          </cell>
        </row>
        <row r="1807">
          <cell r="K1807">
            <v>44890</v>
          </cell>
          <cell r="L1807">
            <v>142.47</v>
          </cell>
        </row>
        <row r="1807">
          <cell r="N1807">
            <v>44946</v>
          </cell>
          <cell r="O1807">
            <v>110.37</v>
          </cell>
        </row>
        <row r="1808">
          <cell r="B1808">
            <v>44949</v>
          </cell>
          <cell r="C1808">
            <v>103.94</v>
          </cell>
        </row>
        <row r="1808">
          <cell r="E1808">
            <v>44893</v>
          </cell>
          <cell r="F1808">
            <v>143.59</v>
          </cell>
        </row>
        <row r="1808">
          <cell r="H1808">
            <v>44893</v>
          </cell>
          <cell r="I1808">
            <v>72.06</v>
          </cell>
        </row>
        <row r="1808">
          <cell r="K1808">
            <v>44893</v>
          </cell>
          <cell r="L1808">
            <v>142.74</v>
          </cell>
        </row>
        <row r="1808">
          <cell r="N1808">
            <v>44949</v>
          </cell>
          <cell r="O1808">
            <v>110.53</v>
          </cell>
        </row>
        <row r="1809">
          <cell r="B1809">
            <v>44950</v>
          </cell>
          <cell r="C1809">
            <v>103.97</v>
          </cell>
        </row>
        <row r="1809">
          <cell r="E1809">
            <v>44894</v>
          </cell>
          <cell r="F1809">
            <v>143.53</v>
          </cell>
        </row>
        <row r="1809">
          <cell r="H1809">
            <v>44894</v>
          </cell>
          <cell r="I1809">
            <v>72.75</v>
          </cell>
        </row>
        <row r="1809">
          <cell r="K1809">
            <v>44894</v>
          </cell>
          <cell r="L1809">
            <v>142.78</v>
          </cell>
        </row>
        <row r="1809">
          <cell r="N1809">
            <v>44950</v>
          </cell>
          <cell r="O1809">
            <v>110.8</v>
          </cell>
        </row>
        <row r="1810">
          <cell r="B1810">
            <v>44951</v>
          </cell>
          <cell r="C1810">
            <v>103.93</v>
          </cell>
        </row>
        <row r="1810">
          <cell r="E1810">
            <v>44895</v>
          </cell>
          <cell r="F1810">
            <v>142.31</v>
          </cell>
        </row>
        <row r="1810">
          <cell r="H1810">
            <v>44895</v>
          </cell>
          <cell r="I1810">
            <v>71.63</v>
          </cell>
        </row>
        <row r="1810">
          <cell r="K1810">
            <v>44895</v>
          </cell>
          <cell r="L1810">
            <v>144.18</v>
          </cell>
        </row>
        <row r="1810">
          <cell r="N1810">
            <v>44951</v>
          </cell>
          <cell r="O1810">
            <v>110.73</v>
          </cell>
        </row>
        <row r="1811">
          <cell r="B1811">
            <v>44952</v>
          </cell>
          <cell r="C1811">
            <v>104.7</v>
          </cell>
        </row>
        <row r="1811">
          <cell r="E1811">
            <v>44896</v>
          </cell>
          <cell r="F1811">
            <v>140.67</v>
          </cell>
        </row>
        <row r="1811">
          <cell r="H1811">
            <v>44896</v>
          </cell>
          <cell r="I1811">
            <v>71.12</v>
          </cell>
        </row>
        <row r="1811">
          <cell r="K1811">
            <v>44896</v>
          </cell>
          <cell r="L1811">
            <v>143.28</v>
          </cell>
        </row>
        <row r="1811">
          <cell r="N1811">
            <v>44952</v>
          </cell>
          <cell r="O1811">
            <v>110.96</v>
          </cell>
        </row>
        <row r="1812">
          <cell r="B1812">
            <v>44953</v>
          </cell>
          <cell r="C1812">
            <v>104.77</v>
          </cell>
        </row>
        <row r="1812">
          <cell r="E1812">
            <v>44897</v>
          </cell>
          <cell r="F1812">
            <v>141.21</v>
          </cell>
        </row>
        <row r="1812">
          <cell r="H1812">
            <v>44897</v>
          </cell>
          <cell r="I1812">
            <v>70.5</v>
          </cell>
        </row>
        <row r="1812">
          <cell r="K1812">
            <v>44897</v>
          </cell>
          <cell r="L1812">
            <v>143.84</v>
          </cell>
        </row>
        <row r="1812">
          <cell r="N1812">
            <v>44953</v>
          </cell>
          <cell r="O1812">
            <v>110.48</v>
          </cell>
        </row>
        <row r="1813">
          <cell r="B1813">
            <v>44956</v>
          </cell>
          <cell r="C1813">
            <v>105.12</v>
          </cell>
        </row>
        <row r="1813">
          <cell r="E1813">
            <v>44900</v>
          </cell>
          <cell r="F1813">
            <v>141.76</v>
          </cell>
        </row>
        <row r="1813">
          <cell r="H1813">
            <v>44900</v>
          </cell>
          <cell r="I1813">
            <v>70.35</v>
          </cell>
        </row>
        <row r="1813">
          <cell r="K1813">
            <v>44900</v>
          </cell>
          <cell r="L1813">
            <v>144.41</v>
          </cell>
        </row>
        <row r="1813">
          <cell r="N1813">
            <v>44956</v>
          </cell>
          <cell r="O1813">
            <v>110.38</v>
          </cell>
        </row>
        <row r="1814">
          <cell r="B1814">
            <v>44957</v>
          </cell>
          <cell r="C1814">
            <v>104.99</v>
          </cell>
        </row>
        <row r="1814">
          <cell r="E1814">
            <v>44901</v>
          </cell>
          <cell r="F1814">
            <v>141.94</v>
          </cell>
        </row>
        <row r="1814">
          <cell r="H1814">
            <v>44901</v>
          </cell>
          <cell r="I1814">
            <v>70.28</v>
          </cell>
        </row>
        <row r="1814">
          <cell r="K1814">
            <v>44901</v>
          </cell>
          <cell r="L1814">
            <v>145.15</v>
          </cell>
        </row>
        <row r="1814">
          <cell r="N1814">
            <v>44957</v>
          </cell>
          <cell r="O1814">
            <v>109.71</v>
          </cell>
        </row>
        <row r="1815">
          <cell r="B1815">
            <v>44958</v>
          </cell>
          <cell r="C1815">
            <v>105.14</v>
          </cell>
        </row>
        <row r="1815">
          <cell r="E1815">
            <v>44902</v>
          </cell>
          <cell r="F1815">
            <v>142.23</v>
          </cell>
        </row>
        <row r="1815">
          <cell r="H1815">
            <v>44902</v>
          </cell>
          <cell r="I1815">
            <v>70.69</v>
          </cell>
        </row>
        <row r="1815">
          <cell r="K1815">
            <v>44902</v>
          </cell>
          <cell r="L1815">
            <v>144.84</v>
          </cell>
        </row>
        <row r="1815">
          <cell r="N1815">
            <v>44958</v>
          </cell>
          <cell r="O1815">
            <v>109.03</v>
          </cell>
        </row>
        <row r="1816">
          <cell r="B1816">
            <v>44959</v>
          </cell>
          <cell r="C1816">
            <v>104.44</v>
          </cell>
        </row>
        <row r="1816">
          <cell r="E1816">
            <v>44903</v>
          </cell>
          <cell r="F1816">
            <v>141.64</v>
          </cell>
        </row>
        <row r="1816">
          <cell r="H1816">
            <v>44903</v>
          </cell>
          <cell r="I1816">
            <v>70.62</v>
          </cell>
        </row>
        <row r="1816">
          <cell r="K1816">
            <v>44903</v>
          </cell>
          <cell r="L1816">
            <v>144.92</v>
          </cell>
        </row>
        <row r="1816">
          <cell r="N1816">
            <v>44959</v>
          </cell>
          <cell r="O1816">
            <v>107.39</v>
          </cell>
        </row>
        <row r="1817">
          <cell r="B1817">
            <v>44960</v>
          </cell>
          <cell r="C1817">
            <v>104.62</v>
          </cell>
        </row>
        <row r="1817">
          <cell r="E1817">
            <v>44904</v>
          </cell>
          <cell r="F1817">
            <v>140.56</v>
          </cell>
        </row>
        <row r="1817">
          <cell r="H1817">
            <v>44904</v>
          </cell>
          <cell r="I1817">
            <v>71.05</v>
          </cell>
        </row>
        <row r="1817">
          <cell r="K1817">
            <v>44904</v>
          </cell>
          <cell r="L1817">
            <v>144.49</v>
          </cell>
        </row>
        <row r="1817">
          <cell r="N1817">
            <v>44960</v>
          </cell>
          <cell r="O1817">
            <v>107.05</v>
          </cell>
        </row>
        <row r="1818">
          <cell r="B1818">
            <v>44963</v>
          </cell>
          <cell r="C1818">
            <v>104.72</v>
          </cell>
        </row>
        <row r="1818">
          <cell r="E1818">
            <v>44907</v>
          </cell>
          <cell r="F1818">
            <v>140.36</v>
          </cell>
        </row>
        <row r="1818">
          <cell r="H1818">
            <v>44907</v>
          </cell>
          <cell r="I1818">
            <v>70.88</v>
          </cell>
        </row>
        <row r="1818">
          <cell r="K1818">
            <v>44907</v>
          </cell>
          <cell r="L1818">
            <v>145.29</v>
          </cell>
        </row>
        <row r="1818">
          <cell r="N1818">
            <v>44963</v>
          </cell>
          <cell r="O1818">
            <v>107.94</v>
          </cell>
        </row>
        <row r="1819">
          <cell r="B1819">
            <v>44964</v>
          </cell>
          <cell r="C1819">
            <v>104.86</v>
          </cell>
        </row>
        <row r="1819">
          <cell r="E1819">
            <v>44908</v>
          </cell>
          <cell r="F1819">
            <v>138.32</v>
          </cell>
        </row>
        <row r="1819">
          <cell r="H1819">
            <v>44908</v>
          </cell>
          <cell r="I1819">
            <v>71.27</v>
          </cell>
        </row>
        <row r="1819">
          <cell r="K1819">
            <v>44908</v>
          </cell>
          <cell r="L1819">
            <v>146.7</v>
          </cell>
        </row>
        <row r="1819">
          <cell r="N1819">
            <v>44964</v>
          </cell>
          <cell r="O1819">
            <v>108.26</v>
          </cell>
        </row>
        <row r="1820">
          <cell r="B1820">
            <v>44965</v>
          </cell>
          <cell r="C1820">
            <v>105.28</v>
          </cell>
        </row>
        <row r="1820">
          <cell r="E1820">
            <v>44909</v>
          </cell>
          <cell r="F1820">
            <v>138.59</v>
          </cell>
        </row>
        <row r="1820">
          <cell r="H1820">
            <v>44909</v>
          </cell>
          <cell r="I1820">
            <v>70.79</v>
          </cell>
        </row>
        <row r="1820">
          <cell r="K1820">
            <v>44909</v>
          </cell>
          <cell r="L1820">
            <v>146.56</v>
          </cell>
        </row>
        <row r="1820">
          <cell r="N1820">
            <v>44965</v>
          </cell>
          <cell r="O1820">
            <v>108.97</v>
          </cell>
        </row>
        <row r="1821">
          <cell r="B1821">
            <v>44966</v>
          </cell>
          <cell r="C1821">
            <v>105.43</v>
          </cell>
        </row>
        <row r="1821">
          <cell r="E1821">
            <v>44910</v>
          </cell>
          <cell r="F1821">
            <v>138.74</v>
          </cell>
        </row>
        <row r="1821">
          <cell r="H1821">
            <v>44910</v>
          </cell>
          <cell r="I1821">
            <v>70.95</v>
          </cell>
        </row>
        <row r="1821">
          <cell r="K1821">
            <v>44910</v>
          </cell>
          <cell r="L1821">
            <v>146.89</v>
          </cell>
        </row>
        <row r="1821">
          <cell r="N1821">
            <v>44966</v>
          </cell>
          <cell r="O1821">
            <v>109.36</v>
          </cell>
        </row>
        <row r="1822">
          <cell r="B1822">
            <v>44967</v>
          </cell>
          <cell r="C1822">
            <v>105.9</v>
          </cell>
        </row>
        <row r="1822">
          <cell r="E1822">
            <v>44911</v>
          </cell>
          <cell r="F1822">
            <v>140.13</v>
          </cell>
        </row>
        <row r="1822">
          <cell r="H1822">
            <v>44911</v>
          </cell>
          <cell r="I1822">
            <v>70.62</v>
          </cell>
        </row>
        <row r="1822">
          <cell r="K1822">
            <v>44911</v>
          </cell>
          <cell r="L1822">
            <v>147.02</v>
          </cell>
        </row>
        <row r="1822">
          <cell r="N1822">
            <v>44967</v>
          </cell>
          <cell r="O1822">
            <v>109.65</v>
          </cell>
        </row>
        <row r="1823">
          <cell r="B1823">
            <v>44970</v>
          </cell>
          <cell r="C1823">
            <v>106.43</v>
          </cell>
        </row>
        <row r="1823">
          <cell r="E1823">
            <v>44914</v>
          </cell>
          <cell r="F1823">
            <v>140.85</v>
          </cell>
        </row>
        <row r="1823">
          <cell r="H1823">
            <v>44914</v>
          </cell>
          <cell r="I1823">
            <v>70.77</v>
          </cell>
        </row>
        <row r="1823">
          <cell r="K1823">
            <v>44914</v>
          </cell>
          <cell r="L1823">
            <v>147.32</v>
          </cell>
        </row>
        <row r="1823">
          <cell r="N1823">
            <v>44970</v>
          </cell>
          <cell r="O1823">
            <v>109.4</v>
          </cell>
        </row>
        <row r="1824">
          <cell r="B1824">
            <v>44971</v>
          </cell>
          <cell r="C1824">
            <v>106.05</v>
          </cell>
        </row>
        <row r="1824">
          <cell r="E1824">
            <v>44915</v>
          </cell>
          <cell r="F1824">
            <v>140.91</v>
          </cell>
        </row>
        <row r="1824">
          <cell r="H1824">
            <v>44915</v>
          </cell>
          <cell r="I1824">
            <v>70.85</v>
          </cell>
        </row>
        <row r="1824">
          <cell r="K1824">
            <v>44915</v>
          </cell>
          <cell r="L1824">
            <v>147.39</v>
          </cell>
        </row>
        <row r="1824">
          <cell r="N1824">
            <v>44971</v>
          </cell>
          <cell r="O1824">
            <v>109.61</v>
          </cell>
        </row>
        <row r="1825">
          <cell r="B1825">
            <v>44972</v>
          </cell>
          <cell r="C1825">
            <v>105.63</v>
          </cell>
        </row>
        <row r="1825">
          <cell r="E1825">
            <v>44916</v>
          </cell>
          <cell r="F1825">
            <v>140.68</v>
          </cell>
        </row>
        <row r="1825">
          <cell r="H1825">
            <v>44916</v>
          </cell>
          <cell r="I1825">
            <v>70.67</v>
          </cell>
        </row>
        <row r="1825">
          <cell r="K1825">
            <v>44916</v>
          </cell>
          <cell r="L1825">
            <v>148.27</v>
          </cell>
        </row>
        <row r="1825">
          <cell r="N1825">
            <v>44972</v>
          </cell>
          <cell r="O1825">
            <v>109.04</v>
          </cell>
        </row>
        <row r="1826">
          <cell r="B1826">
            <v>44973</v>
          </cell>
          <cell r="C1826">
            <v>105.31</v>
          </cell>
        </row>
        <row r="1826">
          <cell r="E1826">
            <v>44917</v>
          </cell>
          <cell r="F1826">
            <v>139.99</v>
          </cell>
        </row>
        <row r="1826">
          <cell r="H1826">
            <v>44917</v>
          </cell>
          <cell r="I1826">
            <v>70.81</v>
          </cell>
        </row>
        <row r="1826">
          <cell r="K1826">
            <v>44917</v>
          </cell>
          <cell r="L1826">
            <v>148.33</v>
          </cell>
        </row>
        <row r="1826">
          <cell r="N1826">
            <v>44973</v>
          </cell>
          <cell r="O1826">
            <v>108.22</v>
          </cell>
        </row>
        <row r="1827">
          <cell r="B1827">
            <v>44974</v>
          </cell>
          <cell r="C1827">
            <v>104.82</v>
          </cell>
        </row>
        <row r="1827">
          <cell r="E1827">
            <v>44918</v>
          </cell>
          <cell r="F1827">
            <v>140.26</v>
          </cell>
        </row>
        <row r="1827">
          <cell r="H1827">
            <v>44918</v>
          </cell>
          <cell r="I1827">
            <v>70.94</v>
          </cell>
        </row>
        <row r="1827">
          <cell r="K1827">
            <v>44918</v>
          </cell>
          <cell r="L1827">
            <v>148.36</v>
          </cell>
        </row>
        <row r="1827">
          <cell r="N1827">
            <v>44974</v>
          </cell>
          <cell r="O1827">
            <v>107.49</v>
          </cell>
        </row>
        <row r="1828">
          <cell r="B1828">
            <v>44977</v>
          </cell>
          <cell r="C1828">
            <v>104.82</v>
          </cell>
        </row>
        <row r="1828">
          <cell r="E1828">
            <v>44921</v>
          </cell>
          <cell r="F1828">
            <v>140.25</v>
          </cell>
        </row>
        <row r="1828">
          <cell r="H1828">
            <v>44921</v>
          </cell>
          <cell r="I1828">
            <v>70.94</v>
          </cell>
        </row>
        <row r="1828">
          <cell r="K1828">
            <v>44921</v>
          </cell>
          <cell r="L1828">
            <v>148.35</v>
          </cell>
        </row>
        <row r="1828">
          <cell r="N1828">
            <v>44977</v>
          </cell>
          <cell r="O1828">
            <v>107.49</v>
          </cell>
        </row>
        <row r="1829">
          <cell r="B1829">
            <v>44978</v>
          </cell>
          <cell r="C1829">
            <v>105.14</v>
          </cell>
        </row>
        <row r="1829">
          <cell r="E1829">
            <v>44922</v>
          </cell>
          <cell r="F1829">
            <v>140.27</v>
          </cell>
        </row>
        <row r="1829">
          <cell r="H1829">
            <v>44922</v>
          </cell>
          <cell r="I1829">
            <v>71.45</v>
          </cell>
        </row>
        <row r="1829">
          <cell r="K1829">
            <v>44922</v>
          </cell>
          <cell r="L1829">
            <v>148.21</v>
          </cell>
        </row>
        <row r="1829">
          <cell r="N1829">
            <v>44978</v>
          </cell>
          <cell r="O1829">
            <v>108.5</v>
          </cell>
        </row>
        <row r="1830">
          <cell r="B1830">
            <v>44979</v>
          </cell>
          <cell r="C1830">
            <v>105.08</v>
          </cell>
        </row>
        <row r="1830">
          <cell r="E1830">
            <v>44923</v>
          </cell>
          <cell r="F1830">
            <v>139.54</v>
          </cell>
        </row>
        <row r="1830">
          <cell r="H1830">
            <v>44923</v>
          </cell>
          <cell r="I1830">
            <v>70.97</v>
          </cell>
        </row>
        <row r="1830">
          <cell r="K1830">
            <v>44923</v>
          </cell>
          <cell r="L1830">
            <v>147.18</v>
          </cell>
        </row>
        <row r="1830">
          <cell r="N1830">
            <v>44979</v>
          </cell>
          <cell r="O1830">
            <v>107.92</v>
          </cell>
        </row>
        <row r="1831">
          <cell r="B1831">
            <v>44980</v>
          </cell>
          <cell r="C1831">
            <v>104.83</v>
          </cell>
        </row>
        <row r="1831">
          <cell r="E1831">
            <v>44924</v>
          </cell>
          <cell r="F1831">
            <v>137.97</v>
          </cell>
        </row>
        <row r="1831">
          <cell r="H1831">
            <v>44924</v>
          </cell>
          <cell r="I1831">
            <v>70.9</v>
          </cell>
        </row>
        <row r="1831">
          <cell r="K1831">
            <v>44924</v>
          </cell>
          <cell r="L1831">
            <v>146.98</v>
          </cell>
        </row>
        <row r="1831">
          <cell r="N1831">
            <v>44980</v>
          </cell>
          <cell r="O1831">
            <v>107.77</v>
          </cell>
        </row>
        <row r="1832">
          <cell r="B1832">
            <v>44981</v>
          </cell>
          <cell r="C1832">
            <v>104.67</v>
          </cell>
        </row>
        <row r="1832">
          <cell r="E1832">
            <v>44925</v>
          </cell>
          <cell r="F1832">
            <v>138.46</v>
          </cell>
        </row>
        <row r="1832">
          <cell r="H1832">
            <v>44925</v>
          </cell>
          <cell r="I1832">
            <v>71.06</v>
          </cell>
        </row>
        <row r="1832">
          <cell r="K1832">
            <v>44925</v>
          </cell>
          <cell r="L1832">
            <v>146.63</v>
          </cell>
        </row>
        <row r="1832">
          <cell r="N1832">
            <v>44981</v>
          </cell>
          <cell r="O1832">
            <v>107.77</v>
          </cell>
        </row>
        <row r="1833">
          <cell r="B1833">
            <v>44984</v>
          </cell>
          <cell r="C1833">
            <v>104.76</v>
          </cell>
        </row>
        <row r="1833">
          <cell r="E1833">
            <v>44928</v>
          </cell>
          <cell r="F1833">
            <v>138.45</v>
          </cell>
        </row>
        <row r="1833">
          <cell r="H1833">
            <v>44928</v>
          </cell>
          <cell r="I1833">
            <v>71.06</v>
          </cell>
        </row>
        <row r="1833">
          <cell r="K1833">
            <v>44928</v>
          </cell>
          <cell r="L1833">
            <v>146.62</v>
          </cell>
        </row>
        <row r="1833">
          <cell r="N1833">
            <v>44984</v>
          </cell>
          <cell r="O1833">
            <v>107.92</v>
          </cell>
        </row>
        <row r="1834">
          <cell r="B1834">
            <v>44985</v>
          </cell>
          <cell r="C1834">
            <v>104.72</v>
          </cell>
        </row>
        <row r="1834">
          <cell r="E1834">
            <v>44929</v>
          </cell>
          <cell r="F1834">
            <v>136.27</v>
          </cell>
        </row>
        <row r="1834">
          <cell r="H1834">
            <v>44929</v>
          </cell>
          <cell r="I1834">
            <v>71.46</v>
          </cell>
        </row>
        <row r="1834">
          <cell r="K1834">
            <v>44929</v>
          </cell>
          <cell r="L1834">
            <v>146.43</v>
          </cell>
        </row>
        <row r="1834">
          <cell r="N1834">
            <v>44985</v>
          </cell>
          <cell r="O1834">
            <v>107.36</v>
          </cell>
        </row>
        <row r="1835">
          <cell r="B1835">
            <v>44986</v>
          </cell>
          <cell r="C1835">
            <v>103.64</v>
          </cell>
        </row>
        <row r="1835">
          <cell r="E1835">
            <v>44930</v>
          </cell>
          <cell r="F1835">
            <v>134.08</v>
          </cell>
        </row>
        <row r="1835">
          <cell r="H1835">
            <v>44930</v>
          </cell>
          <cell r="I1835">
            <v>71.66</v>
          </cell>
        </row>
        <row r="1835">
          <cell r="K1835">
            <v>44930</v>
          </cell>
          <cell r="L1835">
            <v>145.61</v>
          </cell>
        </row>
        <row r="1835">
          <cell r="N1835">
            <v>44986</v>
          </cell>
          <cell r="O1835">
            <v>107.05</v>
          </cell>
        </row>
        <row r="1836">
          <cell r="B1836">
            <v>44987</v>
          </cell>
          <cell r="C1836">
            <v>103.44</v>
          </cell>
        </row>
        <row r="1836">
          <cell r="E1836">
            <v>44931</v>
          </cell>
          <cell r="F1836">
            <v>135.81</v>
          </cell>
        </row>
        <row r="1836">
          <cell r="H1836">
            <v>44931</v>
          </cell>
          <cell r="I1836">
            <v>72.71</v>
          </cell>
        </row>
        <row r="1836">
          <cell r="K1836">
            <v>44931</v>
          </cell>
          <cell r="L1836">
            <v>145.84</v>
          </cell>
        </row>
        <row r="1836">
          <cell r="N1836">
            <v>44987</v>
          </cell>
          <cell r="O1836">
            <v>107.58</v>
          </cell>
        </row>
        <row r="1837">
          <cell r="B1837">
            <v>44988</v>
          </cell>
          <cell r="C1837">
            <v>103.08</v>
          </cell>
        </row>
        <row r="1837">
          <cell r="E1837">
            <v>44932</v>
          </cell>
          <cell r="F1837">
            <v>135.42</v>
          </cell>
        </row>
        <row r="1837">
          <cell r="H1837">
            <v>44932</v>
          </cell>
          <cell r="I1837">
            <v>73.3</v>
          </cell>
        </row>
        <row r="1837">
          <cell r="K1837">
            <v>44932</v>
          </cell>
          <cell r="L1837">
            <v>146.74</v>
          </cell>
        </row>
        <row r="1837">
          <cell r="N1837">
            <v>44988</v>
          </cell>
          <cell r="O1837">
            <v>107.91</v>
          </cell>
        </row>
        <row r="1838">
          <cell r="B1838">
            <v>44991</v>
          </cell>
          <cell r="C1838">
            <v>103.62</v>
          </cell>
        </row>
        <row r="1838">
          <cell r="E1838">
            <v>44935</v>
          </cell>
          <cell r="F1838">
            <v>134.19</v>
          </cell>
        </row>
        <row r="1838">
          <cell r="H1838">
            <v>44935</v>
          </cell>
          <cell r="I1838">
            <v>72.75</v>
          </cell>
        </row>
        <row r="1838">
          <cell r="K1838">
            <v>44935</v>
          </cell>
          <cell r="L1838">
            <v>145.92</v>
          </cell>
        </row>
        <row r="1838">
          <cell r="N1838">
            <v>44991</v>
          </cell>
          <cell r="O1838">
            <v>109.44</v>
          </cell>
        </row>
        <row r="1839">
          <cell r="B1839">
            <v>44992</v>
          </cell>
          <cell r="C1839">
            <v>103.61</v>
          </cell>
        </row>
        <row r="1839">
          <cell r="E1839">
            <v>44936</v>
          </cell>
          <cell r="F1839">
            <v>133.63</v>
          </cell>
        </row>
        <row r="1839">
          <cell r="H1839">
            <v>44936</v>
          </cell>
          <cell r="I1839">
            <v>72.44</v>
          </cell>
        </row>
        <row r="1839">
          <cell r="K1839">
            <v>44936</v>
          </cell>
          <cell r="L1839">
            <v>145.49</v>
          </cell>
        </row>
        <row r="1839">
          <cell r="N1839">
            <v>44992</v>
          </cell>
          <cell r="O1839">
            <v>108.76</v>
          </cell>
        </row>
        <row r="1840">
          <cell r="B1840">
            <v>44993</v>
          </cell>
          <cell r="C1840">
            <v>103.49</v>
          </cell>
        </row>
        <row r="1840">
          <cell r="E1840">
            <v>44937</v>
          </cell>
          <cell r="F1840">
            <v>132.59</v>
          </cell>
        </row>
        <row r="1840">
          <cell r="H1840">
            <v>44937</v>
          </cell>
          <cell r="I1840">
            <v>71.96</v>
          </cell>
        </row>
        <row r="1840">
          <cell r="K1840">
            <v>44937</v>
          </cell>
          <cell r="L1840">
            <v>145.32</v>
          </cell>
        </row>
        <row r="1840">
          <cell r="N1840">
            <v>44993</v>
          </cell>
          <cell r="O1840">
            <v>109.06</v>
          </cell>
        </row>
        <row r="1841">
          <cell r="B1841">
            <v>44994</v>
          </cell>
          <cell r="C1841">
            <v>103.31</v>
          </cell>
        </row>
        <row r="1841">
          <cell r="E1841">
            <v>44938</v>
          </cell>
          <cell r="F1841">
            <v>133.09</v>
          </cell>
        </row>
        <row r="1841">
          <cell r="H1841">
            <v>44938</v>
          </cell>
          <cell r="I1841">
            <v>72.15</v>
          </cell>
        </row>
        <row r="1841">
          <cell r="K1841">
            <v>44938</v>
          </cell>
          <cell r="L1841">
            <v>144.58</v>
          </cell>
        </row>
        <row r="1841">
          <cell r="N1841">
            <v>44994</v>
          </cell>
          <cell r="O1841">
            <v>109.6</v>
          </cell>
        </row>
        <row r="1842">
          <cell r="B1842">
            <v>44995</v>
          </cell>
          <cell r="C1842">
            <v>102.65</v>
          </cell>
        </row>
        <row r="1842">
          <cell r="E1842">
            <v>44939</v>
          </cell>
          <cell r="F1842">
            <v>132.83</v>
          </cell>
        </row>
        <row r="1842">
          <cell r="H1842">
            <v>44939</v>
          </cell>
          <cell r="I1842">
            <v>71.09</v>
          </cell>
        </row>
        <row r="1842">
          <cell r="K1842">
            <v>44939</v>
          </cell>
          <cell r="L1842">
            <v>144.02</v>
          </cell>
        </row>
        <row r="1842">
          <cell r="N1842">
            <v>44995</v>
          </cell>
          <cell r="O1842">
            <v>110.58</v>
          </cell>
        </row>
        <row r="1843">
          <cell r="B1843">
            <v>44998</v>
          </cell>
          <cell r="C1843">
            <v>103.49</v>
          </cell>
        </row>
        <row r="1843">
          <cell r="E1843">
            <v>44942</v>
          </cell>
          <cell r="F1843">
            <v>132.66</v>
          </cell>
        </row>
        <row r="1843">
          <cell r="H1843">
            <v>44942</v>
          </cell>
          <cell r="I1843">
            <v>71.06</v>
          </cell>
        </row>
        <row r="1843">
          <cell r="K1843">
            <v>44942</v>
          </cell>
          <cell r="L1843">
            <v>144.17</v>
          </cell>
        </row>
        <row r="1843">
          <cell r="N1843">
            <v>44998</v>
          </cell>
          <cell r="O1843">
            <v>111.84</v>
          </cell>
        </row>
        <row r="1844">
          <cell r="B1844">
            <v>44999</v>
          </cell>
          <cell r="C1844">
            <v>103.6</v>
          </cell>
        </row>
        <row r="1844">
          <cell r="E1844">
            <v>44943</v>
          </cell>
          <cell r="F1844">
            <v>131.76</v>
          </cell>
        </row>
        <row r="1844">
          <cell r="H1844">
            <v>44943</v>
          </cell>
          <cell r="I1844">
            <v>70.84</v>
          </cell>
        </row>
        <row r="1844">
          <cell r="K1844">
            <v>44943</v>
          </cell>
          <cell r="L1844">
            <v>143.12</v>
          </cell>
        </row>
        <row r="1844">
          <cell r="N1844">
            <v>44999</v>
          </cell>
          <cell r="O1844">
            <v>111.22</v>
          </cell>
        </row>
        <row r="1845">
          <cell r="B1845">
            <v>45000</v>
          </cell>
          <cell r="C1845">
            <v>103.46</v>
          </cell>
        </row>
        <row r="1845">
          <cell r="E1845">
            <v>44944</v>
          </cell>
          <cell r="F1845">
            <v>132.27</v>
          </cell>
        </row>
        <row r="1845">
          <cell r="H1845">
            <v>44944</v>
          </cell>
          <cell r="I1845">
            <v>71.31</v>
          </cell>
        </row>
        <row r="1845">
          <cell r="K1845">
            <v>44944</v>
          </cell>
          <cell r="L1845">
            <v>143.95</v>
          </cell>
        </row>
        <row r="1845">
          <cell r="N1845">
            <v>45000</v>
          </cell>
          <cell r="O1845">
            <v>111.35</v>
          </cell>
        </row>
        <row r="1846">
          <cell r="B1846">
            <v>45001</v>
          </cell>
          <cell r="C1846">
            <v>103.33</v>
          </cell>
        </row>
        <row r="1846">
          <cell r="E1846">
            <v>44945</v>
          </cell>
          <cell r="F1846">
            <v>132.3</v>
          </cell>
        </row>
        <row r="1846">
          <cell r="H1846">
            <v>44945</v>
          </cell>
          <cell r="I1846">
            <v>71.8</v>
          </cell>
        </row>
        <row r="1846">
          <cell r="K1846">
            <v>44945</v>
          </cell>
          <cell r="L1846">
            <v>143.72</v>
          </cell>
        </row>
        <row r="1846">
          <cell r="N1846">
            <v>45001</v>
          </cell>
          <cell r="O1846">
            <v>111.75</v>
          </cell>
        </row>
        <row r="1847">
          <cell r="B1847">
            <v>45002</v>
          </cell>
          <cell r="C1847">
            <v>103.09</v>
          </cell>
        </row>
        <row r="1847">
          <cell r="E1847">
            <v>44946</v>
          </cell>
          <cell r="F1847">
            <v>130.65</v>
          </cell>
        </row>
        <row r="1847">
          <cell r="H1847">
            <v>44946</v>
          </cell>
          <cell r="I1847">
            <v>71.71</v>
          </cell>
        </row>
        <row r="1847">
          <cell r="K1847">
            <v>44946</v>
          </cell>
          <cell r="L1847">
            <v>143.37</v>
          </cell>
        </row>
        <row r="1847">
          <cell r="N1847">
            <v>45002</v>
          </cell>
          <cell r="O1847">
            <v>112.85</v>
          </cell>
        </row>
        <row r="1848">
          <cell r="B1848">
            <v>45005</v>
          </cell>
          <cell r="C1848">
            <v>103.21</v>
          </cell>
        </row>
        <row r="1848">
          <cell r="E1848">
            <v>44949</v>
          </cell>
          <cell r="F1848">
            <v>130.05</v>
          </cell>
        </row>
        <row r="1848">
          <cell r="H1848">
            <v>44949</v>
          </cell>
          <cell r="I1848">
            <v>71.74</v>
          </cell>
        </row>
        <row r="1848">
          <cell r="K1848">
            <v>44949</v>
          </cell>
          <cell r="L1848">
            <v>142.01</v>
          </cell>
        </row>
        <row r="1848">
          <cell r="N1848">
            <v>45005</v>
          </cell>
          <cell r="O1848">
            <v>112.69</v>
          </cell>
        </row>
        <row r="1849">
          <cell r="B1849">
            <v>45006</v>
          </cell>
          <cell r="C1849">
            <v>104.33</v>
          </cell>
        </row>
        <row r="1849">
          <cell r="E1849">
            <v>44950</v>
          </cell>
          <cell r="F1849">
            <v>131.54</v>
          </cell>
        </row>
        <row r="1849">
          <cell r="H1849">
            <v>44950</v>
          </cell>
          <cell r="I1849">
            <v>71.68</v>
          </cell>
        </row>
        <row r="1849">
          <cell r="K1849">
            <v>44950</v>
          </cell>
          <cell r="L1849">
            <v>142.73</v>
          </cell>
        </row>
        <row r="1849">
          <cell r="N1849">
            <v>45006</v>
          </cell>
          <cell r="O1849">
            <v>112.21</v>
          </cell>
        </row>
        <row r="1850">
          <cell r="B1850">
            <v>45007</v>
          </cell>
          <cell r="C1850">
            <v>104.12</v>
          </cell>
        </row>
        <row r="1850">
          <cell r="E1850">
            <v>44951</v>
          </cell>
          <cell r="F1850">
            <v>131.4</v>
          </cell>
        </row>
        <row r="1850">
          <cell r="H1850">
            <v>44951</v>
          </cell>
          <cell r="I1850">
            <v>71.6</v>
          </cell>
        </row>
        <row r="1850">
          <cell r="K1850">
            <v>44951</v>
          </cell>
          <cell r="L1850">
            <v>142.02</v>
          </cell>
        </row>
        <row r="1850">
          <cell r="N1850">
            <v>45007</v>
          </cell>
          <cell r="O1850">
            <v>112.87</v>
          </cell>
        </row>
        <row r="1851">
          <cell r="B1851">
            <v>45008</v>
          </cell>
          <cell r="C1851">
            <v>104.1</v>
          </cell>
        </row>
        <row r="1851">
          <cell r="E1851">
            <v>44952</v>
          </cell>
          <cell r="F1851">
            <v>132.31</v>
          </cell>
        </row>
        <row r="1851">
          <cell r="H1851">
            <v>44952</v>
          </cell>
          <cell r="I1851">
            <v>72.15</v>
          </cell>
        </row>
        <row r="1851">
          <cell r="K1851">
            <v>44952</v>
          </cell>
          <cell r="L1851">
            <v>142.98</v>
          </cell>
        </row>
        <row r="1851">
          <cell r="N1851">
            <v>45008</v>
          </cell>
          <cell r="O1851">
            <v>113.26</v>
          </cell>
        </row>
        <row r="1852">
          <cell r="B1852">
            <v>45009</v>
          </cell>
          <cell r="C1852">
            <v>104.02</v>
          </cell>
        </row>
        <row r="1852">
          <cell r="E1852">
            <v>44953</v>
          </cell>
          <cell r="F1852">
            <v>128.96</v>
          </cell>
        </row>
        <row r="1852">
          <cell r="H1852">
            <v>44953</v>
          </cell>
          <cell r="I1852">
            <v>71.43</v>
          </cell>
        </row>
        <row r="1852">
          <cell r="K1852">
            <v>44953</v>
          </cell>
          <cell r="L1852">
            <v>140.7</v>
          </cell>
        </row>
        <row r="1852">
          <cell r="N1852">
            <v>45009</v>
          </cell>
          <cell r="O1852">
            <v>112.9</v>
          </cell>
        </row>
        <row r="1853">
          <cell r="B1853">
            <v>45012</v>
          </cell>
          <cell r="C1853">
            <v>104.1</v>
          </cell>
        </row>
        <row r="1853">
          <cell r="E1853">
            <v>44956</v>
          </cell>
          <cell r="F1853">
            <v>129.86</v>
          </cell>
        </row>
        <row r="1853">
          <cell r="H1853">
            <v>44956</v>
          </cell>
          <cell r="I1853">
            <v>71.52</v>
          </cell>
        </row>
        <row r="1853">
          <cell r="K1853">
            <v>44956</v>
          </cell>
          <cell r="L1853">
            <v>141.68</v>
          </cell>
        </row>
        <row r="1853">
          <cell r="N1853">
            <v>45012</v>
          </cell>
          <cell r="O1853">
            <v>112.23</v>
          </cell>
        </row>
        <row r="1854">
          <cell r="B1854">
            <v>45013</v>
          </cell>
          <cell r="C1854">
            <v>104.17</v>
          </cell>
        </row>
        <row r="1854">
          <cell r="E1854">
            <v>44957</v>
          </cell>
          <cell r="F1854">
            <v>128.85</v>
          </cell>
        </row>
        <row r="1854">
          <cell r="H1854">
            <v>44957</v>
          </cell>
          <cell r="I1854">
            <v>71.44</v>
          </cell>
        </row>
        <row r="1854">
          <cell r="K1854">
            <v>44957</v>
          </cell>
          <cell r="L1854">
            <v>140.94</v>
          </cell>
        </row>
        <row r="1854">
          <cell r="N1854">
            <v>45013</v>
          </cell>
          <cell r="O1854">
            <v>112.4</v>
          </cell>
        </row>
        <row r="1855">
          <cell r="B1855">
            <v>45014</v>
          </cell>
          <cell r="C1855">
            <v>104.25</v>
          </cell>
        </row>
        <row r="1855">
          <cell r="E1855">
            <v>44958</v>
          </cell>
          <cell r="F1855">
            <v>128.13</v>
          </cell>
        </row>
        <row r="1855">
          <cell r="H1855">
            <v>44958</v>
          </cell>
          <cell r="I1855">
            <v>71.09</v>
          </cell>
        </row>
        <row r="1855">
          <cell r="K1855">
            <v>44958</v>
          </cell>
          <cell r="L1855">
            <v>140.61</v>
          </cell>
        </row>
        <row r="1855">
          <cell r="N1855">
            <v>45014</v>
          </cell>
          <cell r="O1855">
            <v>113.42</v>
          </cell>
        </row>
        <row r="1856">
          <cell r="B1856">
            <v>45015</v>
          </cell>
          <cell r="C1856">
            <v>104.54</v>
          </cell>
        </row>
        <row r="1856">
          <cell r="E1856">
            <v>44959</v>
          </cell>
          <cell r="F1856">
            <v>124.02</v>
          </cell>
        </row>
        <row r="1856">
          <cell r="H1856">
            <v>44959</v>
          </cell>
          <cell r="I1856">
            <v>70.78</v>
          </cell>
        </row>
        <row r="1856">
          <cell r="K1856">
            <v>44959</v>
          </cell>
          <cell r="L1856">
            <v>140.59</v>
          </cell>
        </row>
        <row r="1856">
          <cell r="N1856">
            <v>45015</v>
          </cell>
          <cell r="O1856">
            <v>114.07</v>
          </cell>
        </row>
        <row r="1857">
          <cell r="B1857">
            <v>45016</v>
          </cell>
          <cell r="C1857">
            <v>104.66</v>
          </cell>
        </row>
        <row r="1857">
          <cell r="E1857">
            <v>44960</v>
          </cell>
          <cell r="F1857">
            <v>126.61</v>
          </cell>
        </row>
        <row r="1857">
          <cell r="H1857">
            <v>44960</v>
          </cell>
          <cell r="I1857">
            <v>71.49</v>
          </cell>
        </row>
        <row r="1857">
          <cell r="K1857">
            <v>44960</v>
          </cell>
          <cell r="L1857">
            <v>142.49</v>
          </cell>
        </row>
        <row r="1857">
          <cell r="N1857">
            <v>45016</v>
          </cell>
          <cell r="O1857">
            <v>113.45</v>
          </cell>
        </row>
        <row r="1858">
          <cell r="B1858">
            <v>45019</v>
          </cell>
          <cell r="C1858">
            <v>104.48</v>
          </cell>
        </row>
        <row r="1858">
          <cell r="E1858">
            <v>44963</v>
          </cell>
          <cell r="F1858">
            <v>126.82</v>
          </cell>
        </row>
        <row r="1858">
          <cell r="H1858">
            <v>44963</v>
          </cell>
          <cell r="I1858">
            <v>70.63</v>
          </cell>
        </row>
        <row r="1858">
          <cell r="K1858">
            <v>44963</v>
          </cell>
          <cell r="L1858">
            <v>142.02</v>
          </cell>
        </row>
        <row r="1858">
          <cell r="N1858">
            <v>45019</v>
          </cell>
          <cell r="O1858">
            <v>114.22</v>
          </cell>
        </row>
        <row r="1859">
          <cell r="B1859">
            <v>45020</v>
          </cell>
          <cell r="C1859">
            <v>104.28</v>
          </cell>
        </row>
        <row r="1859">
          <cell r="E1859">
            <v>44964</v>
          </cell>
          <cell r="F1859">
            <v>127.63</v>
          </cell>
        </row>
        <row r="1859">
          <cell r="H1859">
            <v>44964</v>
          </cell>
          <cell r="I1859">
            <v>70.47</v>
          </cell>
        </row>
        <row r="1859">
          <cell r="K1859">
            <v>44964</v>
          </cell>
          <cell r="L1859">
            <v>142.25</v>
          </cell>
        </row>
        <row r="1859">
          <cell r="N1859">
            <v>45020</v>
          </cell>
          <cell r="O1859">
            <v>114.88</v>
          </cell>
        </row>
        <row r="1860">
          <cell r="B1860">
            <v>45021</v>
          </cell>
          <cell r="C1860">
            <v>104.24</v>
          </cell>
        </row>
        <row r="1860">
          <cell r="E1860">
            <v>44965</v>
          </cell>
          <cell r="F1860">
            <v>127.88</v>
          </cell>
        </row>
        <row r="1860">
          <cell r="H1860">
            <v>44965</v>
          </cell>
          <cell r="I1860">
            <v>70.27</v>
          </cell>
        </row>
        <row r="1860">
          <cell r="K1860">
            <v>44965</v>
          </cell>
          <cell r="L1860">
            <v>141.91</v>
          </cell>
        </row>
        <row r="1860">
          <cell r="N1860">
            <v>45021</v>
          </cell>
          <cell r="O1860">
            <v>115.73</v>
          </cell>
        </row>
        <row r="1861">
          <cell r="B1861">
            <v>45022</v>
          </cell>
          <cell r="C1861">
            <v>104.4</v>
          </cell>
        </row>
        <row r="1861">
          <cell r="E1861">
            <v>44966</v>
          </cell>
          <cell r="F1861">
            <v>130.37</v>
          </cell>
        </row>
        <row r="1861">
          <cell r="H1861">
            <v>44966</v>
          </cell>
          <cell r="I1861">
            <v>70.93</v>
          </cell>
        </row>
        <row r="1861">
          <cell r="K1861">
            <v>44966</v>
          </cell>
          <cell r="L1861">
            <v>142.54</v>
          </cell>
        </row>
        <row r="1861">
          <cell r="N1861">
            <v>45022</v>
          </cell>
          <cell r="O1861">
            <v>115.4</v>
          </cell>
        </row>
        <row r="1862">
          <cell r="B1862">
            <v>45023</v>
          </cell>
          <cell r="C1862">
            <v>104.42</v>
          </cell>
        </row>
        <row r="1862">
          <cell r="E1862">
            <v>44967</v>
          </cell>
          <cell r="F1862">
            <v>130.51</v>
          </cell>
        </row>
        <row r="1862">
          <cell r="H1862">
            <v>44967</v>
          </cell>
          <cell r="I1862">
            <v>71.85</v>
          </cell>
        </row>
        <row r="1862">
          <cell r="K1862">
            <v>44967</v>
          </cell>
          <cell r="L1862">
            <v>142.87</v>
          </cell>
        </row>
        <row r="1862">
          <cell r="N1862">
            <v>45023</v>
          </cell>
          <cell r="O1862">
            <v>115.39</v>
          </cell>
        </row>
        <row r="1863">
          <cell r="B1863">
            <v>45026</v>
          </cell>
          <cell r="C1863">
            <v>104.43</v>
          </cell>
        </row>
        <row r="1863">
          <cell r="E1863">
            <v>44970</v>
          </cell>
          <cell r="F1863">
            <v>130.25</v>
          </cell>
        </row>
        <row r="1863">
          <cell r="H1863">
            <v>44970</v>
          </cell>
          <cell r="I1863">
            <v>71.7</v>
          </cell>
        </row>
        <row r="1863">
          <cell r="K1863">
            <v>44970</v>
          </cell>
          <cell r="L1863">
            <v>143.09</v>
          </cell>
        </row>
        <row r="1863">
          <cell r="N1863">
            <v>45026</v>
          </cell>
          <cell r="O1863">
            <v>114.96</v>
          </cell>
        </row>
        <row r="1864">
          <cell r="B1864">
            <v>45027</v>
          </cell>
          <cell r="C1864">
            <v>104.96</v>
          </cell>
        </row>
        <row r="1864">
          <cell r="E1864">
            <v>44971</v>
          </cell>
          <cell r="F1864">
            <v>130.75</v>
          </cell>
        </row>
        <row r="1864">
          <cell r="H1864">
            <v>44971</v>
          </cell>
          <cell r="I1864">
            <v>71.56</v>
          </cell>
        </row>
        <row r="1864">
          <cell r="K1864">
            <v>44971</v>
          </cell>
          <cell r="L1864">
            <v>142.23</v>
          </cell>
        </row>
        <row r="1864">
          <cell r="N1864">
            <v>45027</v>
          </cell>
          <cell r="O1864">
            <v>114.59</v>
          </cell>
        </row>
        <row r="1865">
          <cell r="B1865">
            <v>45028</v>
          </cell>
          <cell r="C1865">
            <v>105.5</v>
          </cell>
        </row>
        <row r="1865">
          <cell r="E1865">
            <v>44972</v>
          </cell>
          <cell r="F1865">
            <v>129.98</v>
          </cell>
        </row>
        <row r="1865">
          <cell r="H1865">
            <v>44972</v>
          </cell>
          <cell r="I1865">
            <v>70.38</v>
          </cell>
        </row>
        <row r="1865">
          <cell r="K1865">
            <v>44972</v>
          </cell>
          <cell r="L1865">
            <v>141.06</v>
          </cell>
        </row>
        <row r="1865">
          <cell r="N1865">
            <v>45028</v>
          </cell>
          <cell r="O1865">
            <v>114.93</v>
          </cell>
        </row>
        <row r="1866">
          <cell r="B1866">
            <v>45029</v>
          </cell>
          <cell r="C1866">
            <v>105.65</v>
          </cell>
        </row>
        <row r="1866">
          <cell r="E1866">
            <v>44973</v>
          </cell>
          <cell r="F1866">
            <v>129.76</v>
          </cell>
        </row>
        <row r="1866">
          <cell r="H1866">
            <v>44973</v>
          </cell>
          <cell r="I1866">
            <v>70.79</v>
          </cell>
        </row>
        <row r="1866">
          <cell r="K1866">
            <v>44973</v>
          </cell>
          <cell r="L1866">
            <v>141.75</v>
          </cell>
        </row>
        <row r="1866">
          <cell r="N1866">
            <v>45029</v>
          </cell>
          <cell r="O1866">
            <v>114.71</v>
          </cell>
        </row>
        <row r="1867">
          <cell r="B1867">
            <v>45030</v>
          </cell>
          <cell r="C1867">
            <v>105.94</v>
          </cell>
        </row>
        <row r="1867">
          <cell r="E1867">
            <v>44974</v>
          </cell>
          <cell r="F1867">
            <v>129.37</v>
          </cell>
        </row>
        <row r="1867">
          <cell r="H1867">
            <v>44974</v>
          </cell>
          <cell r="I1867">
            <v>70.43</v>
          </cell>
        </row>
        <row r="1867">
          <cell r="K1867">
            <v>44974</v>
          </cell>
          <cell r="L1867">
            <v>141.61</v>
          </cell>
        </row>
        <row r="1867">
          <cell r="N1867">
            <v>45030</v>
          </cell>
          <cell r="O1867">
            <v>115.43</v>
          </cell>
        </row>
        <row r="1868">
          <cell r="B1868">
            <v>45033</v>
          </cell>
          <cell r="C1868">
            <v>105.91</v>
          </cell>
        </row>
        <row r="1868">
          <cell r="E1868">
            <v>44977</v>
          </cell>
          <cell r="F1868">
            <v>129.31</v>
          </cell>
        </row>
        <row r="1868">
          <cell r="H1868">
            <v>44977</v>
          </cell>
          <cell r="I1868">
            <v>70.46</v>
          </cell>
        </row>
        <row r="1868">
          <cell r="K1868">
            <v>44977</v>
          </cell>
          <cell r="L1868">
            <v>141.51</v>
          </cell>
        </row>
        <row r="1868">
          <cell r="N1868">
            <v>45033</v>
          </cell>
          <cell r="O1868">
            <v>115.02</v>
          </cell>
        </row>
        <row r="1869">
          <cell r="B1869">
            <v>45034</v>
          </cell>
          <cell r="C1869">
            <v>105.88</v>
          </cell>
        </row>
        <row r="1869">
          <cell r="E1869">
            <v>44978</v>
          </cell>
          <cell r="F1869">
            <v>130.33</v>
          </cell>
        </row>
        <row r="1869">
          <cell r="H1869">
            <v>44978</v>
          </cell>
          <cell r="I1869">
            <v>70.3</v>
          </cell>
        </row>
        <row r="1869">
          <cell r="K1869">
            <v>44978</v>
          </cell>
          <cell r="L1869">
            <v>141.57</v>
          </cell>
        </row>
        <row r="1869">
          <cell r="N1869">
            <v>45034</v>
          </cell>
          <cell r="O1869">
            <v>115.9</v>
          </cell>
        </row>
        <row r="1870">
          <cell r="B1870">
            <v>45035</v>
          </cell>
          <cell r="C1870">
            <v>105.26</v>
          </cell>
        </row>
        <row r="1870">
          <cell r="E1870">
            <v>44979</v>
          </cell>
          <cell r="F1870">
            <v>130.18</v>
          </cell>
        </row>
        <row r="1870">
          <cell r="H1870">
            <v>44979</v>
          </cell>
          <cell r="I1870">
            <v>70.18</v>
          </cell>
        </row>
        <row r="1870">
          <cell r="K1870">
            <v>44979</v>
          </cell>
          <cell r="L1870">
            <v>141.53</v>
          </cell>
        </row>
        <row r="1870">
          <cell r="N1870">
            <v>45035</v>
          </cell>
          <cell r="O1870">
            <v>115.66</v>
          </cell>
        </row>
        <row r="1871">
          <cell r="B1871">
            <v>45036</v>
          </cell>
          <cell r="C1871">
            <v>105.58</v>
          </cell>
        </row>
        <row r="1871">
          <cell r="E1871">
            <v>44980</v>
          </cell>
          <cell r="F1871">
            <v>130.93</v>
          </cell>
        </row>
        <row r="1871">
          <cell r="H1871">
            <v>44980</v>
          </cell>
          <cell r="I1871">
            <v>70.7</v>
          </cell>
        </row>
        <row r="1871">
          <cell r="K1871">
            <v>44980</v>
          </cell>
          <cell r="L1871">
            <v>142.41</v>
          </cell>
        </row>
        <row r="1871">
          <cell r="N1871">
            <v>45036</v>
          </cell>
          <cell r="O1871">
            <v>115.66</v>
          </cell>
        </row>
        <row r="1872">
          <cell r="B1872">
            <v>45037</v>
          </cell>
          <cell r="C1872">
            <v>105.24</v>
          </cell>
        </row>
        <row r="1872">
          <cell r="E1872">
            <v>44981</v>
          </cell>
          <cell r="F1872">
            <v>131.48</v>
          </cell>
        </row>
        <row r="1872">
          <cell r="H1872">
            <v>44981</v>
          </cell>
          <cell r="I1872">
            <v>71.07</v>
          </cell>
        </row>
        <row r="1872">
          <cell r="K1872">
            <v>44981</v>
          </cell>
          <cell r="L1872">
            <v>141.9</v>
          </cell>
        </row>
        <row r="1872">
          <cell r="N1872">
            <v>45037</v>
          </cell>
          <cell r="O1872">
            <v>115.64</v>
          </cell>
        </row>
        <row r="1873">
          <cell r="B1873">
            <v>45040</v>
          </cell>
          <cell r="C1873">
            <v>105.38</v>
          </cell>
        </row>
        <row r="1873">
          <cell r="E1873">
            <v>44984</v>
          </cell>
          <cell r="F1873">
            <v>131.73</v>
          </cell>
        </row>
        <row r="1873">
          <cell r="H1873">
            <v>44984</v>
          </cell>
          <cell r="I1873">
            <v>70.92</v>
          </cell>
        </row>
        <row r="1873">
          <cell r="K1873">
            <v>44984</v>
          </cell>
          <cell r="L1873">
            <v>141.61</v>
          </cell>
        </row>
        <row r="1873">
          <cell r="N1873">
            <v>45040</v>
          </cell>
          <cell r="O1873">
            <v>116.06</v>
          </cell>
        </row>
        <row r="1874">
          <cell r="B1874">
            <v>45041</v>
          </cell>
          <cell r="C1874">
            <v>105.58</v>
          </cell>
        </row>
        <row r="1874">
          <cell r="E1874">
            <v>44985</v>
          </cell>
          <cell r="F1874">
            <v>131.32</v>
          </cell>
        </row>
        <row r="1874">
          <cell r="H1874">
            <v>44985</v>
          </cell>
          <cell r="I1874">
            <v>70.57</v>
          </cell>
        </row>
        <row r="1874">
          <cell r="K1874">
            <v>44985</v>
          </cell>
          <cell r="L1874">
            <v>141.92</v>
          </cell>
        </row>
        <row r="1874">
          <cell r="N1874">
            <v>45041</v>
          </cell>
          <cell r="O1874">
            <v>116.77</v>
          </cell>
        </row>
        <row r="1875">
          <cell r="B1875">
            <v>45042</v>
          </cell>
          <cell r="C1875">
            <v>105.51</v>
          </cell>
        </row>
        <row r="1875">
          <cell r="E1875">
            <v>44986</v>
          </cell>
          <cell r="F1875">
            <v>132.65</v>
          </cell>
        </row>
        <row r="1875">
          <cell r="H1875">
            <v>44986</v>
          </cell>
          <cell r="I1875">
            <v>71.03</v>
          </cell>
        </row>
        <row r="1875">
          <cell r="K1875">
            <v>44986</v>
          </cell>
          <cell r="L1875">
            <v>142.12</v>
          </cell>
        </row>
        <row r="1875">
          <cell r="N1875">
            <v>45042</v>
          </cell>
          <cell r="O1875">
            <v>116.37</v>
          </cell>
        </row>
        <row r="1876">
          <cell r="B1876">
            <v>45043</v>
          </cell>
          <cell r="C1876">
            <v>105.36</v>
          </cell>
        </row>
        <row r="1876">
          <cell r="E1876">
            <v>44987</v>
          </cell>
          <cell r="F1876">
            <v>132.21</v>
          </cell>
        </row>
        <row r="1876">
          <cell r="H1876">
            <v>44987</v>
          </cell>
          <cell r="I1876">
            <v>70.66</v>
          </cell>
        </row>
        <row r="1876">
          <cell r="K1876">
            <v>44987</v>
          </cell>
          <cell r="L1876">
            <v>142.03</v>
          </cell>
        </row>
        <row r="1876">
          <cell r="N1876">
            <v>45043</v>
          </cell>
          <cell r="O1876">
            <v>116.78</v>
          </cell>
        </row>
        <row r="1877">
          <cell r="B1877">
            <v>45044</v>
          </cell>
          <cell r="C1877">
            <v>104.9</v>
          </cell>
        </row>
        <row r="1877">
          <cell r="E1877">
            <v>44988</v>
          </cell>
          <cell r="F1877">
            <v>131.99</v>
          </cell>
        </row>
        <row r="1877">
          <cell r="H1877">
            <v>44988</v>
          </cell>
          <cell r="I1877">
            <v>70.38</v>
          </cell>
        </row>
        <row r="1877">
          <cell r="K1877">
            <v>44988</v>
          </cell>
          <cell r="L1877">
            <v>141.9</v>
          </cell>
        </row>
        <row r="1877">
          <cell r="N1877">
            <v>45044</v>
          </cell>
          <cell r="O1877">
            <v>117.21</v>
          </cell>
        </row>
        <row r="1878">
          <cell r="B1878">
            <v>45047</v>
          </cell>
          <cell r="C1878">
            <v>104.56</v>
          </cell>
        </row>
        <row r="1878">
          <cell r="E1878">
            <v>44991</v>
          </cell>
          <cell r="F1878">
            <v>132.47</v>
          </cell>
        </row>
        <row r="1878">
          <cell r="H1878">
            <v>44991</v>
          </cell>
          <cell r="I1878">
            <v>69.97</v>
          </cell>
        </row>
        <row r="1878">
          <cell r="K1878">
            <v>44991</v>
          </cell>
          <cell r="L1878">
            <v>141.89</v>
          </cell>
        </row>
        <row r="1878">
          <cell r="N1878">
            <v>45047</v>
          </cell>
          <cell r="O1878">
            <v>116.99</v>
          </cell>
        </row>
        <row r="1879">
          <cell r="B1879">
            <v>45048</v>
          </cell>
          <cell r="C1879">
            <v>104.37</v>
          </cell>
        </row>
        <row r="1879">
          <cell r="E1879">
            <v>44992</v>
          </cell>
          <cell r="F1879">
            <v>133.57</v>
          </cell>
        </row>
        <row r="1879">
          <cell r="H1879">
            <v>44992</v>
          </cell>
          <cell r="I1879">
            <v>69.81</v>
          </cell>
        </row>
        <row r="1879">
          <cell r="K1879">
            <v>44992</v>
          </cell>
          <cell r="L1879">
            <v>142.27</v>
          </cell>
        </row>
        <row r="1879">
          <cell r="N1879">
            <v>45048</v>
          </cell>
          <cell r="O1879">
            <v>117.92</v>
          </cell>
        </row>
        <row r="1880">
          <cell r="B1880">
            <v>45049</v>
          </cell>
          <cell r="C1880">
            <v>104.96</v>
          </cell>
        </row>
        <row r="1880">
          <cell r="E1880">
            <v>44993</v>
          </cell>
          <cell r="F1880">
            <v>133.67</v>
          </cell>
        </row>
        <row r="1880">
          <cell r="H1880">
            <v>44993</v>
          </cell>
          <cell r="I1880">
            <v>69.88</v>
          </cell>
        </row>
        <row r="1880">
          <cell r="K1880">
            <v>44993</v>
          </cell>
          <cell r="L1880">
            <v>142.13</v>
          </cell>
        </row>
        <row r="1880">
          <cell r="N1880">
            <v>45049</v>
          </cell>
          <cell r="O1880">
            <v>117</v>
          </cell>
        </row>
        <row r="1881">
          <cell r="B1881">
            <v>45050</v>
          </cell>
          <cell r="C1881">
            <v>104.5</v>
          </cell>
        </row>
        <row r="1881">
          <cell r="E1881">
            <v>44994</v>
          </cell>
          <cell r="F1881">
            <v>134.79</v>
          </cell>
        </row>
        <row r="1881">
          <cell r="H1881">
            <v>44994</v>
          </cell>
          <cell r="I1881">
            <v>69.88</v>
          </cell>
        </row>
        <row r="1881">
          <cell r="K1881">
            <v>44994</v>
          </cell>
          <cell r="L1881">
            <v>142.52</v>
          </cell>
        </row>
        <row r="1881">
          <cell r="N1881">
            <v>45050</v>
          </cell>
          <cell r="O1881">
            <v>117.51</v>
          </cell>
        </row>
        <row r="1882">
          <cell r="B1882">
            <v>45051</v>
          </cell>
          <cell r="C1882">
            <v>104.57</v>
          </cell>
        </row>
        <row r="1882">
          <cell r="E1882">
            <v>44995</v>
          </cell>
          <cell r="F1882">
            <v>135.27</v>
          </cell>
        </row>
        <row r="1882">
          <cell r="H1882">
            <v>44995</v>
          </cell>
          <cell r="I1882">
            <v>69.62</v>
          </cell>
        </row>
        <row r="1882">
          <cell r="K1882">
            <v>44995</v>
          </cell>
          <cell r="L1882">
            <v>141.95</v>
          </cell>
        </row>
        <row r="1882">
          <cell r="N1882">
            <v>45051</v>
          </cell>
          <cell r="O1882">
            <v>117.63</v>
          </cell>
        </row>
        <row r="1883">
          <cell r="B1883">
            <v>45054</v>
          </cell>
          <cell r="C1883">
            <v>105.27</v>
          </cell>
        </row>
        <row r="1883">
          <cell r="E1883">
            <v>44998</v>
          </cell>
          <cell r="F1883">
            <v>134.21</v>
          </cell>
        </row>
        <row r="1883">
          <cell r="H1883">
            <v>44998</v>
          </cell>
          <cell r="I1883">
            <v>68.41</v>
          </cell>
        </row>
        <row r="1883">
          <cell r="K1883">
            <v>44998</v>
          </cell>
          <cell r="L1883">
            <v>141.56</v>
          </cell>
        </row>
        <row r="1883">
          <cell r="N1883">
            <v>45054</v>
          </cell>
          <cell r="O1883">
            <v>118.2</v>
          </cell>
        </row>
        <row r="1884">
          <cell r="B1884">
            <v>45055</v>
          </cell>
          <cell r="C1884">
            <v>106.07</v>
          </cell>
        </row>
        <row r="1884">
          <cell r="E1884">
            <v>44999</v>
          </cell>
          <cell r="F1884">
            <v>135.56</v>
          </cell>
        </row>
        <row r="1884">
          <cell r="H1884">
            <v>44999</v>
          </cell>
          <cell r="I1884">
            <v>68.31</v>
          </cell>
        </row>
        <row r="1884">
          <cell r="K1884">
            <v>44999</v>
          </cell>
          <cell r="L1884">
            <v>141.64</v>
          </cell>
        </row>
        <row r="1884">
          <cell r="N1884">
            <v>45055</v>
          </cell>
          <cell r="O1884">
            <v>117.98</v>
          </cell>
        </row>
        <row r="1885">
          <cell r="B1885">
            <v>45056</v>
          </cell>
          <cell r="C1885">
            <v>105.97</v>
          </cell>
        </row>
        <row r="1885">
          <cell r="E1885">
            <v>45000</v>
          </cell>
          <cell r="F1885">
            <v>134.85</v>
          </cell>
        </row>
        <row r="1885">
          <cell r="H1885">
            <v>45000</v>
          </cell>
          <cell r="I1885">
            <v>67.11</v>
          </cell>
        </row>
        <row r="1885">
          <cell r="K1885">
            <v>45000</v>
          </cell>
          <cell r="L1885">
            <v>141.78</v>
          </cell>
        </row>
        <row r="1885">
          <cell r="N1885">
            <v>45056</v>
          </cell>
          <cell r="O1885">
            <v>117.26</v>
          </cell>
        </row>
        <row r="1886">
          <cell r="B1886">
            <v>45057</v>
          </cell>
          <cell r="C1886">
            <v>106.36</v>
          </cell>
        </row>
        <row r="1886">
          <cell r="E1886">
            <v>45001</v>
          </cell>
          <cell r="F1886">
            <v>135.93</v>
          </cell>
        </row>
        <row r="1886">
          <cell r="H1886">
            <v>45001</v>
          </cell>
          <cell r="I1886">
            <v>67.05</v>
          </cell>
        </row>
        <row r="1886">
          <cell r="K1886">
            <v>45001</v>
          </cell>
          <cell r="L1886">
            <v>142.14</v>
          </cell>
        </row>
        <row r="1886">
          <cell r="N1886">
            <v>45057</v>
          </cell>
          <cell r="O1886">
            <v>118.09</v>
          </cell>
        </row>
        <row r="1887">
          <cell r="B1887">
            <v>45058</v>
          </cell>
          <cell r="C1887">
            <v>105.86</v>
          </cell>
        </row>
        <row r="1887">
          <cell r="E1887">
            <v>45002</v>
          </cell>
          <cell r="F1887">
            <v>135.14</v>
          </cell>
        </row>
        <row r="1887">
          <cell r="H1887">
            <v>45002</v>
          </cell>
          <cell r="I1887">
            <v>66.89</v>
          </cell>
        </row>
        <row r="1887">
          <cell r="K1887">
            <v>45002</v>
          </cell>
          <cell r="L1887">
            <v>142</v>
          </cell>
        </row>
        <row r="1887">
          <cell r="N1887">
            <v>45058</v>
          </cell>
          <cell r="O1887">
            <v>118.15</v>
          </cell>
        </row>
        <row r="1888">
          <cell r="B1888">
            <v>45061</v>
          </cell>
          <cell r="C1888">
            <v>105.85</v>
          </cell>
        </row>
        <row r="1888">
          <cell r="E1888">
            <v>45005</v>
          </cell>
          <cell r="F1888">
            <v>136.24</v>
          </cell>
        </row>
        <row r="1888">
          <cell r="H1888">
            <v>45005</v>
          </cell>
          <cell r="I1888">
            <v>67.15</v>
          </cell>
        </row>
        <row r="1888">
          <cell r="K1888">
            <v>45005</v>
          </cell>
          <cell r="L1888">
            <v>142.6</v>
          </cell>
        </row>
        <row r="1888">
          <cell r="N1888">
            <v>45061</v>
          </cell>
          <cell r="O1888">
            <v>117.71</v>
          </cell>
        </row>
        <row r="1889">
          <cell r="B1889">
            <v>45062</v>
          </cell>
          <cell r="C1889">
            <v>105.41</v>
          </cell>
        </row>
        <row r="1889">
          <cell r="E1889">
            <v>45006</v>
          </cell>
          <cell r="F1889">
            <v>136.18</v>
          </cell>
        </row>
        <row r="1889">
          <cell r="H1889">
            <v>45006</v>
          </cell>
          <cell r="I1889">
            <v>67.23</v>
          </cell>
        </row>
        <row r="1889">
          <cell r="K1889">
            <v>45006</v>
          </cell>
          <cell r="L1889">
            <v>142.99</v>
          </cell>
        </row>
        <row r="1889">
          <cell r="N1889">
            <v>45062</v>
          </cell>
          <cell r="O1889">
            <v>117.81</v>
          </cell>
        </row>
        <row r="1890">
          <cell r="B1890">
            <v>45063</v>
          </cell>
          <cell r="C1890">
            <v>104.83</v>
          </cell>
        </row>
        <row r="1890">
          <cell r="E1890">
            <v>45007</v>
          </cell>
          <cell r="F1890">
            <v>136.36</v>
          </cell>
        </row>
        <row r="1890">
          <cell r="H1890">
            <v>45007</v>
          </cell>
          <cell r="I1890">
            <v>67.25</v>
          </cell>
        </row>
        <row r="1890">
          <cell r="K1890">
            <v>45007</v>
          </cell>
          <cell r="L1890">
            <v>142.42</v>
          </cell>
        </row>
        <row r="1890">
          <cell r="N1890">
            <v>45063</v>
          </cell>
          <cell r="O1890">
            <v>117.23</v>
          </cell>
        </row>
        <row r="1891">
          <cell r="B1891">
            <v>45064</v>
          </cell>
          <cell r="C1891">
            <v>104.67</v>
          </cell>
        </row>
        <row r="1891">
          <cell r="E1891">
            <v>45008</v>
          </cell>
          <cell r="F1891">
            <v>137.46</v>
          </cell>
        </row>
        <row r="1891">
          <cell r="H1891">
            <v>45008</v>
          </cell>
          <cell r="I1891">
            <v>66.96</v>
          </cell>
        </row>
        <row r="1891">
          <cell r="K1891">
            <v>45008</v>
          </cell>
          <cell r="L1891">
            <v>142.18</v>
          </cell>
        </row>
        <row r="1891">
          <cell r="N1891">
            <v>45064</v>
          </cell>
          <cell r="O1891">
            <v>117.77</v>
          </cell>
        </row>
        <row r="1892">
          <cell r="B1892">
            <v>45065</v>
          </cell>
          <cell r="C1892">
            <v>104.67</v>
          </cell>
        </row>
        <row r="1892">
          <cell r="E1892">
            <v>45009</v>
          </cell>
          <cell r="F1892">
            <v>136.43</v>
          </cell>
        </row>
        <row r="1892">
          <cell r="H1892">
            <v>45009</v>
          </cell>
          <cell r="I1892">
            <v>66.65</v>
          </cell>
        </row>
        <row r="1892">
          <cell r="K1892">
            <v>45009</v>
          </cell>
          <cell r="L1892">
            <v>142.02</v>
          </cell>
        </row>
        <row r="1892">
          <cell r="N1892">
            <v>45065</v>
          </cell>
          <cell r="O1892">
            <v>118</v>
          </cell>
        </row>
        <row r="1893">
          <cell r="B1893">
            <v>45068</v>
          </cell>
          <cell r="C1893">
            <v>104.57</v>
          </cell>
        </row>
        <row r="1893">
          <cell r="E1893">
            <v>45012</v>
          </cell>
          <cell r="F1893">
            <v>136.54</v>
          </cell>
        </row>
        <row r="1893">
          <cell r="H1893">
            <v>45012</v>
          </cell>
          <cell r="I1893">
            <v>67.03</v>
          </cell>
        </row>
        <row r="1893">
          <cell r="K1893">
            <v>45012</v>
          </cell>
          <cell r="L1893">
            <v>141.81</v>
          </cell>
        </row>
        <row r="1893">
          <cell r="N1893">
            <v>45068</v>
          </cell>
          <cell r="O1893">
            <v>116.7</v>
          </cell>
        </row>
        <row r="1894">
          <cell r="B1894">
            <v>45069</v>
          </cell>
          <cell r="C1894">
            <v>104.72</v>
          </cell>
        </row>
        <row r="1894">
          <cell r="E1894">
            <v>45013</v>
          </cell>
          <cell r="F1894">
            <v>136.54</v>
          </cell>
        </row>
        <row r="1894">
          <cell r="H1894">
            <v>45013</v>
          </cell>
          <cell r="I1894">
            <v>67.14</v>
          </cell>
        </row>
        <row r="1894">
          <cell r="K1894">
            <v>45013</v>
          </cell>
          <cell r="L1894">
            <v>141.55</v>
          </cell>
        </row>
        <row r="1894">
          <cell r="N1894">
            <v>45069</v>
          </cell>
          <cell r="O1894">
            <v>115.98</v>
          </cell>
        </row>
        <row r="1895">
          <cell r="B1895">
            <v>45070</v>
          </cell>
          <cell r="C1895">
            <v>104.92</v>
          </cell>
        </row>
        <row r="1895">
          <cell r="E1895">
            <v>45014</v>
          </cell>
          <cell r="F1895">
            <v>136.18</v>
          </cell>
        </row>
        <row r="1895">
          <cell r="H1895">
            <v>45014</v>
          </cell>
          <cell r="I1895">
            <v>67.13</v>
          </cell>
        </row>
        <row r="1895">
          <cell r="K1895">
            <v>45014</v>
          </cell>
          <cell r="L1895">
            <v>141.22</v>
          </cell>
        </row>
        <row r="1895">
          <cell r="N1895">
            <v>45070</v>
          </cell>
          <cell r="O1895">
            <v>116.32</v>
          </cell>
        </row>
        <row r="1896">
          <cell r="B1896">
            <v>45071</v>
          </cell>
          <cell r="C1896">
            <v>104.09</v>
          </cell>
        </row>
        <row r="1896">
          <cell r="E1896">
            <v>45015</v>
          </cell>
          <cell r="F1896">
            <v>136.1</v>
          </cell>
        </row>
        <row r="1896">
          <cell r="H1896">
            <v>45015</v>
          </cell>
          <cell r="I1896">
            <v>67.21</v>
          </cell>
        </row>
        <row r="1896">
          <cell r="K1896">
            <v>45015</v>
          </cell>
          <cell r="L1896">
            <v>141.05</v>
          </cell>
        </row>
        <row r="1896">
          <cell r="N1896">
            <v>45071</v>
          </cell>
          <cell r="O1896">
            <v>117.49</v>
          </cell>
        </row>
        <row r="1897">
          <cell r="B1897">
            <v>45072</v>
          </cell>
          <cell r="C1897">
            <v>104.2</v>
          </cell>
        </row>
        <row r="1897">
          <cell r="E1897">
            <v>45016</v>
          </cell>
          <cell r="F1897">
            <v>136.1</v>
          </cell>
        </row>
        <row r="1897">
          <cell r="H1897">
            <v>45016</v>
          </cell>
          <cell r="I1897">
            <v>67.04</v>
          </cell>
        </row>
        <row r="1897">
          <cell r="K1897">
            <v>45016</v>
          </cell>
          <cell r="L1897">
            <v>141.51</v>
          </cell>
        </row>
        <row r="1897">
          <cell r="N1897">
            <v>45072</v>
          </cell>
          <cell r="O1897">
            <v>117.98</v>
          </cell>
        </row>
        <row r="1898">
          <cell r="B1898">
            <v>45075</v>
          </cell>
          <cell r="C1898">
            <v>104.2</v>
          </cell>
        </row>
        <row r="1898">
          <cell r="E1898">
            <v>45019</v>
          </cell>
          <cell r="F1898">
            <v>136.82</v>
          </cell>
        </row>
        <row r="1898">
          <cell r="H1898">
            <v>45019</v>
          </cell>
          <cell r="I1898">
            <v>67.58</v>
          </cell>
        </row>
        <row r="1898">
          <cell r="K1898">
            <v>45019</v>
          </cell>
          <cell r="L1898">
            <v>141.19</v>
          </cell>
        </row>
        <row r="1898">
          <cell r="N1898">
            <v>45075</v>
          </cell>
          <cell r="O1898">
            <v>117.98</v>
          </cell>
        </row>
        <row r="1899">
          <cell r="B1899">
            <v>45076</v>
          </cell>
          <cell r="C1899">
            <v>104.95</v>
          </cell>
        </row>
        <row r="1899">
          <cell r="E1899">
            <v>45020</v>
          </cell>
          <cell r="F1899">
            <v>135.03</v>
          </cell>
        </row>
        <row r="1899">
          <cell r="H1899">
            <v>45020</v>
          </cell>
          <cell r="I1899">
            <v>66.69</v>
          </cell>
        </row>
        <row r="1899">
          <cell r="K1899">
            <v>45020</v>
          </cell>
          <cell r="L1899">
            <v>139.63</v>
          </cell>
        </row>
        <row r="1899">
          <cell r="N1899">
            <v>45076</v>
          </cell>
          <cell r="O1899">
            <v>118.44</v>
          </cell>
        </row>
        <row r="1900">
          <cell r="B1900">
            <v>45077</v>
          </cell>
          <cell r="C1900">
            <v>105.35</v>
          </cell>
        </row>
        <row r="1900">
          <cell r="E1900">
            <v>45021</v>
          </cell>
          <cell r="F1900">
            <v>134.92</v>
          </cell>
        </row>
        <row r="1900">
          <cell r="H1900">
            <v>45021</v>
          </cell>
          <cell r="I1900">
            <v>67.19</v>
          </cell>
        </row>
        <row r="1900">
          <cell r="K1900">
            <v>45021</v>
          </cell>
          <cell r="L1900">
            <v>139.82</v>
          </cell>
        </row>
        <row r="1900">
          <cell r="N1900">
            <v>45077</v>
          </cell>
          <cell r="O1900">
            <v>118.6</v>
          </cell>
        </row>
        <row r="1901">
          <cell r="B1901">
            <v>45078</v>
          </cell>
          <cell r="C1901">
            <v>105.32</v>
          </cell>
        </row>
        <row r="1901">
          <cell r="E1901">
            <v>45022</v>
          </cell>
          <cell r="F1901">
            <v>134.36</v>
          </cell>
        </row>
        <row r="1901">
          <cell r="H1901">
            <v>45022</v>
          </cell>
          <cell r="I1901">
            <v>66.94</v>
          </cell>
        </row>
        <row r="1901">
          <cell r="K1901">
            <v>45022</v>
          </cell>
          <cell r="L1901">
            <v>139.55</v>
          </cell>
        </row>
        <row r="1901">
          <cell r="N1901">
            <v>45078</v>
          </cell>
          <cell r="O1901">
            <v>118.54</v>
          </cell>
        </row>
        <row r="1902">
          <cell r="B1902">
            <v>45079</v>
          </cell>
          <cell r="C1902">
            <v>105.02</v>
          </cell>
        </row>
        <row r="1902">
          <cell r="E1902">
            <v>45023</v>
          </cell>
          <cell r="F1902">
            <v>134.36</v>
          </cell>
        </row>
        <row r="1902">
          <cell r="H1902">
            <v>45023</v>
          </cell>
          <cell r="I1902">
            <v>66.94</v>
          </cell>
        </row>
        <row r="1902">
          <cell r="K1902">
            <v>45023</v>
          </cell>
          <cell r="L1902">
            <v>139.54</v>
          </cell>
        </row>
        <row r="1902">
          <cell r="N1902">
            <v>45079</v>
          </cell>
          <cell r="O1902">
            <v>116.72</v>
          </cell>
        </row>
        <row r="1903">
          <cell r="B1903">
            <v>45082</v>
          </cell>
          <cell r="C1903">
            <v>105.14</v>
          </cell>
        </row>
        <row r="1903">
          <cell r="E1903">
            <v>45026</v>
          </cell>
          <cell r="F1903">
            <v>135.46</v>
          </cell>
        </row>
        <row r="1903">
          <cell r="H1903">
            <v>45026</v>
          </cell>
          <cell r="I1903">
            <v>67.74</v>
          </cell>
        </row>
        <row r="1903">
          <cell r="K1903">
            <v>45026</v>
          </cell>
          <cell r="L1903">
            <v>139.47</v>
          </cell>
        </row>
        <row r="1903">
          <cell r="N1903">
            <v>45082</v>
          </cell>
          <cell r="O1903">
            <v>117.99</v>
          </cell>
        </row>
        <row r="1904">
          <cell r="B1904">
            <v>45083</v>
          </cell>
          <cell r="C1904">
            <v>105.09</v>
          </cell>
        </row>
        <row r="1904">
          <cell r="E1904">
            <v>45027</v>
          </cell>
          <cell r="F1904">
            <v>134.5</v>
          </cell>
        </row>
        <row r="1904">
          <cell r="H1904">
            <v>45027</v>
          </cell>
          <cell r="I1904">
            <v>68.27</v>
          </cell>
        </row>
        <row r="1904">
          <cell r="K1904">
            <v>45027</v>
          </cell>
          <cell r="L1904">
            <v>139.06</v>
          </cell>
        </row>
        <row r="1904">
          <cell r="N1904">
            <v>45083</v>
          </cell>
          <cell r="O1904">
            <v>116.05</v>
          </cell>
        </row>
        <row r="1905">
          <cell r="B1905">
            <v>45084</v>
          </cell>
          <cell r="C1905">
            <v>104.18</v>
          </cell>
        </row>
        <row r="1905">
          <cell r="E1905">
            <v>45028</v>
          </cell>
          <cell r="F1905">
            <v>135.56</v>
          </cell>
        </row>
        <row r="1905">
          <cell r="H1905">
            <v>45028</v>
          </cell>
          <cell r="I1905">
            <v>68.22</v>
          </cell>
        </row>
        <row r="1905">
          <cell r="K1905">
            <v>45028</v>
          </cell>
          <cell r="L1905">
            <v>139.04</v>
          </cell>
        </row>
        <row r="1905">
          <cell r="N1905">
            <v>45084</v>
          </cell>
          <cell r="O1905">
            <v>114.31</v>
          </cell>
        </row>
        <row r="1906">
          <cell r="B1906">
            <v>45085</v>
          </cell>
          <cell r="C1906">
            <v>104.15</v>
          </cell>
        </row>
        <row r="1906">
          <cell r="E1906">
            <v>45029</v>
          </cell>
          <cell r="F1906">
            <v>135.11</v>
          </cell>
        </row>
        <row r="1906">
          <cell r="H1906">
            <v>45029</v>
          </cell>
          <cell r="I1906">
            <v>67.83</v>
          </cell>
        </row>
        <row r="1906">
          <cell r="K1906">
            <v>45029</v>
          </cell>
          <cell r="L1906">
            <v>138.85</v>
          </cell>
        </row>
        <row r="1906">
          <cell r="N1906">
            <v>45085</v>
          </cell>
          <cell r="O1906">
            <v>115.12</v>
          </cell>
        </row>
        <row r="1907">
          <cell r="B1907">
            <v>45086</v>
          </cell>
          <cell r="C1907">
            <v>104.23</v>
          </cell>
        </row>
        <row r="1907">
          <cell r="E1907">
            <v>45030</v>
          </cell>
          <cell r="F1907">
            <v>136.51</v>
          </cell>
        </row>
        <row r="1907">
          <cell r="H1907">
            <v>45030</v>
          </cell>
          <cell r="I1907">
            <v>68.29</v>
          </cell>
        </row>
        <row r="1907">
          <cell r="K1907">
            <v>45030</v>
          </cell>
          <cell r="L1907">
            <v>139.31</v>
          </cell>
        </row>
        <row r="1907">
          <cell r="N1907">
            <v>45086</v>
          </cell>
          <cell r="O1907">
            <v>115.77</v>
          </cell>
        </row>
        <row r="1908">
          <cell r="B1908">
            <v>45089</v>
          </cell>
          <cell r="C1908">
            <v>104.22</v>
          </cell>
        </row>
        <row r="1908">
          <cell r="E1908">
            <v>45033</v>
          </cell>
          <cell r="F1908">
            <v>135.66</v>
          </cell>
        </row>
        <row r="1908">
          <cell r="H1908">
            <v>45033</v>
          </cell>
          <cell r="I1908">
            <v>68.25</v>
          </cell>
        </row>
        <row r="1908">
          <cell r="K1908">
            <v>45033</v>
          </cell>
          <cell r="L1908">
            <v>139.42</v>
          </cell>
        </row>
        <row r="1908">
          <cell r="N1908">
            <v>45089</v>
          </cell>
          <cell r="O1908">
            <v>116.03</v>
          </cell>
        </row>
        <row r="1909">
          <cell r="B1909">
            <v>45090</v>
          </cell>
          <cell r="C1909">
            <v>103.75</v>
          </cell>
        </row>
        <row r="1909">
          <cell r="E1909">
            <v>45034</v>
          </cell>
          <cell r="F1909">
            <v>136.9</v>
          </cell>
        </row>
        <row r="1909">
          <cell r="H1909">
            <v>45034</v>
          </cell>
          <cell r="I1909">
            <v>68.17</v>
          </cell>
        </row>
        <row r="1909">
          <cell r="K1909">
            <v>45034</v>
          </cell>
          <cell r="L1909">
            <v>139.22</v>
          </cell>
        </row>
        <row r="1909">
          <cell r="N1909">
            <v>45090</v>
          </cell>
          <cell r="O1909">
            <v>115.87</v>
          </cell>
        </row>
        <row r="1910">
          <cell r="B1910">
            <v>45091</v>
          </cell>
          <cell r="C1910">
            <v>103.97</v>
          </cell>
        </row>
        <row r="1910">
          <cell r="E1910">
            <v>45035</v>
          </cell>
          <cell r="F1910">
            <v>136.01</v>
          </cell>
        </row>
        <row r="1910">
          <cell r="H1910">
            <v>45035</v>
          </cell>
          <cell r="I1910">
            <v>67.84</v>
          </cell>
        </row>
        <row r="1910">
          <cell r="K1910">
            <v>45035</v>
          </cell>
          <cell r="L1910">
            <v>139.22</v>
          </cell>
        </row>
        <row r="1910">
          <cell r="N1910">
            <v>45091</v>
          </cell>
          <cell r="O1910">
            <v>116.8</v>
          </cell>
        </row>
        <row r="1911">
          <cell r="B1911">
            <v>45092</v>
          </cell>
          <cell r="C1911">
            <v>104.28</v>
          </cell>
        </row>
        <row r="1911">
          <cell r="E1911">
            <v>45036</v>
          </cell>
          <cell r="F1911">
            <v>137.23</v>
          </cell>
        </row>
        <row r="1911">
          <cell r="H1911">
            <v>45036</v>
          </cell>
          <cell r="I1911">
            <v>67.72</v>
          </cell>
        </row>
        <row r="1911">
          <cell r="K1911">
            <v>45036</v>
          </cell>
          <cell r="L1911">
            <v>140.3</v>
          </cell>
        </row>
        <row r="1911">
          <cell r="N1911">
            <v>45092</v>
          </cell>
          <cell r="O1911">
            <v>117.33</v>
          </cell>
        </row>
        <row r="1912">
          <cell r="B1912">
            <v>45093</v>
          </cell>
          <cell r="C1912">
            <v>104.48</v>
          </cell>
        </row>
        <row r="1912">
          <cell r="E1912">
            <v>45037</v>
          </cell>
          <cell r="F1912">
            <v>136.67</v>
          </cell>
        </row>
        <row r="1912">
          <cell r="H1912">
            <v>45037</v>
          </cell>
          <cell r="I1912">
            <v>67.22</v>
          </cell>
        </row>
        <row r="1912">
          <cell r="K1912">
            <v>45037</v>
          </cell>
          <cell r="L1912">
            <v>140.4</v>
          </cell>
        </row>
        <row r="1912">
          <cell r="N1912">
            <v>45093</v>
          </cell>
          <cell r="O1912">
            <v>117.45</v>
          </cell>
        </row>
        <row r="1913">
          <cell r="B1913">
            <v>45096</v>
          </cell>
          <cell r="C1913">
            <v>104.47</v>
          </cell>
        </row>
        <row r="1913">
          <cell r="E1913">
            <v>45040</v>
          </cell>
          <cell r="F1913">
            <v>136.86</v>
          </cell>
        </row>
        <row r="1913">
          <cell r="H1913">
            <v>45040</v>
          </cell>
          <cell r="I1913">
            <v>67.68</v>
          </cell>
        </row>
        <row r="1913">
          <cell r="K1913">
            <v>45040</v>
          </cell>
          <cell r="L1913">
            <v>140.91</v>
          </cell>
        </row>
        <row r="1913">
          <cell r="N1913">
            <v>45096</v>
          </cell>
          <cell r="O1913">
            <v>117.46</v>
          </cell>
        </row>
        <row r="1914">
          <cell r="B1914">
            <v>45097</v>
          </cell>
          <cell r="C1914">
            <v>104.05</v>
          </cell>
        </row>
        <row r="1914">
          <cell r="E1914">
            <v>45041</v>
          </cell>
          <cell r="F1914">
            <v>137.18</v>
          </cell>
        </row>
        <row r="1914">
          <cell r="H1914">
            <v>45041</v>
          </cell>
          <cell r="I1914">
            <v>66.49</v>
          </cell>
        </row>
        <row r="1914">
          <cell r="K1914">
            <v>45041</v>
          </cell>
          <cell r="L1914">
            <v>140.38</v>
          </cell>
        </row>
        <row r="1914">
          <cell r="N1914">
            <v>45097</v>
          </cell>
          <cell r="O1914">
            <v>117.4</v>
          </cell>
        </row>
        <row r="1915">
          <cell r="B1915">
            <v>45098</v>
          </cell>
          <cell r="C1915">
            <v>104.32</v>
          </cell>
        </row>
        <row r="1915">
          <cell r="E1915">
            <v>45042</v>
          </cell>
          <cell r="F1915">
            <v>136.81</v>
          </cell>
        </row>
        <row r="1915">
          <cell r="H1915">
            <v>45042</v>
          </cell>
          <cell r="I1915">
            <v>66.61</v>
          </cell>
        </row>
        <row r="1915">
          <cell r="K1915">
            <v>45042</v>
          </cell>
          <cell r="L1915">
            <v>139.95</v>
          </cell>
        </row>
        <row r="1915">
          <cell r="N1915">
            <v>45098</v>
          </cell>
          <cell r="O1915">
            <v>117.35</v>
          </cell>
        </row>
        <row r="1916">
          <cell r="B1916">
            <v>45099</v>
          </cell>
          <cell r="C1916">
            <v>104.28</v>
          </cell>
        </row>
        <row r="1916">
          <cell r="E1916">
            <v>45043</v>
          </cell>
          <cell r="F1916">
            <v>135.21</v>
          </cell>
        </row>
        <row r="1916">
          <cell r="H1916">
            <v>45043</v>
          </cell>
          <cell r="I1916">
            <v>66.21</v>
          </cell>
        </row>
        <row r="1916">
          <cell r="K1916">
            <v>45043</v>
          </cell>
          <cell r="L1916">
            <v>141.23</v>
          </cell>
        </row>
        <row r="1916">
          <cell r="N1916">
            <v>45099</v>
          </cell>
          <cell r="O1916">
            <v>117.94</v>
          </cell>
        </row>
        <row r="1917">
          <cell r="B1917">
            <v>45100</v>
          </cell>
          <cell r="C1917">
            <v>104.17</v>
          </cell>
        </row>
        <row r="1917">
          <cell r="E1917">
            <v>45044</v>
          </cell>
          <cell r="F1917">
            <v>134.81</v>
          </cell>
        </row>
        <row r="1917">
          <cell r="H1917">
            <v>45044</v>
          </cell>
          <cell r="I1917">
            <v>66.3</v>
          </cell>
        </row>
        <row r="1917">
          <cell r="K1917">
            <v>45044</v>
          </cell>
          <cell r="L1917">
            <v>140.87</v>
          </cell>
        </row>
        <row r="1917">
          <cell r="N1917">
            <v>45100</v>
          </cell>
          <cell r="O1917">
            <v>118.9</v>
          </cell>
        </row>
        <row r="1918">
          <cell r="B1918">
            <v>45103</v>
          </cell>
          <cell r="C1918">
            <v>104.44</v>
          </cell>
        </row>
        <row r="1918">
          <cell r="E1918">
            <v>45047</v>
          </cell>
          <cell r="F1918">
            <v>135.8</v>
          </cell>
        </row>
        <row r="1918">
          <cell r="H1918">
            <v>45047</v>
          </cell>
          <cell r="I1918">
            <v>66.21</v>
          </cell>
        </row>
        <row r="1918">
          <cell r="K1918">
            <v>45047</v>
          </cell>
          <cell r="L1918">
            <v>140.75</v>
          </cell>
        </row>
        <row r="1918">
          <cell r="N1918">
            <v>45103</v>
          </cell>
          <cell r="O1918">
            <v>118.83</v>
          </cell>
        </row>
        <row r="1919">
          <cell r="B1919">
            <v>45104</v>
          </cell>
          <cell r="C1919">
            <v>104.25</v>
          </cell>
        </row>
        <row r="1919">
          <cell r="E1919">
            <v>45048</v>
          </cell>
          <cell r="F1919">
            <v>136.61</v>
          </cell>
        </row>
        <row r="1919">
          <cell r="H1919">
            <v>45048</v>
          </cell>
          <cell r="I1919">
            <v>65.72</v>
          </cell>
        </row>
        <row r="1919">
          <cell r="K1919">
            <v>45048</v>
          </cell>
          <cell r="L1919">
            <v>139.96</v>
          </cell>
        </row>
        <row r="1919">
          <cell r="N1919">
            <v>45104</v>
          </cell>
          <cell r="O1919">
            <v>119.23</v>
          </cell>
        </row>
        <row r="1920">
          <cell r="B1920">
            <v>45105</v>
          </cell>
          <cell r="C1920">
            <v>103.98</v>
          </cell>
        </row>
        <row r="1920">
          <cell r="E1920">
            <v>45049</v>
          </cell>
          <cell r="F1920">
            <v>135.84</v>
          </cell>
        </row>
        <row r="1920">
          <cell r="H1920">
            <v>45049</v>
          </cell>
          <cell r="I1920">
            <v>65.49</v>
          </cell>
        </row>
        <row r="1920">
          <cell r="K1920">
            <v>45049</v>
          </cell>
          <cell r="L1920">
            <v>139.32</v>
          </cell>
        </row>
        <row r="1920">
          <cell r="N1920">
            <v>45105</v>
          </cell>
          <cell r="O1920">
            <v>119.07</v>
          </cell>
        </row>
        <row r="1921">
          <cell r="B1921">
            <v>45106</v>
          </cell>
          <cell r="C1921">
            <v>103.23</v>
          </cell>
        </row>
        <row r="1921">
          <cell r="E1921">
            <v>45050</v>
          </cell>
          <cell r="F1921">
            <v>135.31</v>
          </cell>
        </row>
        <row r="1921">
          <cell r="H1921">
            <v>45050</v>
          </cell>
          <cell r="I1921">
            <v>63.74</v>
          </cell>
        </row>
        <row r="1921">
          <cell r="K1921">
            <v>45050</v>
          </cell>
          <cell r="L1921">
            <v>137.19</v>
          </cell>
        </row>
        <row r="1921">
          <cell r="N1921">
            <v>45106</v>
          </cell>
          <cell r="O1921">
            <v>117.74</v>
          </cell>
        </row>
        <row r="1922">
          <cell r="B1922">
            <v>45107</v>
          </cell>
          <cell r="C1922">
            <v>103.32</v>
          </cell>
        </row>
        <row r="1922">
          <cell r="E1922">
            <v>45051</v>
          </cell>
          <cell r="F1922">
            <v>133.99</v>
          </cell>
        </row>
        <row r="1922">
          <cell r="H1922">
            <v>45051</v>
          </cell>
          <cell r="I1922">
            <v>64.19</v>
          </cell>
        </row>
        <row r="1922">
          <cell r="K1922">
            <v>45051</v>
          </cell>
          <cell r="L1922">
            <v>137.02</v>
          </cell>
        </row>
        <row r="1922">
          <cell r="N1922">
            <v>45107</v>
          </cell>
          <cell r="O1922">
            <v>118.71</v>
          </cell>
        </row>
        <row r="1923">
          <cell r="B1923">
            <v>45110</v>
          </cell>
          <cell r="C1923">
            <v>103.01</v>
          </cell>
        </row>
        <row r="1923">
          <cell r="E1923">
            <v>45054</v>
          </cell>
          <cell r="F1923">
            <v>134.63</v>
          </cell>
        </row>
        <row r="1923">
          <cell r="H1923">
            <v>45057</v>
          </cell>
          <cell r="I1923">
            <v>61.76</v>
          </cell>
        </row>
        <row r="1923">
          <cell r="K1923">
            <v>45054</v>
          </cell>
          <cell r="L1923">
            <v>135.89</v>
          </cell>
        </row>
        <row r="1923">
          <cell r="N1923">
            <v>45110</v>
          </cell>
          <cell r="O1923">
            <v>118.48</v>
          </cell>
        </row>
        <row r="1924">
          <cell r="B1924">
            <v>45112</v>
          </cell>
          <cell r="C1924">
            <v>103.04</v>
          </cell>
        </row>
        <row r="1924">
          <cell r="E1924">
            <v>45055</v>
          </cell>
          <cell r="F1924">
            <v>135.04</v>
          </cell>
        </row>
        <row r="1924">
          <cell r="H1924">
            <v>45058</v>
          </cell>
          <cell r="I1924">
            <v>61.93</v>
          </cell>
        </row>
        <row r="1924">
          <cell r="K1924">
            <v>45055</v>
          </cell>
          <cell r="L1924">
            <v>136.17</v>
          </cell>
        </row>
        <row r="1924">
          <cell r="N1924">
            <v>45112</v>
          </cell>
          <cell r="O1924">
            <v>119.64</v>
          </cell>
        </row>
        <row r="1925">
          <cell r="B1925">
            <v>45113</v>
          </cell>
          <cell r="C1925">
            <v>102.99</v>
          </cell>
        </row>
        <row r="1925">
          <cell r="E1925">
            <v>45056</v>
          </cell>
          <cell r="F1925">
            <v>135.83</v>
          </cell>
        </row>
        <row r="1925">
          <cell r="H1925">
            <v>45061</v>
          </cell>
          <cell r="I1925">
            <v>62.21</v>
          </cell>
        </row>
        <row r="1925">
          <cell r="K1925">
            <v>45056</v>
          </cell>
          <cell r="L1925">
            <v>136.35</v>
          </cell>
        </row>
        <row r="1925">
          <cell r="N1925">
            <v>45113</v>
          </cell>
          <cell r="O1925">
            <v>119.76</v>
          </cell>
        </row>
        <row r="1926">
          <cell r="B1926">
            <v>45114</v>
          </cell>
          <cell r="C1926">
            <v>103.2</v>
          </cell>
        </row>
        <row r="1926">
          <cell r="E1926">
            <v>45057</v>
          </cell>
          <cell r="F1926">
            <v>135.87</v>
          </cell>
        </row>
        <row r="1926">
          <cell r="H1926">
            <v>45062</v>
          </cell>
          <cell r="I1926">
            <v>62.27</v>
          </cell>
        </row>
        <row r="1926">
          <cell r="K1926">
            <v>45057</v>
          </cell>
          <cell r="L1926">
            <v>137.23</v>
          </cell>
        </row>
        <row r="1926">
          <cell r="N1926">
            <v>45114</v>
          </cell>
          <cell r="O1926">
            <v>119.14</v>
          </cell>
        </row>
        <row r="1927">
          <cell r="B1927">
            <v>45117</v>
          </cell>
          <cell r="C1927">
            <v>102.92</v>
          </cell>
        </row>
        <row r="1927">
          <cell r="E1927">
            <v>45058</v>
          </cell>
          <cell r="F1927">
            <v>137.56</v>
          </cell>
        </row>
        <row r="1927">
          <cell r="H1927">
            <v>45063</v>
          </cell>
          <cell r="I1927">
            <v>62.93</v>
          </cell>
        </row>
        <row r="1927">
          <cell r="K1927">
            <v>45058</v>
          </cell>
          <cell r="L1927">
            <v>137.42</v>
          </cell>
        </row>
        <row r="1927">
          <cell r="N1927">
            <v>45117</v>
          </cell>
          <cell r="O1927">
            <v>118.43</v>
          </cell>
        </row>
        <row r="1928">
          <cell r="B1928">
            <v>45118</v>
          </cell>
          <cell r="C1928">
            <v>103.69</v>
          </cell>
        </row>
        <row r="1928">
          <cell r="E1928">
            <v>45061</v>
          </cell>
          <cell r="F1928">
            <v>136.54</v>
          </cell>
        </row>
        <row r="1928">
          <cell r="H1928">
            <v>45064</v>
          </cell>
          <cell r="I1928">
            <v>63.23</v>
          </cell>
        </row>
        <row r="1928">
          <cell r="K1928">
            <v>45061</v>
          </cell>
          <cell r="L1928">
            <v>136.98</v>
          </cell>
        </row>
        <row r="1928">
          <cell r="N1928">
            <v>45118</v>
          </cell>
          <cell r="O1928">
            <v>118.49</v>
          </cell>
        </row>
        <row r="1929">
          <cell r="B1929">
            <v>45119</v>
          </cell>
          <cell r="C1929">
            <v>104.47</v>
          </cell>
        </row>
        <row r="1929">
          <cell r="E1929">
            <v>45062</v>
          </cell>
          <cell r="F1929">
            <v>137.29</v>
          </cell>
        </row>
        <row r="1929">
          <cell r="H1929">
            <v>45065</v>
          </cell>
          <cell r="I1929">
            <v>63.16</v>
          </cell>
        </row>
        <row r="1929">
          <cell r="K1929">
            <v>45062</v>
          </cell>
          <cell r="L1929">
            <v>137.14</v>
          </cell>
        </row>
        <row r="1929">
          <cell r="N1929">
            <v>45119</v>
          </cell>
          <cell r="O1929">
            <v>118.22</v>
          </cell>
        </row>
        <row r="1930">
          <cell r="B1930">
            <v>45120</v>
          </cell>
          <cell r="C1930">
            <v>104.84</v>
          </cell>
        </row>
        <row r="1930">
          <cell r="E1930">
            <v>45063</v>
          </cell>
          <cell r="F1930">
            <v>136.63</v>
          </cell>
        </row>
        <row r="1930">
          <cell r="H1930">
            <v>45068</v>
          </cell>
          <cell r="I1930">
            <v>62.94</v>
          </cell>
        </row>
        <row r="1930">
          <cell r="K1930">
            <v>45063</v>
          </cell>
          <cell r="L1930">
            <v>137.43</v>
          </cell>
        </row>
        <row r="1930">
          <cell r="N1930">
            <v>45120</v>
          </cell>
          <cell r="O1930">
            <v>118.19</v>
          </cell>
        </row>
        <row r="1931">
          <cell r="B1931">
            <v>45121</v>
          </cell>
          <cell r="C1931">
            <v>104.74</v>
          </cell>
        </row>
        <row r="1931">
          <cell r="E1931">
            <v>45064</v>
          </cell>
          <cell r="F1931">
            <v>137.06</v>
          </cell>
        </row>
        <row r="1931">
          <cell r="H1931">
            <v>45069</v>
          </cell>
          <cell r="I1931">
            <v>63.92</v>
          </cell>
        </row>
        <row r="1931">
          <cell r="K1931">
            <v>45064</v>
          </cell>
          <cell r="L1931">
            <v>137.89</v>
          </cell>
        </row>
        <row r="1931">
          <cell r="N1931">
            <v>45121</v>
          </cell>
          <cell r="O1931">
            <v>118.47</v>
          </cell>
        </row>
        <row r="1932">
          <cell r="B1932">
            <v>45124</v>
          </cell>
          <cell r="C1932">
            <v>105.19</v>
          </cell>
        </row>
        <row r="1932">
          <cell r="E1932">
            <v>45065</v>
          </cell>
          <cell r="F1932">
            <v>137.31</v>
          </cell>
        </row>
        <row r="1932">
          <cell r="H1932">
            <v>45070</v>
          </cell>
          <cell r="I1932">
            <v>63.23</v>
          </cell>
        </row>
        <row r="1932">
          <cell r="K1932">
            <v>45065</v>
          </cell>
          <cell r="L1932">
            <v>137.48</v>
          </cell>
        </row>
        <row r="1932">
          <cell r="N1932">
            <v>45124</v>
          </cell>
          <cell r="O1932">
            <v>117.57</v>
          </cell>
        </row>
        <row r="1933">
          <cell r="B1933">
            <v>45125</v>
          </cell>
          <cell r="C1933">
            <v>104.88</v>
          </cell>
        </row>
        <row r="1933">
          <cell r="E1933">
            <v>45068</v>
          </cell>
          <cell r="F1933">
            <v>135.29</v>
          </cell>
        </row>
        <row r="1933">
          <cell r="H1933">
            <v>45071</v>
          </cell>
          <cell r="I1933">
            <v>63.68</v>
          </cell>
        </row>
        <row r="1933">
          <cell r="K1933">
            <v>45068</v>
          </cell>
          <cell r="L1933">
            <v>137.25</v>
          </cell>
        </row>
        <row r="1933">
          <cell r="N1933">
            <v>45125</v>
          </cell>
          <cell r="O1933">
            <v>117.02</v>
          </cell>
        </row>
        <row r="1934">
          <cell r="B1934">
            <v>45126</v>
          </cell>
          <cell r="C1934">
            <v>104.53</v>
          </cell>
        </row>
        <row r="1934">
          <cell r="E1934">
            <v>45069</v>
          </cell>
          <cell r="F1934">
            <v>133.51</v>
          </cell>
        </row>
        <row r="1934">
          <cell r="H1934">
            <v>45072</v>
          </cell>
          <cell r="I1934">
            <v>63.88</v>
          </cell>
        </row>
        <row r="1934">
          <cell r="K1934">
            <v>45069</v>
          </cell>
          <cell r="L1934">
            <v>136.93</v>
          </cell>
        </row>
        <row r="1934">
          <cell r="N1934">
            <v>45126</v>
          </cell>
          <cell r="O1934">
            <v>116.87</v>
          </cell>
        </row>
        <row r="1935">
          <cell r="B1935">
            <v>45127</v>
          </cell>
          <cell r="C1935">
            <v>104.43</v>
          </cell>
        </row>
        <row r="1935">
          <cell r="E1935">
            <v>45070</v>
          </cell>
          <cell r="F1935">
            <v>134.11</v>
          </cell>
        </row>
        <row r="1935">
          <cell r="H1935">
            <v>45075</v>
          </cell>
          <cell r="I1935">
            <v>63.97</v>
          </cell>
        </row>
        <row r="1935">
          <cell r="K1935">
            <v>45070</v>
          </cell>
          <cell r="L1935">
            <v>137.34</v>
          </cell>
        </row>
        <row r="1935">
          <cell r="N1935">
            <v>45127</v>
          </cell>
          <cell r="O1935">
            <v>117.2</v>
          </cell>
        </row>
        <row r="1936">
          <cell r="B1936">
            <v>45128</v>
          </cell>
          <cell r="C1936">
            <v>104.64</v>
          </cell>
        </row>
        <row r="1936">
          <cell r="E1936">
            <v>45071</v>
          </cell>
          <cell r="F1936">
            <v>136.66</v>
          </cell>
        </row>
        <row r="1936">
          <cell r="H1936">
            <v>45076</v>
          </cell>
          <cell r="I1936">
            <v>63.74</v>
          </cell>
        </row>
        <row r="1936">
          <cell r="K1936">
            <v>45071</v>
          </cell>
          <cell r="L1936">
            <v>137.07</v>
          </cell>
        </row>
        <row r="1936">
          <cell r="N1936">
            <v>45128</v>
          </cell>
          <cell r="O1936">
            <v>117.56</v>
          </cell>
        </row>
        <row r="1937">
          <cell r="B1937">
            <v>45131</v>
          </cell>
          <cell r="C1937">
            <v>103.98</v>
          </cell>
        </row>
        <row r="1937">
          <cell r="E1937">
            <v>45072</v>
          </cell>
          <cell r="F1937">
            <v>137.18</v>
          </cell>
        </row>
        <row r="1937">
          <cell r="H1937">
            <v>45077</v>
          </cell>
          <cell r="I1937">
            <v>62.25</v>
          </cell>
        </row>
        <row r="1937">
          <cell r="K1937">
            <v>45072</v>
          </cell>
          <cell r="L1937">
            <v>136.07</v>
          </cell>
        </row>
        <row r="1937">
          <cell r="N1937">
            <v>45131</v>
          </cell>
          <cell r="O1937">
            <v>117.52</v>
          </cell>
        </row>
        <row r="1938">
          <cell r="B1938">
            <v>45132</v>
          </cell>
          <cell r="C1938">
            <v>104.03</v>
          </cell>
        </row>
        <row r="1938">
          <cell r="E1938">
            <v>45075</v>
          </cell>
          <cell r="F1938">
            <v>137.1</v>
          </cell>
        </row>
        <row r="1938">
          <cell r="H1938">
            <v>45078</v>
          </cell>
          <cell r="I1938">
            <v>62.06</v>
          </cell>
        </row>
        <row r="1938">
          <cell r="K1938">
            <v>45075</v>
          </cell>
          <cell r="L1938">
            <v>136.01</v>
          </cell>
        </row>
        <row r="1938">
          <cell r="N1938">
            <v>45132</v>
          </cell>
          <cell r="O1938">
            <v>117.64</v>
          </cell>
        </row>
        <row r="1939">
          <cell r="B1939">
            <v>45133</v>
          </cell>
          <cell r="C1939">
            <v>104.14</v>
          </cell>
        </row>
        <row r="1939">
          <cell r="E1939">
            <v>45076</v>
          </cell>
          <cell r="F1939">
            <v>137.1</v>
          </cell>
        </row>
        <row r="1939">
          <cell r="H1939">
            <v>45079</v>
          </cell>
          <cell r="I1939">
            <v>63.26</v>
          </cell>
        </row>
        <row r="1939">
          <cell r="K1939">
            <v>45076</v>
          </cell>
          <cell r="L1939">
            <v>135.67</v>
          </cell>
        </row>
        <row r="1939">
          <cell r="N1939">
            <v>45133</v>
          </cell>
          <cell r="O1939">
            <v>116.68</v>
          </cell>
        </row>
        <row r="1940">
          <cell r="B1940">
            <v>45134</v>
          </cell>
          <cell r="C1940">
            <v>104.02</v>
          </cell>
        </row>
        <row r="1940">
          <cell r="E1940">
            <v>45077</v>
          </cell>
          <cell r="F1940">
            <v>137.21</v>
          </cell>
        </row>
        <row r="1940">
          <cell r="H1940">
            <v>45082</v>
          </cell>
          <cell r="I1940">
            <v>62.74</v>
          </cell>
        </row>
        <row r="1940">
          <cell r="K1940">
            <v>45077</v>
          </cell>
          <cell r="L1940">
            <v>135.67</v>
          </cell>
        </row>
        <row r="1940">
          <cell r="N1940">
            <v>45134</v>
          </cell>
          <cell r="O1940">
            <v>117.28</v>
          </cell>
        </row>
        <row r="1941">
          <cell r="B1941">
            <v>45135</v>
          </cell>
          <cell r="C1941">
            <v>103.79</v>
          </cell>
        </row>
        <row r="1941">
          <cell r="E1941">
            <v>45078</v>
          </cell>
          <cell r="F1941">
            <v>138.27</v>
          </cell>
        </row>
        <row r="1941">
          <cell r="H1941">
            <v>45083</v>
          </cell>
          <cell r="I1941">
            <v>64.09</v>
          </cell>
        </row>
        <row r="1941">
          <cell r="K1941">
            <v>45078</v>
          </cell>
          <cell r="L1941">
            <v>136.03</v>
          </cell>
        </row>
        <row r="1941">
          <cell r="N1941">
            <v>45135</v>
          </cell>
          <cell r="O1941">
            <v>117.38</v>
          </cell>
        </row>
        <row r="1942">
          <cell r="B1942">
            <v>45138</v>
          </cell>
          <cell r="C1942">
            <v>103.58</v>
          </cell>
        </row>
        <row r="1942">
          <cell r="E1942">
            <v>45079</v>
          </cell>
          <cell r="F1942">
            <v>136.73</v>
          </cell>
        </row>
        <row r="1942">
          <cell r="H1942">
            <v>45084</v>
          </cell>
          <cell r="I1942">
            <v>65.44</v>
          </cell>
        </row>
        <row r="1942">
          <cell r="K1942">
            <v>45079</v>
          </cell>
          <cell r="L1942">
            <v>136.27</v>
          </cell>
        </row>
        <row r="1942">
          <cell r="N1942">
            <v>45138</v>
          </cell>
          <cell r="O1942">
            <v>116.82</v>
          </cell>
        </row>
        <row r="1943">
          <cell r="B1943">
            <v>45139</v>
          </cell>
          <cell r="C1943">
            <v>103.67</v>
          </cell>
        </row>
        <row r="1943">
          <cell r="E1943">
            <v>45082</v>
          </cell>
          <cell r="F1943">
            <v>136.95</v>
          </cell>
        </row>
        <row r="1943">
          <cell r="H1943">
            <v>45085</v>
          </cell>
          <cell r="I1943">
            <v>64.79</v>
          </cell>
        </row>
        <row r="1943">
          <cell r="K1943">
            <v>45082</v>
          </cell>
          <cell r="L1943">
            <v>136.53</v>
          </cell>
        </row>
        <row r="1943">
          <cell r="N1943">
            <v>45139</v>
          </cell>
          <cell r="O1943">
            <v>117.23</v>
          </cell>
        </row>
        <row r="1944">
          <cell r="B1944">
            <v>45140</v>
          </cell>
          <cell r="C1944">
            <v>104.38</v>
          </cell>
        </row>
        <row r="1944">
          <cell r="E1944">
            <v>45083</v>
          </cell>
          <cell r="F1944">
            <v>135.54</v>
          </cell>
        </row>
        <row r="1944">
          <cell r="H1944">
            <v>45086</v>
          </cell>
          <cell r="I1944">
            <v>64.56</v>
          </cell>
        </row>
        <row r="1944">
          <cell r="K1944">
            <v>45083</v>
          </cell>
          <cell r="L1944">
            <v>135.96</v>
          </cell>
        </row>
        <row r="1944">
          <cell r="N1944">
            <v>45140</v>
          </cell>
          <cell r="O1944">
            <v>117.13</v>
          </cell>
        </row>
        <row r="1945">
          <cell r="B1945">
            <v>45141</v>
          </cell>
          <cell r="C1945">
            <v>105.13</v>
          </cell>
        </row>
        <row r="1945">
          <cell r="E1945">
            <v>45084</v>
          </cell>
          <cell r="F1945">
            <v>133.86</v>
          </cell>
        </row>
        <row r="1945">
          <cell r="H1945">
            <v>45089</v>
          </cell>
          <cell r="I1945">
            <v>64.22</v>
          </cell>
        </row>
        <row r="1945">
          <cell r="K1945">
            <v>45084</v>
          </cell>
          <cell r="L1945">
            <v>135.57</v>
          </cell>
        </row>
        <row r="1945">
          <cell r="N1945">
            <v>45141</v>
          </cell>
          <cell r="O1945">
            <v>117.28</v>
          </cell>
        </row>
        <row r="1946">
          <cell r="B1946">
            <v>45142</v>
          </cell>
          <cell r="C1946">
            <v>104.7</v>
          </cell>
        </row>
        <row r="1946">
          <cell r="E1946">
            <v>45085</v>
          </cell>
          <cell r="F1946">
            <v>134.85</v>
          </cell>
        </row>
        <row r="1946">
          <cell r="H1946">
            <v>45090</v>
          </cell>
          <cell r="I1946">
            <v>64.51</v>
          </cell>
        </row>
        <row r="1946">
          <cell r="K1946">
            <v>45085</v>
          </cell>
          <cell r="L1946">
            <v>135.4</v>
          </cell>
        </row>
        <row r="1946">
          <cell r="N1946">
            <v>45142</v>
          </cell>
          <cell r="O1946">
            <v>117.03</v>
          </cell>
        </row>
        <row r="1947">
          <cell r="B1947">
            <v>45145</v>
          </cell>
          <cell r="C1947">
            <v>104.46</v>
          </cell>
        </row>
        <row r="1947">
          <cell r="E1947">
            <v>45086</v>
          </cell>
          <cell r="F1947">
            <v>135.63</v>
          </cell>
        </row>
        <row r="1947">
          <cell r="H1947">
            <v>45091</v>
          </cell>
          <cell r="I1947">
            <v>63.77</v>
          </cell>
        </row>
        <row r="1947">
          <cell r="K1947">
            <v>45086</v>
          </cell>
          <cell r="L1947">
            <v>135.69</v>
          </cell>
        </row>
        <row r="1947">
          <cell r="N1947">
            <v>45145</v>
          </cell>
          <cell r="O1947">
            <v>117.61</v>
          </cell>
        </row>
        <row r="1948">
          <cell r="B1948">
            <v>45146</v>
          </cell>
          <cell r="C1948">
            <v>103.8</v>
          </cell>
        </row>
        <row r="1948">
          <cell r="E1948">
            <v>45089</v>
          </cell>
          <cell r="F1948">
            <v>136.13</v>
          </cell>
        </row>
        <row r="1948">
          <cell r="H1948">
            <v>45092</v>
          </cell>
          <cell r="I1948">
            <v>63.81</v>
          </cell>
        </row>
        <row r="1948">
          <cell r="K1948">
            <v>45089</v>
          </cell>
          <cell r="L1948">
            <v>135.44</v>
          </cell>
        </row>
        <row r="1948">
          <cell r="N1948">
            <v>45146</v>
          </cell>
          <cell r="O1948">
            <v>117.87</v>
          </cell>
        </row>
        <row r="1949">
          <cell r="B1949">
            <v>45147</v>
          </cell>
          <cell r="C1949">
            <v>104.66</v>
          </cell>
        </row>
        <row r="1949">
          <cell r="E1949">
            <v>45090</v>
          </cell>
          <cell r="F1949">
            <v>135.49</v>
          </cell>
        </row>
        <row r="1949">
          <cell r="H1949">
            <v>45093</v>
          </cell>
          <cell r="I1949">
            <v>63.98</v>
          </cell>
        </row>
        <row r="1949">
          <cell r="K1949">
            <v>45090</v>
          </cell>
          <cell r="L1949">
            <v>135</v>
          </cell>
        </row>
        <row r="1949">
          <cell r="N1949">
            <v>45147</v>
          </cell>
          <cell r="O1949">
            <v>117.85</v>
          </cell>
        </row>
        <row r="1950">
          <cell r="B1950">
            <v>45148</v>
          </cell>
          <cell r="C1950">
            <v>104.66</v>
          </cell>
        </row>
        <row r="1950">
          <cell r="E1950">
            <v>45091</v>
          </cell>
          <cell r="F1950">
            <v>137.05</v>
          </cell>
        </row>
        <row r="1950">
          <cell r="H1950">
            <v>45096</v>
          </cell>
          <cell r="I1950">
            <v>63.97</v>
          </cell>
        </row>
        <row r="1950">
          <cell r="K1950">
            <v>45091</v>
          </cell>
          <cell r="L1950">
            <v>134.61</v>
          </cell>
        </row>
        <row r="1950">
          <cell r="N1950">
            <v>45148</v>
          </cell>
          <cell r="O1950">
            <v>118.13</v>
          </cell>
        </row>
        <row r="1951">
          <cell r="B1951">
            <v>45149</v>
          </cell>
          <cell r="C1951">
            <v>105.06</v>
          </cell>
        </row>
        <row r="1951">
          <cell r="E1951">
            <v>45092</v>
          </cell>
          <cell r="F1951">
            <v>136.65</v>
          </cell>
        </row>
        <row r="1951">
          <cell r="H1951">
            <v>45097</v>
          </cell>
          <cell r="I1951">
            <v>63.81</v>
          </cell>
        </row>
        <row r="1951">
          <cell r="K1951">
            <v>45092</v>
          </cell>
          <cell r="L1951">
            <v>135.62</v>
          </cell>
        </row>
        <row r="1951">
          <cell r="N1951">
            <v>45149</v>
          </cell>
          <cell r="O1951">
            <v>117.99</v>
          </cell>
        </row>
        <row r="1952">
          <cell r="B1952">
            <v>45152</v>
          </cell>
          <cell r="C1952">
            <v>105.12</v>
          </cell>
        </row>
        <row r="1952">
          <cell r="E1952">
            <v>45093</v>
          </cell>
          <cell r="F1952">
            <v>135.84</v>
          </cell>
        </row>
        <row r="1952">
          <cell r="H1952">
            <v>45098</v>
          </cell>
          <cell r="I1952">
            <v>63.99</v>
          </cell>
        </row>
        <row r="1952">
          <cell r="K1952">
            <v>45093</v>
          </cell>
          <cell r="L1952">
            <v>135.39</v>
          </cell>
        </row>
        <row r="1952">
          <cell r="N1952">
            <v>45152</v>
          </cell>
          <cell r="O1952">
            <v>118.73</v>
          </cell>
        </row>
        <row r="1953">
          <cell r="B1953">
            <v>45153</v>
          </cell>
          <cell r="C1953">
            <v>105.46</v>
          </cell>
        </row>
        <row r="1953">
          <cell r="E1953">
            <v>45096</v>
          </cell>
          <cell r="F1953">
            <v>135.82</v>
          </cell>
        </row>
        <row r="1953">
          <cell r="H1953">
            <v>45099</v>
          </cell>
          <cell r="I1953">
            <v>63.61</v>
          </cell>
        </row>
        <row r="1953">
          <cell r="K1953">
            <v>45096</v>
          </cell>
          <cell r="L1953">
            <v>135.52</v>
          </cell>
        </row>
        <row r="1953">
          <cell r="N1953">
            <v>45153</v>
          </cell>
          <cell r="O1953">
            <v>118.67</v>
          </cell>
        </row>
        <row r="1954">
          <cell r="B1954">
            <v>45154</v>
          </cell>
          <cell r="C1954">
            <v>105.39</v>
          </cell>
        </row>
        <row r="1954">
          <cell r="E1954">
            <v>45097</v>
          </cell>
          <cell r="F1954">
            <v>136.31</v>
          </cell>
        </row>
        <row r="1954">
          <cell r="H1954">
            <v>45100</v>
          </cell>
          <cell r="I1954">
            <v>63.6</v>
          </cell>
        </row>
        <row r="1954">
          <cell r="K1954">
            <v>45097</v>
          </cell>
          <cell r="L1954">
            <v>136.17</v>
          </cell>
        </row>
        <row r="1954">
          <cell r="N1954">
            <v>45154</v>
          </cell>
          <cell r="O1954">
            <v>119.28</v>
          </cell>
        </row>
        <row r="1955">
          <cell r="B1955">
            <v>45155</v>
          </cell>
          <cell r="C1955">
            <v>105.05</v>
          </cell>
        </row>
        <row r="1955">
          <cell r="E1955">
            <v>45098</v>
          </cell>
          <cell r="F1955">
            <v>137.42</v>
          </cell>
        </row>
        <row r="1955">
          <cell r="H1955">
            <v>45103</v>
          </cell>
          <cell r="I1955">
            <v>64.06</v>
          </cell>
        </row>
        <row r="1955">
          <cell r="K1955">
            <v>45098</v>
          </cell>
          <cell r="L1955">
            <v>137.08</v>
          </cell>
        </row>
        <row r="1955">
          <cell r="N1955">
            <v>45155</v>
          </cell>
          <cell r="O1955">
            <v>119.88</v>
          </cell>
        </row>
        <row r="1956">
          <cell r="B1956">
            <v>45156</v>
          </cell>
          <cell r="C1956">
            <v>105.36</v>
          </cell>
        </row>
        <row r="1956">
          <cell r="E1956">
            <v>45099</v>
          </cell>
          <cell r="F1956">
            <v>138.36</v>
          </cell>
        </row>
        <row r="1956">
          <cell r="H1956">
            <v>45104</v>
          </cell>
          <cell r="I1956">
            <v>64.12</v>
          </cell>
        </row>
        <row r="1956">
          <cell r="K1956">
            <v>45099</v>
          </cell>
          <cell r="L1956">
            <v>137.13</v>
          </cell>
        </row>
        <row r="1956">
          <cell r="N1956">
            <v>45156</v>
          </cell>
          <cell r="O1956">
            <v>119.28</v>
          </cell>
        </row>
        <row r="1957">
          <cell r="B1957">
            <v>45159</v>
          </cell>
          <cell r="C1957">
            <v>105.28</v>
          </cell>
        </row>
        <row r="1957">
          <cell r="E1957">
            <v>45100</v>
          </cell>
          <cell r="F1957">
            <v>138.92</v>
          </cell>
        </row>
        <row r="1957">
          <cell r="H1957">
            <v>45105</v>
          </cell>
          <cell r="I1957">
            <v>63.86</v>
          </cell>
        </row>
        <row r="1957">
          <cell r="K1957">
            <v>45100</v>
          </cell>
          <cell r="L1957">
            <v>137.36</v>
          </cell>
        </row>
        <row r="1957">
          <cell r="N1957">
            <v>45159</v>
          </cell>
          <cell r="O1957">
            <v>120.08</v>
          </cell>
        </row>
        <row r="1958">
          <cell r="B1958">
            <v>45160</v>
          </cell>
          <cell r="C1958">
            <v>105.57</v>
          </cell>
        </row>
        <row r="1958">
          <cell r="E1958">
            <v>45103</v>
          </cell>
          <cell r="F1958">
            <v>137.61</v>
          </cell>
        </row>
        <row r="1958">
          <cell r="H1958">
            <v>45106</v>
          </cell>
          <cell r="I1958">
            <v>64.25</v>
          </cell>
        </row>
        <row r="1958">
          <cell r="K1958">
            <v>45103</v>
          </cell>
          <cell r="L1958">
            <v>136.86</v>
          </cell>
        </row>
        <row r="1958">
          <cell r="N1958">
            <v>45160</v>
          </cell>
          <cell r="O1958">
            <v>119.77</v>
          </cell>
        </row>
        <row r="1959">
          <cell r="B1959">
            <v>45161</v>
          </cell>
          <cell r="C1959">
            <v>105.69</v>
          </cell>
        </row>
        <row r="1959">
          <cell r="E1959">
            <v>45104</v>
          </cell>
          <cell r="F1959">
            <v>138.22</v>
          </cell>
        </row>
        <row r="1959">
          <cell r="H1959">
            <v>45107</v>
          </cell>
          <cell r="I1959">
            <v>63.94</v>
          </cell>
        </row>
        <row r="1959">
          <cell r="K1959">
            <v>45104</v>
          </cell>
          <cell r="L1959">
            <v>136.28</v>
          </cell>
        </row>
        <row r="1959">
          <cell r="N1959">
            <v>45161</v>
          </cell>
          <cell r="O1959">
            <v>119.9</v>
          </cell>
        </row>
        <row r="1960">
          <cell r="B1960">
            <v>45162</v>
          </cell>
          <cell r="C1960">
            <v>105.58</v>
          </cell>
        </row>
        <row r="1960">
          <cell r="E1960">
            <v>45105</v>
          </cell>
          <cell r="F1960">
            <v>138.78</v>
          </cell>
        </row>
        <row r="1960">
          <cell r="H1960">
            <v>45110</v>
          </cell>
          <cell r="I1960">
            <v>63.69</v>
          </cell>
        </row>
        <row r="1960">
          <cell r="K1960">
            <v>45105</v>
          </cell>
          <cell r="L1960">
            <v>136.25</v>
          </cell>
        </row>
        <row r="1960">
          <cell r="N1960">
            <v>45162</v>
          </cell>
          <cell r="O1960">
            <v>119.73</v>
          </cell>
        </row>
        <row r="1961">
          <cell r="B1961">
            <v>45163</v>
          </cell>
          <cell r="C1961">
            <v>105.83</v>
          </cell>
        </row>
        <row r="1961">
          <cell r="E1961">
            <v>45106</v>
          </cell>
          <cell r="F1961">
            <v>137.36</v>
          </cell>
        </row>
        <row r="1961">
          <cell r="H1961">
            <v>45111</v>
          </cell>
          <cell r="I1961">
            <v>63.79</v>
          </cell>
        </row>
        <row r="1961">
          <cell r="K1961">
            <v>45106</v>
          </cell>
          <cell r="L1961">
            <v>135.95</v>
          </cell>
        </row>
        <row r="1961">
          <cell r="N1961">
            <v>45163</v>
          </cell>
          <cell r="O1961">
            <v>120.17</v>
          </cell>
        </row>
        <row r="1962">
          <cell r="B1962">
            <v>45166</v>
          </cell>
          <cell r="C1962">
            <v>105.7</v>
          </cell>
        </row>
        <row r="1962">
          <cell r="E1962">
            <v>45107</v>
          </cell>
          <cell r="F1962">
            <v>137.85</v>
          </cell>
        </row>
        <row r="1962">
          <cell r="H1962">
            <v>45112</v>
          </cell>
          <cell r="I1962">
            <v>63.47</v>
          </cell>
        </row>
        <row r="1962">
          <cell r="K1962">
            <v>45107</v>
          </cell>
          <cell r="L1962">
            <v>135.44</v>
          </cell>
        </row>
        <row r="1962">
          <cell r="N1962">
            <v>45166</v>
          </cell>
          <cell r="O1962">
            <v>119.88</v>
          </cell>
        </row>
        <row r="1963">
          <cell r="B1963">
            <v>45167</v>
          </cell>
          <cell r="C1963">
            <v>106.3</v>
          </cell>
        </row>
        <row r="1963">
          <cell r="E1963">
            <v>45110</v>
          </cell>
          <cell r="F1963">
            <v>135.87</v>
          </cell>
        </row>
        <row r="1963">
          <cell r="H1963">
            <v>45113</v>
          </cell>
          <cell r="I1963">
            <v>63.49</v>
          </cell>
        </row>
        <row r="1963">
          <cell r="K1963">
            <v>45110</v>
          </cell>
          <cell r="L1963">
            <v>134.75</v>
          </cell>
        </row>
        <row r="1963">
          <cell r="N1963">
            <v>45167</v>
          </cell>
          <cell r="O1963">
            <v>120.12</v>
          </cell>
        </row>
        <row r="1964">
          <cell r="B1964">
            <v>45168</v>
          </cell>
          <cell r="C1964">
            <v>106.43</v>
          </cell>
        </row>
        <row r="1964">
          <cell r="E1964">
            <v>45111</v>
          </cell>
          <cell r="F1964">
            <v>135.79</v>
          </cell>
        </row>
        <row r="1964">
          <cell r="H1964">
            <v>45114</v>
          </cell>
          <cell r="I1964">
            <v>63.74</v>
          </cell>
        </row>
        <row r="1964">
          <cell r="K1964">
            <v>45111</v>
          </cell>
          <cell r="L1964">
            <v>134.56</v>
          </cell>
        </row>
        <row r="1964">
          <cell r="N1964">
            <v>45168</v>
          </cell>
          <cell r="O1964">
            <v>119.89</v>
          </cell>
        </row>
        <row r="1965">
          <cell r="B1965">
            <v>45169</v>
          </cell>
          <cell r="C1965">
            <v>106.54</v>
          </cell>
        </row>
        <row r="1965">
          <cell r="E1965">
            <v>45112</v>
          </cell>
          <cell r="F1965">
            <v>135.16</v>
          </cell>
        </row>
        <row r="1965">
          <cell r="H1965">
            <v>45117</v>
          </cell>
          <cell r="I1965">
            <v>63.47</v>
          </cell>
        </row>
        <row r="1965">
          <cell r="K1965">
            <v>45112</v>
          </cell>
          <cell r="L1965">
            <v>135.35</v>
          </cell>
        </row>
        <row r="1965">
          <cell r="N1965">
            <v>45169</v>
          </cell>
          <cell r="O1965">
            <v>119.83</v>
          </cell>
        </row>
        <row r="1966">
          <cell r="B1966">
            <v>45170</v>
          </cell>
          <cell r="C1966">
            <v>106.91</v>
          </cell>
        </row>
        <row r="1966">
          <cell r="E1966">
            <v>45113</v>
          </cell>
          <cell r="F1966">
            <v>134.76</v>
          </cell>
        </row>
        <row r="1966">
          <cell r="H1966">
            <v>45118</v>
          </cell>
          <cell r="I1966">
            <v>63.36</v>
          </cell>
        </row>
        <row r="1966">
          <cell r="K1966">
            <v>45113</v>
          </cell>
          <cell r="L1966">
            <v>136.25</v>
          </cell>
        </row>
        <row r="1966">
          <cell r="N1966">
            <v>45170</v>
          </cell>
          <cell r="O1966">
            <v>119.38</v>
          </cell>
        </row>
        <row r="1967">
          <cell r="B1967">
            <v>45174</v>
          </cell>
          <cell r="C1967">
            <v>107.22</v>
          </cell>
        </row>
        <row r="1967">
          <cell r="E1967">
            <v>45114</v>
          </cell>
          <cell r="F1967">
            <v>133.35</v>
          </cell>
        </row>
        <row r="1967">
          <cell r="H1967">
            <v>45119</v>
          </cell>
          <cell r="I1967">
            <v>63.49</v>
          </cell>
        </row>
        <row r="1967">
          <cell r="K1967">
            <v>45114</v>
          </cell>
          <cell r="L1967">
            <v>135.35</v>
          </cell>
        </row>
        <row r="1967">
          <cell r="N1967">
            <v>45174</v>
          </cell>
          <cell r="O1967">
            <v>121.12</v>
          </cell>
        </row>
        <row r="1968">
          <cell r="B1968">
            <v>45175</v>
          </cell>
          <cell r="C1968">
            <v>107.39</v>
          </cell>
        </row>
        <row r="1968">
          <cell r="E1968">
            <v>45117</v>
          </cell>
          <cell r="F1968">
            <v>134.29</v>
          </cell>
        </row>
        <row r="1968">
          <cell r="H1968">
            <v>45120</v>
          </cell>
          <cell r="I1968">
            <v>63.19</v>
          </cell>
        </row>
        <row r="1968">
          <cell r="K1968">
            <v>45117</v>
          </cell>
          <cell r="L1968">
            <v>135.18</v>
          </cell>
        </row>
        <row r="1968">
          <cell r="N1968">
            <v>45175</v>
          </cell>
          <cell r="O1968">
            <v>120.92</v>
          </cell>
        </row>
        <row r="1969">
          <cell r="B1969">
            <v>45176</v>
          </cell>
          <cell r="C1969">
            <v>107.72</v>
          </cell>
        </row>
        <row r="1969">
          <cell r="E1969">
            <v>45118</v>
          </cell>
          <cell r="F1969">
            <v>133.12</v>
          </cell>
        </row>
        <row r="1969">
          <cell r="H1969">
            <v>45121</v>
          </cell>
          <cell r="I1969">
            <v>62.96</v>
          </cell>
        </row>
        <row r="1969">
          <cell r="K1969">
            <v>45118</v>
          </cell>
          <cell r="L1969">
            <v>136.17</v>
          </cell>
        </row>
        <row r="1969">
          <cell r="N1969">
            <v>45176</v>
          </cell>
          <cell r="O1969">
            <v>121.96</v>
          </cell>
        </row>
        <row r="1970">
          <cell r="B1970">
            <v>45177</v>
          </cell>
          <cell r="C1970">
            <v>107.24</v>
          </cell>
        </row>
        <row r="1970">
          <cell r="E1970">
            <v>45119</v>
          </cell>
          <cell r="F1970">
            <v>133.97</v>
          </cell>
        </row>
        <row r="1970">
          <cell r="H1970">
            <v>45124</v>
          </cell>
          <cell r="I1970">
            <v>62.8</v>
          </cell>
        </row>
        <row r="1970">
          <cell r="K1970">
            <v>45119</v>
          </cell>
          <cell r="L1970">
            <v>135.27</v>
          </cell>
        </row>
        <row r="1970">
          <cell r="N1970">
            <v>45177</v>
          </cell>
          <cell r="O1970">
            <v>122.33</v>
          </cell>
        </row>
        <row r="1971">
          <cell r="B1971">
            <v>45180</v>
          </cell>
          <cell r="C1971">
            <v>107.41</v>
          </cell>
        </row>
        <row r="1971">
          <cell r="E1971">
            <v>45120</v>
          </cell>
          <cell r="F1971">
            <v>133.96</v>
          </cell>
        </row>
        <row r="1971">
          <cell r="H1971">
            <v>45125</v>
          </cell>
          <cell r="I1971">
            <v>63.41</v>
          </cell>
        </row>
        <row r="1971">
          <cell r="K1971">
            <v>45120</v>
          </cell>
          <cell r="L1971">
            <v>135.2</v>
          </cell>
        </row>
        <row r="1971">
          <cell r="N1971">
            <v>45180</v>
          </cell>
          <cell r="O1971">
            <v>122.62</v>
          </cell>
        </row>
        <row r="1972">
          <cell r="B1972">
            <v>45181</v>
          </cell>
          <cell r="C1972">
            <v>107.79</v>
          </cell>
        </row>
        <row r="1972">
          <cell r="E1972">
            <v>45121</v>
          </cell>
          <cell r="F1972">
            <v>135.47</v>
          </cell>
        </row>
        <row r="1972">
          <cell r="H1972">
            <v>45126</v>
          </cell>
          <cell r="I1972">
            <v>63.88</v>
          </cell>
        </row>
        <row r="1972">
          <cell r="K1972">
            <v>45121</v>
          </cell>
          <cell r="L1972">
            <v>136.19</v>
          </cell>
        </row>
        <row r="1972">
          <cell r="N1972">
            <v>45181</v>
          </cell>
          <cell r="O1972">
            <v>122.72</v>
          </cell>
        </row>
        <row r="1973">
          <cell r="B1973">
            <v>45182</v>
          </cell>
          <cell r="C1973">
            <v>107.48</v>
          </cell>
        </row>
        <row r="1973">
          <cell r="E1973">
            <v>45124</v>
          </cell>
          <cell r="F1973">
            <v>136.73</v>
          </cell>
        </row>
        <row r="1973">
          <cell r="H1973">
            <v>45127</v>
          </cell>
          <cell r="I1973">
            <v>64.07</v>
          </cell>
        </row>
        <row r="1973">
          <cell r="K1973">
            <v>45124</v>
          </cell>
          <cell r="L1973">
            <v>136.62</v>
          </cell>
        </row>
        <row r="1973">
          <cell r="N1973">
            <v>45182</v>
          </cell>
          <cell r="O1973">
            <v>123.23</v>
          </cell>
        </row>
        <row r="1974">
          <cell r="B1974">
            <v>45183</v>
          </cell>
          <cell r="C1974">
            <v>107.25</v>
          </cell>
        </row>
        <row r="1974">
          <cell r="E1974">
            <v>45125</v>
          </cell>
          <cell r="F1974">
            <v>135.91</v>
          </cell>
        </row>
        <row r="1974">
          <cell r="H1974">
            <v>45128</v>
          </cell>
          <cell r="I1974">
            <v>63.62</v>
          </cell>
        </row>
        <row r="1974">
          <cell r="K1974">
            <v>45125</v>
          </cell>
          <cell r="L1974">
            <v>136.12</v>
          </cell>
        </row>
        <row r="1974">
          <cell r="N1974">
            <v>45183</v>
          </cell>
          <cell r="O1974">
            <v>122.56</v>
          </cell>
        </row>
        <row r="1975">
          <cell r="B1975">
            <v>45184</v>
          </cell>
          <cell r="C1975">
            <v>107</v>
          </cell>
        </row>
        <row r="1975">
          <cell r="E1975">
            <v>45126</v>
          </cell>
          <cell r="F1975">
            <v>132.13</v>
          </cell>
        </row>
        <row r="1975">
          <cell r="H1975">
            <v>45131</v>
          </cell>
          <cell r="I1975">
            <v>64.08</v>
          </cell>
        </row>
        <row r="1975">
          <cell r="K1975">
            <v>45126</v>
          </cell>
          <cell r="L1975">
            <v>135.35</v>
          </cell>
        </row>
        <row r="1975">
          <cell r="N1975">
            <v>45184</v>
          </cell>
          <cell r="O1975">
            <v>122.31</v>
          </cell>
        </row>
        <row r="1976">
          <cell r="B1976">
            <v>45187</v>
          </cell>
          <cell r="C1976">
            <v>107.26</v>
          </cell>
        </row>
        <row r="1976">
          <cell r="E1976">
            <v>45127</v>
          </cell>
          <cell r="F1976">
            <v>130.52</v>
          </cell>
        </row>
        <row r="1976">
          <cell r="H1976">
            <v>45132</v>
          </cell>
          <cell r="I1976">
            <v>63.93</v>
          </cell>
        </row>
        <row r="1976">
          <cell r="K1976">
            <v>45127</v>
          </cell>
          <cell r="L1976">
            <v>135.75</v>
          </cell>
        </row>
        <row r="1976">
          <cell r="N1976">
            <v>45187</v>
          </cell>
          <cell r="O1976">
            <v>122.8</v>
          </cell>
        </row>
        <row r="1977">
          <cell r="B1977">
            <v>45188</v>
          </cell>
          <cell r="C1977">
            <v>107.35</v>
          </cell>
        </row>
        <row r="1977">
          <cell r="E1977">
            <v>45128</v>
          </cell>
          <cell r="F1977">
            <v>130.26</v>
          </cell>
        </row>
        <row r="1977">
          <cell r="H1977">
            <v>45133</v>
          </cell>
          <cell r="I1977">
            <v>64.03</v>
          </cell>
        </row>
        <row r="1977">
          <cell r="K1977">
            <v>45128</v>
          </cell>
          <cell r="L1977">
            <v>135.61</v>
          </cell>
        </row>
        <row r="1977">
          <cell r="N1977">
            <v>45188</v>
          </cell>
          <cell r="O1977">
            <v>122.71</v>
          </cell>
        </row>
        <row r="1978">
          <cell r="B1978">
            <v>45189</v>
          </cell>
          <cell r="C1978">
            <v>107.38</v>
          </cell>
        </row>
        <row r="1978">
          <cell r="E1978">
            <v>45131</v>
          </cell>
          <cell r="F1978">
            <v>129.59</v>
          </cell>
        </row>
        <row r="1978">
          <cell r="H1978">
            <v>45134</v>
          </cell>
          <cell r="I1978">
            <v>65.04</v>
          </cell>
        </row>
        <row r="1978">
          <cell r="K1978">
            <v>45131</v>
          </cell>
          <cell r="L1978">
            <v>135.54</v>
          </cell>
        </row>
        <row r="1978">
          <cell r="N1978">
            <v>45189</v>
          </cell>
          <cell r="O1978">
            <v>122.6</v>
          </cell>
        </row>
        <row r="1979">
          <cell r="B1979">
            <v>45190</v>
          </cell>
          <cell r="C1979">
            <v>106.84</v>
          </cell>
        </row>
        <row r="1979">
          <cell r="E1979">
            <v>45132</v>
          </cell>
          <cell r="F1979">
            <v>131.19</v>
          </cell>
        </row>
        <row r="1979">
          <cell r="H1979">
            <v>45135</v>
          </cell>
          <cell r="I1979">
            <v>64.6</v>
          </cell>
        </row>
        <row r="1979">
          <cell r="K1979">
            <v>45132</v>
          </cell>
          <cell r="L1979">
            <v>135.69</v>
          </cell>
        </row>
        <row r="1979">
          <cell r="N1979">
            <v>45190</v>
          </cell>
          <cell r="O1979">
            <v>122.25</v>
          </cell>
        </row>
        <row r="1980">
          <cell r="B1980">
            <v>45191</v>
          </cell>
          <cell r="C1980">
            <v>107.02</v>
          </cell>
        </row>
        <row r="1980">
          <cell r="E1980">
            <v>45133</v>
          </cell>
          <cell r="F1980">
            <v>128.91</v>
          </cell>
        </row>
        <row r="1980">
          <cell r="H1980">
            <v>45138</v>
          </cell>
          <cell r="I1980">
            <v>64.45</v>
          </cell>
        </row>
        <row r="1980">
          <cell r="K1980">
            <v>45133</v>
          </cell>
          <cell r="L1980">
            <v>135.87</v>
          </cell>
        </row>
        <row r="1980">
          <cell r="N1980">
            <v>45191</v>
          </cell>
          <cell r="O1980">
            <v>122.35</v>
          </cell>
        </row>
        <row r="1981">
          <cell r="B1981">
            <v>45194</v>
          </cell>
          <cell r="C1981">
            <v>106.58</v>
          </cell>
        </row>
        <row r="1981">
          <cell r="E1981">
            <v>45134</v>
          </cell>
          <cell r="F1981">
            <v>129.8</v>
          </cell>
        </row>
        <row r="1981">
          <cell r="H1981">
            <v>45139</v>
          </cell>
          <cell r="I1981">
            <v>64.6</v>
          </cell>
        </row>
        <row r="1981">
          <cell r="K1981">
            <v>45134</v>
          </cell>
          <cell r="L1981">
            <v>135.09</v>
          </cell>
        </row>
        <row r="1981">
          <cell r="N1981">
            <v>45194</v>
          </cell>
          <cell r="O1981">
            <v>122.29</v>
          </cell>
        </row>
        <row r="1982">
          <cell r="B1982">
            <v>45195</v>
          </cell>
          <cell r="C1982">
            <v>106.24</v>
          </cell>
        </row>
        <row r="1982">
          <cell r="E1982">
            <v>45135</v>
          </cell>
          <cell r="F1982">
            <v>130.1</v>
          </cell>
        </row>
        <row r="1982">
          <cell r="H1982">
            <v>45140</v>
          </cell>
          <cell r="I1982">
            <v>65.32</v>
          </cell>
        </row>
        <row r="1982">
          <cell r="K1982">
            <v>45135</v>
          </cell>
          <cell r="L1982">
            <v>135.01</v>
          </cell>
        </row>
        <row r="1982">
          <cell r="N1982">
            <v>45195</v>
          </cell>
          <cell r="O1982">
            <v>121.9</v>
          </cell>
        </row>
        <row r="1983">
          <cell r="B1983">
            <v>45196</v>
          </cell>
          <cell r="C1983">
            <v>106.12</v>
          </cell>
        </row>
        <row r="1983">
          <cell r="E1983">
            <v>45138</v>
          </cell>
          <cell r="F1983">
            <v>130.73</v>
          </cell>
        </row>
        <row r="1983">
          <cell r="H1983">
            <v>45141</v>
          </cell>
          <cell r="I1983">
            <v>65.42</v>
          </cell>
        </row>
        <row r="1983">
          <cell r="K1983">
            <v>45138</v>
          </cell>
          <cell r="L1983">
            <v>134.13</v>
          </cell>
        </row>
        <row r="1983">
          <cell r="N1983">
            <v>45196</v>
          </cell>
          <cell r="O1983">
            <v>121.11</v>
          </cell>
        </row>
        <row r="1984">
          <cell r="B1984">
            <v>45197</v>
          </cell>
          <cell r="C1984">
            <v>106.04</v>
          </cell>
        </row>
        <row r="1984">
          <cell r="E1984">
            <v>45139</v>
          </cell>
          <cell r="F1984">
            <v>131.57</v>
          </cell>
        </row>
        <row r="1984">
          <cell r="H1984">
            <v>45142</v>
          </cell>
          <cell r="I1984">
            <v>65.62</v>
          </cell>
        </row>
        <row r="1984">
          <cell r="K1984">
            <v>45139</v>
          </cell>
          <cell r="L1984">
            <v>134.57</v>
          </cell>
        </row>
        <row r="1984">
          <cell r="N1984">
            <v>45197</v>
          </cell>
          <cell r="O1984">
            <v>120.7</v>
          </cell>
        </row>
        <row r="1985">
          <cell r="B1985">
            <v>45198</v>
          </cell>
          <cell r="C1985">
            <v>106.08</v>
          </cell>
        </row>
        <row r="1985">
          <cell r="E1985">
            <v>45140</v>
          </cell>
          <cell r="F1985">
            <v>130.46</v>
          </cell>
        </row>
        <row r="1985">
          <cell r="H1985">
            <v>45145</v>
          </cell>
          <cell r="I1985">
            <v>65.92</v>
          </cell>
        </row>
        <row r="1985">
          <cell r="K1985">
            <v>45140</v>
          </cell>
          <cell r="L1985">
            <v>135.49</v>
          </cell>
        </row>
        <row r="1985">
          <cell r="N1985">
            <v>45198</v>
          </cell>
          <cell r="O1985">
            <v>121.1</v>
          </cell>
        </row>
        <row r="1986">
          <cell r="B1986">
            <v>45201</v>
          </cell>
          <cell r="C1986">
            <v>106.66</v>
          </cell>
        </row>
        <row r="1986">
          <cell r="E1986">
            <v>45141</v>
          </cell>
          <cell r="F1986">
            <v>130.91</v>
          </cell>
        </row>
        <row r="1986">
          <cell r="H1986">
            <v>45146</v>
          </cell>
          <cell r="I1986">
            <v>66.3</v>
          </cell>
        </row>
        <row r="1986">
          <cell r="K1986">
            <v>45141</v>
          </cell>
          <cell r="L1986">
            <v>135.64</v>
          </cell>
        </row>
        <row r="1986">
          <cell r="N1986">
            <v>45201</v>
          </cell>
          <cell r="O1986">
            <v>121.94</v>
          </cell>
        </row>
        <row r="1987">
          <cell r="B1987">
            <v>45202</v>
          </cell>
          <cell r="C1987">
            <v>106.48</v>
          </cell>
        </row>
        <row r="1987">
          <cell r="E1987">
            <v>45142</v>
          </cell>
          <cell r="F1987">
            <v>131.23</v>
          </cell>
        </row>
        <row r="1987">
          <cell r="H1987">
            <v>45147</v>
          </cell>
          <cell r="I1987">
            <v>66.79</v>
          </cell>
        </row>
        <row r="1987">
          <cell r="K1987">
            <v>45142</v>
          </cell>
          <cell r="L1987">
            <v>135.33</v>
          </cell>
        </row>
        <row r="1987">
          <cell r="N1987">
            <v>45202</v>
          </cell>
          <cell r="O1987">
            <v>122.05</v>
          </cell>
        </row>
        <row r="1988">
          <cell r="B1988">
            <v>45203</v>
          </cell>
          <cell r="C1988">
            <v>106.28</v>
          </cell>
        </row>
        <row r="1988">
          <cell r="E1988">
            <v>45145</v>
          </cell>
          <cell r="F1988">
            <v>132.63</v>
          </cell>
        </row>
        <row r="1988">
          <cell r="H1988">
            <v>45148</v>
          </cell>
          <cell r="I1988">
            <v>66.61</v>
          </cell>
        </row>
        <row r="1988">
          <cell r="K1988">
            <v>45145</v>
          </cell>
          <cell r="L1988">
            <v>136.12</v>
          </cell>
        </row>
        <row r="1988">
          <cell r="N1988">
            <v>45203</v>
          </cell>
          <cell r="O1988">
            <v>121.83</v>
          </cell>
        </row>
        <row r="1989">
          <cell r="B1989">
            <v>45204</v>
          </cell>
          <cell r="C1989">
            <v>105.77</v>
          </cell>
        </row>
        <row r="1989">
          <cell r="E1989">
            <v>45146</v>
          </cell>
          <cell r="F1989">
            <v>132.6</v>
          </cell>
        </row>
        <row r="1989">
          <cell r="H1989">
            <v>45149</v>
          </cell>
          <cell r="I1989">
            <v>66.74</v>
          </cell>
        </row>
        <row r="1989">
          <cell r="K1989">
            <v>45146</v>
          </cell>
          <cell r="L1989">
            <v>136.83</v>
          </cell>
        </row>
        <row r="1989">
          <cell r="N1989">
            <v>45204</v>
          </cell>
          <cell r="O1989">
            <v>121.24</v>
          </cell>
        </row>
        <row r="1990">
          <cell r="B1990">
            <v>45205</v>
          </cell>
          <cell r="C1990">
            <v>105.9</v>
          </cell>
        </row>
        <row r="1990">
          <cell r="E1990">
            <v>45147</v>
          </cell>
          <cell r="F1990">
            <v>131.99</v>
          </cell>
        </row>
        <row r="1990">
          <cell r="H1990">
            <v>45152</v>
          </cell>
          <cell r="I1990">
            <v>66.4</v>
          </cell>
        </row>
        <row r="1990">
          <cell r="K1990">
            <v>45147</v>
          </cell>
          <cell r="L1990">
            <v>137.58</v>
          </cell>
        </row>
        <row r="1990">
          <cell r="N1990">
            <v>45205</v>
          </cell>
          <cell r="O1990">
            <v>121.94</v>
          </cell>
        </row>
        <row r="1991">
          <cell r="B1991">
            <v>45208</v>
          </cell>
          <cell r="C1991">
            <v>106.01</v>
          </cell>
        </row>
        <row r="1991">
          <cell r="E1991">
            <v>45148</v>
          </cell>
          <cell r="F1991">
            <v>131.97</v>
          </cell>
        </row>
        <row r="1991">
          <cell r="H1991">
            <v>45153</v>
          </cell>
          <cell r="I1991">
            <v>66.16</v>
          </cell>
        </row>
        <row r="1991">
          <cell r="K1991">
            <v>45148</v>
          </cell>
          <cell r="L1991">
            <v>137.8</v>
          </cell>
        </row>
        <row r="1991">
          <cell r="N1991">
            <v>45208</v>
          </cell>
          <cell r="O1991">
            <v>122.2</v>
          </cell>
        </row>
        <row r="1992">
          <cell r="B1992">
            <v>45209</v>
          </cell>
          <cell r="C1992">
            <v>106.52</v>
          </cell>
        </row>
        <row r="1992">
          <cell r="E1992">
            <v>45149</v>
          </cell>
          <cell r="F1992">
            <v>131.49</v>
          </cell>
        </row>
        <row r="1992">
          <cell r="H1992">
            <v>45154</v>
          </cell>
          <cell r="I1992">
            <v>66</v>
          </cell>
        </row>
        <row r="1992">
          <cell r="K1992">
            <v>45149</v>
          </cell>
          <cell r="L1992">
            <v>137.79</v>
          </cell>
        </row>
        <row r="1992">
          <cell r="N1992">
            <v>45209</v>
          </cell>
          <cell r="O1992">
            <v>122.03</v>
          </cell>
        </row>
        <row r="1993">
          <cell r="B1993">
            <v>45210</v>
          </cell>
          <cell r="C1993">
            <v>106.41</v>
          </cell>
        </row>
        <row r="1993">
          <cell r="E1993">
            <v>45152</v>
          </cell>
          <cell r="F1993">
            <v>133.01</v>
          </cell>
        </row>
        <row r="1993">
          <cell r="H1993">
            <v>45155</v>
          </cell>
          <cell r="I1993">
            <v>66.42</v>
          </cell>
        </row>
        <row r="1993">
          <cell r="K1993">
            <v>45152</v>
          </cell>
          <cell r="L1993">
            <v>137.95</v>
          </cell>
        </row>
        <row r="1993">
          <cell r="N1993">
            <v>45210</v>
          </cell>
          <cell r="O1993">
            <v>122.68</v>
          </cell>
        </row>
        <row r="1994">
          <cell r="B1994">
            <v>45211</v>
          </cell>
          <cell r="C1994">
            <v>106.3</v>
          </cell>
        </row>
        <row r="1994">
          <cell r="E1994">
            <v>45153</v>
          </cell>
          <cell r="F1994">
            <v>133.57</v>
          </cell>
        </row>
        <row r="1994">
          <cell r="H1994">
            <v>45156</v>
          </cell>
          <cell r="I1994">
            <v>66.65</v>
          </cell>
        </row>
        <row r="1994">
          <cell r="K1994">
            <v>45153</v>
          </cell>
          <cell r="L1994">
            <v>138.64</v>
          </cell>
        </row>
        <row r="1994">
          <cell r="N1994">
            <v>45211</v>
          </cell>
          <cell r="O1994">
            <v>123.86</v>
          </cell>
        </row>
        <row r="1995">
          <cell r="B1995">
            <v>45212</v>
          </cell>
          <cell r="C1995">
            <v>106.08</v>
          </cell>
        </row>
        <row r="1995">
          <cell r="E1995">
            <v>45154</v>
          </cell>
          <cell r="F1995">
            <v>133.24</v>
          </cell>
        </row>
        <row r="1995">
          <cell r="H1995">
            <v>45159</v>
          </cell>
          <cell r="I1995">
            <v>66.7</v>
          </cell>
        </row>
        <row r="1995">
          <cell r="K1995">
            <v>45154</v>
          </cell>
          <cell r="L1995">
            <v>138.96</v>
          </cell>
        </row>
        <row r="1995">
          <cell r="N1995">
            <v>45212</v>
          </cell>
          <cell r="O1995">
            <v>124.33</v>
          </cell>
        </row>
        <row r="1996">
          <cell r="B1996">
            <v>45215</v>
          </cell>
          <cell r="C1996">
            <v>106.45</v>
          </cell>
        </row>
        <row r="1996">
          <cell r="E1996">
            <v>45155</v>
          </cell>
          <cell r="F1996">
            <v>131.76</v>
          </cell>
        </row>
        <row r="1996">
          <cell r="H1996">
            <v>45160</v>
          </cell>
          <cell r="I1996">
            <v>66.1</v>
          </cell>
        </row>
        <row r="1996">
          <cell r="K1996">
            <v>45155</v>
          </cell>
          <cell r="L1996">
            <v>139.01</v>
          </cell>
        </row>
        <row r="1996">
          <cell r="N1996">
            <v>45215</v>
          </cell>
          <cell r="O1996">
            <v>123.63</v>
          </cell>
        </row>
        <row r="1997">
          <cell r="B1997">
            <v>45216</v>
          </cell>
          <cell r="C1997">
            <v>106.7</v>
          </cell>
        </row>
        <row r="1997">
          <cell r="E1997">
            <v>45156</v>
          </cell>
          <cell r="F1997">
            <v>132.2</v>
          </cell>
        </row>
        <row r="1997">
          <cell r="H1997">
            <v>45161</v>
          </cell>
          <cell r="I1997">
            <v>65.83</v>
          </cell>
        </row>
        <row r="1997">
          <cell r="K1997">
            <v>45156</v>
          </cell>
          <cell r="L1997">
            <v>139.18</v>
          </cell>
        </row>
        <row r="1997">
          <cell r="N1997">
            <v>45216</v>
          </cell>
          <cell r="O1997">
            <v>122.66</v>
          </cell>
        </row>
        <row r="1998">
          <cell r="B1998">
            <v>45217</v>
          </cell>
          <cell r="C1998">
            <v>106.82</v>
          </cell>
        </row>
        <row r="1998">
          <cell r="E1998">
            <v>45159</v>
          </cell>
          <cell r="F1998">
            <v>132.59</v>
          </cell>
        </row>
        <row r="1998">
          <cell r="H1998">
            <v>45162</v>
          </cell>
          <cell r="I1998">
            <v>66.16</v>
          </cell>
        </row>
        <row r="1998">
          <cell r="K1998">
            <v>45159</v>
          </cell>
          <cell r="L1998">
            <v>139.03</v>
          </cell>
        </row>
        <row r="1998">
          <cell r="N1998">
            <v>45217</v>
          </cell>
          <cell r="O1998">
            <v>122.76</v>
          </cell>
        </row>
        <row r="1999">
          <cell r="B1999">
            <v>45218</v>
          </cell>
          <cell r="C1999">
            <v>106.64</v>
          </cell>
        </row>
        <row r="1999">
          <cell r="E1999">
            <v>45160</v>
          </cell>
          <cell r="F1999">
            <v>133.54</v>
          </cell>
        </row>
        <row r="1999">
          <cell r="H1999">
            <v>45163</v>
          </cell>
          <cell r="I1999">
            <v>65.89</v>
          </cell>
        </row>
        <row r="1999">
          <cell r="K1999">
            <v>45160</v>
          </cell>
          <cell r="L1999">
            <v>139.14</v>
          </cell>
        </row>
        <row r="1999">
          <cell r="N1999">
            <v>45218</v>
          </cell>
          <cell r="O1999">
            <v>123.34</v>
          </cell>
        </row>
        <row r="2000">
          <cell r="B2000">
            <v>45219</v>
          </cell>
          <cell r="C2000">
            <v>106.68</v>
          </cell>
        </row>
        <row r="2000">
          <cell r="E2000">
            <v>45161</v>
          </cell>
          <cell r="F2000">
            <v>134.43</v>
          </cell>
        </row>
        <row r="2000">
          <cell r="H2000">
            <v>45166</v>
          </cell>
          <cell r="I2000">
            <v>66.3</v>
          </cell>
        </row>
        <row r="2000">
          <cell r="K2000">
            <v>45161</v>
          </cell>
          <cell r="L2000">
            <v>138.91</v>
          </cell>
        </row>
        <row r="2000">
          <cell r="N2000">
            <v>45219</v>
          </cell>
          <cell r="O2000">
            <v>123.58</v>
          </cell>
        </row>
        <row r="2001">
          <cell r="B2001">
            <v>45222</v>
          </cell>
          <cell r="C2001">
            <v>107.15</v>
          </cell>
        </row>
        <row r="2001">
          <cell r="E2001">
            <v>45162</v>
          </cell>
          <cell r="F2001">
            <v>133.61</v>
          </cell>
        </row>
        <row r="2001">
          <cell r="H2001">
            <v>45167</v>
          </cell>
          <cell r="I2001">
            <v>66.32</v>
          </cell>
        </row>
        <row r="2001">
          <cell r="K2001">
            <v>45162</v>
          </cell>
          <cell r="L2001">
            <v>139.3</v>
          </cell>
        </row>
        <row r="2001">
          <cell r="N2001">
            <v>45222</v>
          </cell>
          <cell r="O2001">
            <v>124.06</v>
          </cell>
        </row>
        <row r="2002">
          <cell r="B2002">
            <v>45223</v>
          </cell>
          <cell r="C2002">
            <v>107.38</v>
          </cell>
        </row>
        <row r="2002">
          <cell r="E2002">
            <v>45163</v>
          </cell>
          <cell r="F2002">
            <v>133.79</v>
          </cell>
        </row>
        <row r="2002">
          <cell r="H2002">
            <v>45168</v>
          </cell>
          <cell r="I2002">
            <v>65.75</v>
          </cell>
        </row>
        <row r="2002">
          <cell r="K2002">
            <v>45163</v>
          </cell>
          <cell r="L2002">
            <v>139.59</v>
          </cell>
        </row>
        <row r="2002">
          <cell r="N2002">
            <v>45223</v>
          </cell>
          <cell r="O2002">
            <v>123.94</v>
          </cell>
        </row>
        <row r="2003">
          <cell r="B2003">
            <v>45224</v>
          </cell>
          <cell r="C2003">
            <v>107.33</v>
          </cell>
        </row>
        <row r="2003">
          <cell r="E2003">
            <v>45166</v>
          </cell>
          <cell r="F2003">
            <v>134.12</v>
          </cell>
        </row>
        <row r="2003">
          <cell r="H2003">
            <v>45169</v>
          </cell>
          <cell r="I2003">
            <v>65.6</v>
          </cell>
        </row>
        <row r="2003">
          <cell r="K2003">
            <v>45166</v>
          </cell>
          <cell r="L2003">
            <v>139.24</v>
          </cell>
        </row>
        <row r="2003">
          <cell r="N2003">
            <v>45224</v>
          </cell>
          <cell r="O2003">
            <v>123.89</v>
          </cell>
        </row>
        <row r="2004">
          <cell r="B2004">
            <v>45225</v>
          </cell>
          <cell r="C2004">
            <v>106.81</v>
          </cell>
        </row>
        <row r="2004">
          <cell r="E2004">
            <v>45167</v>
          </cell>
          <cell r="F2004">
            <v>134.72</v>
          </cell>
        </row>
        <row r="2004">
          <cell r="H2004">
            <v>45170</v>
          </cell>
          <cell r="I2004">
            <v>66.17</v>
          </cell>
        </row>
        <row r="2004">
          <cell r="K2004">
            <v>45167</v>
          </cell>
          <cell r="L2004">
            <v>139.26</v>
          </cell>
        </row>
        <row r="2004">
          <cell r="N2004">
            <v>45225</v>
          </cell>
          <cell r="O2004">
            <v>123.14</v>
          </cell>
        </row>
        <row r="2005">
          <cell r="B2005">
            <v>45226</v>
          </cell>
          <cell r="C2005">
            <v>106.69</v>
          </cell>
        </row>
        <row r="2005">
          <cell r="E2005">
            <v>45168</v>
          </cell>
          <cell r="F2005">
            <v>135</v>
          </cell>
        </row>
        <row r="2005">
          <cell r="H2005">
            <v>45173</v>
          </cell>
          <cell r="I2005">
            <v>66.16</v>
          </cell>
        </row>
        <row r="2005">
          <cell r="K2005">
            <v>45168</v>
          </cell>
          <cell r="L2005">
            <v>139.09</v>
          </cell>
        </row>
        <row r="2005">
          <cell r="N2005">
            <v>45226</v>
          </cell>
          <cell r="O2005">
            <v>123.22</v>
          </cell>
        </row>
        <row r="2006">
          <cell r="B2006">
            <v>45229</v>
          </cell>
          <cell r="C2006">
            <v>106.82</v>
          </cell>
        </row>
        <row r="2006">
          <cell r="E2006">
            <v>45169</v>
          </cell>
          <cell r="F2006">
            <v>135.04</v>
          </cell>
        </row>
        <row r="2006">
          <cell r="H2006">
            <v>45174</v>
          </cell>
          <cell r="I2006">
            <v>65.83</v>
          </cell>
        </row>
        <row r="2006">
          <cell r="K2006">
            <v>45169</v>
          </cell>
          <cell r="L2006">
            <v>138.31</v>
          </cell>
        </row>
        <row r="2006">
          <cell r="N2006">
            <v>45229</v>
          </cell>
          <cell r="O2006">
            <v>123.81</v>
          </cell>
        </row>
        <row r="2007">
          <cell r="B2007">
            <v>45230</v>
          </cell>
          <cell r="C2007">
            <v>106.83</v>
          </cell>
        </row>
        <row r="2007">
          <cell r="E2007">
            <v>45170</v>
          </cell>
          <cell r="F2007">
            <v>135.2</v>
          </cell>
        </row>
        <row r="2007">
          <cell r="H2007">
            <v>45175</v>
          </cell>
          <cell r="I2007">
            <v>65.35</v>
          </cell>
        </row>
        <row r="2007">
          <cell r="K2007">
            <v>45170</v>
          </cell>
          <cell r="L2007">
            <v>138.59</v>
          </cell>
        </row>
        <row r="2007">
          <cell r="N2007">
            <v>45230</v>
          </cell>
          <cell r="O2007">
            <v>123.51</v>
          </cell>
        </row>
        <row r="2008">
          <cell r="B2008">
            <v>45231</v>
          </cell>
          <cell r="C2008">
            <v>107.26</v>
          </cell>
        </row>
        <row r="2008">
          <cell r="E2008">
            <v>45173</v>
          </cell>
          <cell r="F2008">
            <v>135.18</v>
          </cell>
        </row>
        <row r="2008">
          <cell r="H2008">
            <v>45176</v>
          </cell>
          <cell r="I2008">
            <v>64.97</v>
          </cell>
        </row>
        <row r="2008">
          <cell r="K2008">
            <v>45173</v>
          </cell>
          <cell r="L2008">
            <v>138.62</v>
          </cell>
        </row>
        <row r="2008">
          <cell r="N2008">
            <v>45231</v>
          </cell>
          <cell r="O2008">
            <v>123.7</v>
          </cell>
        </row>
        <row r="2009">
          <cell r="B2009">
            <v>45232</v>
          </cell>
          <cell r="C2009">
            <v>107.3</v>
          </cell>
        </row>
        <row r="2009">
          <cell r="E2009">
            <v>45174</v>
          </cell>
          <cell r="F2009">
            <v>135.05</v>
          </cell>
        </row>
        <row r="2009">
          <cell r="H2009">
            <v>45177</v>
          </cell>
          <cell r="I2009">
            <v>65.71</v>
          </cell>
        </row>
        <row r="2009">
          <cell r="K2009">
            <v>45174</v>
          </cell>
          <cell r="L2009">
            <v>138.83</v>
          </cell>
        </row>
        <row r="2009">
          <cell r="N2009">
            <v>45232</v>
          </cell>
          <cell r="O2009">
            <v>123.74</v>
          </cell>
        </row>
        <row r="2010">
          <cell r="B2010">
            <v>45233</v>
          </cell>
          <cell r="C2010">
            <v>107.45</v>
          </cell>
        </row>
        <row r="2010">
          <cell r="E2010">
            <v>45175</v>
          </cell>
          <cell r="F2010">
            <v>136.78</v>
          </cell>
        </row>
        <row r="2010">
          <cell r="H2010">
            <v>45180</v>
          </cell>
          <cell r="I2010">
            <v>65.62</v>
          </cell>
        </row>
        <row r="2010">
          <cell r="K2010">
            <v>45175</v>
          </cell>
          <cell r="L2010">
            <v>139.23</v>
          </cell>
        </row>
        <row r="2010">
          <cell r="N2010">
            <v>45233</v>
          </cell>
          <cell r="O2010">
            <v>122.47</v>
          </cell>
        </row>
        <row r="2011">
          <cell r="B2011">
            <v>45236</v>
          </cell>
          <cell r="C2011">
            <v>107.84</v>
          </cell>
        </row>
        <row r="2011">
          <cell r="E2011">
            <v>45176</v>
          </cell>
          <cell r="F2011">
            <v>137.96</v>
          </cell>
        </row>
        <row r="2011">
          <cell r="H2011">
            <v>45181</v>
          </cell>
          <cell r="I2011">
            <v>65.88</v>
          </cell>
        </row>
        <row r="2011">
          <cell r="K2011">
            <v>45176</v>
          </cell>
          <cell r="L2011">
            <v>139.54</v>
          </cell>
        </row>
        <row r="2011">
          <cell r="N2011">
            <v>45236</v>
          </cell>
          <cell r="O2011">
            <v>123.13</v>
          </cell>
        </row>
        <row r="2012">
          <cell r="B2012">
            <v>45237</v>
          </cell>
          <cell r="C2012">
            <v>108.38</v>
          </cell>
        </row>
        <row r="2012">
          <cell r="E2012">
            <v>45177</v>
          </cell>
          <cell r="F2012">
            <v>137.73</v>
          </cell>
        </row>
        <row r="2012">
          <cell r="H2012">
            <v>45182</v>
          </cell>
          <cell r="I2012">
            <v>65.47</v>
          </cell>
        </row>
        <row r="2012">
          <cell r="K2012">
            <v>45177</v>
          </cell>
          <cell r="L2012">
            <v>139.34</v>
          </cell>
        </row>
        <row r="2012">
          <cell r="N2012">
            <v>45237</v>
          </cell>
          <cell r="O2012">
            <v>123.74</v>
          </cell>
        </row>
        <row r="2013">
          <cell r="B2013">
            <v>45238</v>
          </cell>
          <cell r="C2013">
            <v>107.75</v>
          </cell>
        </row>
        <row r="2013">
          <cell r="E2013">
            <v>45180</v>
          </cell>
          <cell r="F2013">
            <v>138.73</v>
          </cell>
        </row>
        <row r="2013">
          <cell r="H2013">
            <v>45183</v>
          </cell>
          <cell r="I2013">
            <v>65.68</v>
          </cell>
        </row>
        <row r="2013">
          <cell r="K2013">
            <v>45180</v>
          </cell>
          <cell r="L2013">
            <v>138.77</v>
          </cell>
        </row>
        <row r="2013">
          <cell r="N2013">
            <v>45238</v>
          </cell>
          <cell r="O2013">
            <v>124.59</v>
          </cell>
        </row>
        <row r="2014">
          <cell r="B2014">
            <v>45239</v>
          </cell>
          <cell r="C2014">
            <v>107.89</v>
          </cell>
        </row>
        <row r="2014">
          <cell r="E2014">
            <v>45181</v>
          </cell>
          <cell r="F2014">
            <v>137.16</v>
          </cell>
        </row>
        <row r="2014">
          <cell r="H2014">
            <v>45184</v>
          </cell>
          <cell r="I2014">
            <v>65.84</v>
          </cell>
        </row>
        <row r="2014">
          <cell r="K2014">
            <v>45181</v>
          </cell>
          <cell r="L2014">
            <v>138.11</v>
          </cell>
        </row>
        <row r="2014">
          <cell r="N2014">
            <v>45239</v>
          </cell>
          <cell r="O2014">
            <v>125.12</v>
          </cell>
        </row>
        <row r="2015">
          <cell r="B2015">
            <v>45240</v>
          </cell>
          <cell r="C2015">
            <v>108.51</v>
          </cell>
        </row>
        <row r="2015">
          <cell r="E2015">
            <v>45182</v>
          </cell>
          <cell r="F2015">
            <v>137.08</v>
          </cell>
        </row>
        <row r="2015">
          <cell r="H2015">
            <v>45187</v>
          </cell>
          <cell r="I2015">
            <v>65.58</v>
          </cell>
        </row>
        <row r="2015">
          <cell r="K2015">
            <v>45182</v>
          </cell>
          <cell r="L2015">
            <v>137.7</v>
          </cell>
        </row>
        <row r="2015">
          <cell r="N2015">
            <v>45240</v>
          </cell>
          <cell r="O2015">
            <v>125.54</v>
          </cell>
        </row>
        <row r="2016">
          <cell r="B2016">
            <v>45243</v>
          </cell>
          <cell r="C2016">
            <v>109.09</v>
          </cell>
        </row>
        <row r="2016">
          <cell r="E2016">
            <v>45183</v>
          </cell>
          <cell r="F2016">
            <v>136.3</v>
          </cell>
        </row>
        <row r="2016">
          <cell r="H2016">
            <v>45188</v>
          </cell>
          <cell r="I2016">
            <v>66.12</v>
          </cell>
        </row>
        <row r="2016">
          <cell r="K2016">
            <v>45183</v>
          </cell>
          <cell r="L2016">
            <v>136.93</v>
          </cell>
        </row>
        <row r="2016">
          <cell r="N2016">
            <v>45243</v>
          </cell>
          <cell r="O2016">
            <v>125.58</v>
          </cell>
        </row>
        <row r="2017">
          <cell r="B2017">
            <v>45244</v>
          </cell>
          <cell r="C2017">
            <v>108.88</v>
          </cell>
        </row>
        <row r="2017">
          <cell r="E2017">
            <v>45184</v>
          </cell>
          <cell r="F2017">
            <v>135.44</v>
          </cell>
        </row>
        <row r="2017">
          <cell r="H2017">
            <v>45189</v>
          </cell>
          <cell r="I2017">
            <v>66.08</v>
          </cell>
        </row>
        <row r="2017">
          <cell r="K2017">
            <v>45184</v>
          </cell>
          <cell r="L2017">
            <v>135.66</v>
          </cell>
        </row>
        <row r="2017">
          <cell r="N2017">
            <v>45244</v>
          </cell>
          <cell r="O2017">
            <v>122.6</v>
          </cell>
        </row>
        <row r="2018">
          <cell r="B2018">
            <v>45245</v>
          </cell>
          <cell r="C2018">
            <v>108.73</v>
          </cell>
        </row>
        <row r="2018">
          <cell r="E2018">
            <v>45187</v>
          </cell>
          <cell r="F2018">
            <v>137.14</v>
          </cell>
        </row>
        <row r="2018">
          <cell r="H2018">
            <v>45190</v>
          </cell>
          <cell r="I2018">
            <v>66.67</v>
          </cell>
        </row>
        <row r="2018">
          <cell r="K2018">
            <v>45187</v>
          </cell>
          <cell r="L2018">
            <v>135.72</v>
          </cell>
        </row>
        <row r="2018">
          <cell r="N2018">
            <v>45245</v>
          </cell>
          <cell r="O2018">
            <v>122.91</v>
          </cell>
        </row>
        <row r="2019">
          <cell r="B2019">
            <v>45246</v>
          </cell>
          <cell r="C2019">
            <v>109.22</v>
          </cell>
        </row>
        <row r="2019">
          <cell r="E2019">
            <v>45188</v>
          </cell>
          <cell r="F2019">
            <v>136.57</v>
          </cell>
        </row>
        <row r="2019">
          <cell r="H2019">
            <v>45191</v>
          </cell>
          <cell r="I2019">
            <v>66.57</v>
          </cell>
        </row>
        <row r="2019">
          <cell r="K2019">
            <v>45188</v>
          </cell>
          <cell r="L2019">
            <v>136.38</v>
          </cell>
        </row>
        <row r="2019">
          <cell r="N2019">
            <v>45246</v>
          </cell>
          <cell r="O2019">
            <v>124.12</v>
          </cell>
        </row>
        <row r="2020">
          <cell r="B2020">
            <v>45247</v>
          </cell>
          <cell r="C2020">
            <v>109.11</v>
          </cell>
        </row>
        <row r="2020">
          <cell r="E2020">
            <v>45189</v>
          </cell>
          <cell r="F2020">
            <v>136.21</v>
          </cell>
        </row>
        <row r="2020">
          <cell r="H2020">
            <v>45194</v>
          </cell>
          <cell r="I2020">
            <v>66.75</v>
          </cell>
        </row>
        <row r="2020">
          <cell r="K2020">
            <v>45189</v>
          </cell>
          <cell r="L2020">
            <v>135.94</v>
          </cell>
        </row>
        <row r="2020">
          <cell r="N2020">
            <v>45247</v>
          </cell>
          <cell r="O2020">
            <v>123.24</v>
          </cell>
        </row>
        <row r="2021">
          <cell r="B2021">
            <v>45250</v>
          </cell>
          <cell r="C2021">
            <v>109.15</v>
          </cell>
        </row>
        <row r="2021">
          <cell r="E2021">
            <v>45190</v>
          </cell>
          <cell r="F2021">
            <v>136.04</v>
          </cell>
        </row>
        <row r="2021">
          <cell r="H2021">
            <v>45195</v>
          </cell>
          <cell r="I2021">
            <v>66.5</v>
          </cell>
        </row>
        <row r="2021">
          <cell r="K2021">
            <v>45190</v>
          </cell>
          <cell r="L2021">
            <v>137.08</v>
          </cell>
        </row>
        <row r="2021">
          <cell r="N2021">
            <v>45250</v>
          </cell>
          <cell r="O2021">
            <v>123.72</v>
          </cell>
        </row>
        <row r="2022">
          <cell r="B2022">
            <v>45251</v>
          </cell>
          <cell r="C2022">
            <v>109.39</v>
          </cell>
        </row>
        <row r="2022">
          <cell r="E2022">
            <v>45191</v>
          </cell>
          <cell r="F2022">
            <v>136.99</v>
          </cell>
        </row>
        <row r="2022">
          <cell r="H2022">
            <v>45196</v>
          </cell>
          <cell r="I2022">
            <v>66.24</v>
          </cell>
        </row>
        <row r="2022">
          <cell r="K2022">
            <v>45191</v>
          </cell>
          <cell r="L2022">
            <v>137.08</v>
          </cell>
        </row>
        <row r="2022">
          <cell r="N2022">
            <v>45251</v>
          </cell>
          <cell r="O2022">
            <v>124.63</v>
          </cell>
        </row>
        <row r="2023">
          <cell r="B2023">
            <v>45252</v>
          </cell>
          <cell r="C2023">
            <v>109.66</v>
          </cell>
        </row>
        <row r="2023">
          <cell r="E2023">
            <v>45194</v>
          </cell>
          <cell r="F2023">
            <v>136.97</v>
          </cell>
        </row>
        <row r="2023">
          <cell r="H2023">
            <v>45197</v>
          </cell>
          <cell r="I2023">
            <v>66.7</v>
          </cell>
        </row>
        <row r="2023">
          <cell r="K2023">
            <v>45194</v>
          </cell>
          <cell r="L2023">
            <v>137.49</v>
          </cell>
        </row>
        <row r="2023">
          <cell r="N2023">
            <v>45252</v>
          </cell>
          <cell r="O2023">
            <v>124.33</v>
          </cell>
        </row>
        <row r="2024">
          <cell r="B2024">
            <v>45254</v>
          </cell>
          <cell r="C2024">
            <v>109.66</v>
          </cell>
        </row>
        <row r="2024">
          <cell r="E2024">
            <v>45195</v>
          </cell>
          <cell r="F2024">
            <v>136.5</v>
          </cell>
        </row>
        <row r="2024">
          <cell r="H2024">
            <v>45198</v>
          </cell>
          <cell r="I2024">
            <v>66.58</v>
          </cell>
        </row>
        <row r="2024">
          <cell r="K2024">
            <v>45195</v>
          </cell>
          <cell r="L2024">
            <v>137.27</v>
          </cell>
        </row>
        <row r="2024">
          <cell r="N2024">
            <v>45254</v>
          </cell>
          <cell r="O2024">
            <v>123.9</v>
          </cell>
        </row>
        <row r="2025">
          <cell r="B2025">
            <v>45257</v>
          </cell>
          <cell r="C2025">
            <v>109.78</v>
          </cell>
        </row>
        <row r="2025">
          <cell r="E2025">
            <v>45196</v>
          </cell>
          <cell r="F2025">
            <v>136.92</v>
          </cell>
        </row>
        <row r="2025">
          <cell r="H2025">
            <v>45201</v>
          </cell>
          <cell r="I2025">
            <v>66.17</v>
          </cell>
        </row>
        <row r="2025">
          <cell r="K2025">
            <v>45196</v>
          </cell>
          <cell r="L2025">
            <v>138.31</v>
          </cell>
        </row>
        <row r="2025">
          <cell r="N2025">
            <v>45257</v>
          </cell>
          <cell r="O2025">
            <v>123.96</v>
          </cell>
        </row>
        <row r="2026">
          <cell r="B2026">
            <v>45258</v>
          </cell>
          <cell r="C2026">
            <v>109.69</v>
          </cell>
        </row>
        <row r="2026">
          <cell r="E2026">
            <v>45197</v>
          </cell>
          <cell r="F2026">
            <v>137.63</v>
          </cell>
        </row>
        <row r="2026">
          <cell r="H2026">
            <v>45202</v>
          </cell>
          <cell r="I2026">
            <v>65.89</v>
          </cell>
        </row>
        <row r="2026">
          <cell r="K2026">
            <v>45197</v>
          </cell>
          <cell r="L2026">
            <v>138.76</v>
          </cell>
        </row>
        <row r="2026">
          <cell r="N2026">
            <v>45258</v>
          </cell>
          <cell r="O2026">
            <v>124.8</v>
          </cell>
        </row>
        <row r="2027">
          <cell r="B2027">
            <v>45259</v>
          </cell>
          <cell r="C2027">
            <v>109.54</v>
          </cell>
        </row>
        <row r="2027">
          <cell r="E2027">
            <v>45198</v>
          </cell>
          <cell r="F2027">
            <v>136.09</v>
          </cell>
        </row>
        <row r="2027">
          <cell r="H2027">
            <v>45203</v>
          </cell>
          <cell r="I2027">
            <v>65.29</v>
          </cell>
        </row>
        <row r="2027">
          <cell r="K2027">
            <v>45198</v>
          </cell>
          <cell r="L2027">
            <v>137.93</v>
          </cell>
        </row>
        <row r="2027">
          <cell r="N2027">
            <v>45259</v>
          </cell>
          <cell r="O2027">
            <v>125.01</v>
          </cell>
        </row>
        <row r="2028">
          <cell r="B2028">
            <v>45260</v>
          </cell>
          <cell r="C2028">
            <v>109.62</v>
          </cell>
        </row>
        <row r="2028">
          <cell r="E2028">
            <v>45201</v>
          </cell>
          <cell r="F2028">
            <v>137.28</v>
          </cell>
        </row>
        <row r="2028">
          <cell r="H2028">
            <v>45204</v>
          </cell>
          <cell r="I2028">
            <v>65.68</v>
          </cell>
        </row>
        <row r="2028">
          <cell r="K2028">
            <v>45201</v>
          </cell>
          <cell r="L2028">
            <v>139.16</v>
          </cell>
        </row>
        <row r="2028">
          <cell r="N2028">
            <v>45260</v>
          </cell>
          <cell r="O2028">
            <v>125.38</v>
          </cell>
        </row>
        <row r="2029">
          <cell r="B2029">
            <v>45261</v>
          </cell>
          <cell r="C2029">
            <v>110</v>
          </cell>
        </row>
        <row r="2029">
          <cell r="E2029">
            <v>45202</v>
          </cell>
          <cell r="F2029">
            <v>136.88</v>
          </cell>
        </row>
        <row r="2029">
          <cell r="H2029">
            <v>45205</v>
          </cell>
          <cell r="I2029">
            <v>65.68</v>
          </cell>
        </row>
        <row r="2029">
          <cell r="K2029">
            <v>45202</v>
          </cell>
          <cell r="L2029">
            <v>139.57</v>
          </cell>
        </row>
        <row r="2029">
          <cell r="N2029">
            <v>45261</v>
          </cell>
          <cell r="O2029">
            <v>123.58</v>
          </cell>
        </row>
        <row r="2030">
          <cell r="B2030">
            <v>45264</v>
          </cell>
          <cell r="C2030">
            <v>109.17</v>
          </cell>
        </row>
        <row r="2030">
          <cell r="E2030">
            <v>45203</v>
          </cell>
          <cell r="F2030">
            <v>137.35</v>
          </cell>
        </row>
        <row r="2030">
          <cell r="H2030">
            <v>45208</v>
          </cell>
          <cell r="I2030">
            <v>65.81</v>
          </cell>
        </row>
        <row r="2030">
          <cell r="K2030">
            <v>45203</v>
          </cell>
          <cell r="L2030">
            <v>140</v>
          </cell>
        </row>
        <row r="2030">
          <cell r="N2030">
            <v>45264</v>
          </cell>
          <cell r="O2030">
            <v>121.86</v>
          </cell>
        </row>
        <row r="2031">
          <cell r="B2031">
            <v>45265</v>
          </cell>
          <cell r="C2031">
            <v>109.81</v>
          </cell>
        </row>
        <row r="2031">
          <cell r="E2031">
            <v>45204</v>
          </cell>
          <cell r="F2031">
            <v>138.31</v>
          </cell>
        </row>
        <row r="2031">
          <cell r="H2031">
            <v>45209</v>
          </cell>
          <cell r="I2031">
            <v>65.88</v>
          </cell>
        </row>
        <row r="2031">
          <cell r="K2031">
            <v>45204</v>
          </cell>
          <cell r="L2031">
            <v>140.61</v>
          </cell>
        </row>
        <row r="2031">
          <cell r="N2031">
            <v>45265</v>
          </cell>
          <cell r="O2031">
            <v>122.59</v>
          </cell>
        </row>
        <row r="2032">
          <cell r="B2032">
            <v>45266</v>
          </cell>
          <cell r="C2032">
            <v>109.73</v>
          </cell>
        </row>
        <row r="2032">
          <cell r="E2032">
            <v>45205</v>
          </cell>
          <cell r="F2032">
            <v>138.89</v>
          </cell>
        </row>
        <row r="2032">
          <cell r="H2032">
            <v>45210</v>
          </cell>
          <cell r="I2032">
            <v>65.83</v>
          </cell>
        </row>
        <row r="2032">
          <cell r="K2032">
            <v>45205</v>
          </cell>
          <cell r="L2032">
            <v>140.91</v>
          </cell>
        </row>
        <row r="2032">
          <cell r="N2032">
            <v>45266</v>
          </cell>
          <cell r="O2032">
            <v>122.86</v>
          </cell>
        </row>
        <row r="2033">
          <cell r="B2033">
            <v>45267</v>
          </cell>
          <cell r="C2033">
            <v>109.17</v>
          </cell>
        </row>
        <row r="2033">
          <cell r="E2033">
            <v>45208</v>
          </cell>
          <cell r="F2033">
            <v>138.64</v>
          </cell>
        </row>
        <row r="2033">
          <cell r="H2033">
            <v>45211</v>
          </cell>
          <cell r="I2033">
            <v>65.58</v>
          </cell>
        </row>
        <row r="2033">
          <cell r="K2033">
            <v>45208</v>
          </cell>
          <cell r="L2033">
            <v>141.22</v>
          </cell>
        </row>
        <row r="2033">
          <cell r="N2033">
            <v>45267</v>
          </cell>
          <cell r="O2033">
            <v>122.56</v>
          </cell>
        </row>
        <row r="2034">
          <cell r="B2034">
            <v>45268</v>
          </cell>
          <cell r="C2034">
            <v>108.94</v>
          </cell>
        </row>
        <row r="2034">
          <cell r="E2034">
            <v>45209</v>
          </cell>
          <cell r="F2034">
            <v>138.16</v>
          </cell>
        </row>
        <row r="2034">
          <cell r="H2034">
            <v>45212</v>
          </cell>
          <cell r="I2034">
            <v>65.22</v>
          </cell>
        </row>
        <row r="2034">
          <cell r="K2034">
            <v>45209</v>
          </cell>
          <cell r="L2034">
            <v>140.48</v>
          </cell>
        </row>
        <row r="2034">
          <cell r="N2034">
            <v>45268</v>
          </cell>
          <cell r="O2034">
            <v>122.57</v>
          </cell>
        </row>
        <row r="2035">
          <cell r="B2035">
            <v>45271</v>
          </cell>
          <cell r="C2035">
            <v>108.65</v>
          </cell>
        </row>
        <row r="2035">
          <cell r="E2035">
            <v>45210</v>
          </cell>
          <cell r="F2035">
            <v>138.83</v>
          </cell>
        </row>
        <row r="2035">
          <cell r="H2035">
            <v>45215</v>
          </cell>
          <cell r="I2035">
            <v>65.25</v>
          </cell>
        </row>
        <row r="2035">
          <cell r="K2035">
            <v>45210</v>
          </cell>
          <cell r="L2035">
            <v>140.52</v>
          </cell>
        </row>
        <row r="2035">
          <cell r="N2035">
            <v>45271</v>
          </cell>
          <cell r="O2035">
            <v>123.27</v>
          </cell>
        </row>
        <row r="2036">
          <cell r="B2036">
            <v>45272</v>
          </cell>
          <cell r="C2036">
            <v>108.49</v>
          </cell>
        </row>
        <row r="2036">
          <cell r="E2036">
            <v>45211</v>
          </cell>
          <cell r="F2036">
            <v>138.94</v>
          </cell>
        </row>
        <row r="2036">
          <cell r="H2036">
            <v>45216</v>
          </cell>
          <cell r="I2036">
            <v>65.51</v>
          </cell>
        </row>
        <row r="2036">
          <cell r="K2036">
            <v>45211</v>
          </cell>
          <cell r="L2036">
            <v>141.48</v>
          </cell>
        </row>
        <row r="2036">
          <cell r="N2036">
            <v>45272</v>
          </cell>
          <cell r="O2036">
            <v>123.29</v>
          </cell>
        </row>
        <row r="2037">
          <cell r="B2037">
            <v>45273</v>
          </cell>
          <cell r="C2037">
            <v>108.18</v>
          </cell>
        </row>
        <row r="2037">
          <cell r="E2037">
            <v>45212</v>
          </cell>
          <cell r="F2037">
            <v>137.48</v>
          </cell>
        </row>
        <row r="2037">
          <cell r="H2037">
            <v>45217</v>
          </cell>
          <cell r="I2037">
            <v>65.41</v>
          </cell>
        </row>
        <row r="2037">
          <cell r="K2037">
            <v>45212</v>
          </cell>
          <cell r="L2037">
            <v>140.48</v>
          </cell>
        </row>
        <row r="2037">
          <cell r="N2037">
            <v>45273</v>
          </cell>
          <cell r="O2037">
            <v>122.14</v>
          </cell>
        </row>
        <row r="2038">
          <cell r="B2038">
            <v>45274</v>
          </cell>
          <cell r="C2038">
            <v>108.16</v>
          </cell>
        </row>
        <row r="2038">
          <cell r="E2038">
            <v>45215</v>
          </cell>
          <cell r="F2038">
            <v>136.84</v>
          </cell>
        </row>
        <row r="2038">
          <cell r="H2038">
            <v>45218</v>
          </cell>
          <cell r="I2038">
            <v>65.33</v>
          </cell>
        </row>
        <row r="2038">
          <cell r="K2038">
            <v>45215</v>
          </cell>
          <cell r="L2038">
            <v>140.48</v>
          </cell>
        </row>
        <row r="2038">
          <cell r="N2038">
            <v>45274</v>
          </cell>
          <cell r="O2038">
            <v>121.29</v>
          </cell>
        </row>
        <row r="2039">
          <cell r="B2039">
            <v>45275</v>
          </cell>
          <cell r="C2039">
            <v>108.83</v>
          </cell>
        </row>
        <row r="2039">
          <cell r="E2039">
            <v>45216</v>
          </cell>
          <cell r="F2039">
            <v>136.6</v>
          </cell>
        </row>
        <row r="2039">
          <cell r="H2039">
            <v>45219</v>
          </cell>
          <cell r="I2039">
            <v>64.69</v>
          </cell>
        </row>
        <row r="2039">
          <cell r="K2039">
            <v>45216</v>
          </cell>
          <cell r="L2039">
            <v>140.48</v>
          </cell>
        </row>
        <row r="2039">
          <cell r="N2039">
            <v>45275</v>
          </cell>
          <cell r="O2039">
            <v>121.87</v>
          </cell>
        </row>
        <row r="2040">
          <cell r="B2040">
            <v>45278</v>
          </cell>
          <cell r="C2040">
            <v>109.07</v>
          </cell>
        </row>
        <row r="2040">
          <cell r="E2040">
            <v>45217</v>
          </cell>
          <cell r="F2040">
            <v>137.11</v>
          </cell>
        </row>
        <row r="2040">
          <cell r="H2040">
            <v>45222</v>
          </cell>
          <cell r="I2040">
            <v>64.31</v>
          </cell>
        </row>
        <row r="2040">
          <cell r="K2040">
            <v>45217</v>
          </cell>
          <cell r="L2040">
            <v>140.13</v>
          </cell>
        </row>
        <row r="2040">
          <cell r="N2040">
            <v>45278</v>
          </cell>
          <cell r="O2040">
            <v>121.97</v>
          </cell>
        </row>
        <row r="2041">
          <cell r="B2041">
            <v>45279</v>
          </cell>
          <cell r="C2041">
            <v>108.99</v>
          </cell>
        </row>
        <row r="2041">
          <cell r="E2041">
            <v>45218</v>
          </cell>
          <cell r="F2041">
            <v>137.13</v>
          </cell>
        </row>
        <row r="2041">
          <cell r="H2041">
            <v>45223</v>
          </cell>
          <cell r="I2041">
            <v>63.93</v>
          </cell>
        </row>
        <row r="2041">
          <cell r="K2041">
            <v>45218</v>
          </cell>
          <cell r="L2041">
            <v>139.57</v>
          </cell>
        </row>
        <row r="2041">
          <cell r="N2041">
            <v>45279</v>
          </cell>
          <cell r="O2041">
            <v>121.13</v>
          </cell>
        </row>
        <row r="2042">
          <cell r="B2042">
            <v>45280</v>
          </cell>
          <cell r="C2042">
            <v>108.71</v>
          </cell>
        </row>
        <row r="2042">
          <cell r="E2042">
            <v>45219</v>
          </cell>
          <cell r="F2042">
            <v>137.95</v>
          </cell>
        </row>
        <row r="2042">
          <cell r="H2042">
            <v>45224</v>
          </cell>
          <cell r="I2042">
            <v>64.41</v>
          </cell>
        </row>
        <row r="2042">
          <cell r="K2042">
            <v>45219</v>
          </cell>
          <cell r="L2042">
            <v>138.63</v>
          </cell>
        </row>
        <row r="2042">
          <cell r="N2042">
            <v>45280</v>
          </cell>
          <cell r="O2042">
            <v>120.98</v>
          </cell>
        </row>
        <row r="2043">
          <cell r="B2043">
            <v>45281</v>
          </cell>
          <cell r="C2043">
            <v>108.84</v>
          </cell>
        </row>
        <row r="2043">
          <cell r="E2043">
            <v>45222</v>
          </cell>
          <cell r="F2043">
            <v>139.76</v>
          </cell>
        </row>
        <row r="2043">
          <cell r="H2043">
            <v>45225</v>
          </cell>
          <cell r="I2043">
            <v>65.43</v>
          </cell>
        </row>
        <row r="2043">
          <cell r="K2043">
            <v>45222</v>
          </cell>
          <cell r="L2043">
            <v>138.54</v>
          </cell>
        </row>
        <row r="2043">
          <cell r="N2043">
            <v>45281</v>
          </cell>
          <cell r="O2043">
            <v>120.53</v>
          </cell>
        </row>
        <row r="2044">
          <cell r="B2044">
            <v>45282</v>
          </cell>
          <cell r="C2044">
            <v>108.03</v>
          </cell>
        </row>
        <row r="2044">
          <cell r="E2044">
            <v>45223</v>
          </cell>
          <cell r="F2044">
            <v>140.53</v>
          </cell>
        </row>
        <row r="2044">
          <cell r="H2044">
            <v>45226</v>
          </cell>
          <cell r="I2044">
            <v>65.24</v>
          </cell>
        </row>
        <row r="2044">
          <cell r="K2044">
            <v>45223</v>
          </cell>
          <cell r="L2044">
            <v>137.87</v>
          </cell>
        </row>
        <row r="2044">
          <cell r="N2044">
            <v>45282</v>
          </cell>
          <cell r="O2044">
            <v>120.02</v>
          </cell>
        </row>
        <row r="2045">
          <cell r="B2045">
            <v>45286</v>
          </cell>
          <cell r="C2045">
            <v>108.02</v>
          </cell>
        </row>
        <row r="2045">
          <cell r="E2045">
            <v>45224</v>
          </cell>
          <cell r="F2045">
            <v>139.14</v>
          </cell>
        </row>
        <row r="2045">
          <cell r="H2045">
            <v>45229</v>
          </cell>
          <cell r="I2045">
            <v>65.4</v>
          </cell>
        </row>
        <row r="2045">
          <cell r="K2045">
            <v>45224</v>
          </cell>
          <cell r="L2045">
            <v>137.52</v>
          </cell>
        </row>
        <row r="2045">
          <cell r="N2045">
            <v>45286</v>
          </cell>
          <cell r="O2045">
            <v>119.62</v>
          </cell>
        </row>
        <row r="2046">
          <cell r="B2046">
            <v>45287</v>
          </cell>
          <cell r="C2046">
            <v>107.99</v>
          </cell>
        </row>
        <row r="2046">
          <cell r="E2046">
            <v>45225</v>
          </cell>
          <cell r="F2046">
            <v>137.79</v>
          </cell>
        </row>
        <row r="2046">
          <cell r="H2046">
            <v>45230</v>
          </cell>
          <cell r="I2046">
            <v>65.12</v>
          </cell>
        </row>
        <row r="2046">
          <cell r="K2046">
            <v>45225</v>
          </cell>
          <cell r="L2046">
            <v>137.99</v>
          </cell>
        </row>
        <row r="2046">
          <cell r="N2046">
            <v>45287</v>
          </cell>
          <cell r="O2046">
            <v>119.87</v>
          </cell>
        </row>
        <row r="2047">
          <cell r="B2047">
            <v>45288</v>
          </cell>
          <cell r="C2047">
            <v>108.22</v>
          </cell>
        </row>
        <row r="2047">
          <cell r="E2047">
            <v>45226</v>
          </cell>
          <cell r="F2047">
            <v>139.68</v>
          </cell>
        </row>
        <row r="2047">
          <cell r="H2047">
            <v>45231</v>
          </cell>
          <cell r="I2047">
            <v>65.56</v>
          </cell>
        </row>
        <row r="2047">
          <cell r="K2047">
            <v>45226</v>
          </cell>
          <cell r="L2047">
            <v>137.01</v>
          </cell>
        </row>
        <row r="2047">
          <cell r="N2047">
            <v>45288</v>
          </cell>
          <cell r="O2047">
            <v>120.26</v>
          </cell>
        </row>
        <row r="2048">
          <cell r="B2048">
            <v>45289</v>
          </cell>
          <cell r="C2048">
            <v>108.12</v>
          </cell>
        </row>
        <row r="2048">
          <cell r="E2048">
            <v>45229</v>
          </cell>
          <cell r="F2048">
            <v>139.6</v>
          </cell>
        </row>
        <row r="2048">
          <cell r="H2048">
            <v>45232</v>
          </cell>
          <cell r="I2048">
            <v>65.7</v>
          </cell>
        </row>
        <row r="2048">
          <cell r="K2048">
            <v>45229</v>
          </cell>
          <cell r="L2048">
            <v>137.58</v>
          </cell>
        </row>
        <row r="2048">
          <cell r="N2048">
            <v>45289</v>
          </cell>
          <cell r="O2048">
            <v>121.09</v>
          </cell>
        </row>
        <row r="2049">
          <cell r="B2049">
            <v>45293</v>
          </cell>
          <cell r="C2049">
            <v>108.55</v>
          </cell>
        </row>
        <row r="2049">
          <cell r="E2049">
            <v>45230</v>
          </cell>
          <cell r="F2049">
            <v>139.42</v>
          </cell>
        </row>
        <row r="2049">
          <cell r="H2049">
            <v>45233</v>
          </cell>
          <cell r="I2049">
            <v>65.77</v>
          </cell>
        </row>
        <row r="2049">
          <cell r="K2049">
            <v>45230</v>
          </cell>
          <cell r="L2049">
            <v>137.95</v>
          </cell>
        </row>
        <row r="2049">
          <cell r="N2049">
            <v>45293</v>
          </cell>
          <cell r="O2049">
            <v>121.46</v>
          </cell>
        </row>
        <row r="2050">
          <cell r="B2050">
            <v>45294</v>
          </cell>
          <cell r="C2050">
            <v>108.56</v>
          </cell>
        </row>
        <row r="2050">
          <cell r="E2050">
            <v>45231</v>
          </cell>
          <cell r="F2050">
            <v>143.22</v>
          </cell>
        </row>
        <row r="2050">
          <cell r="H2050">
            <v>45236</v>
          </cell>
          <cell r="I2050">
            <v>65.42</v>
          </cell>
        </row>
        <row r="2050">
          <cell r="K2050">
            <v>45231</v>
          </cell>
          <cell r="L2050">
            <v>137.23</v>
          </cell>
        </row>
        <row r="2050">
          <cell r="N2050">
            <v>45294</v>
          </cell>
          <cell r="O2050">
            <v>122.73</v>
          </cell>
        </row>
        <row r="2051">
          <cell r="B2051">
            <v>45295</v>
          </cell>
          <cell r="C2051">
            <v>108.82</v>
          </cell>
        </row>
        <row r="2051">
          <cell r="E2051">
            <v>45232</v>
          </cell>
          <cell r="F2051">
            <v>141.81</v>
          </cell>
        </row>
        <row r="2051">
          <cell r="H2051">
            <v>45237</v>
          </cell>
          <cell r="I2051">
            <v>64.59</v>
          </cell>
        </row>
        <row r="2051">
          <cell r="K2051">
            <v>45232</v>
          </cell>
          <cell r="L2051">
            <v>138.32</v>
          </cell>
        </row>
        <row r="2051">
          <cell r="N2051">
            <v>45295</v>
          </cell>
          <cell r="O2051">
            <v>122.83</v>
          </cell>
        </row>
        <row r="2052">
          <cell r="B2052">
            <v>45296</v>
          </cell>
          <cell r="C2052">
            <v>108.58</v>
          </cell>
        </row>
        <row r="2052">
          <cell r="E2052">
            <v>45233</v>
          </cell>
          <cell r="F2052">
            <v>141.23</v>
          </cell>
        </row>
        <row r="2052">
          <cell r="H2052">
            <v>45238</v>
          </cell>
          <cell r="I2052">
            <v>64.02</v>
          </cell>
        </row>
        <row r="2052">
          <cell r="K2052">
            <v>45233</v>
          </cell>
          <cell r="L2052">
            <v>137.09</v>
          </cell>
        </row>
        <row r="2052">
          <cell r="N2052">
            <v>45296</v>
          </cell>
          <cell r="O2052">
            <v>123.89</v>
          </cell>
        </row>
        <row r="2053">
          <cell r="B2053">
            <v>45299</v>
          </cell>
          <cell r="C2053">
            <v>109.06</v>
          </cell>
        </row>
        <row r="2053">
          <cell r="E2053">
            <v>45236</v>
          </cell>
          <cell r="F2053">
            <v>143.05</v>
          </cell>
        </row>
        <row r="2053">
          <cell r="H2053">
            <v>45239</v>
          </cell>
          <cell r="I2053">
            <v>63.86</v>
          </cell>
        </row>
        <row r="2053">
          <cell r="K2053">
            <v>45236</v>
          </cell>
          <cell r="L2053">
            <v>137.31</v>
          </cell>
        </row>
        <row r="2053">
          <cell r="N2053">
            <v>45299</v>
          </cell>
          <cell r="O2053">
            <v>123.19</v>
          </cell>
        </row>
        <row r="2054">
          <cell r="B2054">
            <v>45300</v>
          </cell>
          <cell r="C2054">
            <v>109.38</v>
          </cell>
        </row>
        <row r="2054">
          <cell r="E2054">
            <v>45237</v>
          </cell>
          <cell r="F2054">
            <v>142.95</v>
          </cell>
        </row>
        <row r="2054">
          <cell r="H2054">
            <v>45240</v>
          </cell>
          <cell r="I2054">
            <v>63.68</v>
          </cell>
        </row>
        <row r="2054">
          <cell r="K2054">
            <v>45237</v>
          </cell>
          <cell r="L2054">
            <v>137.72</v>
          </cell>
        </row>
        <row r="2054">
          <cell r="N2054">
            <v>45300</v>
          </cell>
          <cell r="O2054">
            <v>123.65</v>
          </cell>
        </row>
        <row r="2055">
          <cell r="B2055">
            <v>45301</v>
          </cell>
          <cell r="C2055">
            <v>109.39</v>
          </cell>
        </row>
        <row r="2055">
          <cell r="E2055">
            <v>45238</v>
          </cell>
          <cell r="F2055">
            <v>143.66</v>
          </cell>
        </row>
        <row r="2055">
          <cell r="H2055">
            <v>45243</v>
          </cell>
          <cell r="I2055">
            <v>63.3</v>
          </cell>
        </row>
        <row r="2055">
          <cell r="K2055">
            <v>45238</v>
          </cell>
          <cell r="L2055">
            <v>138.78</v>
          </cell>
        </row>
        <row r="2055">
          <cell r="N2055">
            <v>45301</v>
          </cell>
          <cell r="O2055">
            <v>123.7</v>
          </cell>
        </row>
        <row r="2056">
          <cell r="B2056">
            <v>45302</v>
          </cell>
          <cell r="C2056">
            <v>109.63</v>
          </cell>
        </row>
        <row r="2056">
          <cell r="E2056">
            <v>45239</v>
          </cell>
          <cell r="F2056">
            <v>145.26</v>
          </cell>
        </row>
        <row r="2056">
          <cell r="H2056">
            <v>45244</v>
          </cell>
          <cell r="I2056">
            <v>63.77</v>
          </cell>
        </row>
        <row r="2056">
          <cell r="K2056">
            <v>45239</v>
          </cell>
          <cell r="L2056">
            <v>138.22</v>
          </cell>
        </row>
        <row r="2056">
          <cell r="N2056">
            <v>45302</v>
          </cell>
          <cell r="O2056">
            <v>124.08</v>
          </cell>
        </row>
        <row r="2057">
          <cell r="B2057">
            <v>45303</v>
          </cell>
          <cell r="C2057">
            <v>110.26</v>
          </cell>
        </row>
        <row r="2057">
          <cell r="E2057">
            <v>45240</v>
          </cell>
          <cell r="F2057">
            <v>147.01</v>
          </cell>
        </row>
        <row r="2057">
          <cell r="H2057">
            <v>45245</v>
          </cell>
          <cell r="I2057">
            <v>64.47</v>
          </cell>
        </row>
        <row r="2057">
          <cell r="K2057">
            <v>45240</v>
          </cell>
          <cell r="L2057">
            <v>138.69</v>
          </cell>
        </row>
        <row r="2057">
          <cell r="N2057">
            <v>45303</v>
          </cell>
          <cell r="O2057">
            <v>123.84</v>
          </cell>
        </row>
        <row r="2058">
          <cell r="B2058">
            <v>45307</v>
          </cell>
          <cell r="C2058">
            <v>110.64</v>
          </cell>
        </row>
        <row r="2058">
          <cell r="E2058">
            <v>45243</v>
          </cell>
          <cell r="F2058">
            <v>147.62</v>
          </cell>
        </row>
        <row r="2058">
          <cell r="H2058">
            <v>45246</v>
          </cell>
          <cell r="I2058">
            <v>63.95</v>
          </cell>
        </row>
        <row r="2058">
          <cell r="K2058">
            <v>45243</v>
          </cell>
          <cell r="L2058">
            <v>138.38</v>
          </cell>
        </row>
        <row r="2058">
          <cell r="N2058">
            <v>45307</v>
          </cell>
          <cell r="O2058">
            <v>124.28</v>
          </cell>
        </row>
        <row r="2059">
          <cell r="B2059">
            <v>45308</v>
          </cell>
          <cell r="C2059">
            <v>110.69</v>
          </cell>
        </row>
        <row r="2059">
          <cell r="E2059">
            <v>45244</v>
          </cell>
          <cell r="F2059">
            <v>145.54</v>
          </cell>
        </row>
        <row r="2059">
          <cell r="H2059">
            <v>45247</v>
          </cell>
          <cell r="I2059">
            <v>64.35</v>
          </cell>
        </row>
        <row r="2059">
          <cell r="K2059">
            <v>45244</v>
          </cell>
          <cell r="L2059">
            <v>138.97</v>
          </cell>
        </row>
        <row r="2059">
          <cell r="N2059">
            <v>45308</v>
          </cell>
          <cell r="O2059">
            <v>123.98</v>
          </cell>
        </row>
        <row r="2060">
          <cell r="B2060">
            <v>45309</v>
          </cell>
          <cell r="C2060">
            <v>110.17</v>
          </cell>
        </row>
        <row r="2060">
          <cell r="E2060">
            <v>45245</v>
          </cell>
          <cell r="F2060">
            <v>142.04</v>
          </cell>
        </row>
        <row r="2060">
          <cell r="H2060">
            <v>45250</v>
          </cell>
          <cell r="I2060">
            <v>64.11</v>
          </cell>
        </row>
        <row r="2060">
          <cell r="K2060">
            <v>45245</v>
          </cell>
          <cell r="L2060">
            <v>139.24</v>
          </cell>
        </row>
        <row r="2060">
          <cell r="N2060">
            <v>45309</v>
          </cell>
          <cell r="O2060">
            <v>123.6</v>
          </cell>
        </row>
        <row r="2061">
          <cell r="B2061">
            <v>45310</v>
          </cell>
          <cell r="C2061">
            <v>110.06</v>
          </cell>
        </row>
        <row r="2061">
          <cell r="E2061">
            <v>45246</v>
          </cell>
          <cell r="F2061">
            <v>143.52</v>
          </cell>
        </row>
        <row r="2061">
          <cell r="H2061">
            <v>45251</v>
          </cell>
          <cell r="I2061">
            <v>63.87</v>
          </cell>
        </row>
        <row r="2061">
          <cell r="K2061">
            <v>45246</v>
          </cell>
          <cell r="L2061">
            <v>138.4</v>
          </cell>
        </row>
        <row r="2061">
          <cell r="N2061">
            <v>45310</v>
          </cell>
          <cell r="O2061">
            <v>124.17</v>
          </cell>
        </row>
        <row r="2062">
          <cell r="B2062">
            <v>45313</v>
          </cell>
          <cell r="C2062">
            <v>109.93</v>
          </cell>
        </row>
        <row r="2062">
          <cell r="E2062">
            <v>45247</v>
          </cell>
          <cell r="F2062">
            <v>143.12</v>
          </cell>
        </row>
        <row r="2062">
          <cell r="H2062">
            <v>45252</v>
          </cell>
          <cell r="I2062">
            <v>63.5</v>
          </cell>
        </row>
        <row r="2062">
          <cell r="K2062">
            <v>45247</v>
          </cell>
          <cell r="L2062">
            <v>138.42</v>
          </cell>
        </row>
        <row r="2062">
          <cell r="N2062">
            <v>45313</v>
          </cell>
          <cell r="O2062">
            <v>122.42</v>
          </cell>
        </row>
        <row r="2063">
          <cell r="B2063">
            <v>45314</v>
          </cell>
          <cell r="C2063">
            <v>109.47</v>
          </cell>
        </row>
        <row r="2063">
          <cell r="E2063">
            <v>45250</v>
          </cell>
          <cell r="F2063">
            <v>143.37</v>
          </cell>
        </row>
        <row r="2063">
          <cell r="H2063">
            <v>45253</v>
          </cell>
          <cell r="I2063">
            <v>63.54</v>
          </cell>
        </row>
        <row r="2063">
          <cell r="K2063">
            <v>45250</v>
          </cell>
          <cell r="L2063">
            <v>138.88</v>
          </cell>
        </row>
        <row r="2063">
          <cell r="N2063">
            <v>45314</v>
          </cell>
          <cell r="O2063">
            <v>123.04</v>
          </cell>
        </row>
        <row r="2064">
          <cell r="B2064">
            <v>45315</v>
          </cell>
          <cell r="C2064">
            <v>109.02</v>
          </cell>
        </row>
        <row r="2064">
          <cell r="E2064">
            <v>45251</v>
          </cell>
          <cell r="F2064">
            <v>144.4</v>
          </cell>
        </row>
        <row r="2064">
          <cell r="H2064">
            <v>45254</v>
          </cell>
          <cell r="I2064">
            <v>63.49</v>
          </cell>
        </row>
        <row r="2064">
          <cell r="K2064">
            <v>45251</v>
          </cell>
          <cell r="L2064">
            <v>139.27</v>
          </cell>
        </row>
        <row r="2064">
          <cell r="N2064">
            <v>45315</v>
          </cell>
          <cell r="O2064">
            <v>123.48</v>
          </cell>
        </row>
        <row r="2065">
          <cell r="B2065">
            <v>45316</v>
          </cell>
          <cell r="C2065">
            <v>108.78</v>
          </cell>
        </row>
        <row r="2065">
          <cell r="E2065">
            <v>45252</v>
          </cell>
          <cell r="F2065">
            <v>144.47</v>
          </cell>
        </row>
        <row r="2065">
          <cell r="H2065">
            <v>45257</v>
          </cell>
          <cell r="I2065">
            <v>62.75</v>
          </cell>
        </row>
        <row r="2065">
          <cell r="K2065">
            <v>45252</v>
          </cell>
          <cell r="L2065">
            <v>138.98</v>
          </cell>
        </row>
        <row r="2065">
          <cell r="N2065">
            <v>45316</v>
          </cell>
          <cell r="O2065">
            <v>124.01</v>
          </cell>
        </row>
        <row r="2066">
          <cell r="B2066">
            <v>45317</v>
          </cell>
          <cell r="C2066">
            <v>108.8</v>
          </cell>
        </row>
        <row r="2066">
          <cell r="E2066">
            <v>45253</v>
          </cell>
          <cell r="F2066">
            <v>144.55</v>
          </cell>
        </row>
        <row r="2066">
          <cell r="H2066">
            <v>45258</v>
          </cell>
          <cell r="I2066">
            <v>62.73</v>
          </cell>
        </row>
        <row r="2066">
          <cell r="K2066">
            <v>45253</v>
          </cell>
          <cell r="L2066">
            <v>138.94</v>
          </cell>
        </row>
        <row r="2066">
          <cell r="N2066">
            <v>45317</v>
          </cell>
          <cell r="O2066">
            <v>123.7</v>
          </cell>
        </row>
        <row r="2067">
          <cell r="B2067">
            <v>45320</v>
          </cell>
          <cell r="C2067">
            <v>109.25</v>
          </cell>
        </row>
        <row r="2067">
          <cell r="E2067">
            <v>45254</v>
          </cell>
          <cell r="F2067">
            <v>144.01</v>
          </cell>
        </row>
        <row r="2067">
          <cell r="H2067">
            <v>45259</v>
          </cell>
          <cell r="I2067">
            <v>63.25</v>
          </cell>
        </row>
        <row r="2067">
          <cell r="K2067">
            <v>45254</v>
          </cell>
          <cell r="L2067">
            <v>138.82</v>
          </cell>
        </row>
        <row r="2067">
          <cell r="N2067">
            <v>45320</v>
          </cell>
          <cell r="O2067">
            <v>123.04</v>
          </cell>
        </row>
        <row r="2068">
          <cell r="B2068">
            <v>45321</v>
          </cell>
          <cell r="C2068">
            <v>109.28</v>
          </cell>
        </row>
        <row r="2068">
          <cell r="E2068">
            <v>45257</v>
          </cell>
          <cell r="F2068">
            <v>145.3</v>
          </cell>
        </row>
        <row r="2068">
          <cell r="H2068">
            <v>45260</v>
          </cell>
          <cell r="I2068">
            <v>63.42</v>
          </cell>
        </row>
        <row r="2068">
          <cell r="K2068">
            <v>45257</v>
          </cell>
          <cell r="L2068">
            <v>138.95</v>
          </cell>
        </row>
        <row r="2068">
          <cell r="N2068">
            <v>45321</v>
          </cell>
          <cell r="O2068">
            <v>123.69</v>
          </cell>
        </row>
        <row r="2069">
          <cell r="B2069">
            <v>45322</v>
          </cell>
          <cell r="C2069">
            <v>109.21</v>
          </cell>
        </row>
        <row r="2069">
          <cell r="E2069">
            <v>45258</v>
          </cell>
          <cell r="F2069">
            <v>143.52</v>
          </cell>
        </row>
        <row r="2069">
          <cell r="H2069">
            <v>45261</v>
          </cell>
          <cell r="I2069">
            <v>63.7</v>
          </cell>
        </row>
        <row r="2069">
          <cell r="K2069">
            <v>45258</v>
          </cell>
          <cell r="L2069">
            <v>138.08</v>
          </cell>
        </row>
        <row r="2069">
          <cell r="N2069">
            <v>45322</v>
          </cell>
          <cell r="O2069">
            <v>124.42</v>
          </cell>
        </row>
        <row r="2070">
          <cell r="B2070">
            <v>45323</v>
          </cell>
          <cell r="C2070">
            <v>109.38</v>
          </cell>
        </row>
        <row r="2070">
          <cell r="E2070">
            <v>45259</v>
          </cell>
          <cell r="F2070">
            <v>141.57</v>
          </cell>
        </row>
        <row r="2070">
          <cell r="H2070">
            <v>45264</v>
          </cell>
          <cell r="I2070">
            <v>63.33</v>
          </cell>
        </row>
        <row r="2070">
          <cell r="K2070">
            <v>45259</v>
          </cell>
          <cell r="L2070">
            <v>138.27</v>
          </cell>
        </row>
        <row r="2070">
          <cell r="N2070">
            <v>45323</v>
          </cell>
          <cell r="O2070">
            <v>124.07</v>
          </cell>
        </row>
        <row r="2071">
          <cell r="B2071">
            <v>45324</v>
          </cell>
          <cell r="C2071">
            <v>109.68</v>
          </cell>
        </row>
        <row r="2071">
          <cell r="E2071">
            <v>45260</v>
          </cell>
          <cell r="F2071">
            <v>141.68</v>
          </cell>
        </row>
        <row r="2071">
          <cell r="H2071">
            <v>45265</v>
          </cell>
          <cell r="I2071">
            <v>63.23</v>
          </cell>
        </row>
        <row r="2071">
          <cell r="K2071">
            <v>45260</v>
          </cell>
          <cell r="L2071">
            <v>138.16</v>
          </cell>
        </row>
        <row r="2071">
          <cell r="N2071">
            <v>45324</v>
          </cell>
          <cell r="O2071">
            <v>124.82</v>
          </cell>
        </row>
        <row r="2072">
          <cell r="B2072">
            <v>45327</v>
          </cell>
          <cell r="C2072">
            <v>109.48</v>
          </cell>
        </row>
        <row r="2072">
          <cell r="E2072">
            <v>45261</v>
          </cell>
          <cell r="F2072">
            <v>138.87</v>
          </cell>
        </row>
        <row r="2072">
          <cell r="H2072">
            <v>45266</v>
          </cell>
          <cell r="I2072">
            <v>63.16</v>
          </cell>
        </row>
        <row r="2072">
          <cell r="K2072">
            <v>45261</v>
          </cell>
          <cell r="L2072">
            <v>138.08</v>
          </cell>
        </row>
        <row r="2072">
          <cell r="N2072">
            <v>45327</v>
          </cell>
          <cell r="O2072">
            <v>125.47</v>
          </cell>
        </row>
        <row r="2073">
          <cell r="B2073">
            <v>45328</v>
          </cell>
          <cell r="C2073">
            <v>109.28</v>
          </cell>
        </row>
        <row r="2073">
          <cell r="E2073">
            <v>45264</v>
          </cell>
          <cell r="F2073">
            <v>136.97</v>
          </cell>
        </row>
        <row r="2073">
          <cell r="H2073">
            <v>45267</v>
          </cell>
          <cell r="I2073">
            <v>63.41</v>
          </cell>
        </row>
        <row r="2073">
          <cell r="K2073">
            <v>45264</v>
          </cell>
          <cell r="L2073">
            <v>137.43</v>
          </cell>
        </row>
        <row r="2073">
          <cell r="N2073">
            <v>45328</v>
          </cell>
          <cell r="O2073">
            <v>125.44</v>
          </cell>
        </row>
        <row r="2074">
          <cell r="B2074">
            <v>45329</v>
          </cell>
          <cell r="C2074">
            <v>109.62</v>
          </cell>
        </row>
        <row r="2074">
          <cell r="E2074">
            <v>45265</v>
          </cell>
          <cell r="F2074">
            <v>138.75</v>
          </cell>
        </row>
        <row r="2074">
          <cell r="H2074">
            <v>45268</v>
          </cell>
          <cell r="I2074">
            <v>63.33</v>
          </cell>
        </row>
        <row r="2074">
          <cell r="K2074">
            <v>45265</v>
          </cell>
          <cell r="L2074">
            <v>137.75</v>
          </cell>
        </row>
        <row r="2074">
          <cell r="N2074">
            <v>45329</v>
          </cell>
          <cell r="O2074">
            <v>126.54</v>
          </cell>
        </row>
        <row r="2075">
          <cell r="B2075">
            <v>45330</v>
          </cell>
          <cell r="C2075">
            <v>109.44</v>
          </cell>
        </row>
        <row r="2075">
          <cell r="E2075">
            <v>45266</v>
          </cell>
          <cell r="F2075">
            <v>136.07</v>
          </cell>
        </row>
        <row r="2075">
          <cell r="H2075">
            <v>45271</v>
          </cell>
          <cell r="I2075">
            <v>63.13</v>
          </cell>
        </row>
        <row r="2075">
          <cell r="K2075">
            <v>45266</v>
          </cell>
          <cell r="L2075">
            <v>138.26</v>
          </cell>
        </row>
        <row r="2075">
          <cell r="N2075">
            <v>45330</v>
          </cell>
          <cell r="O2075">
            <v>125.07</v>
          </cell>
        </row>
        <row r="2076">
          <cell r="B2076">
            <v>45331</v>
          </cell>
          <cell r="C2076">
            <v>109.83</v>
          </cell>
        </row>
        <row r="2076">
          <cell r="E2076">
            <v>45267</v>
          </cell>
          <cell r="F2076">
            <v>135.92</v>
          </cell>
        </row>
        <row r="2076">
          <cell r="H2076">
            <v>45272</v>
          </cell>
          <cell r="I2076">
            <v>62.38</v>
          </cell>
        </row>
        <row r="2076">
          <cell r="K2076">
            <v>45267</v>
          </cell>
          <cell r="L2076">
            <v>138.35</v>
          </cell>
        </row>
        <row r="2076">
          <cell r="N2076">
            <v>45331</v>
          </cell>
          <cell r="O2076">
            <v>124.03</v>
          </cell>
        </row>
        <row r="2077">
          <cell r="B2077">
            <v>45334</v>
          </cell>
          <cell r="C2077">
            <v>109.72</v>
          </cell>
        </row>
        <row r="2077">
          <cell r="E2077">
            <v>45268</v>
          </cell>
          <cell r="F2077">
            <v>136.91</v>
          </cell>
        </row>
        <row r="2077">
          <cell r="H2077">
            <v>45273</v>
          </cell>
          <cell r="I2077">
            <v>62.64</v>
          </cell>
        </row>
        <row r="2077">
          <cell r="K2077">
            <v>45268</v>
          </cell>
          <cell r="L2077">
            <v>138.07</v>
          </cell>
        </row>
        <row r="2077">
          <cell r="N2077">
            <v>45334</v>
          </cell>
          <cell r="O2077">
            <v>122.72</v>
          </cell>
        </row>
        <row r="2078">
          <cell r="B2078">
            <v>45335</v>
          </cell>
          <cell r="C2078">
            <v>109.68</v>
          </cell>
        </row>
        <row r="2078">
          <cell r="E2078">
            <v>45271</v>
          </cell>
          <cell r="F2078">
            <v>136.95</v>
          </cell>
        </row>
        <row r="2078">
          <cell r="H2078">
            <v>45274</v>
          </cell>
          <cell r="I2078">
            <v>64.21</v>
          </cell>
        </row>
        <row r="2078">
          <cell r="K2078">
            <v>45271</v>
          </cell>
          <cell r="L2078">
            <v>138.66</v>
          </cell>
        </row>
        <row r="2078">
          <cell r="N2078">
            <v>45335</v>
          </cell>
          <cell r="O2078">
            <v>124.63</v>
          </cell>
        </row>
        <row r="2079">
          <cell r="B2079">
            <v>45336</v>
          </cell>
          <cell r="C2079">
            <v>109.44</v>
          </cell>
        </row>
        <row r="2079">
          <cell r="E2079">
            <v>45272</v>
          </cell>
          <cell r="F2079">
            <v>139.13</v>
          </cell>
        </row>
        <row r="2079">
          <cell r="H2079">
            <v>45275</v>
          </cell>
          <cell r="I2079">
            <v>64.04</v>
          </cell>
        </row>
        <row r="2079">
          <cell r="K2079">
            <v>45272</v>
          </cell>
          <cell r="L2079">
            <v>139.39</v>
          </cell>
        </row>
        <row r="2079">
          <cell r="N2079">
            <v>45336</v>
          </cell>
          <cell r="O2079">
            <v>123.65</v>
          </cell>
        </row>
        <row r="2080">
          <cell r="B2080">
            <v>45337</v>
          </cell>
          <cell r="C2080">
            <v>109.29</v>
          </cell>
        </row>
        <row r="2080">
          <cell r="E2080">
            <v>45273</v>
          </cell>
          <cell r="F2080">
            <v>135.64</v>
          </cell>
        </row>
        <row r="2080">
          <cell r="H2080">
            <v>45278</v>
          </cell>
          <cell r="I2080">
            <v>63.57</v>
          </cell>
        </row>
        <row r="2080">
          <cell r="K2080">
            <v>45273</v>
          </cell>
          <cell r="L2080">
            <v>138.13</v>
          </cell>
        </row>
        <row r="2080">
          <cell r="N2080">
            <v>45337</v>
          </cell>
          <cell r="O2080">
            <v>122.74</v>
          </cell>
        </row>
        <row r="2081">
          <cell r="B2081">
            <v>45338</v>
          </cell>
          <cell r="C2081">
            <v>110.06</v>
          </cell>
        </row>
        <row r="2081">
          <cell r="E2081">
            <v>45274</v>
          </cell>
          <cell r="F2081">
            <v>131.38</v>
          </cell>
        </row>
        <row r="2081">
          <cell r="H2081">
            <v>45279</v>
          </cell>
          <cell r="I2081">
            <v>63.6</v>
          </cell>
        </row>
        <row r="2081">
          <cell r="K2081">
            <v>45274</v>
          </cell>
          <cell r="L2081">
            <v>136.93</v>
          </cell>
        </row>
        <row r="2081">
          <cell r="N2081">
            <v>45338</v>
          </cell>
          <cell r="O2081">
            <v>123.14</v>
          </cell>
        </row>
        <row r="2082">
          <cell r="B2082">
            <v>45342</v>
          </cell>
          <cell r="C2082">
            <v>109.37</v>
          </cell>
        </row>
        <row r="2082">
          <cell r="E2082">
            <v>45275</v>
          </cell>
          <cell r="F2082">
            <v>132.84</v>
          </cell>
        </row>
        <row r="2082">
          <cell r="H2082">
            <v>45280</v>
          </cell>
          <cell r="I2082">
            <v>63.68</v>
          </cell>
        </row>
        <row r="2082">
          <cell r="K2082">
            <v>45275</v>
          </cell>
          <cell r="L2082">
            <v>137.77</v>
          </cell>
        </row>
        <row r="2082">
          <cell r="N2082">
            <v>45342</v>
          </cell>
          <cell r="O2082">
            <v>123.69</v>
          </cell>
        </row>
        <row r="2083">
          <cell r="B2083">
            <v>45343</v>
          </cell>
          <cell r="C2083">
            <v>109.56</v>
          </cell>
        </row>
        <row r="2083">
          <cell r="E2083">
            <v>45278</v>
          </cell>
          <cell r="F2083">
            <v>134.12</v>
          </cell>
        </row>
        <row r="2083">
          <cell r="H2083">
            <v>45281</v>
          </cell>
          <cell r="I2083">
            <v>63.3</v>
          </cell>
        </row>
        <row r="2083">
          <cell r="K2083">
            <v>45278</v>
          </cell>
          <cell r="L2083">
            <v>137.88</v>
          </cell>
        </row>
        <row r="2083">
          <cell r="N2083">
            <v>45343</v>
          </cell>
          <cell r="O2083">
            <v>124.37</v>
          </cell>
        </row>
        <row r="2084">
          <cell r="B2084">
            <v>45344</v>
          </cell>
          <cell r="C2084">
            <v>109.95</v>
          </cell>
        </row>
        <row r="2084">
          <cell r="E2084">
            <v>45279</v>
          </cell>
          <cell r="F2084">
            <v>132.26</v>
          </cell>
        </row>
        <row r="2084">
          <cell r="H2084">
            <v>45282</v>
          </cell>
          <cell r="I2084">
            <v>63.32</v>
          </cell>
        </row>
        <row r="2084">
          <cell r="K2084">
            <v>45279</v>
          </cell>
          <cell r="L2084">
            <v>137.38</v>
          </cell>
        </row>
        <row r="2084">
          <cell r="N2084">
            <v>45344</v>
          </cell>
          <cell r="O2084">
            <v>125.1</v>
          </cell>
        </row>
        <row r="2085">
          <cell r="B2085">
            <v>45345</v>
          </cell>
          <cell r="C2085">
            <v>110.01</v>
          </cell>
        </row>
        <row r="2085">
          <cell r="E2085">
            <v>45280</v>
          </cell>
          <cell r="F2085">
            <v>132.79</v>
          </cell>
        </row>
        <row r="2085">
          <cell r="H2085">
            <v>45285</v>
          </cell>
          <cell r="I2085">
            <v>63.32</v>
          </cell>
        </row>
        <row r="2085">
          <cell r="K2085">
            <v>45280</v>
          </cell>
          <cell r="L2085">
            <v>138.19</v>
          </cell>
        </row>
        <row r="2085">
          <cell r="N2085">
            <v>45345</v>
          </cell>
          <cell r="O2085">
            <v>124.72</v>
          </cell>
        </row>
        <row r="2086">
          <cell r="B2086">
            <v>45348</v>
          </cell>
          <cell r="C2086">
            <v>109.17</v>
          </cell>
        </row>
        <row r="2086">
          <cell r="E2086">
            <v>45281</v>
          </cell>
          <cell r="F2086">
            <v>132.12</v>
          </cell>
        </row>
        <row r="2086">
          <cell r="H2086">
            <v>45286</v>
          </cell>
          <cell r="I2086">
            <v>63.34</v>
          </cell>
        </row>
        <row r="2086">
          <cell r="K2086">
            <v>45281</v>
          </cell>
          <cell r="L2086">
            <v>137.42</v>
          </cell>
        </row>
        <row r="2086">
          <cell r="N2086">
            <v>45348</v>
          </cell>
          <cell r="O2086">
            <v>124.3</v>
          </cell>
        </row>
        <row r="2087">
          <cell r="B2087">
            <v>45349</v>
          </cell>
          <cell r="C2087">
            <v>108.13</v>
          </cell>
        </row>
        <row r="2087">
          <cell r="E2087">
            <v>45282</v>
          </cell>
          <cell r="F2087">
            <v>131.82</v>
          </cell>
        </row>
        <row r="2087">
          <cell r="H2087">
            <v>45287</v>
          </cell>
          <cell r="I2087">
            <v>63</v>
          </cell>
        </row>
        <row r="2087">
          <cell r="K2087">
            <v>45282</v>
          </cell>
          <cell r="L2087">
            <v>137.22</v>
          </cell>
        </row>
        <row r="2087">
          <cell r="N2087">
            <v>45349</v>
          </cell>
          <cell r="O2087">
            <v>123.45</v>
          </cell>
        </row>
        <row r="2088">
          <cell r="B2088">
            <v>45350</v>
          </cell>
          <cell r="C2088">
            <v>108.22</v>
          </cell>
        </row>
        <row r="2088">
          <cell r="E2088">
            <v>45285</v>
          </cell>
          <cell r="F2088">
            <v>131.81</v>
          </cell>
        </row>
        <row r="2088">
          <cell r="H2088">
            <v>45288</v>
          </cell>
          <cell r="I2088">
            <v>63.01</v>
          </cell>
        </row>
        <row r="2088">
          <cell r="K2088">
            <v>45285</v>
          </cell>
          <cell r="L2088">
            <v>137.21</v>
          </cell>
        </row>
        <row r="2088">
          <cell r="N2088">
            <v>45350</v>
          </cell>
          <cell r="O2088">
            <v>123.37</v>
          </cell>
        </row>
        <row r="2089">
          <cell r="B2089">
            <v>45351</v>
          </cell>
          <cell r="C2089">
            <v>108.3</v>
          </cell>
        </row>
        <row r="2089">
          <cell r="E2089">
            <v>45286</v>
          </cell>
          <cell r="F2089">
            <v>131.15</v>
          </cell>
        </row>
        <row r="2089">
          <cell r="H2089">
            <v>45289</v>
          </cell>
          <cell r="I2089">
            <v>63.24</v>
          </cell>
        </row>
        <row r="2089">
          <cell r="K2089">
            <v>45286</v>
          </cell>
          <cell r="L2089">
            <v>136.69</v>
          </cell>
        </row>
        <row r="2089">
          <cell r="N2089">
            <v>45351</v>
          </cell>
          <cell r="O2089">
            <v>123.77</v>
          </cell>
        </row>
        <row r="2090">
          <cell r="B2090">
            <v>45352</v>
          </cell>
          <cell r="C2090">
            <v>107.28</v>
          </cell>
        </row>
        <row r="2090">
          <cell r="E2090">
            <v>45287</v>
          </cell>
          <cell r="F2090">
            <v>131.44</v>
          </cell>
        </row>
        <row r="2090">
          <cell r="H2090">
            <v>45292</v>
          </cell>
          <cell r="I2090">
            <v>63.23</v>
          </cell>
        </row>
        <row r="2090">
          <cell r="K2090">
            <v>45287</v>
          </cell>
          <cell r="L2090">
            <v>136.48</v>
          </cell>
        </row>
        <row r="2090">
          <cell r="N2090">
            <v>45352</v>
          </cell>
          <cell r="O2090">
            <v>123.6</v>
          </cell>
        </row>
        <row r="2091">
          <cell r="B2091">
            <v>45355</v>
          </cell>
          <cell r="C2091">
            <v>106.69</v>
          </cell>
        </row>
        <row r="2091">
          <cell r="E2091">
            <v>45288</v>
          </cell>
          <cell r="F2091">
            <v>131.13</v>
          </cell>
        </row>
        <row r="2091">
          <cell r="H2091">
            <v>45293</v>
          </cell>
          <cell r="I2091">
            <v>64.42</v>
          </cell>
        </row>
        <row r="2091">
          <cell r="K2091">
            <v>45288</v>
          </cell>
          <cell r="L2091">
            <v>136.55</v>
          </cell>
        </row>
        <row r="2091">
          <cell r="N2091">
            <v>45355</v>
          </cell>
          <cell r="O2091">
            <v>123.72</v>
          </cell>
        </row>
        <row r="2092">
          <cell r="B2092">
            <v>45356</v>
          </cell>
          <cell r="C2092">
            <v>106.13</v>
          </cell>
        </row>
        <row r="2092">
          <cell r="E2092">
            <v>45289</v>
          </cell>
          <cell r="F2092">
            <v>131.47</v>
          </cell>
        </row>
        <row r="2092">
          <cell r="H2092">
            <v>45294</v>
          </cell>
          <cell r="I2092">
            <v>64.98</v>
          </cell>
        </row>
        <row r="2092">
          <cell r="K2092">
            <v>45289</v>
          </cell>
          <cell r="L2092">
            <v>136.43</v>
          </cell>
        </row>
        <row r="2092">
          <cell r="N2092">
            <v>45356</v>
          </cell>
          <cell r="O2092">
            <v>123.52</v>
          </cell>
        </row>
        <row r="2093">
          <cell r="B2093">
            <v>45357</v>
          </cell>
          <cell r="C2093">
            <v>106.18</v>
          </cell>
        </row>
        <row r="2093">
          <cell r="E2093">
            <v>45292</v>
          </cell>
          <cell r="F2093">
            <v>131.46</v>
          </cell>
        </row>
        <row r="2093">
          <cell r="H2093">
            <v>45295</v>
          </cell>
          <cell r="I2093">
            <v>64.6</v>
          </cell>
        </row>
        <row r="2093">
          <cell r="K2093">
            <v>45292</v>
          </cell>
          <cell r="L2093">
            <v>136.42</v>
          </cell>
        </row>
        <row r="2093">
          <cell r="N2093">
            <v>45357</v>
          </cell>
          <cell r="O2093">
            <v>123.73</v>
          </cell>
        </row>
        <row r="2094">
          <cell r="B2094">
            <v>45358</v>
          </cell>
          <cell r="C2094">
            <v>106.06</v>
          </cell>
        </row>
        <row r="2094">
          <cell r="E2094">
            <v>45293</v>
          </cell>
          <cell r="F2094">
            <v>128.12</v>
          </cell>
        </row>
        <row r="2094">
          <cell r="H2094">
            <v>45296</v>
          </cell>
          <cell r="I2094">
            <v>65.1</v>
          </cell>
        </row>
        <row r="2094">
          <cell r="K2094">
            <v>45293</v>
          </cell>
          <cell r="L2094">
            <v>136.68</v>
          </cell>
        </row>
        <row r="2094">
          <cell r="N2094">
            <v>45358</v>
          </cell>
          <cell r="O2094">
            <v>124.3</v>
          </cell>
        </row>
        <row r="2095">
          <cell r="B2095">
            <v>45359</v>
          </cell>
          <cell r="C2095">
            <v>105.95</v>
          </cell>
        </row>
        <row r="2095">
          <cell r="E2095">
            <v>45294</v>
          </cell>
          <cell r="F2095">
            <v>129.55</v>
          </cell>
        </row>
        <row r="2095">
          <cell r="H2095">
            <v>45299</v>
          </cell>
          <cell r="I2095">
            <v>64.93</v>
          </cell>
        </row>
        <row r="2095">
          <cell r="K2095">
            <v>45294</v>
          </cell>
          <cell r="L2095">
            <v>136.07</v>
          </cell>
        </row>
        <row r="2095">
          <cell r="N2095">
            <v>45359</v>
          </cell>
          <cell r="O2095">
            <v>124.06</v>
          </cell>
        </row>
        <row r="2096">
          <cell r="B2096">
            <v>45362</v>
          </cell>
          <cell r="C2096">
            <v>106.01</v>
          </cell>
        </row>
        <row r="2096">
          <cell r="E2096">
            <v>45295</v>
          </cell>
          <cell r="F2096">
            <v>130.44</v>
          </cell>
        </row>
        <row r="2096">
          <cell r="H2096">
            <v>45300</v>
          </cell>
          <cell r="I2096">
            <v>64.94</v>
          </cell>
        </row>
        <row r="2096">
          <cell r="K2096">
            <v>45295</v>
          </cell>
          <cell r="L2096">
            <v>135.75</v>
          </cell>
        </row>
        <row r="2096">
          <cell r="N2096">
            <v>45362</v>
          </cell>
          <cell r="O2096">
            <v>124.78</v>
          </cell>
        </row>
        <row r="2097">
          <cell r="B2097">
            <v>45363</v>
          </cell>
          <cell r="C2097">
            <v>106.22</v>
          </cell>
        </row>
        <row r="2097">
          <cell r="E2097">
            <v>45296</v>
          </cell>
          <cell r="F2097">
            <v>130.45</v>
          </cell>
        </row>
        <row r="2097">
          <cell r="H2097">
            <v>45301</v>
          </cell>
          <cell r="I2097">
            <v>64.81</v>
          </cell>
        </row>
        <row r="2097">
          <cell r="K2097">
            <v>45296</v>
          </cell>
          <cell r="L2097">
            <v>135.5</v>
          </cell>
        </row>
        <row r="2097">
          <cell r="N2097">
            <v>45363</v>
          </cell>
          <cell r="O2097">
            <v>125.37</v>
          </cell>
        </row>
        <row r="2098">
          <cell r="B2098">
            <v>45364</v>
          </cell>
          <cell r="C2098">
            <v>106.12</v>
          </cell>
        </row>
        <row r="2098">
          <cell r="E2098">
            <v>45299</v>
          </cell>
          <cell r="F2098">
            <v>131.48</v>
          </cell>
        </row>
        <row r="2098">
          <cell r="H2098">
            <v>45302</v>
          </cell>
          <cell r="I2098">
            <v>64.8</v>
          </cell>
        </row>
        <row r="2098">
          <cell r="K2098">
            <v>45299</v>
          </cell>
          <cell r="L2098">
            <v>135.83</v>
          </cell>
        </row>
        <row r="2098">
          <cell r="N2098">
            <v>45364</v>
          </cell>
          <cell r="O2098">
            <v>125.39</v>
          </cell>
        </row>
        <row r="2099">
          <cell r="B2099">
            <v>45365</v>
          </cell>
          <cell r="C2099">
            <v>106.36</v>
          </cell>
        </row>
        <row r="2099">
          <cell r="E2099">
            <v>45300</v>
          </cell>
          <cell r="F2099">
            <v>132.49</v>
          </cell>
        </row>
        <row r="2099">
          <cell r="H2099">
            <v>45303</v>
          </cell>
          <cell r="I2099">
            <v>64.55</v>
          </cell>
        </row>
        <row r="2099">
          <cell r="K2099">
            <v>45300</v>
          </cell>
          <cell r="L2099">
            <v>136.46</v>
          </cell>
        </row>
        <row r="2099">
          <cell r="N2099">
            <v>45365</v>
          </cell>
          <cell r="O2099">
            <v>126.25</v>
          </cell>
        </row>
        <row r="2100">
          <cell r="B2100">
            <v>45366</v>
          </cell>
          <cell r="C2100">
            <v>105.54</v>
          </cell>
        </row>
        <row r="2100">
          <cell r="E2100">
            <v>45301</v>
          </cell>
          <cell r="F2100">
            <v>134.41</v>
          </cell>
        </row>
        <row r="2100">
          <cell r="H2100">
            <v>45306</v>
          </cell>
          <cell r="I2100">
            <v>64.53</v>
          </cell>
        </row>
        <row r="2100">
          <cell r="K2100">
            <v>45301</v>
          </cell>
          <cell r="L2100">
            <v>136.48</v>
          </cell>
        </row>
        <row r="2100">
          <cell r="N2100">
            <v>45366</v>
          </cell>
          <cell r="O2100">
            <v>125.73</v>
          </cell>
        </row>
        <row r="2101">
          <cell r="B2101">
            <v>45369</v>
          </cell>
          <cell r="C2101">
            <v>106.1</v>
          </cell>
        </row>
        <row r="2101">
          <cell r="E2101">
            <v>45302</v>
          </cell>
          <cell r="F2101">
            <v>135.74</v>
          </cell>
        </row>
        <row r="2101">
          <cell r="H2101">
            <v>45307</v>
          </cell>
          <cell r="I2101">
            <v>64.42</v>
          </cell>
        </row>
        <row r="2101">
          <cell r="K2101">
            <v>45302</v>
          </cell>
          <cell r="L2101">
            <v>136.7</v>
          </cell>
        </row>
        <row r="2101">
          <cell r="N2101">
            <v>45369</v>
          </cell>
          <cell r="O2101">
            <v>126.75</v>
          </cell>
        </row>
        <row r="2102">
          <cell r="B2102">
            <v>45370</v>
          </cell>
          <cell r="C2102">
            <v>106.17</v>
          </cell>
        </row>
        <row r="2102">
          <cell r="E2102">
            <v>45303</v>
          </cell>
          <cell r="F2102">
            <v>136.43</v>
          </cell>
        </row>
        <row r="2102">
          <cell r="H2102">
            <v>45308</v>
          </cell>
          <cell r="I2102">
            <v>64.28</v>
          </cell>
        </row>
        <row r="2102">
          <cell r="K2102">
            <v>45303</v>
          </cell>
          <cell r="L2102">
            <v>136.29</v>
          </cell>
        </row>
        <row r="2102">
          <cell r="N2102">
            <v>45370</v>
          </cell>
          <cell r="O2102">
            <v>126.32</v>
          </cell>
        </row>
        <row r="2103">
          <cell r="B2103">
            <v>45371</v>
          </cell>
          <cell r="C2103">
            <v>105.76</v>
          </cell>
        </row>
        <row r="2103">
          <cell r="E2103">
            <v>45306</v>
          </cell>
          <cell r="F2103">
            <v>136.4</v>
          </cell>
        </row>
        <row r="2103">
          <cell r="H2103">
            <v>45309</v>
          </cell>
          <cell r="I2103">
            <v>63.92</v>
          </cell>
        </row>
        <row r="2103">
          <cell r="K2103">
            <v>45306</v>
          </cell>
          <cell r="L2103">
            <v>136.26</v>
          </cell>
        </row>
        <row r="2103">
          <cell r="N2103">
            <v>45371</v>
          </cell>
          <cell r="O2103">
            <v>126.44</v>
          </cell>
        </row>
        <row r="2104">
          <cell r="B2104">
            <v>45372</v>
          </cell>
          <cell r="C2104">
            <v>105.4</v>
          </cell>
        </row>
        <row r="2104">
          <cell r="E2104">
            <v>45307</v>
          </cell>
          <cell r="F2104">
            <v>138.06</v>
          </cell>
        </row>
        <row r="2104">
          <cell r="H2104">
            <v>45310</v>
          </cell>
          <cell r="I2104">
            <v>64.77</v>
          </cell>
        </row>
        <row r="2104">
          <cell r="K2104">
            <v>45307</v>
          </cell>
          <cell r="L2104">
            <v>136.14</v>
          </cell>
        </row>
        <row r="2104">
          <cell r="N2104">
            <v>45372</v>
          </cell>
          <cell r="O2104">
            <v>126.23</v>
          </cell>
        </row>
        <row r="2105">
          <cell r="B2105">
            <v>45373</v>
          </cell>
          <cell r="C2105">
            <v>105.85</v>
          </cell>
        </row>
        <row r="2105">
          <cell r="E2105">
            <v>45308</v>
          </cell>
          <cell r="F2105">
            <v>138.65</v>
          </cell>
        </row>
        <row r="2105">
          <cell r="H2105">
            <v>45313</v>
          </cell>
          <cell r="I2105">
            <v>64.47</v>
          </cell>
        </row>
        <row r="2105">
          <cell r="K2105">
            <v>45308</v>
          </cell>
          <cell r="L2105">
            <v>137.33</v>
          </cell>
        </row>
        <row r="2105">
          <cell r="N2105">
            <v>45373</v>
          </cell>
          <cell r="O2105">
            <v>126.52</v>
          </cell>
        </row>
        <row r="2106">
          <cell r="B2106">
            <v>45376</v>
          </cell>
          <cell r="C2106">
            <v>105.89</v>
          </cell>
        </row>
        <row r="2106">
          <cell r="E2106">
            <v>45309</v>
          </cell>
          <cell r="F2106">
            <v>139.82</v>
          </cell>
        </row>
        <row r="2106">
          <cell r="H2106">
            <v>45317</v>
          </cell>
          <cell r="I2106">
            <v>65.12</v>
          </cell>
        </row>
        <row r="2106">
          <cell r="K2106">
            <v>45309</v>
          </cell>
          <cell r="L2106">
            <v>137.83</v>
          </cell>
        </row>
        <row r="2106">
          <cell r="N2106">
            <v>45376</v>
          </cell>
          <cell r="O2106">
            <v>126.82</v>
          </cell>
        </row>
        <row r="2107">
          <cell r="B2107">
            <v>45377</v>
          </cell>
          <cell r="C2107">
            <v>105.82</v>
          </cell>
        </row>
        <row r="2107">
          <cell r="E2107">
            <v>45310</v>
          </cell>
          <cell r="F2107">
            <v>141.04</v>
          </cell>
        </row>
        <row r="2107">
          <cell r="H2107">
            <v>45320</v>
          </cell>
          <cell r="I2107">
            <v>64.41</v>
          </cell>
        </row>
        <row r="2107">
          <cell r="K2107">
            <v>45310</v>
          </cell>
          <cell r="L2107">
            <v>137.36</v>
          </cell>
        </row>
        <row r="2107">
          <cell r="N2107">
            <v>45377</v>
          </cell>
          <cell r="O2107">
            <v>126.57</v>
          </cell>
        </row>
        <row r="2108">
          <cell r="B2108">
            <v>45378</v>
          </cell>
          <cell r="C2108">
            <v>105.31</v>
          </cell>
        </row>
        <row r="2108">
          <cell r="E2108">
            <v>45313</v>
          </cell>
          <cell r="F2108">
            <v>141.4</v>
          </cell>
        </row>
        <row r="2108">
          <cell r="H2108">
            <v>45321</v>
          </cell>
          <cell r="I2108">
            <v>64.9</v>
          </cell>
        </row>
        <row r="2108">
          <cell r="K2108">
            <v>45313</v>
          </cell>
          <cell r="L2108">
            <v>137.79</v>
          </cell>
        </row>
        <row r="2108">
          <cell r="N2108">
            <v>45378</v>
          </cell>
          <cell r="O2108">
            <v>125.69</v>
          </cell>
        </row>
        <row r="2109">
          <cell r="B2109">
            <v>45379</v>
          </cell>
          <cell r="C2109">
            <v>105.25</v>
          </cell>
        </row>
        <row r="2109">
          <cell r="E2109">
            <v>45317</v>
          </cell>
          <cell r="F2109">
            <v>141.19</v>
          </cell>
        </row>
        <row r="2109">
          <cell r="H2109">
            <v>45322</v>
          </cell>
          <cell r="I2109">
            <v>65.04</v>
          </cell>
        </row>
        <row r="2109">
          <cell r="K2109">
            <v>45317</v>
          </cell>
          <cell r="L2109">
            <v>137.15</v>
          </cell>
        </row>
        <row r="2109">
          <cell r="N2109">
            <v>45379</v>
          </cell>
          <cell r="O2109">
            <v>125.45</v>
          </cell>
        </row>
        <row r="2110">
          <cell r="B2110">
            <v>45383</v>
          </cell>
          <cell r="C2110">
            <v>105.15</v>
          </cell>
        </row>
        <row r="2110">
          <cell r="E2110">
            <v>45320</v>
          </cell>
          <cell r="F2110">
            <v>141.84</v>
          </cell>
        </row>
        <row r="2110">
          <cell r="H2110">
            <v>45323</v>
          </cell>
          <cell r="I2110">
            <v>64.48</v>
          </cell>
        </row>
        <row r="2110">
          <cell r="K2110">
            <v>45320</v>
          </cell>
          <cell r="L2110">
            <v>137.07</v>
          </cell>
        </row>
        <row r="2110">
          <cell r="N2110">
            <v>45383</v>
          </cell>
          <cell r="O2110">
            <v>125.95</v>
          </cell>
        </row>
        <row r="2111">
          <cell r="B2111">
            <v>45384</v>
          </cell>
          <cell r="C2111">
            <v>105.73</v>
          </cell>
        </row>
        <row r="2111">
          <cell r="E2111">
            <v>45321</v>
          </cell>
          <cell r="F2111">
            <v>142.96</v>
          </cell>
        </row>
        <row r="2111">
          <cell r="H2111">
            <v>45324</v>
          </cell>
          <cell r="I2111">
            <v>64.06</v>
          </cell>
        </row>
        <row r="2111">
          <cell r="K2111">
            <v>45321</v>
          </cell>
          <cell r="L2111">
            <v>137.35</v>
          </cell>
        </row>
        <row r="2111">
          <cell r="N2111">
            <v>45384</v>
          </cell>
          <cell r="O2111">
            <v>126.89</v>
          </cell>
        </row>
        <row r="2112">
          <cell r="B2112">
            <v>45385</v>
          </cell>
          <cell r="C2112">
            <v>105.85</v>
          </cell>
        </row>
        <row r="2112">
          <cell r="E2112">
            <v>45322</v>
          </cell>
          <cell r="F2112">
            <v>144.05</v>
          </cell>
        </row>
        <row r="2112">
          <cell r="H2112">
            <v>45327</v>
          </cell>
          <cell r="I2112">
            <v>63.93</v>
          </cell>
        </row>
        <row r="2112">
          <cell r="K2112">
            <v>45322</v>
          </cell>
          <cell r="L2112">
            <v>137.13</v>
          </cell>
        </row>
        <row r="2112">
          <cell r="N2112">
            <v>45385</v>
          </cell>
          <cell r="O2112">
            <v>126.85</v>
          </cell>
        </row>
        <row r="2113">
          <cell r="B2113">
            <v>45386</v>
          </cell>
          <cell r="C2113">
            <v>106.1</v>
          </cell>
        </row>
        <row r="2113">
          <cell r="E2113">
            <v>45323</v>
          </cell>
          <cell r="F2113">
            <v>144.77</v>
          </cell>
        </row>
        <row r="2113">
          <cell r="H2113">
            <v>45328</v>
          </cell>
          <cell r="I2113">
            <v>63.97</v>
          </cell>
        </row>
        <row r="2113">
          <cell r="K2113">
            <v>45323</v>
          </cell>
          <cell r="L2113">
            <v>137.25</v>
          </cell>
        </row>
        <row r="2113">
          <cell r="N2113">
            <v>45386</v>
          </cell>
          <cell r="O2113">
            <v>126.4</v>
          </cell>
        </row>
        <row r="2114">
          <cell r="B2114">
            <v>45387</v>
          </cell>
          <cell r="C2114">
            <v>106.25</v>
          </cell>
        </row>
        <row r="2114">
          <cell r="E2114">
            <v>45324</v>
          </cell>
          <cell r="F2114">
            <v>147.78</v>
          </cell>
        </row>
        <row r="2114">
          <cell r="H2114">
            <v>45329</v>
          </cell>
          <cell r="I2114">
            <v>63.62</v>
          </cell>
        </row>
        <row r="2114">
          <cell r="K2114">
            <v>45324</v>
          </cell>
          <cell r="L2114">
            <v>139.09</v>
          </cell>
        </row>
        <row r="2114">
          <cell r="N2114">
            <v>45387</v>
          </cell>
          <cell r="O2114">
            <v>127.19</v>
          </cell>
        </row>
        <row r="2115">
          <cell r="B2115">
            <v>45390</v>
          </cell>
          <cell r="C2115">
            <v>106.53</v>
          </cell>
        </row>
        <row r="2115">
          <cell r="E2115">
            <v>45327</v>
          </cell>
          <cell r="F2115">
            <v>149.18</v>
          </cell>
        </row>
        <row r="2115">
          <cell r="H2115">
            <v>45330</v>
          </cell>
          <cell r="I2115">
            <v>62.8</v>
          </cell>
        </row>
        <row r="2115">
          <cell r="K2115">
            <v>45327</v>
          </cell>
          <cell r="L2115">
            <v>139.99</v>
          </cell>
        </row>
        <row r="2115">
          <cell r="N2115">
            <v>45390</v>
          </cell>
          <cell r="O2115">
            <v>126.59</v>
          </cell>
        </row>
        <row r="2116">
          <cell r="B2116">
            <v>45391</v>
          </cell>
          <cell r="C2116">
            <v>106.44</v>
          </cell>
        </row>
        <row r="2116">
          <cell r="E2116">
            <v>45328</v>
          </cell>
          <cell r="F2116">
            <v>148.73</v>
          </cell>
        </row>
        <row r="2116">
          <cell r="H2116">
            <v>45331</v>
          </cell>
          <cell r="I2116">
            <v>63</v>
          </cell>
        </row>
        <row r="2116">
          <cell r="K2116">
            <v>45328</v>
          </cell>
          <cell r="L2116">
            <v>139.89</v>
          </cell>
        </row>
        <row r="2116">
          <cell r="N2116">
            <v>45391</v>
          </cell>
          <cell r="O2116">
            <v>126.71</v>
          </cell>
        </row>
        <row r="2117">
          <cell r="B2117">
            <v>45392</v>
          </cell>
          <cell r="C2117">
            <v>107.1</v>
          </cell>
        </row>
        <row r="2117">
          <cell r="E2117">
            <v>45329</v>
          </cell>
          <cell r="F2117">
            <v>150.35</v>
          </cell>
        </row>
        <row r="2117">
          <cell r="H2117">
            <v>45334</v>
          </cell>
          <cell r="I2117">
            <v>63.74</v>
          </cell>
        </row>
        <row r="2117">
          <cell r="K2117">
            <v>45329</v>
          </cell>
          <cell r="L2117">
            <v>140.29</v>
          </cell>
        </row>
        <row r="2117">
          <cell r="N2117">
            <v>45392</v>
          </cell>
          <cell r="O2117">
            <v>127.62</v>
          </cell>
        </row>
        <row r="2118">
          <cell r="B2118">
            <v>45393</v>
          </cell>
          <cell r="C2118">
            <v>107.02</v>
          </cell>
        </row>
        <row r="2118">
          <cell r="E2118">
            <v>45330</v>
          </cell>
          <cell r="F2118">
            <v>151.4</v>
          </cell>
        </row>
        <row r="2118">
          <cell r="H2118">
            <v>45335</v>
          </cell>
          <cell r="I2118">
            <v>63.26</v>
          </cell>
        </row>
        <row r="2118">
          <cell r="K2118">
            <v>45330</v>
          </cell>
          <cell r="L2118">
            <v>139.19</v>
          </cell>
        </row>
        <row r="2118">
          <cell r="N2118">
            <v>45393</v>
          </cell>
          <cell r="O2118">
            <v>127.44</v>
          </cell>
        </row>
        <row r="2119">
          <cell r="B2119">
            <v>45394</v>
          </cell>
          <cell r="C2119">
            <v>106.87</v>
          </cell>
        </row>
        <row r="2119">
          <cell r="E2119">
            <v>45331</v>
          </cell>
          <cell r="F2119">
            <v>153.31</v>
          </cell>
        </row>
        <row r="2119">
          <cell r="H2119">
            <v>45336</v>
          </cell>
          <cell r="I2119">
            <v>63.02</v>
          </cell>
        </row>
        <row r="2119">
          <cell r="K2119">
            <v>45331</v>
          </cell>
          <cell r="L2119">
            <v>139.57</v>
          </cell>
        </row>
        <row r="2119">
          <cell r="N2119">
            <v>45394</v>
          </cell>
          <cell r="O2119">
            <v>127.57</v>
          </cell>
        </row>
        <row r="2120">
          <cell r="B2120">
            <v>45397</v>
          </cell>
          <cell r="C2120">
            <v>106.88</v>
          </cell>
        </row>
        <row r="2120">
          <cell r="E2120">
            <v>45334</v>
          </cell>
          <cell r="F2120">
            <v>151.05</v>
          </cell>
        </row>
        <row r="2120">
          <cell r="H2120">
            <v>45337</v>
          </cell>
          <cell r="I2120">
            <v>63.71</v>
          </cell>
        </row>
        <row r="2120">
          <cell r="K2120">
            <v>45334</v>
          </cell>
          <cell r="L2120">
            <v>138.92</v>
          </cell>
        </row>
        <row r="2120">
          <cell r="N2120">
            <v>45397</v>
          </cell>
          <cell r="O2120">
            <v>127.45</v>
          </cell>
        </row>
        <row r="2121">
          <cell r="B2121">
            <v>45398</v>
          </cell>
          <cell r="C2121">
            <v>107.17</v>
          </cell>
        </row>
        <row r="2121">
          <cell r="E2121">
            <v>45335</v>
          </cell>
          <cell r="F2121">
            <v>152.42</v>
          </cell>
        </row>
        <row r="2121">
          <cell r="H2121">
            <v>45338</v>
          </cell>
          <cell r="I2121">
            <v>63.51</v>
          </cell>
        </row>
        <row r="2121">
          <cell r="K2121">
            <v>45335</v>
          </cell>
          <cell r="L2121">
            <v>139.54</v>
          </cell>
        </row>
        <row r="2121">
          <cell r="N2121">
            <v>45398</v>
          </cell>
          <cell r="O2121">
            <v>127.34</v>
          </cell>
        </row>
        <row r="2122">
          <cell r="B2122">
            <v>45399</v>
          </cell>
          <cell r="C2122">
            <v>106.78</v>
          </cell>
        </row>
        <row r="2122">
          <cell r="E2122">
            <v>45336</v>
          </cell>
          <cell r="F2122">
            <v>154.22</v>
          </cell>
        </row>
        <row r="2122">
          <cell r="H2122">
            <v>45341</v>
          </cell>
          <cell r="I2122">
            <v>63.49</v>
          </cell>
        </row>
        <row r="2122">
          <cell r="K2122">
            <v>45336</v>
          </cell>
          <cell r="L2122">
            <v>139.19</v>
          </cell>
        </row>
        <row r="2122">
          <cell r="N2122">
            <v>45399</v>
          </cell>
          <cell r="O2122">
            <v>127.96</v>
          </cell>
        </row>
        <row r="2123">
          <cell r="B2123">
            <v>45400</v>
          </cell>
          <cell r="C2123">
            <v>106.72</v>
          </cell>
        </row>
        <row r="2123">
          <cell r="E2123">
            <v>45337</v>
          </cell>
          <cell r="F2123">
            <v>152.83</v>
          </cell>
        </row>
        <row r="2123">
          <cell r="H2123">
            <v>45342</v>
          </cell>
          <cell r="I2123">
            <v>63.72</v>
          </cell>
        </row>
        <row r="2123">
          <cell r="K2123">
            <v>45337</v>
          </cell>
          <cell r="L2123">
            <v>138.8</v>
          </cell>
        </row>
        <row r="2123">
          <cell r="N2123">
            <v>45400</v>
          </cell>
          <cell r="O2123">
            <v>127.74</v>
          </cell>
        </row>
        <row r="2124">
          <cell r="B2124">
            <v>45401</v>
          </cell>
          <cell r="C2124">
            <v>106.43</v>
          </cell>
        </row>
        <row r="2124">
          <cell r="E2124">
            <v>45338</v>
          </cell>
          <cell r="F2124">
            <v>151.04</v>
          </cell>
        </row>
        <row r="2124">
          <cell r="H2124">
            <v>45343</v>
          </cell>
          <cell r="I2124">
            <v>64.01</v>
          </cell>
        </row>
        <row r="2124">
          <cell r="K2124">
            <v>45338</v>
          </cell>
          <cell r="L2124">
            <v>138.8</v>
          </cell>
        </row>
        <row r="2124">
          <cell r="N2124">
            <v>45401</v>
          </cell>
          <cell r="O2124">
            <v>126.43</v>
          </cell>
        </row>
        <row r="2125">
          <cell r="B2125">
            <v>45404</v>
          </cell>
          <cell r="C2125">
            <v>106.12</v>
          </cell>
        </row>
        <row r="2125">
          <cell r="E2125">
            <v>45341</v>
          </cell>
          <cell r="F2125">
            <v>151.02</v>
          </cell>
        </row>
        <row r="2125">
          <cell r="H2125">
            <v>45344</v>
          </cell>
          <cell r="I2125">
            <v>64.26</v>
          </cell>
        </row>
        <row r="2125">
          <cell r="K2125">
            <v>45341</v>
          </cell>
          <cell r="L2125">
            <v>138.81</v>
          </cell>
        </row>
        <row r="2125">
          <cell r="N2125">
            <v>45404</v>
          </cell>
          <cell r="O2125">
            <v>126.38</v>
          </cell>
        </row>
        <row r="2126">
          <cell r="B2126">
            <v>45405</v>
          </cell>
          <cell r="C2126">
            <v>106</v>
          </cell>
        </row>
        <row r="2126">
          <cell r="E2126">
            <v>45342</v>
          </cell>
          <cell r="F2126">
            <v>150.27</v>
          </cell>
        </row>
        <row r="2126">
          <cell r="H2126">
            <v>45345</v>
          </cell>
          <cell r="I2126">
            <v>64.34</v>
          </cell>
        </row>
        <row r="2126">
          <cell r="K2126">
            <v>45342</v>
          </cell>
          <cell r="L2126">
            <v>138.72</v>
          </cell>
        </row>
        <row r="2126">
          <cell r="N2126">
            <v>45405</v>
          </cell>
          <cell r="O2126">
            <v>125.74</v>
          </cell>
        </row>
        <row r="2127">
          <cell r="B2127">
            <v>45406</v>
          </cell>
          <cell r="C2127">
            <v>106.69</v>
          </cell>
        </row>
        <row r="2127">
          <cell r="E2127">
            <v>45343</v>
          </cell>
          <cell r="F2127">
            <v>148.36</v>
          </cell>
        </row>
        <row r="2127">
          <cell r="H2127">
            <v>45348</v>
          </cell>
          <cell r="I2127">
            <v>63.71</v>
          </cell>
        </row>
        <row r="2127">
          <cell r="K2127">
            <v>45343</v>
          </cell>
          <cell r="L2127">
            <v>138.7</v>
          </cell>
        </row>
        <row r="2127">
          <cell r="N2127">
            <v>45406</v>
          </cell>
          <cell r="O2127">
            <v>125.85</v>
          </cell>
        </row>
        <row r="2128">
          <cell r="B2128">
            <v>45407</v>
          </cell>
          <cell r="C2128">
            <v>106.84</v>
          </cell>
        </row>
        <row r="2128">
          <cell r="E2128">
            <v>45344</v>
          </cell>
          <cell r="F2128">
            <v>152.67</v>
          </cell>
        </row>
        <row r="2128">
          <cell r="H2128">
            <v>45349</v>
          </cell>
          <cell r="I2128">
            <v>63.85</v>
          </cell>
        </row>
        <row r="2128">
          <cell r="K2128">
            <v>45344</v>
          </cell>
          <cell r="L2128">
            <v>140.15</v>
          </cell>
        </row>
        <row r="2128">
          <cell r="N2128">
            <v>45407</v>
          </cell>
          <cell r="O2128">
            <v>126.48</v>
          </cell>
        </row>
        <row r="2129">
          <cell r="B2129">
            <v>45408</v>
          </cell>
          <cell r="C2129">
            <v>106.77</v>
          </cell>
        </row>
        <row r="2129">
          <cell r="E2129">
            <v>45345</v>
          </cell>
          <cell r="F2129">
            <v>152.56</v>
          </cell>
        </row>
        <row r="2129">
          <cell r="H2129">
            <v>45350</v>
          </cell>
          <cell r="I2129">
            <v>63.37</v>
          </cell>
        </row>
        <row r="2129">
          <cell r="K2129">
            <v>45345</v>
          </cell>
          <cell r="L2129">
            <v>140.63</v>
          </cell>
        </row>
        <row r="2129">
          <cell r="N2129">
            <v>45408</v>
          </cell>
          <cell r="O2129">
            <v>126.14</v>
          </cell>
        </row>
        <row r="2130">
          <cell r="B2130">
            <v>45411</v>
          </cell>
          <cell r="C2130">
            <v>107.04</v>
          </cell>
        </row>
        <row r="2130">
          <cell r="E2130">
            <v>45348</v>
          </cell>
          <cell r="F2130">
            <v>154.74</v>
          </cell>
        </row>
        <row r="2130">
          <cell r="H2130">
            <v>45351</v>
          </cell>
          <cell r="I2130">
            <v>63.58</v>
          </cell>
        </row>
        <row r="2130">
          <cell r="K2130">
            <v>45348</v>
          </cell>
          <cell r="L2130">
            <v>140.59</v>
          </cell>
        </row>
        <row r="2130">
          <cell r="N2130">
            <v>45411</v>
          </cell>
          <cell r="O2130">
            <v>126.02</v>
          </cell>
        </row>
        <row r="2131">
          <cell r="B2131">
            <v>45412</v>
          </cell>
          <cell r="C2131">
            <v>107</v>
          </cell>
        </row>
        <row r="2131">
          <cell r="E2131">
            <v>45349</v>
          </cell>
          <cell r="F2131">
            <v>154.97</v>
          </cell>
        </row>
        <row r="2131">
          <cell r="H2131">
            <v>45352</v>
          </cell>
          <cell r="I2131">
            <v>63.87</v>
          </cell>
        </row>
        <row r="2131">
          <cell r="K2131">
            <v>45349</v>
          </cell>
          <cell r="L2131">
            <v>141.56</v>
          </cell>
        </row>
        <row r="2131">
          <cell r="N2131">
            <v>45412</v>
          </cell>
          <cell r="O2131">
            <v>125.51</v>
          </cell>
        </row>
        <row r="2132">
          <cell r="B2132">
            <v>45413</v>
          </cell>
          <cell r="C2132">
            <v>107.72</v>
          </cell>
        </row>
        <row r="2132">
          <cell r="E2132">
            <v>45350</v>
          </cell>
          <cell r="F2132">
            <v>155.59</v>
          </cell>
        </row>
        <row r="2132">
          <cell r="H2132">
            <v>45355</v>
          </cell>
          <cell r="I2132">
            <v>64.09</v>
          </cell>
        </row>
        <row r="2132">
          <cell r="K2132">
            <v>45350</v>
          </cell>
          <cell r="L2132">
            <v>142.47</v>
          </cell>
        </row>
        <row r="2132">
          <cell r="N2132">
            <v>45413</v>
          </cell>
          <cell r="O2132">
            <v>124.41</v>
          </cell>
        </row>
        <row r="2133">
          <cell r="B2133">
            <v>45414</v>
          </cell>
          <cell r="C2133">
            <v>106.9</v>
          </cell>
        </row>
        <row r="2133">
          <cell r="E2133">
            <v>45351</v>
          </cell>
          <cell r="F2133">
            <v>156.23</v>
          </cell>
        </row>
        <row r="2133">
          <cell r="H2133">
            <v>45356</v>
          </cell>
          <cell r="I2133">
            <v>64.65</v>
          </cell>
        </row>
        <row r="2133">
          <cell r="K2133">
            <v>45351</v>
          </cell>
          <cell r="L2133">
            <v>141.8</v>
          </cell>
        </row>
        <row r="2133">
          <cell r="N2133">
            <v>45414</v>
          </cell>
          <cell r="O2133">
            <v>123.82</v>
          </cell>
        </row>
        <row r="2134">
          <cell r="B2134">
            <v>45415</v>
          </cell>
          <cell r="C2134">
            <v>106.53</v>
          </cell>
        </row>
        <row r="2134">
          <cell r="E2134">
            <v>45352</v>
          </cell>
          <cell r="F2134">
            <v>157.52</v>
          </cell>
        </row>
        <row r="2134">
          <cell r="H2134">
            <v>45357</v>
          </cell>
          <cell r="I2134">
            <v>64.92</v>
          </cell>
        </row>
        <row r="2134">
          <cell r="K2134">
            <v>45352</v>
          </cell>
          <cell r="L2134">
            <v>141</v>
          </cell>
        </row>
        <row r="2134">
          <cell r="N2134">
            <v>45415</v>
          </cell>
          <cell r="O2134">
            <v>123.9</v>
          </cell>
        </row>
        <row r="2135">
          <cell r="B2135">
            <v>45418</v>
          </cell>
          <cell r="C2135">
            <v>106.71</v>
          </cell>
        </row>
        <row r="2135">
          <cell r="E2135">
            <v>45355</v>
          </cell>
          <cell r="F2135">
            <v>159.67</v>
          </cell>
        </row>
        <row r="2135">
          <cell r="H2135">
            <v>45358</v>
          </cell>
          <cell r="I2135">
            <v>65.03</v>
          </cell>
        </row>
        <row r="2135">
          <cell r="K2135">
            <v>45355</v>
          </cell>
          <cell r="L2135">
            <v>141.14</v>
          </cell>
        </row>
        <row r="2135">
          <cell r="N2135">
            <v>45418</v>
          </cell>
          <cell r="O2135">
            <v>123.88</v>
          </cell>
        </row>
        <row r="2136">
          <cell r="B2136">
            <v>45419</v>
          </cell>
          <cell r="C2136">
            <v>106.67</v>
          </cell>
        </row>
        <row r="2136">
          <cell r="E2136">
            <v>45356</v>
          </cell>
          <cell r="F2136">
            <v>158.24</v>
          </cell>
        </row>
        <row r="2136">
          <cell r="H2136">
            <v>45359</v>
          </cell>
          <cell r="I2136">
            <v>64.96</v>
          </cell>
        </row>
        <row r="2136">
          <cell r="K2136">
            <v>45356</v>
          </cell>
          <cell r="L2136">
            <v>140.54</v>
          </cell>
        </row>
        <row r="2136">
          <cell r="N2136">
            <v>45419</v>
          </cell>
          <cell r="O2136">
            <v>123.31</v>
          </cell>
        </row>
        <row r="2137">
          <cell r="B2137">
            <v>45420</v>
          </cell>
          <cell r="C2137">
            <v>105.74</v>
          </cell>
        </row>
        <row r="2137">
          <cell r="E2137">
            <v>45357</v>
          </cell>
          <cell r="F2137">
            <v>158.44</v>
          </cell>
        </row>
        <row r="2137">
          <cell r="H2137">
            <v>45362</v>
          </cell>
          <cell r="I2137">
            <v>64.96</v>
          </cell>
        </row>
        <row r="2137">
          <cell r="K2137">
            <v>45357</v>
          </cell>
          <cell r="L2137">
            <v>140.73</v>
          </cell>
        </row>
        <row r="2137">
          <cell r="N2137">
            <v>45420</v>
          </cell>
          <cell r="O2137">
            <v>123.4</v>
          </cell>
        </row>
        <row r="2138">
          <cell r="B2138">
            <v>45421</v>
          </cell>
          <cell r="C2138">
            <v>105.62</v>
          </cell>
        </row>
        <row r="2138">
          <cell r="E2138">
            <v>45358</v>
          </cell>
          <cell r="F2138">
            <v>159.35</v>
          </cell>
        </row>
        <row r="2138">
          <cell r="H2138">
            <v>45363</v>
          </cell>
          <cell r="I2138">
            <v>64.91</v>
          </cell>
        </row>
        <row r="2138">
          <cell r="K2138">
            <v>45358</v>
          </cell>
          <cell r="L2138">
            <v>140.68</v>
          </cell>
        </row>
        <row r="2138">
          <cell r="N2138">
            <v>45421</v>
          </cell>
          <cell r="O2138">
            <v>123.2</v>
          </cell>
        </row>
        <row r="2139">
          <cell r="B2139">
            <v>45422</v>
          </cell>
          <cell r="C2139">
            <v>105.96</v>
          </cell>
        </row>
        <row r="2139">
          <cell r="E2139">
            <v>45359</v>
          </cell>
          <cell r="F2139">
            <v>157.19</v>
          </cell>
        </row>
        <row r="2139">
          <cell r="H2139">
            <v>45364</v>
          </cell>
          <cell r="I2139">
            <v>65.38</v>
          </cell>
        </row>
        <row r="2139">
          <cell r="K2139">
            <v>45359</v>
          </cell>
          <cell r="L2139">
            <v>140.05</v>
          </cell>
        </row>
        <row r="2139">
          <cell r="N2139">
            <v>45422</v>
          </cell>
          <cell r="O2139">
            <v>123.54</v>
          </cell>
        </row>
        <row r="2140">
          <cell r="B2140">
            <v>45425</v>
          </cell>
          <cell r="C2140">
            <v>104.83</v>
          </cell>
        </row>
        <row r="2140">
          <cell r="E2140">
            <v>45362</v>
          </cell>
          <cell r="F2140">
            <v>153.88</v>
          </cell>
        </row>
        <row r="2140">
          <cell r="H2140">
            <v>45365</v>
          </cell>
          <cell r="I2140">
            <v>64.96</v>
          </cell>
        </row>
        <row r="2140">
          <cell r="K2140">
            <v>45362</v>
          </cell>
          <cell r="L2140">
            <v>139.41</v>
          </cell>
        </row>
        <row r="2140">
          <cell r="N2140">
            <v>45425</v>
          </cell>
          <cell r="O2140">
            <v>123.82</v>
          </cell>
        </row>
        <row r="2141">
          <cell r="B2141">
            <v>45426</v>
          </cell>
          <cell r="C2141">
            <v>103.61</v>
          </cell>
        </row>
        <row r="2141">
          <cell r="E2141">
            <v>45363</v>
          </cell>
          <cell r="F2141">
            <v>157.47</v>
          </cell>
        </row>
        <row r="2141">
          <cell r="H2141">
            <v>45366</v>
          </cell>
          <cell r="I2141">
            <v>65.2</v>
          </cell>
        </row>
        <row r="2141">
          <cell r="K2141">
            <v>45363</v>
          </cell>
          <cell r="L2141">
            <v>140.56</v>
          </cell>
        </row>
        <row r="2141">
          <cell r="N2141">
            <v>45426</v>
          </cell>
          <cell r="O2141">
            <v>123.25</v>
          </cell>
        </row>
        <row r="2142">
          <cell r="B2142">
            <v>45427</v>
          </cell>
          <cell r="C2142">
            <v>104.22</v>
          </cell>
        </row>
        <row r="2142">
          <cell r="E2142">
            <v>45364</v>
          </cell>
          <cell r="F2142">
            <v>157.26</v>
          </cell>
        </row>
        <row r="2142">
          <cell r="H2142">
            <v>45369</v>
          </cell>
          <cell r="I2142">
            <v>65.15</v>
          </cell>
        </row>
        <row r="2142">
          <cell r="K2142">
            <v>45364</v>
          </cell>
          <cell r="L2142">
            <v>140.91</v>
          </cell>
        </row>
        <row r="2142">
          <cell r="N2142">
            <v>45427</v>
          </cell>
          <cell r="O2142">
            <v>123.82</v>
          </cell>
        </row>
        <row r="2143">
          <cell r="B2143">
            <v>45428</v>
          </cell>
          <cell r="C2143">
            <v>104.68</v>
          </cell>
        </row>
        <row r="2143">
          <cell r="E2143">
            <v>45365</v>
          </cell>
          <cell r="F2143">
            <v>158.39</v>
          </cell>
        </row>
        <row r="2143">
          <cell r="H2143">
            <v>45370</v>
          </cell>
          <cell r="I2143">
            <v>64.82</v>
          </cell>
        </row>
        <row r="2143">
          <cell r="K2143">
            <v>45365</v>
          </cell>
          <cell r="L2143">
            <v>141.48</v>
          </cell>
        </row>
        <row r="2143">
          <cell r="N2143">
            <v>45428</v>
          </cell>
          <cell r="O2143">
            <v>123.48</v>
          </cell>
        </row>
        <row r="2144">
          <cell r="B2144">
            <v>45429</v>
          </cell>
          <cell r="C2144">
            <v>104.9</v>
          </cell>
        </row>
        <row r="2144">
          <cell r="E2144">
            <v>45366</v>
          </cell>
          <cell r="F2144">
            <v>157.01</v>
          </cell>
        </row>
        <row r="2144">
          <cell r="H2144">
            <v>45371</v>
          </cell>
          <cell r="I2144">
            <v>65.33</v>
          </cell>
        </row>
        <row r="2144">
          <cell r="K2144">
            <v>45366</v>
          </cell>
          <cell r="L2144">
            <v>141.27</v>
          </cell>
        </row>
        <row r="2144">
          <cell r="N2144">
            <v>45429</v>
          </cell>
          <cell r="O2144">
            <v>124.05</v>
          </cell>
        </row>
        <row r="2145">
          <cell r="B2145">
            <v>45432</v>
          </cell>
          <cell r="C2145">
            <v>104.7</v>
          </cell>
        </row>
        <row r="2145">
          <cell r="E2145">
            <v>45369</v>
          </cell>
          <cell r="F2145">
            <v>157.4</v>
          </cell>
        </row>
        <row r="2145">
          <cell r="H2145">
            <v>45372</v>
          </cell>
          <cell r="I2145">
            <v>65.61</v>
          </cell>
        </row>
        <row r="2145">
          <cell r="K2145">
            <v>45369</v>
          </cell>
          <cell r="L2145">
            <v>141.26</v>
          </cell>
        </row>
        <row r="2145">
          <cell r="N2145">
            <v>45432</v>
          </cell>
          <cell r="O2145">
            <v>123.32</v>
          </cell>
        </row>
        <row r="2146">
          <cell r="B2146">
            <v>45433</v>
          </cell>
          <cell r="C2146">
            <v>105.31</v>
          </cell>
        </row>
        <row r="2146">
          <cell r="E2146">
            <v>45370</v>
          </cell>
          <cell r="F2146">
            <v>157.46</v>
          </cell>
        </row>
        <row r="2146">
          <cell r="H2146">
            <v>45373</v>
          </cell>
          <cell r="I2146">
            <v>65.61</v>
          </cell>
        </row>
        <row r="2146">
          <cell r="K2146">
            <v>45370</v>
          </cell>
          <cell r="L2146">
            <v>141.62</v>
          </cell>
        </row>
        <row r="2146">
          <cell r="N2146">
            <v>45433</v>
          </cell>
          <cell r="O2146">
            <v>123.56</v>
          </cell>
        </row>
        <row r="2147">
          <cell r="B2147">
            <v>45434</v>
          </cell>
          <cell r="C2147">
            <v>105.52</v>
          </cell>
        </row>
        <row r="2147">
          <cell r="E2147">
            <v>45371</v>
          </cell>
          <cell r="F2147">
            <v>158.13</v>
          </cell>
        </row>
        <row r="2147">
          <cell r="H2147">
            <v>45376</v>
          </cell>
          <cell r="I2147">
            <v>65.7</v>
          </cell>
        </row>
        <row r="2147">
          <cell r="K2147">
            <v>45371</v>
          </cell>
          <cell r="L2147">
            <v>141.9</v>
          </cell>
        </row>
        <row r="2147">
          <cell r="N2147">
            <v>45434</v>
          </cell>
          <cell r="O2147">
            <v>124.25</v>
          </cell>
        </row>
        <row r="2148">
          <cell r="B2148">
            <v>45435</v>
          </cell>
          <cell r="C2148">
            <v>105.72</v>
          </cell>
        </row>
        <row r="2148">
          <cell r="E2148">
            <v>45372</v>
          </cell>
          <cell r="F2148">
            <v>158.99</v>
          </cell>
        </row>
        <row r="2148">
          <cell r="H2148">
            <v>45377</v>
          </cell>
          <cell r="I2148">
            <v>65.57</v>
          </cell>
        </row>
        <row r="2148">
          <cell r="K2148">
            <v>45372</v>
          </cell>
          <cell r="L2148">
            <v>141.83</v>
          </cell>
        </row>
        <row r="2148">
          <cell r="N2148">
            <v>45435</v>
          </cell>
          <cell r="O2148">
            <v>124.37</v>
          </cell>
        </row>
        <row r="2149">
          <cell r="B2149">
            <v>45436</v>
          </cell>
          <cell r="C2149">
            <v>106.06</v>
          </cell>
        </row>
        <row r="2149">
          <cell r="E2149">
            <v>45373</v>
          </cell>
          <cell r="F2149">
            <v>159.51</v>
          </cell>
        </row>
        <row r="2149">
          <cell r="H2149">
            <v>45378</v>
          </cell>
          <cell r="I2149">
            <v>65.69</v>
          </cell>
        </row>
        <row r="2149">
          <cell r="K2149">
            <v>45373</v>
          </cell>
          <cell r="L2149">
            <v>141.33</v>
          </cell>
        </row>
        <row r="2149">
          <cell r="N2149">
            <v>45436</v>
          </cell>
          <cell r="O2149">
            <v>124.03</v>
          </cell>
        </row>
        <row r="2150">
          <cell r="B2150">
            <v>45440</v>
          </cell>
          <cell r="C2150">
            <v>106.04</v>
          </cell>
        </row>
        <row r="2150">
          <cell r="E2150">
            <v>45376</v>
          </cell>
          <cell r="F2150">
            <v>159.46</v>
          </cell>
        </row>
        <row r="2150">
          <cell r="H2150">
            <v>45379</v>
          </cell>
          <cell r="I2150">
            <v>66.08</v>
          </cell>
        </row>
        <row r="2150">
          <cell r="K2150">
            <v>45376</v>
          </cell>
          <cell r="L2150">
            <v>141.27</v>
          </cell>
        </row>
        <row r="2150">
          <cell r="N2150">
            <v>45440</v>
          </cell>
          <cell r="O2150">
            <v>124.01</v>
          </cell>
        </row>
        <row r="2151">
          <cell r="B2151">
            <v>45441</v>
          </cell>
          <cell r="C2151">
            <v>106.37</v>
          </cell>
        </row>
        <row r="2151">
          <cell r="E2151">
            <v>45377</v>
          </cell>
          <cell r="F2151">
            <v>160.33</v>
          </cell>
        </row>
        <row r="2151">
          <cell r="H2151">
            <v>45380</v>
          </cell>
          <cell r="I2151">
            <v>66.08</v>
          </cell>
        </row>
        <row r="2151">
          <cell r="K2151">
            <v>45377</v>
          </cell>
          <cell r="L2151">
            <v>140.95</v>
          </cell>
        </row>
        <row r="2151">
          <cell r="N2151">
            <v>45441</v>
          </cell>
          <cell r="O2151">
            <v>123.91</v>
          </cell>
        </row>
        <row r="2152">
          <cell r="B2152">
            <v>45442</v>
          </cell>
          <cell r="C2152">
            <v>106.03</v>
          </cell>
        </row>
        <row r="2152">
          <cell r="E2152">
            <v>45378</v>
          </cell>
          <cell r="F2152">
            <v>156.35</v>
          </cell>
        </row>
        <row r="2152">
          <cell r="H2152">
            <v>45383</v>
          </cell>
          <cell r="I2152">
            <v>66.1</v>
          </cell>
        </row>
        <row r="2152">
          <cell r="K2152">
            <v>45378</v>
          </cell>
          <cell r="L2152">
            <v>139.79</v>
          </cell>
        </row>
        <row r="2152">
          <cell r="N2152">
            <v>45442</v>
          </cell>
          <cell r="O2152">
            <v>123.09</v>
          </cell>
        </row>
        <row r="2153">
          <cell r="B2153">
            <v>45443</v>
          </cell>
          <cell r="C2153">
            <v>105.71</v>
          </cell>
        </row>
        <row r="2153">
          <cell r="E2153">
            <v>45379</v>
          </cell>
          <cell r="F2153">
            <v>155.45</v>
          </cell>
        </row>
        <row r="2153">
          <cell r="H2153">
            <v>45384</v>
          </cell>
          <cell r="I2153">
            <v>65.75</v>
          </cell>
        </row>
        <row r="2153">
          <cell r="K2153">
            <v>45379</v>
          </cell>
          <cell r="L2153">
            <v>139.12</v>
          </cell>
        </row>
        <row r="2153">
          <cell r="N2153">
            <v>45443</v>
          </cell>
          <cell r="O2153">
            <v>123.41</v>
          </cell>
        </row>
        <row r="2154">
          <cell r="B2154">
            <v>45446</v>
          </cell>
          <cell r="C2154">
            <v>105</v>
          </cell>
        </row>
        <row r="2154">
          <cell r="E2154">
            <v>45380</v>
          </cell>
          <cell r="F2154">
            <v>155.44</v>
          </cell>
        </row>
        <row r="2154">
          <cell r="H2154">
            <v>45385</v>
          </cell>
          <cell r="I2154">
            <v>65.89</v>
          </cell>
        </row>
        <row r="2154">
          <cell r="K2154">
            <v>45380</v>
          </cell>
          <cell r="L2154">
            <v>139.12</v>
          </cell>
        </row>
        <row r="2154">
          <cell r="N2154">
            <v>45446</v>
          </cell>
          <cell r="O2154">
            <v>123.47</v>
          </cell>
        </row>
        <row r="2155">
          <cell r="B2155">
            <v>45447</v>
          </cell>
          <cell r="C2155">
            <v>104.75</v>
          </cell>
        </row>
        <row r="2155">
          <cell r="E2155">
            <v>45383</v>
          </cell>
          <cell r="F2155">
            <v>156.92</v>
          </cell>
        </row>
        <row r="2155">
          <cell r="H2155">
            <v>45386</v>
          </cell>
          <cell r="I2155">
            <v>66.13</v>
          </cell>
        </row>
        <row r="2155">
          <cell r="K2155">
            <v>45383</v>
          </cell>
          <cell r="L2155">
            <v>138.21</v>
          </cell>
        </row>
        <row r="2155">
          <cell r="N2155">
            <v>45447</v>
          </cell>
          <cell r="O2155">
            <v>125.03</v>
          </cell>
        </row>
        <row r="2156">
          <cell r="B2156">
            <v>45448</v>
          </cell>
          <cell r="C2156">
            <v>104.38</v>
          </cell>
        </row>
        <row r="2156">
          <cell r="E2156">
            <v>45384</v>
          </cell>
          <cell r="F2156">
            <v>156.9</v>
          </cell>
        </row>
        <row r="2156">
          <cell r="H2156">
            <v>45387</v>
          </cell>
          <cell r="I2156">
            <v>65.85</v>
          </cell>
        </row>
        <row r="2156">
          <cell r="K2156">
            <v>45384</v>
          </cell>
          <cell r="L2156">
            <v>137.94</v>
          </cell>
        </row>
        <row r="2156">
          <cell r="N2156">
            <v>45448</v>
          </cell>
          <cell r="O2156">
            <v>124.85</v>
          </cell>
        </row>
        <row r="2157">
          <cell r="B2157">
            <v>45449</v>
          </cell>
          <cell r="C2157">
            <v>104.01</v>
          </cell>
        </row>
        <row r="2157">
          <cell r="E2157">
            <v>45385</v>
          </cell>
          <cell r="F2157">
            <v>157.89</v>
          </cell>
        </row>
        <row r="2157">
          <cell r="H2157">
            <v>45390</v>
          </cell>
          <cell r="I2157">
            <v>65.81</v>
          </cell>
        </row>
        <row r="2157">
          <cell r="K2157">
            <v>45385</v>
          </cell>
          <cell r="L2157">
            <v>137.44</v>
          </cell>
        </row>
        <row r="2157">
          <cell r="N2157">
            <v>45449</v>
          </cell>
          <cell r="O2157">
            <v>125.66</v>
          </cell>
        </row>
        <row r="2158">
          <cell r="B2158">
            <v>45450</v>
          </cell>
          <cell r="C2158">
            <v>104.22</v>
          </cell>
        </row>
        <row r="2158">
          <cell r="E2158">
            <v>45386</v>
          </cell>
          <cell r="F2158">
            <v>156.69</v>
          </cell>
        </row>
        <row r="2158">
          <cell r="H2158">
            <v>45391</v>
          </cell>
          <cell r="I2158">
            <v>65.8</v>
          </cell>
        </row>
        <row r="2158">
          <cell r="K2158">
            <v>45386</v>
          </cell>
          <cell r="L2158">
            <v>137.25</v>
          </cell>
        </row>
        <row r="2158">
          <cell r="N2158">
            <v>45450</v>
          </cell>
          <cell r="O2158">
            <v>126.6</v>
          </cell>
        </row>
        <row r="2159">
          <cell r="B2159">
            <v>45453</v>
          </cell>
          <cell r="C2159">
            <v>104.47</v>
          </cell>
        </row>
        <row r="2159">
          <cell r="E2159">
            <v>45387</v>
          </cell>
          <cell r="F2159">
            <v>159.26</v>
          </cell>
        </row>
        <row r="2159">
          <cell r="H2159">
            <v>45392</v>
          </cell>
          <cell r="I2159">
            <v>65.23</v>
          </cell>
        </row>
        <row r="2159">
          <cell r="K2159">
            <v>45387</v>
          </cell>
          <cell r="L2159">
            <v>137.74</v>
          </cell>
        </row>
        <row r="2159">
          <cell r="N2159">
            <v>45453</v>
          </cell>
          <cell r="O2159">
            <v>127.26</v>
          </cell>
        </row>
        <row r="2160">
          <cell r="B2160">
            <v>45454</v>
          </cell>
          <cell r="C2160">
            <v>104.24</v>
          </cell>
        </row>
        <row r="2160">
          <cell r="E2160">
            <v>45390</v>
          </cell>
          <cell r="F2160">
            <v>158.04</v>
          </cell>
        </row>
        <row r="2160">
          <cell r="H2160">
            <v>45393</v>
          </cell>
          <cell r="I2160">
            <v>64.78</v>
          </cell>
        </row>
        <row r="2160">
          <cell r="K2160">
            <v>45390</v>
          </cell>
          <cell r="L2160">
            <v>137.05</v>
          </cell>
        </row>
        <row r="2160">
          <cell r="N2160">
            <v>45454</v>
          </cell>
          <cell r="O2160">
            <v>127.37</v>
          </cell>
        </row>
        <row r="2161">
          <cell r="B2161">
            <v>45455</v>
          </cell>
          <cell r="C2161">
            <v>104.26</v>
          </cell>
        </row>
        <row r="2161">
          <cell r="E2161">
            <v>45391</v>
          </cell>
          <cell r="F2161">
            <v>154.21</v>
          </cell>
        </row>
        <row r="2161">
          <cell r="H2161">
            <v>45394</v>
          </cell>
          <cell r="I2161">
            <v>64.78</v>
          </cell>
        </row>
        <row r="2161">
          <cell r="K2161">
            <v>45391</v>
          </cell>
          <cell r="L2161">
            <v>136.18</v>
          </cell>
        </row>
        <row r="2161">
          <cell r="N2161">
            <v>45455</v>
          </cell>
          <cell r="O2161">
            <v>126.57</v>
          </cell>
        </row>
        <row r="2162">
          <cell r="B2162">
            <v>45456</v>
          </cell>
          <cell r="C2162">
            <v>104.4</v>
          </cell>
        </row>
        <row r="2162">
          <cell r="E2162">
            <v>45392</v>
          </cell>
          <cell r="F2162">
            <v>155.83</v>
          </cell>
        </row>
        <row r="2162">
          <cell r="H2162">
            <v>45397</v>
          </cell>
          <cell r="I2162">
            <v>65.23</v>
          </cell>
        </row>
        <row r="2162">
          <cell r="K2162">
            <v>45392</v>
          </cell>
          <cell r="L2162">
            <v>135.89</v>
          </cell>
        </row>
        <row r="2162">
          <cell r="N2162">
            <v>45456</v>
          </cell>
          <cell r="O2162">
            <v>127.44</v>
          </cell>
        </row>
        <row r="2163">
          <cell r="B2163">
            <v>45457</v>
          </cell>
          <cell r="C2163">
            <v>104.51</v>
          </cell>
        </row>
        <row r="2163">
          <cell r="E2163">
            <v>45393</v>
          </cell>
          <cell r="F2163">
            <v>156.86</v>
          </cell>
        </row>
        <row r="2163">
          <cell r="H2163">
            <v>45398</v>
          </cell>
          <cell r="I2163">
            <v>64.83</v>
          </cell>
        </row>
        <row r="2163">
          <cell r="K2163">
            <v>45393</v>
          </cell>
          <cell r="L2163">
            <v>136.02</v>
          </cell>
        </row>
        <row r="2163">
          <cell r="N2163">
            <v>45457</v>
          </cell>
          <cell r="O2163">
            <v>128.63</v>
          </cell>
        </row>
        <row r="2164">
          <cell r="B2164">
            <v>45460</v>
          </cell>
          <cell r="C2164">
            <v>104.91</v>
          </cell>
        </row>
        <row r="2164">
          <cell r="E2164">
            <v>45394</v>
          </cell>
          <cell r="F2164">
            <v>157.96</v>
          </cell>
        </row>
        <row r="2164">
          <cell r="H2164">
            <v>45399</v>
          </cell>
          <cell r="I2164">
            <v>64.9</v>
          </cell>
        </row>
        <row r="2164">
          <cell r="K2164">
            <v>45394</v>
          </cell>
          <cell r="L2164">
            <v>136.6</v>
          </cell>
        </row>
        <row r="2164">
          <cell r="N2164">
            <v>45460</v>
          </cell>
          <cell r="O2164">
            <v>128.67</v>
          </cell>
        </row>
        <row r="2165">
          <cell r="B2165">
            <v>45461</v>
          </cell>
          <cell r="C2165">
            <v>104.92</v>
          </cell>
        </row>
        <row r="2165">
          <cell r="E2165">
            <v>45397</v>
          </cell>
          <cell r="F2165">
            <v>157.37</v>
          </cell>
        </row>
        <row r="2165">
          <cell r="H2165">
            <v>45400</v>
          </cell>
          <cell r="I2165">
            <v>65.01</v>
          </cell>
        </row>
        <row r="2165">
          <cell r="K2165">
            <v>45397</v>
          </cell>
          <cell r="L2165">
            <v>136.46</v>
          </cell>
        </row>
        <row r="2165">
          <cell r="N2165">
            <v>45461</v>
          </cell>
          <cell r="O2165">
            <v>129.23</v>
          </cell>
        </row>
        <row r="2166">
          <cell r="B2166">
            <v>45463</v>
          </cell>
          <cell r="C2166">
            <v>104.92</v>
          </cell>
        </row>
        <row r="2166">
          <cell r="E2166">
            <v>45398</v>
          </cell>
          <cell r="F2166">
            <v>158.92</v>
          </cell>
        </row>
        <row r="2166">
          <cell r="H2166">
            <v>45401</v>
          </cell>
          <cell r="I2166">
            <v>65.33</v>
          </cell>
        </row>
        <row r="2166">
          <cell r="K2166">
            <v>45398</v>
          </cell>
          <cell r="L2166">
            <v>136.57</v>
          </cell>
        </row>
        <row r="2166">
          <cell r="N2166">
            <v>45463</v>
          </cell>
          <cell r="O2166">
            <v>129.43</v>
          </cell>
        </row>
        <row r="2167">
          <cell r="B2167">
            <v>45464</v>
          </cell>
          <cell r="C2167">
            <v>105.12</v>
          </cell>
        </row>
        <row r="2167">
          <cell r="E2167">
            <v>45399</v>
          </cell>
          <cell r="F2167">
            <v>157.82</v>
          </cell>
        </row>
        <row r="2167">
          <cell r="H2167">
            <v>45404</v>
          </cell>
          <cell r="I2167">
            <v>65.2</v>
          </cell>
        </row>
        <row r="2167">
          <cell r="K2167">
            <v>45399</v>
          </cell>
          <cell r="L2167">
            <v>136.25</v>
          </cell>
        </row>
        <row r="2167">
          <cell r="N2167">
            <v>45464</v>
          </cell>
          <cell r="O2167">
            <v>128.96</v>
          </cell>
        </row>
        <row r="2168">
          <cell r="B2168">
            <v>45467</v>
          </cell>
          <cell r="C2168">
            <v>104.98</v>
          </cell>
        </row>
        <row r="2168">
          <cell r="E2168">
            <v>45400</v>
          </cell>
          <cell r="F2168">
            <v>156.78</v>
          </cell>
        </row>
        <row r="2168">
          <cell r="H2168">
            <v>45405</v>
          </cell>
          <cell r="I2168">
            <v>65.04</v>
          </cell>
        </row>
        <row r="2168">
          <cell r="K2168">
            <v>45400</v>
          </cell>
          <cell r="L2168">
            <v>135.97</v>
          </cell>
        </row>
        <row r="2168">
          <cell r="N2168">
            <v>45467</v>
          </cell>
          <cell r="O2168">
            <v>128.52</v>
          </cell>
        </row>
        <row r="2169">
          <cell r="B2169">
            <v>45468</v>
          </cell>
          <cell r="C2169">
            <v>104.77</v>
          </cell>
        </row>
        <row r="2169">
          <cell r="E2169">
            <v>45401</v>
          </cell>
          <cell r="F2169">
            <v>154.04</v>
          </cell>
        </row>
        <row r="2169">
          <cell r="H2169">
            <v>45406</v>
          </cell>
          <cell r="I2169">
            <v>65.01</v>
          </cell>
        </row>
        <row r="2169">
          <cell r="K2169">
            <v>45401</v>
          </cell>
          <cell r="L2169">
            <v>135.28</v>
          </cell>
        </row>
        <row r="2169">
          <cell r="N2169">
            <v>45468</v>
          </cell>
          <cell r="O2169">
            <v>128.82</v>
          </cell>
        </row>
        <row r="2170">
          <cell r="B2170">
            <v>45469</v>
          </cell>
          <cell r="C2170">
            <v>104.97</v>
          </cell>
        </row>
        <row r="2170">
          <cell r="E2170">
            <v>45404</v>
          </cell>
          <cell r="F2170">
            <v>154.91</v>
          </cell>
        </row>
        <row r="2170">
          <cell r="H2170">
            <v>45407</v>
          </cell>
          <cell r="I2170">
            <v>64.92</v>
          </cell>
        </row>
        <row r="2170">
          <cell r="K2170">
            <v>45404</v>
          </cell>
          <cell r="L2170">
            <v>135.53</v>
          </cell>
        </row>
        <row r="2170">
          <cell r="N2170">
            <v>45469</v>
          </cell>
          <cell r="O2170">
            <v>128.53</v>
          </cell>
        </row>
        <row r="2171">
          <cell r="B2171">
            <v>45470</v>
          </cell>
          <cell r="C2171">
            <v>105.19</v>
          </cell>
        </row>
        <row r="2171">
          <cell r="E2171">
            <v>45405</v>
          </cell>
          <cell r="F2171">
            <v>157.31</v>
          </cell>
        </row>
        <row r="2171">
          <cell r="H2171">
            <v>45408</v>
          </cell>
          <cell r="I2171">
            <v>65.01</v>
          </cell>
        </row>
        <row r="2171">
          <cell r="K2171">
            <v>45405</v>
          </cell>
          <cell r="L2171">
            <v>135.35</v>
          </cell>
        </row>
        <row r="2171">
          <cell r="N2171">
            <v>45470</v>
          </cell>
          <cell r="O2171">
            <v>128.19</v>
          </cell>
        </row>
        <row r="2172">
          <cell r="B2172">
            <v>45471</v>
          </cell>
          <cell r="C2172">
            <v>105</v>
          </cell>
        </row>
        <row r="2172">
          <cell r="E2172">
            <v>45406</v>
          </cell>
          <cell r="F2172">
            <v>157.42</v>
          </cell>
        </row>
        <row r="2172">
          <cell r="H2172">
            <v>45411</v>
          </cell>
          <cell r="I2172">
            <v>65.37</v>
          </cell>
        </row>
        <row r="2172">
          <cell r="K2172">
            <v>45406</v>
          </cell>
          <cell r="L2172">
            <v>135</v>
          </cell>
        </row>
        <row r="2172">
          <cell r="N2172">
            <v>45471</v>
          </cell>
          <cell r="O2172">
            <v>127.2</v>
          </cell>
        </row>
        <row r="2173">
          <cell r="B2173">
            <v>45474</v>
          </cell>
          <cell r="C2173">
            <v>105.01</v>
          </cell>
        </row>
        <row r="2173">
          <cell r="E2173">
            <v>45407</v>
          </cell>
          <cell r="F2173">
            <v>158.18</v>
          </cell>
        </row>
        <row r="2173">
          <cell r="H2173">
            <v>45412</v>
          </cell>
          <cell r="I2173">
            <v>65.13</v>
          </cell>
        </row>
        <row r="2173">
          <cell r="K2173">
            <v>45407</v>
          </cell>
          <cell r="L2173">
            <v>134.33</v>
          </cell>
        </row>
        <row r="2173">
          <cell r="N2173">
            <v>45474</v>
          </cell>
          <cell r="O2173">
            <v>127.54</v>
          </cell>
        </row>
        <row r="2174">
          <cell r="B2174">
            <v>45475</v>
          </cell>
          <cell r="C2174">
            <v>105.08</v>
          </cell>
        </row>
        <row r="2174">
          <cell r="E2174">
            <v>45408</v>
          </cell>
          <cell r="F2174">
            <v>158.94</v>
          </cell>
        </row>
        <row r="2174">
          <cell r="H2174">
            <v>45413</v>
          </cell>
          <cell r="I2174">
            <v>64.58</v>
          </cell>
        </row>
        <row r="2174">
          <cell r="K2174">
            <v>45408</v>
          </cell>
          <cell r="L2174">
            <v>134.32</v>
          </cell>
        </row>
        <row r="2174">
          <cell r="N2174">
            <v>45475</v>
          </cell>
          <cell r="O2174">
            <v>127.91</v>
          </cell>
        </row>
        <row r="2175">
          <cell r="B2175">
            <v>45476</v>
          </cell>
          <cell r="C2175">
            <v>105.31</v>
          </cell>
        </row>
        <row r="2175">
          <cell r="E2175">
            <v>45411</v>
          </cell>
          <cell r="F2175">
            <v>157.45</v>
          </cell>
        </row>
        <row r="2175">
          <cell r="H2175">
            <v>45414</v>
          </cell>
          <cell r="I2175">
            <v>64.37</v>
          </cell>
        </row>
        <row r="2175">
          <cell r="K2175">
            <v>45411</v>
          </cell>
          <cell r="L2175">
            <v>134.8</v>
          </cell>
        </row>
        <row r="2175">
          <cell r="N2175">
            <v>45476</v>
          </cell>
          <cell r="O2175">
            <v>128.08</v>
          </cell>
        </row>
        <row r="2176">
          <cell r="B2176">
            <v>45478</v>
          </cell>
          <cell r="C2176">
            <v>105.23</v>
          </cell>
        </row>
        <row r="2176">
          <cell r="E2176">
            <v>45412</v>
          </cell>
          <cell r="F2176">
            <v>157.06</v>
          </cell>
        </row>
        <row r="2176">
          <cell r="H2176">
            <v>45415</v>
          </cell>
          <cell r="I2176">
            <v>64.58</v>
          </cell>
        </row>
        <row r="2176">
          <cell r="K2176">
            <v>45412</v>
          </cell>
          <cell r="L2176">
            <v>135.25</v>
          </cell>
        </row>
        <row r="2176">
          <cell r="N2176">
            <v>45478</v>
          </cell>
          <cell r="O2176">
            <v>128.88</v>
          </cell>
        </row>
        <row r="2177">
          <cell r="B2177">
            <v>45481</v>
          </cell>
          <cell r="C2177">
            <v>104.94</v>
          </cell>
        </row>
        <row r="2177">
          <cell r="E2177">
            <v>45413</v>
          </cell>
          <cell r="F2177">
            <v>156.39</v>
          </cell>
        </row>
        <row r="2177">
          <cell r="H2177">
            <v>45418</v>
          </cell>
          <cell r="I2177">
            <v>64.67</v>
          </cell>
        </row>
        <row r="2177">
          <cell r="K2177">
            <v>45413</v>
          </cell>
          <cell r="L2177">
            <v>135.74</v>
          </cell>
        </row>
        <row r="2177">
          <cell r="N2177">
            <v>45481</v>
          </cell>
          <cell r="O2177">
            <v>128.72</v>
          </cell>
        </row>
        <row r="2178">
          <cell r="B2178">
            <v>45482</v>
          </cell>
          <cell r="C2178">
            <v>104.88</v>
          </cell>
        </row>
        <row r="2178">
          <cell r="E2178">
            <v>45414</v>
          </cell>
          <cell r="F2178">
            <v>156.59</v>
          </cell>
        </row>
        <row r="2178">
          <cell r="H2178">
            <v>45419</v>
          </cell>
          <cell r="I2178">
            <v>64.5</v>
          </cell>
        </row>
        <row r="2178">
          <cell r="K2178">
            <v>45414</v>
          </cell>
          <cell r="L2178">
            <v>134.82</v>
          </cell>
        </row>
        <row r="2178">
          <cell r="N2178">
            <v>45482</v>
          </cell>
          <cell r="O2178">
            <v>129.4</v>
          </cell>
        </row>
        <row r="2179">
          <cell r="B2179">
            <v>45483</v>
          </cell>
          <cell r="C2179">
            <v>104.37</v>
          </cell>
        </row>
        <row r="2179">
          <cell r="E2179">
            <v>45415</v>
          </cell>
          <cell r="F2179">
            <v>156.92</v>
          </cell>
        </row>
        <row r="2179">
          <cell r="H2179">
            <v>45420</v>
          </cell>
          <cell r="I2179">
            <v>64.77</v>
          </cell>
        </row>
        <row r="2179">
          <cell r="K2179">
            <v>45415</v>
          </cell>
          <cell r="L2179">
            <v>135.83</v>
          </cell>
        </row>
        <row r="2179">
          <cell r="N2179">
            <v>45483</v>
          </cell>
          <cell r="O2179">
            <v>129.84</v>
          </cell>
        </row>
        <row r="2180">
          <cell r="B2180">
            <v>45484</v>
          </cell>
          <cell r="C2180">
            <v>104.36</v>
          </cell>
        </row>
        <row r="2180">
          <cell r="E2180">
            <v>45418</v>
          </cell>
          <cell r="F2180">
            <v>158.66</v>
          </cell>
        </row>
        <row r="2180">
          <cell r="H2180">
            <v>45421</v>
          </cell>
          <cell r="I2180">
            <v>64.74</v>
          </cell>
        </row>
        <row r="2180">
          <cell r="K2180">
            <v>45418</v>
          </cell>
          <cell r="L2180">
            <v>135.85</v>
          </cell>
        </row>
        <row r="2180">
          <cell r="N2180">
            <v>45484</v>
          </cell>
          <cell r="O2180">
            <v>126.95</v>
          </cell>
        </row>
        <row r="2181">
          <cell r="B2181">
            <v>45485</v>
          </cell>
          <cell r="C2181">
            <v>104.56</v>
          </cell>
        </row>
        <row r="2181">
          <cell r="E2181">
            <v>45419</v>
          </cell>
          <cell r="F2181">
            <v>157.63</v>
          </cell>
        </row>
        <row r="2181">
          <cell r="H2181">
            <v>45422</v>
          </cell>
          <cell r="I2181">
            <v>64.93</v>
          </cell>
        </row>
        <row r="2181">
          <cell r="K2181">
            <v>45419</v>
          </cell>
          <cell r="L2181">
            <v>135.86</v>
          </cell>
        </row>
        <row r="2181">
          <cell r="N2181">
            <v>45485</v>
          </cell>
          <cell r="O2181">
            <v>126.71</v>
          </cell>
        </row>
        <row r="2182">
          <cell r="B2182">
            <v>45488</v>
          </cell>
          <cell r="C2182">
            <v>104.39</v>
          </cell>
        </row>
        <row r="2182">
          <cell r="E2182">
            <v>45420</v>
          </cell>
          <cell r="F2182">
            <v>158.2</v>
          </cell>
        </row>
        <row r="2182">
          <cell r="H2182">
            <v>45425</v>
          </cell>
          <cell r="I2182">
            <v>65.18</v>
          </cell>
        </row>
        <row r="2182">
          <cell r="K2182">
            <v>45420</v>
          </cell>
          <cell r="L2182">
            <v>136.48</v>
          </cell>
        </row>
        <row r="2182">
          <cell r="N2182">
            <v>45488</v>
          </cell>
          <cell r="O2182">
            <v>125.12</v>
          </cell>
        </row>
        <row r="2183">
          <cell r="B2183">
            <v>45489</v>
          </cell>
          <cell r="C2183">
            <v>104.69</v>
          </cell>
        </row>
        <row r="2183">
          <cell r="E2183">
            <v>45421</v>
          </cell>
          <cell r="F2183">
            <v>158.26</v>
          </cell>
        </row>
        <row r="2183">
          <cell r="H2183">
            <v>45426</v>
          </cell>
          <cell r="I2183">
            <v>65.08</v>
          </cell>
        </row>
        <row r="2183">
          <cell r="K2183">
            <v>45421</v>
          </cell>
          <cell r="L2183">
            <v>136.77</v>
          </cell>
        </row>
        <row r="2183">
          <cell r="N2183">
            <v>45489</v>
          </cell>
          <cell r="O2183">
            <v>123.39</v>
          </cell>
        </row>
        <row r="2184">
          <cell r="B2184">
            <v>45490</v>
          </cell>
          <cell r="C2184">
            <v>104.49</v>
          </cell>
        </row>
        <row r="2184">
          <cell r="E2184">
            <v>45422</v>
          </cell>
          <cell r="F2184">
            <v>158.19</v>
          </cell>
        </row>
        <row r="2184">
          <cell r="H2184">
            <v>45427</v>
          </cell>
          <cell r="I2184">
            <v>64.82</v>
          </cell>
        </row>
        <row r="2184">
          <cell r="K2184">
            <v>45422</v>
          </cell>
          <cell r="L2184">
            <v>136.3</v>
          </cell>
        </row>
        <row r="2184">
          <cell r="N2184">
            <v>45490</v>
          </cell>
          <cell r="O2184">
            <v>123.16</v>
          </cell>
        </row>
        <row r="2185">
          <cell r="B2185">
            <v>45491</v>
          </cell>
          <cell r="C2185">
            <v>104.45</v>
          </cell>
        </row>
        <row r="2185">
          <cell r="E2185">
            <v>45425</v>
          </cell>
          <cell r="F2185">
            <v>155.87</v>
          </cell>
        </row>
        <row r="2185">
          <cell r="H2185">
            <v>45428</v>
          </cell>
          <cell r="I2185">
            <v>64.75</v>
          </cell>
        </row>
        <row r="2185">
          <cell r="K2185">
            <v>45425</v>
          </cell>
          <cell r="L2185">
            <v>135.89</v>
          </cell>
        </row>
        <row r="2185">
          <cell r="N2185">
            <v>45491</v>
          </cell>
          <cell r="O2185">
            <v>123.31</v>
          </cell>
        </row>
        <row r="2186">
          <cell r="B2186">
            <v>45492</v>
          </cell>
          <cell r="C2186">
            <v>104.58</v>
          </cell>
        </row>
        <row r="2186">
          <cell r="E2186">
            <v>45426</v>
          </cell>
          <cell r="F2186">
            <v>155.91</v>
          </cell>
        </row>
        <row r="2186">
          <cell r="H2186">
            <v>45429</v>
          </cell>
          <cell r="I2186">
            <v>64.7</v>
          </cell>
        </row>
        <row r="2186">
          <cell r="K2186">
            <v>45426</v>
          </cell>
          <cell r="L2186">
            <v>135.59</v>
          </cell>
        </row>
        <row r="2186">
          <cell r="N2186">
            <v>45492</v>
          </cell>
          <cell r="O2186">
            <v>123.71</v>
          </cell>
        </row>
        <row r="2187">
          <cell r="B2187">
            <v>45495</v>
          </cell>
          <cell r="C2187">
            <v>104.48</v>
          </cell>
        </row>
        <row r="2187">
          <cell r="E2187">
            <v>45427</v>
          </cell>
          <cell r="F2187">
            <v>158.87</v>
          </cell>
        </row>
        <row r="2187">
          <cell r="H2187">
            <v>45432</v>
          </cell>
          <cell r="I2187">
            <v>64.48</v>
          </cell>
        </row>
        <row r="2187">
          <cell r="K2187">
            <v>45427</v>
          </cell>
          <cell r="L2187">
            <v>136.03</v>
          </cell>
        </row>
        <row r="2187">
          <cell r="N2187">
            <v>45495</v>
          </cell>
          <cell r="O2187">
            <v>122.79</v>
          </cell>
        </row>
        <row r="2188">
          <cell r="B2188">
            <v>45496</v>
          </cell>
          <cell r="C2188">
            <v>104.71</v>
          </cell>
        </row>
        <row r="2188">
          <cell r="E2188">
            <v>45428</v>
          </cell>
          <cell r="F2188">
            <v>156.56</v>
          </cell>
        </row>
        <row r="2188">
          <cell r="H2188">
            <v>45433</v>
          </cell>
          <cell r="I2188">
            <v>64.62</v>
          </cell>
        </row>
        <row r="2188">
          <cell r="K2188">
            <v>45428</v>
          </cell>
          <cell r="L2188">
            <v>135.81</v>
          </cell>
        </row>
        <row r="2188">
          <cell r="N2188">
            <v>45496</v>
          </cell>
          <cell r="O2188">
            <v>121.74</v>
          </cell>
        </row>
        <row r="2189">
          <cell r="B2189">
            <v>45497</v>
          </cell>
          <cell r="C2189">
            <v>104.16</v>
          </cell>
        </row>
        <row r="2189">
          <cell r="E2189">
            <v>45429</v>
          </cell>
          <cell r="F2189">
            <v>156.95</v>
          </cell>
        </row>
        <row r="2189">
          <cell r="H2189">
            <v>45434</v>
          </cell>
          <cell r="I2189">
            <v>64.8</v>
          </cell>
        </row>
        <row r="2189">
          <cell r="K2189">
            <v>45429</v>
          </cell>
          <cell r="L2189">
            <v>135.22</v>
          </cell>
        </row>
        <row r="2189">
          <cell r="N2189">
            <v>45497</v>
          </cell>
          <cell r="O2189">
            <v>122.05</v>
          </cell>
        </row>
        <row r="2190">
          <cell r="B2190">
            <v>45498</v>
          </cell>
          <cell r="C2190">
            <v>104.85</v>
          </cell>
        </row>
        <row r="2190">
          <cell r="E2190">
            <v>45432</v>
          </cell>
          <cell r="F2190">
            <v>157.8</v>
          </cell>
        </row>
        <row r="2190">
          <cell r="H2190">
            <v>45435</v>
          </cell>
          <cell r="I2190">
            <v>64.8</v>
          </cell>
        </row>
        <row r="2190">
          <cell r="K2190">
            <v>45432</v>
          </cell>
          <cell r="L2190">
            <v>134.93</v>
          </cell>
        </row>
        <row r="2190">
          <cell r="N2190">
            <v>45498</v>
          </cell>
          <cell r="O2190">
            <v>120.12</v>
          </cell>
        </row>
        <row r="2191">
          <cell r="B2191">
            <v>45499</v>
          </cell>
          <cell r="C2191">
            <v>105.08</v>
          </cell>
        </row>
        <row r="2191">
          <cell r="E2191">
            <v>45433</v>
          </cell>
          <cell r="F2191">
            <v>158.79</v>
          </cell>
        </row>
        <row r="2191">
          <cell r="H2191">
            <v>45436</v>
          </cell>
          <cell r="I2191">
            <v>64.73</v>
          </cell>
        </row>
        <row r="2191">
          <cell r="K2191">
            <v>45433</v>
          </cell>
          <cell r="L2191">
            <v>134.68</v>
          </cell>
        </row>
        <row r="2191">
          <cell r="N2191">
            <v>45499</v>
          </cell>
          <cell r="O2191">
            <v>119.77</v>
          </cell>
        </row>
        <row r="2192">
          <cell r="B2192">
            <v>45502</v>
          </cell>
          <cell r="C2192">
            <v>105.1</v>
          </cell>
        </row>
        <row r="2192">
          <cell r="E2192">
            <v>45434</v>
          </cell>
          <cell r="F2192">
            <v>156.6</v>
          </cell>
        </row>
        <row r="2192">
          <cell r="H2192">
            <v>45439</v>
          </cell>
          <cell r="I2192">
            <v>64.81</v>
          </cell>
        </row>
        <row r="2192">
          <cell r="K2192">
            <v>45434</v>
          </cell>
          <cell r="L2192">
            <v>134.4</v>
          </cell>
        </row>
        <row r="2192">
          <cell r="N2192">
            <v>45502</v>
          </cell>
          <cell r="O2192">
            <v>120.74</v>
          </cell>
        </row>
        <row r="2193">
          <cell r="B2193">
            <v>45503</v>
          </cell>
          <cell r="C2193">
            <v>105.04</v>
          </cell>
        </row>
        <row r="2193">
          <cell r="E2193">
            <v>45435</v>
          </cell>
          <cell r="F2193">
            <v>159.66</v>
          </cell>
        </row>
        <row r="2193">
          <cell r="H2193">
            <v>45440</v>
          </cell>
          <cell r="I2193">
            <v>65.16</v>
          </cell>
        </row>
        <row r="2193">
          <cell r="K2193">
            <v>45435</v>
          </cell>
          <cell r="L2193">
            <v>134.77</v>
          </cell>
        </row>
        <row r="2193">
          <cell r="N2193">
            <v>45503</v>
          </cell>
          <cell r="O2193">
            <v>119.85</v>
          </cell>
        </row>
        <row r="2194">
          <cell r="B2194">
            <v>45504</v>
          </cell>
          <cell r="C2194">
            <v>104.96</v>
          </cell>
        </row>
        <row r="2194">
          <cell r="E2194">
            <v>45436</v>
          </cell>
          <cell r="F2194">
            <v>161.44</v>
          </cell>
        </row>
        <row r="2194">
          <cell r="H2194">
            <v>45441</v>
          </cell>
          <cell r="I2194">
            <v>64.59</v>
          </cell>
        </row>
        <row r="2194">
          <cell r="K2194">
            <v>45436</v>
          </cell>
          <cell r="L2194">
            <v>134.46</v>
          </cell>
        </row>
        <row r="2194">
          <cell r="N2194">
            <v>45504</v>
          </cell>
          <cell r="O2194">
            <v>120.62</v>
          </cell>
        </row>
        <row r="2195">
          <cell r="B2195">
            <v>45505</v>
          </cell>
          <cell r="C2195">
            <v>105.24</v>
          </cell>
        </row>
        <row r="2195">
          <cell r="E2195">
            <v>45439</v>
          </cell>
          <cell r="F2195">
            <v>161.25</v>
          </cell>
        </row>
        <row r="2195">
          <cell r="H2195">
            <v>45442</v>
          </cell>
          <cell r="I2195">
            <v>64.98</v>
          </cell>
        </row>
        <row r="2195">
          <cell r="K2195">
            <v>45439</v>
          </cell>
          <cell r="L2195">
            <v>134.21</v>
          </cell>
        </row>
        <row r="2195">
          <cell r="N2195">
            <v>45505</v>
          </cell>
          <cell r="O2195">
            <v>121.14</v>
          </cell>
        </row>
        <row r="2196">
          <cell r="B2196">
            <v>45506</v>
          </cell>
          <cell r="C2196">
            <v>105.36</v>
          </cell>
        </row>
        <row r="2196">
          <cell r="E2196">
            <v>45440</v>
          </cell>
          <cell r="F2196">
            <v>161.65</v>
          </cell>
        </row>
        <row r="2196">
          <cell r="H2196">
            <v>45443</v>
          </cell>
          <cell r="I2196">
            <v>65.55</v>
          </cell>
        </row>
        <row r="2196">
          <cell r="K2196">
            <v>45440</v>
          </cell>
          <cell r="L2196">
            <v>133.85</v>
          </cell>
        </row>
        <row r="2196">
          <cell r="N2196">
            <v>45506</v>
          </cell>
          <cell r="O2196">
            <v>121.61</v>
          </cell>
        </row>
        <row r="2197">
          <cell r="B2197">
            <v>45509</v>
          </cell>
          <cell r="C2197">
            <v>105.33</v>
          </cell>
        </row>
        <row r="2197">
          <cell r="E2197">
            <v>45441</v>
          </cell>
          <cell r="F2197">
            <v>163</v>
          </cell>
        </row>
        <row r="2197">
          <cell r="H2197">
            <v>45446</v>
          </cell>
          <cell r="I2197">
            <v>65.15</v>
          </cell>
        </row>
        <row r="2197">
          <cell r="K2197">
            <v>45441</v>
          </cell>
          <cell r="L2197">
            <v>133.71</v>
          </cell>
        </row>
        <row r="2197">
          <cell r="N2197">
            <v>45509</v>
          </cell>
          <cell r="O2197">
            <v>122.57</v>
          </cell>
        </row>
        <row r="2198">
          <cell r="B2198">
            <v>45510</v>
          </cell>
          <cell r="C2198">
            <v>105.68</v>
          </cell>
        </row>
        <row r="2198">
          <cell r="E2198">
            <v>45442</v>
          </cell>
          <cell r="F2198">
            <v>161.7</v>
          </cell>
        </row>
        <row r="2198">
          <cell r="H2198">
            <v>45447</v>
          </cell>
          <cell r="I2198">
            <v>64.18</v>
          </cell>
        </row>
        <row r="2198">
          <cell r="K2198">
            <v>45442</v>
          </cell>
          <cell r="L2198">
            <v>133.6</v>
          </cell>
        </row>
        <row r="2198">
          <cell r="N2198">
            <v>45510</v>
          </cell>
          <cell r="O2198">
            <v>122.57</v>
          </cell>
        </row>
        <row r="2199">
          <cell r="B2199">
            <v>45511</v>
          </cell>
          <cell r="C2199">
            <v>106.66</v>
          </cell>
        </row>
        <row r="2199">
          <cell r="E2199">
            <v>45443</v>
          </cell>
          <cell r="F2199">
            <v>159.82</v>
          </cell>
        </row>
        <row r="2199">
          <cell r="H2199">
            <v>45448</v>
          </cell>
          <cell r="I2199">
            <v>64.02</v>
          </cell>
        </row>
        <row r="2199">
          <cell r="K2199">
            <v>45443</v>
          </cell>
          <cell r="L2199">
            <v>134.04</v>
          </cell>
        </row>
        <row r="2199">
          <cell r="N2199">
            <v>45511</v>
          </cell>
          <cell r="O2199">
            <v>122.73</v>
          </cell>
        </row>
        <row r="2200">
          <cell r="B2200">
            <v>45512</v>
          </cell>
          <cell r="C2200">
            <v>105.87</v>
          </cell>
        </row>
        <row r="2200">
          <cell r="E2200">
            <v>45446</v>
          </cell>
          <cell r="F2200">
            <v>158.15</v>
          </cell>
        </row>
        <row r="2200">
          <cell r="H2200">
            <v>45449</v>
          </cell>
          <cell r="I2200">
            <v>64.01</v>
          </cell>
        </row>
        <row r="2200">
          <cell r="K2200">
            <v>45446</v>
          </cell>
          <cell r="L2200">
            <v>133.92</v>
          </cell>
        </row>
        <row r="2200">
          <cell r="N2200">
            <v>45512</v>
          </cell>
          <cell r="O2200">
            <v>122.94</v>
          </cell>
        </row>
        <row r="2201">
          <cell r="B2201">
            <v>45513</v>
          </cell>
          <cell r="C2201">
            <v>105.86</v>
          </cell>
        </row>
        <row r="2201">
          <cell r="E2201">
            <v>45447</v>
          </cell>
          <cell r="F2201">
            <v>157.95</v>
          </cell>
        </row>
        <row r="2201">
          <cell r="H2201">
            <v>45450</v>
          </cell>
          <cell r="I2201">
            <v>64.17</v>
          </cell>
        </row>
        <row r="2201">
          <cell r="K2201">
            <v>45447</v>
          </cell>
          <cell r="L2201">
            <v>135.04</v>
          </cell>
        </row>
        <row r="2201">
          <cell r="N2201">
            <v>45513</v>
          </cell>
          <cell r="O2201">
            <v>123.13</v>
          </cell>
        </row>
        <row r="2202">
          <cell r="B2202">
            <v>45516</v>
          </cell>
          <cell r="C2202">
            <v>106.09</v>
          </cell>
        </row>
        <row r="2202">
          <cell r="E2202">
            <v>45448</v>
          </cell>
          <cell r="F2202">
            <v>159.57</v>
          </cell>
        </row>
        <row r="2202">
          <cell r="H2202">
            <v>45453</v>
          </cell>
          <cell r="I2202">
            <v>63.88</v>
          </cell>
        </row>
        <row r="2202">
          <cell r="K2202">
            <v>45448</v>
          </cell>
          <cell r="L2202">
            <v>134.55</v>
          </cell>
        </row>
        <row r="2202">
          <cell r="N2202">
            <v>45516</v>
          </cell>
          <cell r="O2202">
            <v>123.28</v>
          </cell>
        </row>
        <row r="2203">
          <cell r="B2203">
            <v>45517</v>
          </cell>
          <cell r="C2203">
            <v>107.09</v>
          </cell>
        </row>
        <row r="2203">
          <cell r="E2203">
            <v>45449</v>
          </cell>
          <cell r="F2203">
            <v>158.28</v>
          </cell>
        </row>
        <row r="2203">
          <cell r="H2203">
            <v>45454</v>
          </cell>
          <cell r="I2203">
            <v>63.41</v>
          </cell>
        </row>
        <row r="2203">
          <cell r="K2203">
            <v>45449</v>
          </cell>
          <cell r="L2203">
            <v>134.27</v>
          </cell>
        </row>
        <row r="2203">
          <cell r="N2203">
            <v>45517</v>
          </cell>
          <cell r="O2203">
            <v>123.17</v>
          </cell>
        </row>
        <row r="2204">
          <cell r="B2204">
            <v>45518</v>
          </cell>
          <cell r="C2204">
            <v>107.49</v>
          </cell>
        </row>
        <row r="2204">
          <cell r="E2204">
            <v>45450</v>
          </cell>
          <cell r="F2204">
            <v>158.73</v>
          </cell>
        </row>
        <row r="2204">
          <cell r="H2204">
            <v>45455</v>
          </cell>
          <cell r="I2204">
            <v>63.33</v>
          </cell>
        </row>
        <row r="2204">
          <cell r="K2204">
            <v>45450</v>
          </cell>
          <cell r="L2204">
            <v>134.95</v>
          </cell>
        </row>
        <row r="2204">
          <cell r="N2204">
            <v>45518</v>
          </cell>
          <cell r="O2204">
            <v>123.96</v>
          </cell>
        </row>
        <row r="2205">
          <cell r="B2205">
            <v>45519</v>
          </cell>
          <cell r="C2205">
            <v>107.16</v>
          </cell>
        </row>
        <row r="2205">
          <cell r="E2205">
            <v>45453</v>
          </cell>
          <cell r="F2205">
            <v>160.11</v>
          </cell>
        </row>
        <row r="2205">
          <cell r="H2205">
            <v>45456</v>
          </cell>
          <cell r="I2205">
            <v>63.19</v>
          </cell>
        </row>
        <row r="2205">
          <cell r="K2205">
            <v>45453</v>
          </cell>
          <cell r="L2205">
            <v>134.67</v>
          </cell>
        </row>
        <row r="2205">
          <cell r="N2205">
            <v>45519</v>
          </cell>
          <cell r="O2205">
            <v>123.43</v>
          </cell>
        </row>
        <row r="2206">
          <cell r="B2206">
            <v>45520</v>
          </cell>
          <cell r="C2206">
            <v>106.82</v>
          </cell>
        </row>
        <row r="2206">
          <cell r="E2206">
            <v>45454</v>
          </cell>
          <cell r="F2206">
            <v>159.87</v>
          </cell>
        </row>
        <row r="2206">
          <cell r="H2206">
            <v>45457</v>
          </cell>
          <cell r="I2206">
            <v>62.56</v>
          </cell>
        </row>
        <row r="2206">
          <cell r="K2206">
            <v>45454</v>
          </cell>
          <cell r="L2206">
            <v>135.25</v>
          </cell>
        </row>
        <row r="2206">
          <cell r="N2206">
            <v>45520</v>
          </cell>
          <cell r="O2206">
            <v>123.45</v>
          </cell>
        </row>
        <row r="2207">
          <cell r="B2207">
            <v>45523</v>
          </cell>
          <cell r="C2207">
            <v>106.86</v>
          </cell>
        </row>
        <row r="2207">
          <cell r="E2207">
            <v>45455</v>
          </cell>
          <cell r="F2207">
            <v>160.66</v>
          </cell>
        </row>
        <row r="2207">
          <cell r="H2207">
            <v>45460</v>
          </cell>
          <cell r="I2207">
            <v>62.57</v>
          </cell>
        </row>
        <row r="2207">
          <cell r="K2207">
            <v>45455</v>
          </cell>
          <cell r="L2207">
            <v>135.48</v>
          </cell>
        </row>
        <row r="2207">
          <cell r="N2207">
            <v>45523</v>
          </cell>
          <cell r="O2207">
            <v>123.09</v>
          </cell>
        </row>
        <row r="2208">
          <cell r="B2208">
            <v>45524</v>
          </cell>
          <cell r="C2208">
            <v>106.64</v>
          </cell>
        </row>
        <row r="2208">
          <cell r="E2208">
            <v>45456</v>
          </cell>
          <cell r="F2208">
            <v>162.55</v>
          </cell>
        </row>
        <row r="2208">
          <cell r="H2208">
            <v>45461</v>
          </cell>
          <cell r="I2208">
            <v>62.51</v>
          </cell>
        </row>
        <row r="2208">
          <cell r="K2208">
            <v>45456</v>
          </cell>
          <cell r="L2208">
            <v>136.48</v>
          </cell>
        </row>
        <row r="2208">
          <cell r="N2208">
            <v>45524</v>
          </cell>
          <cell r="O2208">
            <v>123.88</v>
          </cell>
        </row>
        <row r="2209">
          <cell r="B2209">
            <v>45525</v>
          </cell>
          <cell r="C2209">
            <v>106.79</v>
          </cell>
        </row>
        <row r="2209">
          <cell r="E2209">
            <v>45457</v>
          </cell>
          <cell r="F2209">
            <v>162.8</v>
          </cell>
        </row>
        <row r="2209">
          <cell r="H2209">
            <v>45462</v>
          </cell>
          <cell r="I2209">
            <v>62.51</v>
          </cell>
        </row>
        <row r="2209">
          <cell r="K2209">
            <v>45457</v>
          </cell>
          <cell r="L2209">
            <v>136.73</v>
          </cell>
        </row>
        <row r="2209">
          <cell r="N2209">
            <v>45525</v>
          </cell>
          <cell r="O2209">
            <v>123.41</v>
          </cell>
        </row>
        <row r="2210">
          <cell r="B2210">
            <v>45526</v>
          </cell>
          <cell r="C2210">
            <v>106.7</v>
          </cell>
        </row>
        <row r="2210">
          <cell r="E2210">
            <v>45460</v>
          </cell>
          <cell r="F2210">
            <v>164.41</v>
          </cell>
        </row>
        <row r="2210">
          <cell r="H2210">
            <v>45463</v>
          </cell>
          <cell r="I2210">
            <v>62.71</v>
          </cell>
        </row>
        <row r="2210">
          <cell r="K2210">
            <v>45460</v>
          </cell>
          <cell r="L2210">
            <v>137.44</v>
          </cell>
        </row>
        <row r="2210">
          <cell r="N2210">
            <v>45526</v>
          </cell>
          <cell r="O2210">
            <v>123.67</v>
          </cell>
        </row>
        <row r="2211">
          <cell r="B2211">
            <v>45527</v>
          </cell>
          <cell r="C2211">
            <v>106.84</v>
          </cell>
        </row>
        <row r="2211">
          <cell r="E2211">
            <v>45461</v>
          </cell>
          <cell r="F2211">
            <v>166.57</v>
          </cell>
        </row>
        <row r="2211">
          <cell r="H2211">
            <v>45464</v>
          </cell>
          <cell r="I2211">
            <v>62.71</v>
          </cell>
        </row>
        <row r="2211">
          <cell r="K2211">
            <v>45461</v>
          </cell>
          <cell r="L2211">
            <v>137.87</v>
          </cell>
        </row>
        <row r="2211">
          <cell r="N2211">
            <v>45527</v>
          </cell>
          <cell r="O2211">
            <v>121.97</v>
          </cell>
        </row>
        <row r="2212">
          <cell r="B2212">
            <v>45530</v>
          </cell>
          <cell r="C2212">
            <v>106.68</v>
          </cell>
        </row>
        <row r="2212">
          <cell r="E2212">
            <v>45462</v>
          </cell>
          <cell r="F2212">
            <v>166.55</v>
          </cell>
        </row>
        <row r="2212">
          <cell r="H2212">
            <v>45467</v>
          </cell>
          <cell r="I2212">
            <v>62.7</v>
          </cell>
        </row>
        <row r="2212">
          <cell r="K2212">
            <v>45462</v>
          </cell>
          <cell r="L2212">
            <v>138.02</v>
          </cell>
        </row>
        <row r="2212">
          <cell r="N2212">
            <v>45530</v>
          </cell>
          <cell r="O2212">
            <v>121.83</v>
          </cell>
        </row>
        <row r="2213">
          <cell r="B2213">
            <v>45531</v>
          </cell>
          <cell r="C2213">
            <v>107.18</v>
          </cell>
        </row>
        <row r="2213">
          <cell r="E2213">
            <v>45463</v>
          </cell>
          <cell r="F2213">
            <v>165.36</v>
          </cell>
        </row>
        <row r="2213">
          <cell r="H2213">
            <v>45468</v>
          </cell>
          <cell r="I2213">
            <v>62.41</v>
          </cell>
        </row>
        <row r="2213">
          <cell r="K2213">
            <v>45463</v>
          </cell>
          <cell r="L2213">
            <v>138.12</v>
          </cell>
        </row>
        <row r="2213">
          <cell r="N2213">
            <v>45531</v>
          </cell>
          <cell r="O2213">
            <v>122.29</v>
          </cell>
        </row>
        <row r="2214">
          <cell r="B2214">
            <v>45532</v>
          </cell>
          <cell r="C2214">
            <v>107.19</v>
          </cell>
        </row>
        <row r="2214">
          <cell r="E2214">
            <v>45464</v>
          </cell>
          <cell r="F2214">
            <v>163.51</v>
          </cell>
        </row>
        <row r="2214">
          <cell r="H2214">
            <v>45469</v>
          </cell>
          <cell r="I2214">
            <v>62.2</v>
          </cell>
        </row>
        <row r="2214">
          <cell r="K2214">
            <v>45464</v>
          </cell>
          <cell r="L2214">
            <v>138.2</v>
          </cell>
        </row>
        <row r="2214">
          <cell r="N2214">
            <v>45532</v>
          </cell>
          <cell r="O2214">
            <v>122.42</v>
          </cell>
        </row>
        <row r="2215">
          <cell r="B2215">
            <v>45533</v>
          </cell>
          <cell r="C2215">
            <v>107.37</v>
          </cell>
        </row>
        <row r="2215">
          <cell r="E2215">
            <v>45467</v>
          </cell>
          <cell r="F2215">
            <v>161.67</v>
          </cell>
        </row>
        <row r="2215">
          <cell r="H2215">
            <v>45470</v>
          </cell>
          <cell r="I2215">
            <v>62.33</v>
          </cell>
        </row>
        <row r="2215">
          <cell r="K2215">
            <v>45467</v>
          </cell>
          <cell r="L2215">
            <v>137.84</v>
          </cell>
        </row>
        <row r="2215">
          <cell r="N2215">
            <v>45533</v>
          </cell>
          <cell r="O2215">
            <v>122.13</v>
          </cell>
        </row>
        <row r="2216">
          <cell r="B2216">
            <v>45534</v>
          </cell>
          <cell r="C2216">
            <v>107.3</v>
          </cell>
        </row>
        <row r="2216">
          <cell r="E2216">
            <v>45468</v>
          </cell>
          <cell r="F2216">
            <v>163.03</v>
          </cell>
        </row>
        <row r="2216">
          <cell r="H2216">
            <v>45471</v>
          </cell>
          <cell r="I2216">
            <v>63.37</v>
          </cell>
        </row>
        <row r="2216">
          <cell r="K2216">
            <v>45468</v>
          </cell>
          <cell r="L2216">
            <v>138.51</v>
          </cell>
        </row>
        <row r="2216">
          <cell r="N2216">
            <v>45534</v>
          </cell>
          <cell r="O2216">
            <v>122.61</v>
          </cell>
        </row>
        <row r="2217">
          <cell r="B2217">
            <v>45538</v>
          </cell>
          <cell r="C2217">
            <v>106.51</v>
          </cell>
        </row>
        <row r="2217">
          <cell r="E2217">
            <v>45469</v>
          </cell>
          <cell r="F2217">
            <v>161.39</v>
          </cell>
        </row>
        <row r="2217">
          <cell r="H2217">
            <v>45474</v>
          </cell>
          <cell r="I2217">
            <v>63.4</v>
          </cell>
        </row>
        <row r="2217">
          <cell r="K2217">
            <v>45469</v>
          </cell>
          <cell r="L2217">
            <v>137.9</v>
          </cell>
        </row>
        <row r="2217">
          <cell r="N2217">
            <v>45538</v>
          </cell>
          <cell r="O2217">
            <v>123.51</v>
          </cell>
        </row>
        <row r="2218">
          <cell r="B2218">
            <v>45539</v>
          </cell>
          <cell r="C2218">
            <v>105.8</v>
          </cell>
        </row>
        <row r="2218">
          <cell r="E2218">
            <v>45470</v>
          </cell>
          <cell r="F2218">
            <v>161.55</v>
          </cell>
        </row>
        <row r="2218">
          <cell r="H2218">
            <v>45475</v>
          </cell>
          <cell r="I2218">
            <v>63.23</v>
          </cell>
        </row>
        <row r="2218">
          <cell r="K2218">
            <v>45470</v>
          </cell>
          <cell r="L2218">
            <v>137.74</v>
          </cell>
        </row>
        <row r="2218">
          <cell r="N2218">
            <v>45539</v>
          </cell>
          <cell r="O2218">
            <v>123.51</v>
          </cell>
        </row>
        <row r="2219">
          <cell r="B2219">
            <v>45540</v>
          </cell>
          <cell r="C2219">
            <v>106.24</v>
          </cell>
        </row>
        <row r="2219">
          <cell r="E2219">
            <v>45471</v>
          </cell>
          <cell r="F2219">
            <v>161.5</v>
          </cell>
        </row>
        <row r="2219">
          <cell r="H2219">
            <v>45476</v>
          </cell>
          <cell r="I2219">
            <v>63.17</v>
          </cell>
        </row>
        <row r="2219">
          <cell r="K2219">
            <v>45471</v>
          </cell>
          <cell r="L2219">
            <v>137.94</v>
          </cell>
        </row>
        <row r="2219">
          <cell r="N2219">
            <v>45540</v>
          </cell>
          <cell r="O2219">
            <v>123.33</v>
          </cell>
        </row>
        <row r="2220">
          <cell r="B2220">
            <v>45541</v>
          </cell>
          <cell r="C2220">
            <v>106.08</v>
          </cell>
        </row>
        <row r="2220">
          <cell r="E2220">
            <v>45474</v>
          </cell>
          <cell r="F2220">
            <v>162.49</v>
          </cell>
        </row>
        <row r="2220">
          <cell r="H2220">
            <v>45477</v>
          </cell>
          <cell r="I2220">
            <v>63.17</v>
          </cell>
        </row>
        <row r="2220">
          <cell r="K2220">
            <v>45474</v>
          </cell>
          <cell r="L2220">
            <v>138.08</v>
          </cell>
        </row>
        <row r="2220">
          <cell r="N2220">
            <v>45541</v>
          </cell>
          <cell r="O2220">
            <v>123.43</v>
          </cell>
        </row>
        <row r="2221">
          <cell r="B2221">
            <v>45544</v>
          </cell>
          <cell r="C2221">
            <v>105.87</v>
          </cell>
        </row>
        <row r="2221">
          <cell r="E2221">
            <v>45475</v>
          </cell>
          <cell r="F2221">
            <v>161.92</v>
          </cell>
        </row>
        <row r="2221">
          <cell r="H2221">
            <v>45478</v>
          </cell>
          <cell r="I2221">
            <v>62.24</v>
          </cell>
        </row>
        <row r="2221">
          <cell r="K2221">
            <v>45475</v>
          </cell>
          <cell r="L2221">
            <v>137.79</v>
          </cell>
        </row>
        <row r="2221">
          <cell r="N2221">
            <v>45544</v>
          </cell>
          <cell r="O2221">
            <v>124.95</v>
          </cell>
        </row>
        <row r="2222">
          <cell r="B2222">
            <v>45545</v>
          </cell>
          <cell r="C2222">
            <v>105.02</v>
          </cell>
        </row>
        <row r="2222">
          <cell r="E2222">
            <v>45476</v>
          </cell>
          <cell r="F2222">
            <v>162.76</v>
          </cell>
        </row>
        <row r="2222">
          <cell r="H2222">
            <v>45481</v>
          </cell>
          <cell r="I2222">
            <v>62.73</v>
          </cell>
        </row>
        <row r="2222">
          <cell r="K2222">
            <v>45476</v>
          </cell>
          <cell r="L2222">
            <v>137.15</v>
          </cell>
        </row>
        <row r="2222">
          <cell r="N2222">
            <v>45545</v>
          </cell>
          <cell r="O2222">
            <v>125.74</v>
          </cell>
        </row>
        <row r="2223">
          <cell r="B2223">
            <v>45546</v>
          </cell>
          <cell r="C2223">
            <v>106.28</v>
          </cell>
        </row>
        <row r="2223">
          <cell r="E2223">
            <v>45477</v>
          </cell>
          <cell r="F2223">
            <v>162.81</v>
          </cell>
        </row>
        <row r="2223">
          <cell r="H2223">
            <v>45482</v>
          </cell>
          <cell r="I2223">
            <v>62.95</v>
          </cell>
        </row>
        <row r="2223">
          <cell r="K2223">
            <v>45477</v>
          </cell>
          <cell r="L2223">
            <v>137.11</v>
          </cell>
        </row>
        <row r="2223">
          <cell r="N2223">
            <v>45546</v>
          </cell>
          <cell r="O2223">
            <v>126.23</v>
          </cell>
        </row>
        <row r="2224">
          <cell r="B2224">
            <v>45547</v>
          </cell>
          <cell r="C2224">
            <v>106.29</v>
          </cell>
        </row>
        <row r="2224">
          <cell r="E2224">
            <v>45478</v>
          </cell>
          <cell r="F2224">
            <v>162.57</v>
          </cell>
        </row>
        <row r="2224">
          <cell r="H2224">
            <v>45483</v>
          </cell>
          <cell r="I2224">
            <v>63.17</v>
          </cell>
        </row>
        <row r="2224">
          <cell r="K2224">
            <v>45478</v>
          </cell>
          <cell r="L2224">
            <v>137.52</v>
          </cell>
        </row>
        <row r="2224">
          <cell r="N2224">
            <v>45547</v>
          </cell>
          <cell r="O2224">
            <v>125.52</v>
          </cell>
        </row>
        <row r="2225">
          <cell r="B2225">
            <v>45548</v>
          </cell>
          <cell r="C2225">
            <v>105.44</v>
          </cell>
        </row>
        <row r="2225">
          <cell r="E2225">
            <v>45481</v>
          </cell>
          <cell r="F2225">
            <v>163.19</v>
          </cell>
        </row>
        <row r="2225">
          <cell r="H2225">
            <v>45484</v>
          </cell>
          <cell r="I2225">
            <v>63.45</v>
          </cell>
        </row>
        <row r="2225">
          <cell r="K2225">
            <v>45481</v>
          </cell>
          <cell r="L2225">
            <v>137.22</v>
          </cell>
        </row>
        <row r="2225">
          <cell r="N2225">
            <v>45548</v>
          </cell>
          <cell r="O2225">
            <v>123.69</v>
          </cell>
        </row>
        <row r="2226">
          <cell r="B2226">
            <v>45551</v>
          </cell>
          <cell r="C2226">
            <v>105.71</v>
          </cell>
        </row>
        <row r="2226">
          <cell r="E2226">
            <v>45482</v>
          </cell>
          <cell r="F2226">
            <v>163.91</v>
          </cell>
        </row>
        <row r="2226">
          <cell r="H2226">
            <v>45485</v>
          </cell>
          <cell r="I2226">
            <v>63.36</v>
          </cell>
        </row>
        <row r="2226">
          <cell r="K2226">
            <v>45482</v>
          </cell>
          <cell r="L2226">
            <v>137.56</v>
          </cell>
        </row>
        <row r="2226">
          <cell r="N2226">
            <v>45551</v>
          </cell>
          <cell r="O2226">
            <v>123.84</v>
          </cell>
        </row>
        <row r="2227">
          <cell r="B2227">
            <v>45552</v>
          </cell>
          <cell r="C2227">
            <v>105.92</v>
          </cell>
        </row>
        <row r="2227">
          <cell r="E2227">
            <v>45483</v>
          </cell>
          <cell r="F2227">
            <v>164.09</v>
          </cell>
        </row>
        <row r="2227">
          <cell r="H2227">
            <v>45488</v>
          </cell>
          <cell r="I2227">
            <v>63.74</v>
          </cell>
        </row>
        <row r="2227">
          <cell r="K2227">
            <v>45483</v>
          </cell>
          <cell r="L2227">
            <v>136.46</v>
          </cell>
        </row>
        <row r="2227">
          <cell r="N2227">
            <v>45552</v>
          </cell>
          <cell r="O2227">
            <v>123.31</v>
          </cell>
        </row>
        <row r="2228">
          <cell r="B2228">
            <v>45553</v>
          </cell>
          <cell r="C2228">
            <v>105.94</v>
          </cell>
        </row>
        <row r="2228">
          <cell r="E2228">
            <v>45484</v>
          </cell>
          <cell r="F2228">
            <v>161.62</v>
          </cell>
        </row>
        <row r="2228">
          <cell r="H2228">
            <v>45489</v>
          </cell>
          <cell r="I2228">
            <v>64.08</v>
          </cell>
        </row>
        <row r="2228">
          <cell r="K2228">
            <v>45484</v>
          </cell>
          <cell r="L2228">
            <v>135.98</v>
          </cell>
        </row>
        <row r="2228">
          <cell r="N2228">
            <v>45553</v>
          </cell>
          <cell r="O2228">
            <v>122.85</v>
          </cell>
        </row>
        <row r="2229">
          <cell r="B2229">
            <v>45554</v>
          </cell>
          <cell r="C2229">
            <v>105.74</v>
          </cell>
        </row>
        <row r="2229">
          <cell r="E2229">
            <v>45485</v>
          </cell>
          <cell r="F2229">
            <v>160.27</v>
          </cell>
        </row>
        <row r="2229">
          <cell r="H2229">
            <v>45490</v>
          </cell>
          <cell r="I2229">
            <v>64.77</v>
          </cell>
        </row>
        <row r="2229">
          <cell r="K2229">
            <v>45485</v>
          </cell>
          <cell r="L2229">
            <v>136.27</v>
          </cell>
        </row>
        <row r="2229">
          <cell r="N2229">
            <v>45554</v>
          </cell>
          <cell r="O2229">
            <v>122.48</v>
          </cell>
        </row>
        <row r="2230">
          <cell r="B2230">
            <v>45555</v>
          </cell>
          <cell r="C2230">
            <v>106.24</v>
          </cell>
        </row>
        <row r="2230">
          <cell r="E2230">
            <v>45488</v>
          </cell>
          <cell r="F2230">
            <v>160.64</v>
          </cell>
        </row>
        <row r="2230">
          <cell r="H2230">
            <v>45491</v>
          </cell>
          <cell r="I2230">
            <v>65.13</v>
          </cell>
        </row>
        <row r="2230">
          <cell r="K2230">
            <v>45488</v>
          </cell>
          <cell r="L2230">
            <v>137.02</v>
          </cell>
        </row>
        <row r="2230">
          <cell r="N2230">
            <v>45555</v>
          </cell>
          <cell r="O2230">
            <v>123.32</v>
          </cell>
        </row>
        <row r="2231">
          <cell r="B2231">
            <v>45558</v>
          </cell>
          <cell r="C2231">
            <v>106.31</v>
          </cell>
        </row>
        <row r="2231">
          <cell r="E2231">
            <v>45489</v>
          </cell>
          <cell r="F2231">
            <v>158.13</v>
          </cell>
        </row>
        <row r="2231">
          <cell r="H2231">
            <v>45492</v>
          </cell>
          <cell r="I2231">
            <v>64.87</v>
          </cell>
        </row>
        <row r="2231">
          <cell r="K2231">
            <v>45489</v>
          </cell>
          <cell r="L2231">
            <v>136.54</v>
          </cell>
        </row>
        <row r="2231">
          <cell r="N2231">
            <v>45558</v>
          </cell>
          <cell r="O2231">
            <v>123.66</v>
          </cell>
        </row>
        <row r="2232">
          <cell r="B2232">
            <v>45559</v>
          </cell>
          <cell r="C2232">
            <v>106.01</v>
          </cell>
        </row>
        <row r="2232">
          <cell r="E2232">
            <v>45490</v>
          </cell>
          <cell r="F2232">
            <v>153.33</v>
          </cell>
        </row>
        <row r="2232">
          <cell r="H2232">
            <v>45495</v>
          </cell>
          <cell r="I2232">
            <v>64.44</v>
          </cell>
        </row>
        <row r="2232">
          <cell r="K2232">
            <v>45490</v>
          </cell>
          <cell r="L2232">
            <v>135.97</v>
          </cell>
        </row>
        <row r="2232">
          <cell r="N2232">
            <v>45559</v>
          </cell>
          <cell r="O2232">
            <v>123.82</v>
          </cell>
        </row>
        <row r="2233">
          <cell r="B2233">
            <v>45560</v>
          </cell>
          <cell r="C2233">
            <v>106.66</v>
          </cell>
        </row>
        <row r="2233">
          <cell r="E2233">
            <v>45491</v>
          </cell>
          <cell r="F2233">
            <v>155.04</v>
          </cell>
        </row>
        <row r="2233">
          <cell r="H2233">
            <v>45496</v>
          </cell>
          <cell r="I2233">
            <v>63.76</v>
          </cell>
        </row>
        <row r="2233">
          <cell r="K2233">
            <v>45491</v>
          </cell>
          <cell r="L2233">
            <v>135.8</v>
          </cell>
        </row>
        <row r="2233">
          <cell r="N2233">
            <v>45560</v>
          </cell>
          <cell r="O2233">
            <v>124.46</v>
          </cell>
        </row>
        <row r="2234">
          <cell r="B2234">
            <v>45561</v>
          </cell>
          <cell r="C2234">
            <v>105.8</v>
          </cell>
        </row>
        <row r="2234">
          <cell r="E2234">
            <v>45492</v>
          </cell>
          <cell r="F2234">
            <v>156.28</v>
          </cell>
        </row>
        <row r="2234">
          <cell r="H2234">
            <v>45497</v>
          </cell>
          <cell r="I2234">
            <v>64.6</v>
          </cell>
        </row>
        <row r="2234">
          <cell r="K2234">
            <v>45492</v>
          </cell>
          <cell r="L2234">
            <v>136</v>
          </cell>
        </row>
        <row r="2234">
          <cell r="N2234">
            <v>45561</v>
          </cell>
          <cell r="O2234">
            <v>124.52</v>
          </cell>
        </row>
        <row r="2235">
          <cell r="B2235">
            <v>45562</v>
          </cell>
          <cell r="C2235">
            <v>106.03</v>
          </cell>
        </row>
        <row r="2235">
          <cell r="E2235">
            <v>45495</v>
          </cell>
          <cell r="F2235">
            <v>157.82</v>
          </cell>
        </row>
        <row r="2235">
          <cell r="H2235">
            <v>45498</v>
          </cell>
          <cell r="I2235">
            <v>64.4</v>
          </cell>
        </row>
        <row r="2235">
          <cell r="K2235">
            <v>45495</v>
          </cell>
          <cell r="L2235">
            <v>136.4</v>
          </cell>
        </row>
        <row r="2235">
          <cell r="N2235">
            <v>45562</v>
          </cell>
          <cell r="O2235">
            <v>123.88</v>
          </cell>
        </row>
        <row r="2236">
          <cell r="B2236">
            <v>45565</v>
          </cell>
          <cell r="C2236">
            <v>105.91</v>
          </cell>
        </row>
        <row r="2236">
          <cell r="E2236">
            <v>45496</v>
          </cell>
          <cell r="F2236">
            <v>159.01</v>
          </cell>
        </row>
        <row r="2236">
          <cell r="H2236">
            <v>45499</v>
          </cell>
          <cell r="I2236">
            <v>64.23</v>
          </cell>
        </row>
        <row r="2236">
          <cell r="K2236">
            <v>45496</v>
          </cell>
          <cell r="L2236">
            <v>136.38</v>
          </cell>
        </row>
        <row r="2236">
          <cell r="N2236">
            <v>45565</v>
          </cell>
          <cell r="O2236">
            <v>123.72</v>
          </cell>
        </row>
        <row r="2237">
          <cell r="B2237">
            <v>45566</v>
          </cell>
          <cell r="C2237">
            <v>106.31</v>
          </cell>
        </row>
        <row r="2237">
          <cell r="E2237">
            <v>45497</v>
          </cell>
          <cell r="F2237">
            <v>157.24</v>
          </cell>
        </row>
        <row r="2237">
          <cell r="H2237">
            <v>45502</v>
          </cell>
          <cell r="I2237">
            <v>63.73</v>
          </cell>
        </row>
        <row r="2237">
          <cell r="K2237">
            <v>45497</v>
          </cell>
          <cell r="L2237">
            <v>134.95</v>
          </cell>
        </row>
        <row r="2237">
          <cell r="N2237">
            <v>45566</v>
          </cell>
          <cell r="O2237">
            <v>124.31</v>
          </cell>
        </row>
        <row r="2238">
          <cell r="B2238">
            <v>45567</v>
          </cell>
          <cell r="C2238">
            <v>106.62</v>
          </cell>
        </row>
        <row r="2238">
          <cell r="E2238">
            <v>45498</v>
          </cell>
          <cell r="F2238">
            <v>154.62</v>
          </cell>
        </row>
        <row r="2238">
          <cell r="H2238">
            <v>45503</v>
          </cell>
          <cell r="I2238">
            <v>63.56</v>
          </cell>
        </row>
        <row r="2238">
          <cell r="K2238">
            <v>45498</v>
          </cell>
          <cell r="L2238">
            <v>135.8</v>
          </cell>
        </row>
        <row r="2238">
          <cell r="N2238">
            <v>45567</v>
          </cell>
          <cell r="O2238">
            <v>124.38</v>
          </cell>
        </row>
        <row r="2239">
          <cell r="B2239">
            <v>45568</v>
          </cell>
          <cell r="C2239">
            <v>107.07</v>
          </cell>
        </row>
        <row r="2239">
          <cell r="E2239">
            <v>45499</v>
          </cell>
          <cell r="F2239">
            <v>154.79</v>
          </cell>
        </row>
        <row r="2239">
          <cell r="H2239">
            <v>45504</v>
          </cell>
          <cell r="I2239">
            <v>63.55</v>
          </cell>
        </row>
        <row r="2239">
          <cell r="K2239">
            <v>45499</v>
          </cell>
          <cell r="L2239">
            <v>135.48</v>
          </cell>
        </row>
        <row r="2239">
          <cell r="N2239">
            <v>45568</v>
          </cell>
          <cell r="O2239">
            <v>124.76</v>
          </cell>
        </row>
        <row r="2240">
          <cell r="B2240">
            <v>45569</v>
          </cell>
          <cell r="C2240">
            <v>107.43</v>
          </cell>
        </row>
        <row r="2240">
          <cell r="E2240">
            <v>45502</v>
          </cell>
          <cell r="F2240">
            <v>154.52</v>
          </cell>
        </row>
        <row r="2240">
          <cell r="H2240">
            <v>45505</v>
          </cell>
          <cell r="I2240">
            <v>62.71</v>
          </cell>
        </row>
        <row r="2240">
          <cell r="K2240">
            <v>45502</v>
          </cell>
          <cell r="L2240">
            <v>135.63</v>
          </cell>
        </row>
        <row r="2240">
          <cell r="N2240">
            <v>45569</v>
          </cell>
          <cell r="O2240">
            <v>124.17</v>
          </cell>
        </row>
        <row r="2241">
          <cell r="B2241">
            <v>45572</v>
          </cell>
          <cell r="C2241">
            <v>106.99</v>
          </cell>
        </row>
        <row r="2241">
          <cell r="E2241">
            <v>45503</v>
          </cell>
          <cell r="F2241">
            <v>152.4</v>
          </cell>
        </row>
        <row r="2241">
          <cell r="H2241">
            <v>45506</v>
          </cell>
          <cell r="I2241">
            <v>61.48</v>
          </cell>
        </row>
        <row r="2241">
          <cell r="K2241">
            <v>45503</v>
          </cell>
          <cell r="L2241">
            <v>135.32</v>
          </cell>
        </row>
        <row r="2241">
          <cell r="N2241">
            <v>45572</v>
          </cell>
          <cell r="O2241">
            <v>124.83</v>
          </cell>
        </row>
        <row r="2242">
          <cell r="B2242">
            <v>45573</v>
          </cell>
          <cell r="C2242">
            <v>107.22</v>
          </cell>
        </row>
        <row r="2242">
          <cell r="E2242">
            <v>45504</v>
          </cell>
          <cell r="F2242">
            <v>154.25</v>
          </cell>
        </row>
        <row r="2242">
          <cell r="H2242">
            <v>45509</v>
          </cell>
          <cell r="I2242">
            <v>61.83</v>
          </cell>
        </row>
        <row r="2242">
          <cell r="K2242">
            <v>45504</v>
          </cell>
          <cell r="L2242">
            <v>135.02</v>
          </cell>
        </row>
        <row r="2242">
          <cell r="N2242">
            <v>45573</v>
          </cell>
          <cell r="O2242">
            <v>125.16</v>
          </cell>
        </row>
        <row r="2243">
          <cell r="B2243">
            <v>45574</v>
          </cell>
          <cell r="C2243">
            <v>107.73</v>
          </cell>
        </row>
        <row r="2243">
          <cell r="E2243">
            <v>45505</v>
          </cell>
          <cell r="F2243">
            <v>153.59</v>
          </cell>
        </row>
        <row r="2243">
          <cell r="H2243">
            <v>45510</v>
          </cell>
          <cell r="I2243">
            <v>61.53</v>
          </cell>
        </row>
        <row r="2243">
          <cell r="K2243">
            <v>45505</v>
          </cell>
          <cell r="L2243">
            <v>136.27</v>
          </cell>
        </row>
        <row r="2243">
          <cell r="N2243">
            <v>45574</v>
          </cell>
          <cell r="O2243">
            <v>125.7</v>
          </cell>
        </row>
        <row r="2244">
          <cell r="B2244">
            <v>45575</v>
          </cell>
          <cell r="C2244">
            <v>107.72</v>
          </cell>
        </row>
        <row r="2244">
          <cell r="E2244">
            <v>45506</v>
          </cell>
          <cell r="F2244">
            <v>151.6</v>
          </cell>
        </row>
        <row r="2244">
          <cell r="H2244">
            <v>45511</v>
          </cell>
          <cell r="I2244">
            <v>61.41</v>
          </cell>
        </row>
        <row r="2244">
          <cell r="K2244">
            <v>45506</v>
          </cell>
          <cell r="L2244">
            <v>137.11</v>
          </cell>
        </row>
        <row r="2244">
          <cell r="N2244">
            <v>45575</v>
          </cell>
          <cell r="O2244">
            <v>125.65</v>
          </cell>
        </row>
        <row r="2245">
          <cell r="B2245">
            <v>45576</v>
          </cell>
          <cell r="C2245">
            <v>107.37</v>
          </cell>
        </row>
        <row r="2245">
          <cell r="E2245">
            <v>45509</v>
          </cell>
          <cell r="F2245">
            <v>152.25</v>
          </cell>
        </row>
        <row r="2245">
          <cell r="H2245">
            <v>45512</v>
          </cell>
          <cell r="I2245">
            <v>61.46</v>
          </cell>
        </row>
        <row r="2245">
          <cell r="K2245">
            <v>45509</v>
          </cell>
          <cell r="L2245">
            <v>136.17</v>
          </cell>
        </row>
        <row r="2245">
          <cell r="N2245">
            <v>45576</v>
          </cell>
          <cell r="O2245">
            <v>124.68</v>
          </cell>
        </row>
        <row r="2246">
          <cell r="B2246">
            <v>45579</v>
          </cell>
          <cell r="C2246">
            <v>107.79</v>
          </cell>
        </row>
        <row r="2246">
          <cell r="E2246">
            <v>45510</v>
          </cell>
          <cell r="F2246">
            <v>154.47</v>
          </cell>
        </row>
        <row r="2246">
          <cell r="H2246">
            <v>45513</v>
          </cell>
          <cell r="I2246">
            <v>61.44</v>
          </cell>
        </row>
        <row r="2246">
          <cell r="K2246">
            <v>45510</v>
          </cell>
          <cell r="L2246">
            <v>137.68</v>
          </cell>
        </row>
        <row r="2246">
          <cell r="N2246">
            <v>45579</v>
          </cell>
          <cell r="O2246">
            <v>124.57</v>
          </cell>
        </row>
        <row r="2247">
          <cell r="B2247">
            <v>45580</v>
          </cell>
          <cell r="C2247">
            <v>107.36</v>
          </cell>
        </row>
        <row r="2247">
          <cell r="E2247">
            <v>45511</v>
          </cell>
          <cell r="F2247">
            <v>153.08</v>
          </cell>
        </row>
        <row r="2247">
          <cell r="H2247">
            <v>45516</v>
          </cell>
          <cell r="I2247">
            <v>61.57</v>
          </cell>
        </row>
        <row r="2247">
          <cell r="K2247">
            <v>45511</v>
          </cell>
          <cell r="L2247">
            <v>137.29</v>
          </cell>
        </row>
        <row r="2247">
          <cell r="N2247">
            <v>45580</v>
          </cell>
          <cell r="O2247">
            <v>123.24</v>
          </cell>
        </row>
        <row r="2248">
          <cell r="B2248">
            <v>45581</v>
          </cell>
          <cell r="C2248">
            <v>106.89</v>
          </cell>
        </row>
        <row r="2248">
          <cell r="E2248">
            <v>45512</v>
          </cell>
          <cell r="F2248">
            <v>154.43</v>
          </cell>
        </row>
        <row r="2248">
          <cell r="H2248">
            <v>45517</v>
          </cell>
          <cell r="I2248">
            <v>61.6</v>
          </cell>
        </row>
        <row r="2248">
          <cell r="K2248">
            <v>45512</v>
          </cell>
          <cell r="L2248">
            <v>138.37</v>
          </cell>
        </row>
        <row r="2248">
          <cell r="N2248">
            <v>45581</v>
          </cell>
          <cell r="O2248">
            <v>122.7</v>
          </cell>
        </row>
        <row r="2249">
          <cell r="B2249">
            <v>45582</v>
          </cell>
          <cell r="C2249">
            <v>106.89</v>
          </cell>
        </row>
        <row r="2249">
          <cell r="E2249">
            <v>45513</v>
          </cell>
          <cell r="F2249">
            <v>156.2</v>
          </cell>
        </row>
        <row r="2249">
          <cell r="H2249">
            <v>45518</v>
          </cell>
          <cell r="I2249">
            <v>61.51</v>
          </cell>
        </row>
        <row r="2249">
          <cell r="K2249">
            <v>45513</v>
          </cell>
          <cell r="L2249">
            <v>138.61</v>
          </cell>
        </row>
        <row r="2249">
          <cell r="N2249">
            <v>45582</v>
          </cell>
          <cell r="O2249">
            <v>122.52</v>
          </cell>
        </row>
        <row r="2250">
          <cell r="B2250">
            <v>45583</v>
          </cell>
          <cell r="C2250">
            <v>106.45</v>
          </cell>
        </row>
        <row r="2250">
          <cell r="E2250">
            <v>45516</v>
          </cell>
          <cell r="F2250">
            <v>158.12</v>
          </cell>
        </row>
        <row r="2250">
          <cell r="H2250">
            <v>45519</v>
          </cell>
          <cell r="I2250">
            <v>61.96</v>
          </cell>
        </row>
        <row r="2250">
          <cell r="K2250">
            <v>45516</v>
          </cell>
          <cell r="L2250">
            <v>138.42</v>
          </cell>
        </row>
        <row r="2250">
          <cell r="N2250">
            <v>45583</v>
          </cell>
          <cell r="O2250">
            <v>123.23</v>
          </cell>
        </row>
        <row r="2251">
          <cell r="B2251">
            <v>45586</v>
          </cell>
          <cell r="C2251">
            <v>106.85</v>
          </cell>
        </row>
        <row r="2251">
          <cell r="E2251">
            <v>45517</v>
          </cell>
          <cell r="F2251">
            <v>157.32</v>
          </cell>
        </row>
        <row r="2251">
          <cell r="H2251">
            <v>45520</v>
          </cell>
          <cell r="I2251">
            <v>62.07</v>
          </cell>
        </row>
        <row r="2251">
          <cell r="K2251">
            <v>45517</v>
          </cell>
          <cell r="L2251">
            <v>138.45</v>
          </cell>
        </row>
        <row r="2251">
          <cell r="N2251">
            <v>45586</v>
          </cell>
          <cell r="O2251">
            <v>124</v>
          </cell>
        </row>
        <row r="2252">
          <cell r="B2252">
            <v>45587</v>
          </cell>
          <cell r="C2252">
            <v>106.87</v>
          </cell>
        </row>
        <row r="2252">
          <cell r="E2252">
            <v>45518</v>
          </cell>
          <cell r="F2252">
            <v>159.1</v>
          </cell>
        </row>
        <row r="2252">
          <cell r="H2252">
            <v>45523</v>
          </cell>
          <cell r="I2252">
            <v>62.13</v>
          </cell>
        </row>
        <row r="2252">
          <cell r="K2252">
            <v>45518</v>
          </cell>
          <cell r="L2252">
            <v>138.65</v>
          </cell>
        </row>
        <row r="2252">
          <cell r="N2252">
            <v>45587</v>
          </cell>
          <cell r="O2252">
            <v>124.6</v>
          </cell>
        </row>
        <row r="2253">
          <cell r="B2253">
            <v>45588</v>
          </cell>
          <cell r="C2253">
            <v>107.19</v>
          </cell>
        </row>
        <row r="2253">
          <cell r="E2253">
            <v>45519</v>
          </cell>
          <cell r="F2253">
            <v>158.26</v>
          </cell>
        </row>
        <row r="2253">
          <cell r="H2253">
            <v>45524</v>
          </cell>
          <cell r="I2253">
            <v>61.95</v>
          </cell>
        </row>
        <row r="2253">
          <cell r="K2253">
            <v>45519</v>
          </cell>
          <cell r="L2253">
            <v>138.5</v>
          </cell>
        </row>
        <row r="2253">
          <cell r="N2253">
            <v>45588</v>
          </cell>
          <cell r="O2253">
            <v>124.61</v>
          </cell>
        </row>
        <row r="2254">
          <cell r="B2254">
            <v>45589</v>
          </cell>
          <cell r="C2254">
            <v>108.28</v>
          </cell>
        </row>
        <row r="2254">
          <cell r="E2254">
            <v>45520</v>
          </cell>
          <cell r="F2254">
            <v>157.67</v>
          </cell>
        </row>
        <row r="2254">
          <cell r="H2254">
            <v>45525</v>
          </cell>
          <cell r="I2254">
            <v>61.77</v>
          </cell>
        </row>
        <row r="2254">
          <cell r="K2254">
            <v>45520</v>
          </cell>
          <cell r="L2254">
            <v>138.3</v>
          </cell>
        </row>
        <row r="2254">
          <cell r="N2254">
            <v>45589</v>
          </cell>
          <cell r="O2254">
            <v>124.26</v>
          </cell>
        </row>
        <row r="2255">
          <cell r="B2255">
            <v>45590</v>
          </cell>
          <cell r="C2255">
            <v>108.2</v>
          </cell>
        </row>
        <row r="2255">
          <cell r="E2255">
            <v>45523</v>
          </cell>
          <cell r="F2255">
            <v>157.52</v>
          </cell>
        </row>
        <row r="2255">
          <cell r="H2255">
            <v>45526</v>
          </cell>
          <cell r="I2255">
            <v>62.11</v>
          </cell>
        </row>
        <row r="2255">
          <cell r="K2255">
            <v>45523</v>
          </cell>
          <cell r="L2255">
            <v>137.62</v>
          </cell>
        </row>
        <row r="2255">
          <cell r="N2255">
            <v>45590</v>
          </cell>
          <cell r="O2255">
            <v>124.66</v>
          </cell>
        </row>
        <row r="2256">
          <cell r="B2256">
            <v>45593</v>
          </cell>
          <cell r="C2256">
            <v>108.23</v>
          </cell>
        </row>
        <row r="2256">
          <cell r="E2256">
            <v>45524</v>
          </cell>
          <cell r="F2256">
            <v>158.05</v>
          </cell>
        </row>
        <row r="2256">
          <cell r="H2256">
            <v>45527</v>
          </cell>
          <cell r="I2256">
            <v>62.76</v>
          </cell>
        </row>
        <row r="2256">
          <cell r="K2256">
            <v>45524</v>
          </cell>
          <cell r="L2256">
            <v>137.3</v>
          </cell>
        </row>
        <row r="2256">
          <cell r="N2256">
            <v>45593</v>
          </cell>
          <cell r="O2256">
            <v>123.57</v>
          </cell>
        </row>
        <row r="2257">
          <cell r="B2257">
            <v>45594</v>
          </cell>
          <cell r="C2257">
            <v>107.87</v>
          </cell>
        </row>
        <row r="2257">
          <cell r="E2257">
            <v>45525</v>
          </cell>
          <cell r="F2257">
            <v>158.66</v>
          </cell>
        </row>
        <row r="2257">
          <cell r="H2257">
            <v>45530</v>
          </cell>
          <cell r="I2257">
            <v>62.72</v>
          </cell>
        </row>
        <row r="2257">
          <cell r="K2257">
            <v>45525</v>
          </cell>
          <cell r="L2257">
            <v>137.61</v>
          </cell>
        </row>
        <row r="2257">
          <cell r="N2257">
            <v>45594</v>
          </cell>
          <cell r="O2257">
            <v>123</v>
          </cell>
        </row>
        <row r="2258">
          <cell r="B2258">
            <v>45595</v>
          </cell>
          <cell r="C2258">
            <v>107.82</v>
          </cell>
        </row>
        <row r="2258">
          <cell r="E2258">
            <v>45526</v>
          </cell>
          <cell r="F2258">
            <v>159.04</v>
          </cell>
        </row>
        <row r="2258">
          <cell r="H2258">
            <v>45531</v>
          </cell>
          <cell r="I2258">
            <v>62.46</v>
          </cell>
        </row>
        <row r="2258">
          <cell r="K2258">
            <v>45526</v>
          </cell>
          <cell r="L2258">
            <v>137.99</v>
          </cell>
        </row>
        <row r="2258">
          <cell r="N2258">
            <v>45595</v>
          </cell>
          <cell r="O2258">
            <v>122.8</v>
          </cell>
        </row>
        <row r="2259">
          <cell r="B2259">
            <v>45596</v>
          </cell>
          <cell r="C2259">
            <v>107.38</v>
          </cell>
        </row>
        <row r="2259">
          <cell r="E2259">
            <v>45527</v>
          </cell>
          <cell r="F2259">
            <v>158.05</v>
          </cell>
        </row>
        <row r="2259">
          <cell r="H2259">
            <v>45532</v>
          </cell>
          <cell r="I2259">
            <v>62.38</v>
          </cell>
        </row>
        <row r="2259">
          <cell r="K2259">
            <v>45527</v>
          </cell>
          <cell r="L2259">
            <v>137.15</v>
          </cell>
        </row>
        <row r="2259">
          <cell r="N2259">
            <v>45596</v>
          </cell>
          <cell r="O2259">
            <v>123.13</v>
          </cell>
        </row>
        <row r="2260">
          <cell r="B2260">
            <v>45597</v>
          </cell>
          <cell r="C2260">
            <v>107.24</v>
          </cell>
        </row>
        <row r="2260">
          <cell r="E2260">
            <v>45530</v>
          </cell>
          <cell r="F2260">
            <v>156.52</v>
          </cell>
        </row>
        <row r="2260">
          <cell r="H2260">
            <v>45533</v>
          </cell>
          <cell r="I2260">
            <v>62.63</v>
          </cell>
        </row>
        <row r="2260">
          <cell r="K2260">
            <v>45530</v>
          </cell>
          <cell r="L2260">
            <v>137.2</v>
          </cell>
        </row>
        <row r="2260">
          <cell r="N2260">
            <v>45597</v>
          </cell>
          <cell r="O2260">
            <v>122.69</v>
          </cell>
        </row>
        <row r="2261">
          <cell r="B2261">
            <v>45600</v>
          </cell>
          <cell r="C2261">
            <v>107.38</v>
          </cell>
        </row>
        <row r="2261">
          <cell r="E2261">
            <v>45531</v>
          </cell>
          <cell r="F2261">
            <v>157.81</v>
          </cell>
        </row>
        <row r="2261">
          <cell r="H2261">
            <v>45534</v>
          </cell>
          <cell r="I2261">
            <v>62.88</v>
          </cell>
        </row>
        <row r="2261">
          <cell r="K2261">
            <v>45531</v>
          </cell>
          <cell r="L2261">
            <v>137.56</v>
          </cell>
        </row>
        <row r="2261">
          <cell r="N2261">
            <v>45600</v>
          </cell>
          <cell r="O2261">
            <v>122.54</v>
          </cell>
        </row>
        <row r="2262">
          <cell r="B2262">
            <v>45601</v>
          </cell>
          <cell r="C2262">
            <v>107.98</v>
          </cell>
        </row>
        <row r="2262">
          <cell r="E2262">
            <v>45532</v>
          </cell>
          <cell r="F2262">
            <v>157.42</v>
          </cell>
        </row>
        <row r="2262">
          <cell r="H2262">
            <v>45537</v>
          </cell>
          <cell r="I2262">
            <v>62.86</v>
          </cell>
        </row>
        <row r="2262">
          <cell r="K2262">
            <v>45532</v>
          </cell>
          <cell r="L2262">
            <v>138.03</v>
          </cell>
        </row>
        <row r="2262">
          <cell r="N2262">
            <v>45601</v>
          </cell>
          <cell r="O2262">
            <v>122.03</v>
          </cell>
        </row>
        <row r="2263">
          <cell r="B2263">
            <v>45602</v>
          </cell>
          <cell r="C2263">
            <v>107.86</v>
          </cell>
        </row>
        <row r="2263">
          <cell r="E2263">
            <v>45533</v>
          </cell>
          <cell r="F2263">
            <v>156.57</v>
          </cell>
        </row>
        <row r="2263">
          <cell r="H2263">
            <v>45538</v>
          </cell>
          <cell r="I2263">
            <v>62.62</v>
          </cell>
        </row>
        <row r="2263">
          <cell r="K2263">
            <v>45533</v>
          </cell>
          <cell r="L2263">
            <v>137.61</v>
          </cell>
        </row>
        <row r="2263">
          <cell r="N2263">
            <v>45602</v>
          </cell>
          <cell r="O2263">
            <v>118.72</v>
          </cell>
        </row>
        <row r="2264">
          <cell r="B2264">
            <v>45603</v>
          </cell>
          <cell r="C2264">
            <v>108.2</v>
          </cell>
        </row>
        <row r="2264">
          <cell r="E2264">
            <v>45534</v>
          </cell>
          <cell r="F2264">
            <v>157.35</v>
          </cell>
        </row>
        <row r="2264">
          <cell r="H2264">
            <v>45539</v>
          </cell>
          <cell r="I2264">
            <v>62.58</v>
          </cell>
        </row>
        <row r="2264">
          <cell r="K2264">
            <v>45534</v>
          </cell>
          <cell r="L2264">
            <v>137.25</v>
          </cell>
        </row>
        <row r="2264">
          <cell r="N2264">
            <v>45603</v>
          </cell>
          <cell r="O2264">
            <v>119.21</v>
          </cell>
        </row>
        <row r="2265">
          <cell r="B2265">
            <v>45604</v>
          </cell>
          <cell r="C2265">
            <v>108.35</v>
          </cell>
        </row>
        <row r="2265">
          <cell r="E2265">
            <v>45537</v>
          </cell>
          <cell r="F2265">
            <v>157.33</v>
          </cell>
        </row>
        <row r="2265">
          <cell r="H2265">
            <v>45540</v>
          </cell>
          <cell r="I2265">
            <v>61.98</v>
          </cell>
        </row>
        <row r="2265">
          <cell r="K2265">
            <v>45537</v>
          </cell>
          <cell r="L2265">
            <v>137.28</v>
          </cell>
        </row>
        <row r="2265">
          <cell r="N2265">
            <v>45604</v>
          </cell>
          <cell r="O2265">
            <v>118.76</v>
          </cell>
        </row>
        <row r="2266">
          <cell r="B2266">
            <v>45607</v>
          </cell>
          <cell r="C2266">
            <v>108.62</v>
          </cell>
        </row>
        <row r="2266">
          <cell r="E2266">
            <v>45538</v>
          </cell>
          <cell r="F2266">
            <v>154.9</v>
          </cell>
        </row>
        <row r="2266">
          <cell r="H2266">
            <v>45541</v>
          </cell>
          <cell r="I2266">
            <v>61.87</v>
          </cell>
        </row>
        <row r="2266">
          <cell r="K2266">
            <v>45538</v>
          </cell>
          <cell r="L2266">
            <v>137.38</v>
          </cell>
        </row>
        <row r="2266">
          <cell r="N2266">
            <v>45607</v>
          </cell>
          <cell r="O2266">
            <v>118.52</v>
          </cell>
        </row>
        <row r="2267">
          <cell r="B2267">
            <v>45608</v>
          </cell>
          <cell r="C2267">
            <v>107.89</v>
          </cell>
        </row>
        <row r="2267">
          <cell r="E2267">
            <v>45539</v>
          </cell>
          <cell r="F2267">
            <v>155.2</v>
          </cell>
        </row>
        <row r="2267">
          <cell r="H2267">
            <v>45544</v>
          </cell>
          <cell r="I2267">
            <v>61.66</v>
          </cell>
        </row>
        <row r="2267">
          <cell r="K2267">
            <v>45539</v>
          </cell>
          <cell r="L2267">
            <v>136.85</v>
          </cell>
        </row>
        <row r="2267">
          <cell r="N2267">
            <v>45608</v>
          </cell>
          <cell r="O2267">
            <v>119.02</v>
          </cell>
        </row>
        <row r="2268">
          <cell r="B2268">
            <v>45609</v>
          </cell>
          <cell r="C2268">
            <v>108.11</v>
          </cell>
        </row>
        <row r="2268">
          <cell r="E2268">
            <v>45540</v>
          </cell>
          <cell r="F2268">
            <v>154.17</v>
          </cell>
        </row>
        <row r="2268">
          <cell r="H2268">
            <v>45545</v>
          </cell>
          <cell r="I2268">
            <v>60.89</v>
          </cell>
        </row>
        <row r="2268">
          <cell r="K2268">
            <v>45540</v>
          </cell>
          <cell r="L2268">
            <v>135.73</v>
          </cell>
        </row>
        <row r="2268">
          <cell r="N2268">
            <v>45609</v>
          </cell>
          <cell r="O2268">
            <v>120.37</v>
          </cell>
        </row>
        <row r="2269">
          <cell r="B2269">
            <v>45610</v>
          </cell>
          <cell r="C2269">
            <v>107.75</v>
          </cell>
        </row>
        <row r="2269">
          <cell r="E2269">
            <v>45541</v>
          </cell>
          <cell r="F2269">
            <v>153.36</v>
          </cell>
        </row>
        <row r="2269">
          <cell r="H2269">
            <v>45546</v>
          </cell>
          <cell r="I2269">
            <v>60.73</v>
          </cell>
        </row>
        <row r="2269">
          <cell r="K2269">
            <v>45541</v>
          </cell>
          <cell r="L2269">
            <v>136.6</v>
          </cell>
        </row>
        <row r="2269">
          <cell r="N2269">
            <v>45610</v>
          </cell>
          <cell r="O2269">
            <v>120.85</v>
          </cell>
        </row>
        <row r="2270">
          <cell r="B2270">
            <v>45611</v>
          </cell>
          <cell r="C2270">
            <v>108.44</v>
          </cell>
        </row>
        <row r="2270">
          <cell r="E2270">
            <v>45544</v>
          </cell>
          <cell r="F2270">
            <v>154.57</v>
          </cell>
        </row>
        <row r="2270">
          <cell r="H2270">
            <v>45547</v>
          </cell>
          <cell r="I2270">
            <v>60.84</v>
          </cell>
        </row>
        <row r="2270">
          <cell r="K2270">
            <v>45544</v>
          </cell>
          <cell r="L2270">
            <v>136.68</v>
          </cell>
        </row>
        <row r="2270">
          <cell r="N2270">
            <v>45611</v>
          </cell>
          <cell r="O2270">
            <v>121.39</v>
          </cell>
        </row>
        <row r="2271">
          <cell r="B2271">
            <v>45614</v>
          </cell>
          <cell r="C2271">
            <v>108.69</v>
          </cell>
        </row>
        <row r="2271">
          <cell r="E2271">
            <v>45545</v>
          </cell>
          <cell r="F2271">
            <v>155.27</v>
          </cell>
        </row>
        <row r="2271">
          <cell r="H2271">
            <v>45548</v>
          </cell>
          <cell r="I2271">
            <v>60.98</v>
          </cell>
        </row>
        <row r="2271">
          <cell r="K2271">
            <v>45545</v>
          </cell>
          <cell r="L2271">
            <v>136.98</v>
          </cell>
        </row>
        <row r="2271">
          <cell r="N2271">
            <v>45614</v>
          </cell>
          <cell r="O2271">
            <v>121.9</v>
          </cell>
        </row>
        <row r="2272">
          <cell r="B2272">
            <v>45615</v>
          </cell>
          <cell r="C2272">
            <v>109.12</v>
          </cell>
        </row>
        <row r="2272">
          <cell r="E2272">
            <v>45546</v>
          </cell>
          <cell r="F2272">
            <v>156.67</v>
          </cell>
        </row>
        <row r="2272">
          <cell r="H2272">
            <v>45551</v>
          </cell>
          <cell r="I2272">
            <v>60.89</v>
          </cell>
        </row>
        <row r="2272">
          <cell r="K2272">
            <v>45546</v>
          </cell>
          <cell r="L2272">
            <v>136.66</v>
          </cell>
        </row>
        <row r="2272">
          <cell r="N2272">
            <v>45615</v>
          </cell>
          <cell r="O2272">
            <v>121.1</v>
          </cell>
        </row>
        <row r="2273">
          <cell r="B2273">
            <v>45616</v>
          </cell>
          <cell r="C2273">
            <v>109.26</v>
          </cell>
        </row>
        <row r="2273">
          <cell r="E2273">
            <v>45547</v>
          </cell>
          <cell r="F2273">
            <v>158</v>
          </cell>
        </row>
        <row r="2273">
          <cell r="H2273">
            <v>45552</v>
          </cell>
          <cell r="I2273">
            <v>61.37</v>
          </cell>
        </row>
        <row r="2273">
          <cell r="K2273">
            <v>45547</v>
          </cell>
          <cell r="L2273">
            <v>136.93</v>
          </cell>
        </row>
        <row r="2273">
          <cell r="N2273">
            <v>45616</v>
          </cell>
          <cell r="O2273">
            <v>120.77</v>
          </cell>
        </row>
        <row r="2274">
          <cell r="B2274">
            <v>45617</v>
          </cell>
          <cell r="C2274">
            <v>109.99</v>
          </cell>
        </row>
        <row r="2274">
          <cell r="E2274">
            <v>45548</v>
          </cell>
          <cell r="F2274">
            <v>157.98</v>
          </cell>
        </row>
        <row r="2274">
          <cell r="H2274">
            <v>45553</v>
          </cell>
          <cell r="I2274">
            <v>61.61</v>
          </cell>
        </row>
        <row r="2274">
          <cell r="K2274">
            <v>45548</v>
          </cell>
          <cell r="L2274">
            <v>137.03</v>
          </cell>
        </row>
        <row r="2274">
          <cell r="N2274">
            <v>45617</v>
          </cell>
          <cell r="O2274">
            <v>119.98</v>
          </cell>
        </row>
        <row r="2275">
          <cell r="B2275">
            <v>45618</v>
          </cell>
          <cell r="C2275">
            <v>110.19</v>
          </cell>
        </row>
        <row r="2275">
          <cell r="E2275">
            <v>45551</v>
          </cell>
          <cell r="F2275">
            <v>157.71</v>
          </cell>
        </row>
        <row r="2275">
          <cell r="H2275">
            <v>45554</v>
          </cell>
          <cell r="I2275">
            <v>61.86</v>
          </cell>
        </row>
        <row r="2275">
          <cell r="K2275">
            <v>45551</v>
          </cell>
          <cell r="L2275">
            <v>137.53</v>
          </cell>
        </row>
        <row r="2275">
          <cell r="N2275">
            <v>45618</v>
          </cell>
          <cell r="O2275">
            <v>119.11</v>
          </cell>
        </row>
        <row r="2276">
          <cell r="B2276">
            <v>45621</v>
          </cell>
          <cell r="C2276">
            <v>109.63</v>
          </cell>
        </row>
        <row r="2276">
          <cell r="E2276">
            <v>45552</v>
          </cell>
          <cell r="F2276">
            <v>156.94</v>
          </cell>
        </row>
        <row r="2276">
          <cell r="H2276">
            <v>45555</v>
          </cell>
          <cell r="I2276">
            <v>61.35</v>
          </cell>
        </row>
        <row r="2276">
          <cell r="K2276">
            <v>45552</v>
          </cell>
          <cell r="L2276">
            <v>138.23</v>
          </cell>
        </row>
        <row r="2276">
          <cell r="N2276">
            <v>45621</v>
          </cell>
          <cell r="O2276">
            <v>118.33</v>
          </cell>
        </row>
        <row r="2277">
          <cell r="B2277">
            <v>45622</v>
          </cell>
          <cell r="C2277">
            <v>110.38</v>
          </cell>
        </row>
        <row r="2277">
          <cell r="E2277">
            <v>45553</v>
          </cell>
          <cell r="F2277">
            <v>156.34</v>
          </cell>
        </row>
        <row r="2277">
          <cell r="H2277">
            <v>45558</v>
          </cell>
          <cell r="I2277">
            <v>61.18</v>
          </cell>
        </row>
        <row r="2277">
          <cell r="K2277">
            <v>45553</v>
          </cell>
          <cell r="L2277">
            <v>138.4</v>
          </cell>
        </row>
        <row r="2277">
          <cell r="N2277">
            <v>45622</v>
          </cell>
          <cell r="O2277">
            <v>119.08</v>
          </cell>
        </row>
        <row r="2278">
          <cell r="B2278">
            <v>45623</v>
          </cell>
          <cell r="C2278">
            <v>109.66</v>
          </cell>
        </row>
        <row r="2278">
          <cell r="E2278">
            <v>45554</v>
          </cell>
          <cell r="F2278">
            <v>156.65</v>
          </cell>
        </row>
        <row r="2278">
          <cell r="H2278">
            <v>45559</v>
          </cell>
          <cell r="I2278">
            <v>61.17</v>
          </cell>
        </row>
        <row r="2278">
          <cell r="K2278">
            <v>45554</v>
          </cell>
          <cell r="L2278">
            <v>138.61</v>
          </cell>
        </row>
        <row r="2278">
          <cell r="N2278">
            <v>45623</v>
          </cell>
          <cell r="O2278">
            <v>119.23</v>
          </cell>
        </row>
        <row r="2279">
          <cell r="B2279">
            <v>45625</v>
          </cell>
          <cell r="C2279">
            <v>108.89</v>
          </cell>
        </row>
        <row r="2279">
          <cell r="E2279">
            <v>45555</v>
          </cell>
          <cell r="F2279">
            <v>159.98</v>
          </cell>
        </row>
        <row r="2279">
          <cell r="H2279">
            <v>45560</v>
          </cell>
          <cell r="I2279">
            <v>61.11</v>
          </cell>
        </row>
        <row r="2279">
          <cell r="K2279">
            <v>45555</v>
          </cell>
          <cell r="L2279">
            <v>138.93</v>
          </cell>
        </row>
        <row r="2279">
          <cell r="N2279">
            <v>45625</v>
          </cell>
          <cell r="O2279">
            <v>119.39</v>
          </cell>
        </row>
        <row r="2280">
          <cell r="B2280">
            <v>45628</v>
          </cell>
          <cell r="C2280">
            <v>109.64</v>
          </cell>
        </row>
        <row r="2280">
          <cell r="E2280">
            <v>45558</v>
          </cell>
          <cell r="F2280">
            <v>160.47</v>
          </cell>
        </row>
        <row r="2280">
          <cell r="H2280">
            <v>45561</v>
          </cell>
          <cell r="I2280">
            <v>61.45</v>
          </cell>
        </row>
        <row r="2280">
          <cell r="K2280">
            <v>45558</v>
          </cell>
          <cell r="L2280">
            <v>138.88</v>
          </cell>
        </row>
        <row r="2280">
          <cell r="N2280">
            <v>45628</v>
          </cell>
          <cell r="O2280">
            <v>118.79</v>
          </cell>
        </row>
        <row r="2281">
          <cell r="B2281">
            <v>45629</v>
          </cell>
          <cell r="C2281">
            <v>110.55</v>
          </cell>
        </row>
        <row r="2281">
          <cell r="E2281">
            <v>45559</v>
          </cell>
          <cell r="F2281">
            <v>159.81</v>
          </cell>
        </row>
        <row r="2281">
          <cell r="H2281">
            <v>45562</v>
          </cell>
          <cell r="I2281">
            <v>61.31</v>
          </cell>
        </row>
        <row r="2281">
          <cell r="K2281">
            <v>45559</v>
          </cell>
          <cell r="L2281">
            <v>138.5</v>
          </cell>
        </row>
        <row r="2281">
          <cell r="N2281">
            <v>45629</v>
          </cell>
          <cell r="O2281">
            <v>119.31</v>
          </cell>
        </row>
        <row r="2282">
          <cell r="B2282">
            <v>45630</v>
          </cell>
          <cell r="C2282">
            <v>110.07</v>
          </cell>
        </row>
        <row r="2282">
          <cell r="E2282">
            <v>45560</v>
          </cell>
          <cell r="F2282">
            <v>162.44</v>
          </cell>
        </row>
        <row r="2282">
          <cell r="H2282">
            <v>45565</v>
          </cell>
          <cell r="I2282">
            <v>61.17</v>
          </cell>
        </row>
        <row r="2282">
          <cell r="K2282">
            <v>45560</v>
          </cell>
          <cell r="L2282">
            <v>138.67</v>
          </cell>
        </row>
        <row r="2282">
          <cell r="N2282">
            <v>45630</v>
          </cell>
          <cell r="O2282">
            <v>119.28</v>
          </cell>
        </row>
        <row r="2283">
          <cell r="B2283">
            <v>45631</v>
          </cell>
          <cell r="C2283">
            <v>110.05</v>
          </cell>
        </row>
        <row r="2283">
          <cell r="E2283">
            <v>45561</v>
          </cell>
          <cell r="F2283">
            <v>159.21</v>
          </cell>
        </row>
        <row r="2283">
          <cell r="H2283">
            <v>45566</v>
          </cell>
          <cell r="I2283">
            <v>60.93</v>
          </cell>
        </row>
        <row r="2283">
          <cell r="K2283">
            <v>45561</v>
          </cell>
          <cell r="L2283">
            <v>137.29</v>
          </cell>
        </row>
        <row r="2283">
          <cell r="N2283">
            <v>45631</v>
          </cell>
          <cell r="O2283">
            <v>119.8</v>
          </cell>
        </row>
        <row r="2284">
          <cell r="B2284">
            <v>45632</v>
          </cell>
          <cell r="C2284">
            <v>109.49</v>
          </cell>
        </row>
        <row r="2284">
          <cell r="E2284">
            <v>45562</v>
          </cell>
          <cell r="F2284">
            <v>157.24</v>
          </cell>
        </row>
        <row r="2284">
          <cell r="H2284">
            <v>45567</v>
          </cell>
          <cell r="I2284">
            <v>60.67</v>
          </cell>
        </row>
        <row r="2284">
          <cell r="K2284">
            <v>45562</v>
          </cell>
          <cell r="L2284">
            <v>137.52</v>
          </cell>
        </row>
        <row r="2284">
          <cell r="N2284">
            <v>45632</v>
          </cell>
          <cell r="O2284">
            <v>119.96</v>
          </cell>
        </row>
        <row r="2285">
          <cell r="B2285">
            <v>45635</v>
          </cell>
          <cell r="C2285">
            <v>109.19</v>
          </cell>
        </row>
        <row r="2285">
          <cell r="E2285">
            <v>45565</v>
          </cell>
          <cell r="F2285">
            <v>158.62</v>
          </cell>
        </row>
        <row r="2285">
          <cell r="H2285">
            <v>45568</v>
          </cell>
          <cell r="I2285">
            <v>60.55</v>
          </cell>
        </row>
        <row r="2285">
          <cell r="K2285">
            <v>45565</v>
          </cell>
          <cell r="L2285">
            <v>137.92</v>
          </cell>
        </row>
        <row r="2285">
          <cell r="N2285">
            <v>45635</v>
          </cell>
          <cell r="O2285">
            <v>119.55</v>
          </cell>
        </row>
        <row r="2286">
          <cell r="B2286">
            <v>45636</v>
          </cell>
          <cell r="C2286">
            <v>108.58</v>
          </cell>
        </row>
        <row r="2286">
          <cell r="E2286">
            <v>45566</v>
          </cell>
          <cell r="F2286">
            <v>158.62</v>
          </cell>
        </row>
        <row r="2286">
          <cell r="H2286">
            <v>45569</v>
          </cell>
          <cell r="I2286">
            <v>60.53</v>
          </cell>
        </row>
        <row r="2286">
          <cell r="K2286">
            <v>45566</v>
          </cell>
          <cell r="L2286">
            <v>138.55</v>
          </cell>
        </row>
        <row r="2286">
          <cell r="N2286">
            <v>45636</v>
          </cell>
          <cell r="O2286">
            <v>119.11</v>
          </cell>
        </row>
        <row r="2287">
          <cell r="B2287">
            <v>45637</v>
          </cell>
          <cell r="C2287">
            <v>108.74</v>
          </cell>
        </row>
        <row r="2287">
          <cell r="E2287">
            <v>45567</v>
          </cell>
          <cell r="F2287">
            <v>159.79</v>
          </cell>
        </row>
        <row r="2287">
          <cell r="H2287">
            <v>45572</v>
          </cell>
          <cell r="I2287">
            <v>60.77</v>
          </cell>
        </row>
        <row r="2287">
          <cell r="K2287">
            <v>45567</v>
          </cell>
          <cell r="L2287">
            <v>138.29</v>
          </cell>
        </row>
        <row r="2287">
          <cell r="N2287">
            <v>45637</v>
          </cell>
          <cell r="O2287">
            <v>118.86</v>
          </cell>
        </row>
        <row r="2288">
          <cell r="B2288">
            <v>45638</v>
          </cell>
          <cell r="C2288">
            <v>109.77</v>
          </cell>
        </row>
        <row r="2288">
          <cell r="E2288">
            <v>45568</v>
          </cell>
          <cell r="F2288">
            <v>160.23</v>
          </cell>
        </row>
        <row r="2288">
          <cell r="H2288">
            <v>45573</v>
          </cell>
          <cell r="I2288">
            <v>60.32</v>
          </cell>
        </row>
        <row r="2288">
          <cell r="K2288">
            <v>45568</v>
          </cell>
          <cell r="L2288">
            <v>139.17</v>
          </cell>
        </row>
        <row r="2288">
          <cell r="N2288">
            <v>45638</v>
          </cell>
          <cell r="O2288">
            <v>119.2</v>
          </cell>
        </row>
        <row r="2289">
          <cell r="B2289">
            <v>45639</v>
          </cell>
          <cell r="C2289">
            <v>109.67</v>
          </cell>
        </row>
        <row r="2289">
          <cell r="E2289">
            <v>45569</v>
          </cell>
          <cell r="F2289">
            <v>160.25</v>
          </cell>
        </row>
        <row r="2289">
          <cell r="H2289">
            <v>45574</v>
          </cell>
          <cell r="I2289">
            <v>60.54</v>
          </cell>
        </row>
        <row r="2289">
          <cell r="K2289">
            <v>45569</v>
          </cell>
          <cell r="L2289">
            <v>139.29</v>
          </cell>
        </row>
        <row r="2289">
          <cell r="N2289">
            <v>45639</v>
          </cell>
          <cell r="O2289">
            <v>119.95</v>
          </cell>
        </row>
        <row r="2290">
          <cell r="B2290">
            <v>45642</v>
          </cell>
          <cell r="C2290">
            <v>109.18</v>
          </cell>
        </row>
        <row r="2290">
          <cell r="E2290">
            <v>45572</v>
          </cell>
          <cell r="F2290">
            <v>160.71</v>
          </cell>
        </row>
        <row r="2290">
          <cell r="H2290">
            <v>45575</v>
          </cell>
          <cell r="I2290">
            <v>60.61</v>
          </cell>
        </row>
        <row r="2290">
          <cell r="K2290">
            <v>45572</v>
          </cell>
          <cell r="L2290">
            <v>138.53</v>
          </cell>
        </row>
        <row r="2290">
          <cell r="N2290">
            <v>45642</v>
          </cell>
          <cell r="O2290">
            <v>119.34</v>
          </cell>
        </row>
        <row r="2291">
          <cell r="B2291">
            <v>45643</v>
          </cell>
          <cell r="C2291">
            <v>108.66</v>
          </cell>
        </row>
        <row r="2291">
          <cell r="E2291">
            <v>45573</v>
          </cell>
          <cell r="F2291">
            <v>162.21</v>
          </cell>
        </row>
        <row r="2291">
          <cell r="H2291">
            <v>45576</v>
          </cell>
          <cell r="I2291">
            <v>60.24</v>
          </cell>
        </row>
        <row r="2291">
          <cell r="K2291">
            <v>45573</v>
          </cell>
          <cell r="L2291">
            <v>139.23</v>
          </cell>
        </row>
        <row r="2291">
          <cell r="N2291">
            <v>45643</v>
          </cell>
          <cell r="O2291">
            <v>119.98</v>
          </cell>
        </row>
        <row r="2292">
          <cell r="B2292">
            <v>45644</v>
          </cell>
          <cell r="C2292">
            <v>108.52</v>
          </cell>
        </row>
        <row r="2292">
          <cell r="E2292">
            <v>45574</v>
          </cell>
          <cell r="F2292">
            <v>162.14</v>
          </cell>
        </row>
        <row r="2292">
          <cell r="H2292">
            <v>45579</v>
          </cell>
          <cell r="I2292">
            <v>60.28</v>
          </cell>
        </row>
        <row r="2292">
          <cell r="K2292">
            <v>45574</v>
          </cell>
          <cell r="L2292">
            <v>139.37</v>
          </cell>
        </row>
        <row r="2292">
          <cell r="N2292">
            <v>45644</v>
          </cell>
          <cell r="O2292">
            <v>120.8</v>
          </cell>
        </row>
        <row r="2293">
          <cell r="B2293">
            <v>45645</v>
          </cell>
          <cell r="C2293">
            <v>109.51</v>
          </cell>
        </row>
        <row r="2293">
          <cell r="E2293">
            <v>45575</v>
          </cell>
          <cell r="F2293">
            <v>160.91</v>
          </cell>
        </row>
        <row r="2293">
          <cell r="H2293">
            <v>45580</v>
          </cell>
          <cell r="I2293">
            <v>59.6</v>
          </cell>
        </row>
        <row r="2293">
          <cell r="K2293">
            <v>45575</v>
          </cell>
          <cell r="L2293">
            <v>139.67</v>
          </cell>
        </row>
        <row r="2293">
          <cell r="N2293">
            <v>45645</v>
          </cell>
          <cell r="O2293">
            <v>120.3</v>
          </cell>
        </row>
        <row r="2294">
          <cell r="B2294">
            <v>45646</v>
          </cell>
          <cell r="C2294">
            <v>109.49</v>
          </cell>
        </row>
        <row r="2294">
          <cell r="E2294">
            <v>45576</v>
          </cell>
          <cell r="F2294">
            <v>162.78</v>
          </cell>
        </row>
        <row r="2294">
          <cell r="H2294">
            <v>45581</v>
          </cell>
          <cell r="I2294">
            <v>60.11</v>
          </cell>
        </row>
        <row r="2294">
          <cell r="K2294">
            <v>45576</v>
          </cell>
          <cell r="L2294">
            <v>139.47</v>
          </cell>
        </row>
        <row r="2294">
          <cell r="N2294">
            <v>45646</v>
          </cell>
          <cell r="O2294">
            <v>121.03</v>
          </cell>
        </row>
        <row r="2295">
          <cell r="B2295">
            <v>45649</v>
          </cell>
          <cell r="C2295">
            <v>109.54</v>
          </cell>
        </row>
        <row r="2295">
          <cell r="E2295">
            <v>45579</v>
          </cell>
          <cell r="F2295">
            <v>163.52</v>
          </cell>
        </row>
        <row r="2295">
          <cell r="H2295">
            <v>45582</v>
          </cell>
          <cell r="I2295">
            <v>60.34</v>
          </cell>
        </row>
        <row r="2295">
          <cell r="K2295">
            <v>45579</v>
          </cell>
          <cell r="L2295">
            <v>139.93</v>
          </cell>
        </row>
        <row r="2295">
          <cell r="N2295">
            <v>45649</v>
          </cell>
          <cell r="O2295">
            <v>121.92</v>
          </cell>
        </row>
        <row r="2296">
          <cell r="B2296">
            <v>45650</v>
          </cell>
          <cell r="C2296">
            <v>109.33</v>
          </cell>
        </row>
        <row r="2296">
          <cell r="E2296">
            <v>45580</v>
          </cell>
          <cell r="F2296">
            <v>163.52</v>
          </cell>
        </row>
        <row r="2296">
          <cell r="H2296">
            <v>45583</v>
          </cell>
          <cell r="I2296">
            <v>60.06</v>
          </cell>
        </row>
        <row r="2296">
          <cell r="K2296">
            <v>45580</v>
          </cell>
          <cell r="L2296">
            <v>139.97</v>
          </cell>
        </row>
        <row r="2296">
          <cell r="N2296">
            <v>45650</v>
          </cell>
          <cell r="O2296">
            <v>121.92</v>
          </cell>
        </row>
        <row r="2297">
          <cell r="B2297">
            <v>45652</v>
          </cell>
          <cell r="C2297">
            <v>109.35</v>
          </cell>
        </row>
        <row r="2297">
          <cell r="E2297">
            <v>45581</v>
          </cell>
          <cell r="F2297">
            <v>164.07</v>
          </cell>
        </row>
        <row r="2297">
          <cell r="H2297">
            <v>45586</v>
          </cell>
          <cell r="I2297">
            <v>59.68</v>
          </cell>
        </row>
        <row r="2297">
          <cell r="K2297">
            <v>45581</v>
          </cell>
          <cell r="L2297">
            <v>140.58</v>
          </cell>
        </row>
        <row r="2297">
          <cell r="N2297">
            <v>45652</v>
          </cell>
          <cell r="O2297">
            <v>121.07</v>
          </cell>
        </row>
        <row r="2298">
          <cell r="B2298">
            <v>45653</v>
          </cell>
          <cell r="C2298">
            <v>109.85</v>
          </cell>
        </row>
        <row r="2298">
          <cell r="E2298">
            <v>45582</v>
          </cell>
          <cell r="F2298">
            <v>163.83</v>
          </cell>
        </row>
        <row r="2298">
          <cell r="H2298">
            <v>45587</v>
          </cell>
          <cell r="I2298">
            <v>60.09</v>
          </cell>
        </row>
        <row r="2298">
          <cell r="K2298">
            <v>45582</v>
          </cell>
          <cell r="L2298">
            <v>140.17</v>
          </cell>
        </row>
        <row r="2298">
          <cell r="N2298">
            <v>45653</v>
          </cell>
          <cell r="O2298">
            <v>121.45</v>
          </cell>
        </row>
        <row r="2299">
          <cell r="B2299">
            <v>45656</v>
          </cell>
          <cell r="C2299">
            <v>109.99</v>
          </cell>
        </row>
        <row r="2299">
          <cell r="E2299">
            <v>45583</v>
          </cell>
          <cell r="F2299">
            <v>164.24</v>
          </cell>
        </row>
        <row r="2299">
          <cell r="H2299">
            <v>45588</v>
          </cell>
          <cell r="I2299">
            <v>60.33</v>
          </cell>
        </row>
        <row r="2299">
          <cell r="K2299">
            <v>45583</v>
          </cell>
          <cell r="L2299">
            <v>139.77</v>
          </cell>
        </row>
        <row r="2299">
          <cell r="N2299">
            <v>45656</v>
          </cell>
          <cell r="O2299">
            <v>121.04</v>
          </cell>
        </row>
        <row r="2300">
          <cell r="B2300">
            <v>45657</v>
          </cell>
          <cell r="C2300">
            <v>109.56</v>
          </cell>
        </row>
        <row r="2300">
          <cell r="E2300">
            <v>45586</v>
          </cell>
          <cell r="F2300">
            <v>164.97</v>
          </cell>
        </row>
        <row r="2300">
          <cell r="H2300">
            <v>45589</v>
          </cell>
          <cell r="I2300">
            <v>60.1</v>
          </cell>
        </row>
        <row r="2300">
          <cell r="K2300">
            <v>45586</v>
          </cell>
          <cell r="L2300">
            <v>139.85</v>
          </cell>
        </row>
        <row r="2300">
          <cell r="N2300">
            <v>45657</v>
          </cell>
          <cell r="O2300">
            <v>120.84</v>
          </cell>
        </row>
        <row r="2301">
          <cell r="B2301">
            <v>45659</v>
          </cell>
          <cell r="C2301">
            <v>110.73</v>
          </cell>
        </row>
        <row r="2301">
          <cell r="E2301">
            <v>45587</v>
          </cell>
          <cell r="F2301">
            <v>164.66</v>
          </cell>
        </row>
        <row r="2301">
          <cell r="H2301">
            <v>45590</v>
          </cell>
          <cell r="I2301">
            <v>60.01</v>
          </cell>
        </row>
        <row r="2301">
          <cell r="K2301">
            <v>45587</v>
          </cell>
          <cell r="L2301">
            <v>138.19</v>
          </cell>
        </row>
        <row r="2301">
          <cell r="N2301">
            <v>45659</v>
          </cell>
          <cell r="O2301">
            <v>121.28</v>
          </cell>
        </row>
        <row r="2302">
          <cell r="B2302">
            <v>45660</v>
          </cell>
          <cell r="C2302">
            <v>110.69</v>
          </cell>
        </row>
        <row r="2302">
          <cell r="E2302">
            <v>45588</v>
          </cell>
          <cell r="F2302">
            <v>165.41</v>
          </cell>
        </row>
        <row r="2302">
          <cell r="H2302">
            <v>45593</v>
          </cell>
          <cell r="I2302">
            <v>60.11</v>
          </cell>
        </row>
        <row r="2302">
          <cell r="K2302">
            <v>45588</v>
          </cell>
          <cell r="L2302">
            <v>138.56</v>
          </cell>
        </row>
        <row r="2302">
          <cell r="N2302">
            <v>45660</v>
          </cell>
          <cell r="O2302">
            <v>121.26</v>
          </cell>
        </row>
        <row r="2303">
          <cell r="B2303">
            <v>45663</v>
          </cell>
          <cell r="C2303">
            <v>112.12</v>
          </cell>
        </row>
        <row r="2303">
          <cell r="E2303">
            <v>45589</v>
          </cell>
          <cell r="F2303">
            <v>164.57</v>
          </cell>
        </row>
        <row r="2303">
          <cell r="H2303">
            <v>45594</v>
          </cell>
          <cell r="I2303">
            <v>59.75</v>
          </cell>
        </row>
        <row r="2303">
          <cell r="K2303">
            <v>45589</v>
          </cell>
          <cell r="L2303">
            <v>138.83</v>
          </cell>
        </row>
        <row r="2303">
          <cell r="N2303">
            <v>45663</v>
          </cell>
          <cell r="O2303">
            <v>122.07</v>
          </cell>
        </row>
        <row r="2304">
          <cell r="B2304">
            <v>45664</v>
          </cell>
          <cell r="C2304">
            <v>112.09</v>
          </cell>
        </row>
        <row r="2304">
          <cell r="E2304">
            <v>45590</v>
          </cell>
          <cell r="F2304">
            <v>163.28</v>
          </cell>
        </row>
        <row r="2304">
          <cell r="H2304">
            <v>45595</v>
          </cell>
          <cell r="I2304">
            <v>59.38</v>
          </cell>
        </row>
        <row r="2304">
          <cell r="K2304">
            <v>45590</v>
          </cell>
          <cell r="L2304">
            <v>139.08</v>
          </cell>
        </row>
        <row r="2304">
          <cell r="N2304">
            <v>45664</v>
          </cell>
          <cell r="O2304">
            <v>122.42</v>
          </cell>
        </row>
        <row r="2305">
          <cell r="B2305">
            <v>45665</v>
          </cell>
          <cell r="C2305">
            <v>111.65</v>
          </cell>
        </row>
        <row r="2305">
          <cell r="E2305">
            <v>45593</v>
          </cell>
          <cell r="F2305">
            <v>163.3</v>
          </cell>
        </row>
        <row r="2305">
          <cell r="H2305">
            <v>45596</v>
          </cell>
          <cell r="I2305">
            <v>58.77</v>
          </cell>
        </row>
        <row r="2305">
          <cell r="K2305">
            <v>45593</v>
          </cell>
          <cell r="L2305">
            <v>138.92</v>
          </cell>
        </row>
        <row r="2305">
          <cell r="N2305">
            <v>45665</v>
          </cell>
          <cell r="O2305">
            <v>122.78</v>
          </cell>
        </row>
        <row r="2306">
          <cell r="B2306">
            <v>45667</v>
          </cell>
          <cell r="C2306">
            <v>111.81</v>
          </cell>
        </row>
        <row r="2306">
          <cell r="E2306">
            <v>45594</v>
          </cell>
          <cell r="F2306">
            <v>164.46</v>
          </cell>
        </row>
        <row r="2306">
          <cell r="H2306">
            <v>45597</v>
          </cell>
          <cell r="I2306">
            <v>58.83</v>
          </cell>
        </row>
        <row r="2306">
          <cell r="K2306">
            <v>45594</v>
          </cell>
          <cell r="L2306">
            <v>138.65</v>
          </cell>
        </row>
        <row r="2306">
          <cell r="N2306">
            <v>45667</v>
          </cell>
          <cell r="O2306">
            <v>123.74</v>
          </cell>
        </row>
        <row r="2307">
          <cell r="B2307">
            <v>45670</v>
          </cell>
          <cell r="C2307">
            <v>112.03</v>
          </cell>
        </row>
        <row r="2307">
          <cell r="E2307">
            <v>45595</v>
          </cell>
          <cell r="F2307">
            <v>164.09</v>
          </cell>
        </row>
        <row r="2307">
          <cell r="H2307">
            <v>45600</v>
          </cell>
          <cell r="I2307">
            <v>58.84</v>
          </cell>
        </row>
        <row r="2307">
          <cell r="K2307">
            <v>45595</v>
          </cell>
          <cell r="L2307">
            <v>139.18</v>
          </cell>
        </row>
        <row r="2307">
          <cell r="N2307">
            <v>45670</v>
          </cell>
          <cell r="O2307">
            <v>123.42</v>
          </cell>
        </row>
        <row r="2308">
          <cell r="B2308">
            <v>45671</v>
          </cell>
          <cell r="C2308">
            <v>112.24</v>
          </cell>
        </row>
        <row r="2308">
          <cell r="E2308">
            <v>45596</v>
          </cell>
          <cell r="F2308">
            <v>163.73</v>
          </cell>
        </row>
        <row r="2308">
          <cell r="H2308">
            <v>45601</v>
          </cell>
          <cell r="I2308">
            <v>58.48</v>
          </cell>
        </row>
        <row r="2308">
          <cell r="K2308">
            <v>45596</v>
          </cell>
          <cell r="L2308">
            <v>139.49</v>
          </cell>
        </row>
        <row r="2308">
          <cell r="N2308">
            <v>45671</v>
          </cell>
          <cell r="O2308">
            <v>122.62</v>
          </cell>
        </row>
        <row r="2309">
          <cell r="B2309">
            <v>45672</v>
          </cell>
          <cell r="C2309">
            <v>111.51</v>
          </cell>
        </row>
        <row r="2309">
          <cell r="E2309">
            <v>45597</v>
          </cell>
          <cell r="F2309">
            <v>160.71</v>
          </cell>
        </row>
        <row r="2309">
          <cell r="H2309">
            <v>45602</v>
          </cell>
          <cell r="I2309">
            <v>59.4</v>
          </cell>
        </row>
        <row r="2309">
          <cell r="K2309">
            <v>45597</v>
          </cell>
          <cell r="L2309">
            <v>139.34</v>
          </cell>
        </row>
        <row r="2309">
          <cell r="N2309">
            <v>45672</v>
          </cell>
          <cell r="O2309">
            <v>122.44</v>
          </cell>
        </row>
        <row r="2310">
          <cell r="B2310">
            <v>45673</v>
          </cell>
          <cell r="C2310">
            <v>111.84</v>
          </cell>
        </row>
        <row r="2310">
          <cell r="E2310">
            <v>45600</v>
          </cell>
          <cell r="F2310">
            <v>160.69</v>
          </cell>
        </row>
        <row r="2310">
          <cell r="H2310">
            <v>45603</v>
          </cell>
          <cell r="I2310">
            <v>58.65</v>
          </cell>
        </row>
        <row r="2310">
          <cell r="K2310">
            <v>45600</v>
          </cell>
          <cell r="L2310">
            <v>139.38</v>
          </cell>
        </row>
        <row r="2310">
          <cell r="N2310">
            <v>45673</v>
          </cell>
          <cell r="O2310">
            <v>122.84</v>
          </cell>
        </row>
        <row r="2311">
          <cell r="B2311">
            <v>45674</v>
          </cell>
          <cell r="C2311">
            <v>111.61</v>
          </cell>
        </row>
        <row r="2311">
          <cell r="E2311">
            <v>45601</v>
          </cell>
          <cell r="F2311">
            <v>162.73</v>
          </cell>
        </row>
        <row r="2311">
          <cell r="H2311">
            <v>45604</v>
          </cell>
          <cell r="I2311">
            <v>58.03</v>
          </cell>
        </row>
        <row r="2311">
          <cell r="K2311">
            <v>45601</v>
          </cell>
          <cell r="L2311">
            <v>139.22</v>
          </cell>
        </row>
        <row r="2311">
          <cell r="N2311">
            <v>45674</v>
          </cell>
          <cell r="O2311">
            <v>123.64</v>
          </cell>
        </row>
        <row r="2312">
          <cell r="B2312">
            <v>45678</v>
          </cell>
          <cell r="C2312">
            <v>110.99</v>
          </cell>
        </row>
        <row r="2312">
          <cell r="E2312">
            <v>45602</v>
          </cell>
          <cell r="F2312">
            <v>164.37</v>
          </cell>
        </row>
        <row r="2312">
          <cell r="H2312">
            <v>45607</v>
          </cell>
          <cell r="I2312">
            <v>57.65</v>
          </cell>
        </row>
        <row r="2312">
          <cell r="K2312">
            <v>45602</v>
          </cell>
          <cell r="L2312">
            <v>140.95</v>
          </cell>
        </row>
        <row r="2312">
          <cell r="N2312">
            <v>45678</v>
          </cell>
          <cell r="O2312">
            <v>122.88</v>
          </cell>
        </row>
        <row r="2313">
          <cell r="B2313">
            <v>45679</v>
          </cell>
          <cell r="C2313">
            <v>111.15</v>
          </cell>
        </row>
        <row r="2313">
          <cell r="E2313">
            <v>45603</v>
          </cell>
          <cell r="F2313">
            <v>166.5</v>
          </cell>
        </row>
        <row r="2313">
          <cell r="H2313">
            <v>45608</v>
          </cell>
          <cell r="I2313">
            <v>57.34</v>
          </cell>
        </row>
        <row r="2313">
          <cell r="K2313">
            <v>45603</v>
          </cell>
          <cell r="L2313">
            <v>141.84</v>
          </cell>
        </row>
        <row r="2313">
          <cell r="N2313">
            <v>45679</v>
          </cell>
          <cell r="O2313">
            <v>123.81</v>
          </cell>
        </row>
        <row r="2314">
          <cell r="B2314">
            <v>45680</v>
          </cell>
          <cell r="C2314">
            <v>111.63</v>
          </cell>
        </row>
        <row r="2314">
          <cell r="E2314">
            <v>45604</v>
          </cell>
          <cell r="F2314">
            <v>171.14</v>
          </cell>
        </row>
        <row r="2314">
          <cell r="H2314">
            <v>45609</v>
          </cell>
          <cell r="I2314">
            <v>56.93</v>
          </cell>
        </row>
        <row r="2314">
          <cell r="K2314">
            <v>45604</v>
          </cell>
          <cell r="L2314">
            <v>143.54</v>
          </cell>
        </row>
        <row r="2314">
          <cell r="N2314">
            <v>45680</v>
          </cell>
          <cell r="O2314">
            <v>124.55</v>
          </cell>
        </row>
        <row r="2315">
          <cell r="B2315">
            <v>45681</v>
          </cell>
          <cell r="C2315">
            <v>111.91</v>
          </cell>
        </row>
        <row r="2315">
          <cell r="E2315">
            <v>45607</v>
          </cell>
          <cell r="F2315">
            <v>171.13</v>
          </cell>
        </row>
        <row r="2315">
          <cell r="H2315">
            <v>45610</v>
          </cell>
          <cell r="I2315">
            <v>57.31</v>
          </cell>
        </row>
        <row r="2315">
          <cell r="K2315">
            <v>45607</v>
          </cell>
          <cell r="L2315">
            <v>143.78</v>
          </cell>
        </row>
        <row r="2315">
          <cell r="N2315">
            <v>45681</v>
          </cell>
          <cell r="O2315">
            <v>124.33</v>
          </cell>
        </row>
        <row r="2316">
          <cell r="B2316">
            <v>45684</v>
          </cell>
          <cell r="C2316">
            <v>110.95</v>
          </cell>
        </row>
        <row r="2316">
          <cell r="E2316">
            <v>45608</v>
          </cell>
          <cell r="F2316">
            <v>171.6</v>
          </cell>
        </row>
        <row r="2316">
          <cell r="H2316">
            <v>45611</v>
          </cell>
          <cell r="I2316">
            <v>57.87</v>
          </cell>
        </row>
        <row r="2316">
          <cell r="K2316">
            <v>45608</v>
          </cell>
          <cell r="L2316">
            <v>144.34</v>
          </cell>
        </row>
        <row r="2316">
          <cell r="N2316">
            <v>45684</v>
          </cell>
          <cell r="O2316">
            <v>123.52</v>
          </cell>
        </row>
        <row r="2317">
          <cell r="B2317">
            <v>45685</v>
          </cell>
          <cell r="C2317">
            <v>112.06</v>
          </cell>
        </row>
        <row r="2317">
          <cell r="E2317">
            <v>45609</v>
          </cell>
          <cell r="F2317">
            <v>168.89</v>
          </cell>
        </row>
        <row r="2317">
          <cell r="H2317">
            <v>45614</v>
          </cell>
          <cell r="I2317">
            <v>57.49</v>
          </cell>
        </row>
        <row r="2317">
          <cell r="K2317">
            <v>45609</v>
          </cell>
          <cell r="L2317">
            <v>143.88</v>
          </cell>
        </row>
        <row r="2317">
          <cell r="N2317">
            <v>45685</v>
          </cell>
          <cell r="O2317">
            <v>123.24</v>
          </cell>
        </row>
        <row r="2318">
          <cell r="B2318">
            <v>45686</v>
          </cell>
          <cell r="C2318">
            <v>112.49</v>
          </cell>
        </row>
        <row r="2318">
          <cell r="E2318">
            <v>45610</v>
          </cell>
          <cell r="F2318">
            <v>168.4</v>
          </cell>
        </row>
        <row r="2318">
          <cell r="H2318">
            <v>45615</v>
          </cell>
          <cell r="I2318">
            <v>57.08</v>
          </cell>
        </row>
        <row r="2318">
          <cell r="K2318">
            <v>45610</v>
          </cell>
          <cell r="L2318">
            <v>143.7</v>
          </cell>
        </row>
        <row r="2318">
          <cell r="N2318">
            <v>45686</v>
          </cell>
          <cell r="O2318">
            <v>123.96</v>
          </cell>
        </row>
        <row r="2319">
          <cell r="B2319">
            <v>45687</v>
          </cell>
          <cell r="C2319">
            <v>112.01</v>
          </cell>
        </row>
        <row r="2319">
          <cell r="E2319">
            <v>45611</v>
          </cell>
          <cell r="F2319">
            <v>170.65</v>
          </cell>
        </row>
        <row r="2319">
          <cell r="H2319">
            <v>45616</v>
          </cell>
          <cell r="I2319">
            <v>56.99</v>
          </cell>
        </row>
        <row r="2319">
          <cell r="K2319">
            <v>45611</v>
          </cell>
          <cell r="L2319">
            <v>144.36</v>
          </cell>
        </row>
        <row r="2319">
          <cell r="N2319">
            <v>45687</v>
          </cell>
          <cell r="O2319">
            <v>124.1</v>
          </cell>
        </row>
        <row r="2320">
          <cell r="B2320">
            <v>45688</v>
          </cell>
          <cell r="C2320">
            <v>112.03</v>
          </cell>
        </row>
        <row r="2320">
          <cell r="E2320">
            <v>45614</v>
          </cell>
          <cell r="F2320">
            <v>171.43</v>
          </cell>
        </row>
        <row r="2320">
          <cell r="H2320">
            <v>45617</v>
          </cell>
          <cell r="I2320">
            <v>56.5</v>
          </cell>
        </row>
        <row r="2320">
          <cell r="K2320">
            <v>45614</v>
          </cell>
          <cell r="L2320">
            <v>143.24</v>
          </cell>
        </row>
        <row r="2320">
          <cell r="N2320">
            <v>45688</v>
          </cell>
          <cell r="O2320">
            <v>124.24</v>
          </cell>
        </row>
        <row r="2321">
          <cell r="B2321">
            <v>45691</v>
          </cell>
          <cell r="C2321">
            <v>112.34</v>
          </cell>
        </row>
        <row r="2321">
          <cell r="E2321">
            <v>45615</v>
          </cell>
          <cell r="F2321">
            <v>174.7</v>
          </cell>
        </row>
        <row r="2321">
          <cell r="H2321">
            <v>45618</v>
          </cell>
          <cell r="I2321">
            <v>56.68</v>
          </cell>
        </row>
        <row r="2321">
          <cell r="K2321">
            <v>45615</v>
          </cell>
          <cell r="L2321">
            <v>142.88</v>
          </cell>
        </row>
        <row r="2321">
          <cell r="N2321">
            <v>45691</v>
          </cell>
          <cell r="O2321">
            <v>124.61</v>
          </cell>
        </row>
        <row r="2322">
          <cell r="B2322">
            <v>45692</v>
          </cell>
          <cell r="C2322">
            <v>112.16</v>
          </cell>
        </row>
        <row r="2322">
          <cell r="E2322">
            <v>45616</v>
          </cell>
          <cell r="F2322">
            <v>174.71</v>
          </cell>
        </row>
        <row r="2322">
          <cell r="H2322">
            <v>45621</v>
          </cell>
          <cell r="I2322">
            <v>57.09</v>
          </cell>
        </row>
        <row r="2322">
          <cell r="K2322">
            <v>45616</v>
          </cell>
          <cell r="L2322">
            <v>143.33</v>
          </cell>
        </row>
        <row r="2322">
          <cell r="N2322">
            <v>45692</v>
          </cell>
          <cell r="O2322">
            <v>123.58</v>
          </cell>
        </row>
        <row r="2323">
          <cell r="B2323">
            <v>45693</v>
          </cell>
          <cell r="C2323">
            <v>111.98</v>
          </cell>
        </row>
        <row r="2323">
          <cell r="E2323">
            <v>45617</v>
          </cell>
          <cell r="F2323">
            <v>172.87</v>
          </cell>
        </row>
        <row r="2323">
          <cell r="H2323">
            <v>45622</v>
          </cell>
          <cell r="I2323">
            <v>56.16</v>
          </cell>
        </row>
        <row r="2323">
          <cell r="K2323">
            <v>45617</v>
          </cell>
          <cell r="L2323">
            <v>142.88</v>
          </cell>
        </row>
        <row r="2323">
          <cell r="N2323">
            <v>45693</v>
          </cell>
          <cell r="O2323">
            <v>123.46</v>
          </cell>
        </row>
        <row r="2324">
          <cell r="B2324">
            <v>45694</v>
          </cell>
          <cell r="C2324">
            <v>112.82</v>
          </cell>
        </row>
        <row r="2324">
          <cell r="E2324">
            <v>45618</v>
          </cell>
          <cell r="F2324">
            <v>173.22</v>
          </cell>
        </row>
        <row r="2324">
          <cell r="H2324">
            <v>45623</v>
          </cell>
          <cell r="I2324">
            <v>56.12</v>
          </cell>
        </row>
        <row r="2324">
          <cell r="K2324">
            <v>45618</v>
          </cell>
          <cell r="L2324">
            <v>143.43</v>
          </cell>
        </row>
        <row r="2324">
          <cell r="N2324">
            <v>45694</v>
          </cell>
          <cell r="O2324">
            <v>124.48</v>
          </cell>
        </row>
        <row r="2325">
          <cell r="B2325">
            <v>45695</v>
          </cell>
          <cell r="C2325">
            <v>113.75</v>
          </cell>
        </row>
        <row r="2325">
          <cell r="E2325">
            <v>45621</v>
          </cell>
          <cell r="F2325">
            <v>169.82</v>
          </cell>
        </row>
        <row r="2325">
          <cell r="H2325">
            <v>45624</v>
          </cell>
          <cell r="I2325">
            <v>56.13</v>
          </cell>
        </row>
        <row r="2325">
          <cell r="K2325">
            <v>45621</v>
          </cell>
          <cell r="L2325">
            <v>143.92</v>
          </cell>
        </row>
        <row r="2325">
          <cell r="N2325">
            <v>45695</v>
          </cell>
          <cell r="O2325">
            <v>124.74</v>
          </cell>
        </row>
        <row r="2326">
          <cell r="B2326">
            <v>45698</v>
          </cell>
          <cell r="C2326">
            <v>113.41</v>
          </cell>
        </row>
        <row r="2326">
          <cell r="E2326">
            <v>45622</v>
          </cell>
          <cell r="F2326">
            <v>172.05</v>
          </cell>
        </row>
        <row r="2326">
          <cell r="H2326">
            <v>45625</v>
          </cell>
          <cell r="I2326">
            <v>56.02</v>
          </cell>
        </row>
        <row r="2326">
          <cell r="K2326">
            <v>45622</v>
          </cell>
          <cell r="L2326">
            <v>145.07</v>
          </cell>
        </row>
        <row r="2326">
          <cell r="N2326">
            <v>45698</v>
          </cell>
          <cell r="O2326">
            <v>124.95</v>
          </cell>
        </row>
        <row r="2327">
          <cell r="B2327">
            <v>45699</v>
          </cell>
          <cell r="C2327">
            <v>112.89</v>
          </cell>
        </row>
        <row r="2327">
          <cell r="E2327">
            <v>45623</v>
          </cell>
          <cell r="F2327">
            <v>170.55</v>
          </cell>
        </row>
        <row r="2327">
          <cell r="H2327">
            <v>45628</v>
          </cell>
          <cell r="I2327">
            <v>56.34</v>
          </cell>
        </row>
        <row r="2327">
          <cell r="K2327">
            <v>45623</v>
          </cell>
          <cell r="L2327">
            <v>144.86</v>
          </cell>
        </row>
        <row r="2327">
          <cell r="N2327">
            <v>45699</v>
          </cell>
          <cell r="O2327">
            <v>124.91</v>
          </cell>
        </row>
        <row r="2328">
          <cell r="B2328">
            <v>45700</v>
          </cell>
          <cell r="C2328">
            <v>113.12</v>
          </cell>
        </row>
        <row r="2328">
          <cell r="E2328">
            <v>45624</v>
          </cell>
          <cell r="F2328">
            <v>170.56</v>
          </cell>
        </row>
        <row r="2328">
          <cell r="H2328">
            <v>45629</v>
          </cell>
          <cell r="I2328">
            <v>56.31</v>
          </cell>
        </row>
        <row r="2328">
          <cell r="K2328">
            <v>45624</v>
          </cell>
          <cell r="L2328">
            <v>144.8</v>
          </cell>
        </row>
        <row r="2328">
          <cell r="N2328">
            <v>45700</v>
          </cell>
          <cell r="O2328">
            <v>125.58</v>
          </cell>
        </row>
        <row r="2329">
          <cell r="B2329">
            <v>45701</v>
          </cell>
          <cell r="C2329">
            <v>112.97</v>
          </cell>
        </row>
        <row r="2329">
          <cell r="E2329">
            <v>45625</v>
          </cell>
          <cell r="F2329">
            <v>170.45</v>
          </cell>
        </row>
        <row r="2329">
          <cell r="H2329">
            <v>45630</v>
          </cell>
          <cell r="I2329">
            <v>56.13</v>
          </cell>
        </row>
        <row r="2329">
          <cell r="K2329">
            <v>45625</v>
          </cell>
          <cell r="L2329">
            <v>144.32</v>
          </cell>
        </row>
        <row r="2329">
          <cell r="N2329">
            <v>45701</v>
          </cell>
          <cell r="O2329">
            <v>125.04</v>
          </cell>
        </row>
        <row r="2330">
          <cell r="B2330">
            <v>45702</v>
          </cell>
          <cell r="C2330">
            <v>112.67</v>
          </cell>
        </row>
        <row r="2330">
          <cell r="E2330">
            <v>45628</v>
          </cell>
          <cell r="F2330">
            <v>168.54</v>
          </cell>
        </row>
        <row r="2330">
          <cell r="H2330">
            <v>45631</v>
          </cell>
          <cell r="I2330">
            <v>56.23</v>
          </cell>
        </row>
        <row r="2330">
          <cell r="K2330">
            <v>45628</v>
          </cell>
          <cell r="L2330">
            <v>144.52</v>
          </cell>
        </row>
        <row r="2330">
          <cell r="N2330">
            <v>45702</v>
          </cell>
          <cell r="O2330">
            <v>125.79</v>
          </cell>
        </row>
        <row r="2331">
          <cell r="B2331">
            <v>45706</v>
          </cell>
          <cell r="C2331">
            <v>113.08</v>
          </cell>
        </row>
        <row r="2331">
          <cell r="E2331">
            <v>45629</v>
          </cell>
          <cell r="F2331">
            <v>170.53</v>
          </cell>
        </row>
        <row r="2331">
          <cell r="H2331">
            <v>45632</v>
          </cell>
          <cell r="I2331">
            <v>56.17</v>
          </cell>
        </row>
        <row r="2331">
          <cell r="K2331">
            <v>45629</v>
          </cell>
          <cell r="L2331">
            <v>145.01</v>
          </cell>
        </row>
        <row r="2331">
          <cell r="N2331">
            <v>45706</v>
          </cell>
          <cell r="O2331">
            <v>125.46</v>
          </cell>
        </row>
        <row r="2332">
          <cell r="B2332">
            <v>45707</v>
          </cell>
          <cell r="C2332">
            <v>112.81</v>
          </cell>
        </row>
        <row r="2332">
          <cell r="E2332">
            <v>45630</v>
          </cell>
          <cell r="F2332">
            <v>171.07</v>
          </cell>
        </row>
        <row r="2332">
          <cell r="H2332">
            <v>45635</v>
          </cell>
          <cell r="I2332">
            <v>56.63</v>
          </cell>
        </row>
        <row r="2332">
          <cell r="K2332">
            <v>45630</v>
          </cell>
          <cell r="L2332">
            <v>144.6</v>
          </cell>
        </row>
        <row r="2332">
          <cell r="N2332">
            <v>45707</v>
          </cell>
          <cell r="O2332">
            <v>126.47</v>
          </cell>
        </row>
        <row r="2333">
          <cell r="B2333">
            <v>45708</v>
          </cell>
          <cell r="C2333">
            <v>112.26</v>
          </cell>
        </row>
        <row r="2333">
          <cell r="E2333">
            <v>45631</v>
          </cell>
          <cell r="F2333">
            <v>172.86</v>
          </cell>
        </row>
        <row r="2333">
          <cell r="H2333">
            <v>45636</v>
          </cell>
          <cell r="I2333">
            <v>56.45</v>
          </cell>
        </row>
        <row r="2333">
          <cell r="K2333">
            <v>45631</v>
          </cell>
          <cell r="L2333">
            <v>143.89</v>
          </cell>
        </row>
        <row r="2333">
          <cell r="N2333">
            <v>45708</v>
          </cell>
          <cell r="O2333">
            <v>127.17</v>
          </cell>
        </row>
        <row r="2334">
          <cell r="B2334">
            <v>45709</v>
          </cell>
          <cell r="C2334">
            <v>111.48</v>
          </cell>
        </row>
        <row r="2334">
          <cell r="E2334">
            <v>45632</v>
          </cell>
          <cell r="F2334">
            <v>172.98</v>
          </cell>
        </row>
        <row r="2334">
          <cell r="H2334">
            <v>45637</v>
          </cell>
          <cell r="I2334">
            <v>56.12</v>
          </cell>
        </row>
        <row r="2334">
          <cell r="K2334">
            <v>45632</v>
          </cell>
          <cell r="L2334">
            <v>145.18</v>
          </cell>
        </row>
        <row r="2334">
          <cell r="N2334">
            <v>45709</v>
          </cell>
          <cell r="O2334">
            <v>127.32</v>
          </cell>
        </row>
        <row r="2335">
          <cell r="B2335">
            <v>45712</v>
          </cell>
          <cell r="C2335">
            <v>111.49</v>
          </cell>
        </row>
        <row r="2335">
          <cell r="E2335">
            <v>45635</v>
          </cell>
          <cell r="F2335">
            <v>167.82</v>
          </cell>
        </row>
        <row r="2335">
          <cell r="H2335">
            <v>45638</v>
          </cell>
          <cell r="I2335">
            <v>55.74</v>
          </cell>
        </row>
        <row r="2335">
          <cell r="K2335">
            <v>45635</v>
          </cell>
          <cell r="L2335">
            <v>143.49</v>
          </cell>
        </row>
        <row r="2335">
          <cell r="N2335">
            <v>45712</v>
          </cell>
          <cell r="O2335">
            <v>127.04</v>
          </cell>
        </row>
        <row r="2336">
          <cell r="B2336">
            <v>45713</v>
          </cell>
          <cell r="C2336">
            <v>111.71</v>
          </cell>
        </row>
        <row r="2336">
          <cell r="E2336">
            <v>45636</v>
          </cell>
          <cell r="F2336">
            <v>167.24</v>
          </cell>
        </row>
        <row r="2336">
          <cell r="H2336">
            <v>45639</v>
          </cell>
          <cell r="I2336">
            <v>56</v>
          </cell>
        </row>
        <row r="2336">
          <cell r="K2336">
            <v>45636</v>
          </cell>
          <cell r="L2336">
            <v>143.52</v>
          </cell>
        </row>
        <row r="2336">
          <cell r="N2336">
            <v>45713</v>
          </cell>
          <cell r="O2336">
            <v>126.5</v>
          </cell>
        </row>
        <row r="2337">
          <cell r="B2337">
            <v>45714</v>
          </cell>
          <cell r="C2337">
            <v>111.98</v>
          </cell>
        </row>
        <row r="2337">
          <cell r="E2337">
            <v>45637</v>
          </cell>
          <cell r="F2337">
            <v>168.51</v>
          </cell>
        </row>
        <row r="2337">
          <cell r="H2337">
            <v>45642</v>
          </cell>
          <cell r="I2337">
            <v>55.22</v>
          </cell>
        </row>
        <row r="2337">
          <cell r="K2337">
            <v>45637</v>
          </cell>
          <cell r="L2337">
            <v>143.11</v>
          </cell>
        </row>
        <row r="2337">
          <cell r="N2337">
            <v>45714</v>
          </cell>
          <cell r="O2337">
            <v>126.96</v>
          </cell>
        </row>
        <row r="2338">
          <cell r="B2338">
            <v>45715</v>
          </cell>
          <cell r="C2338">
            <v>112.03</v>
          </cell>
        </row>
        <row r="2338">
          <cell r="E2338">
            <v>45638</v>
          </cell>
          <cell r="F2338">
            <v>167.86</v>
          </cell>
        </row>
        <row r="2338">
          <cell r="H2338">
            <v>45643</v>
          </cell>
          <cell r="I2338">
            <v>54.85</v>
          </cell>
        </row>
        <row r="2338">
          <cell r="K2338">
            <v>45638</v>
          </cell>
          <cell r="L2338">
            <v>143.82</v>
          </cell>
        </row>
        <row r="2338">
          <cell r="N2338">
            <v>45715</v>
          </cell>
          <cell r="O2338">
            <v>128.07</v>
          </cell>
        </row>
        <row r="2339">
          <cell r="B2339">
            <v>45716</v>
          </cell>
          <cell r="C2339">
            <v>111.66</v>
          </cell>
        </row>
        <row r="2339">
          <cell r="E2339">
            <v>45639</v>
          </cell>
          <cell r="F2339">
            <v>169.35</v>
          </cell>
        </row>
        <row r="2339">
          <cell r="H2339">
            <v>45644</v>
          </cell>
          <cell r="I2339">
            <v>55.5</v>
          </cell>
        </row>
        <row r="2339">
          <cell r="K2339">
            <v>45639</v>
          </cell>
          <cell r="L2339">
            <v>143.25</v>
          </cell>
        </row>
        <row r="2339">
          <cell r="N2339">
            <v>45716</v>
          </cell>
          <cell r="O2339">
            <v>128.97</v>
          </cell>
        </row>
        <row r="2340">
          <cell r="B2340">
            <v>45719</v>
          </cell>
          <cell r="C2340">
            <v>111.84</v>
          </cell>
        </row>
        <row r="2340">
          <cell r="E2340">
            <v>45642</v>
          </cell>
          <cell r="F2340">
            <v>171.02</v>
          </cell>
        </row>
        <row r="2340">
          <cell r="H2340">
            <v>45645</v>
          </cell>
          <cell r="I2340">
            <v>55.39</v>
          </cell>
        </row>
        <row r="2340">
          <cell r="K2340">
            <v>45642</v>
          </cell>
          <cell r="L2340">
            <v>143.52</v>
          </cell>
        </row>
        <row r="2340">
          <cell r="N2340">
            <v>45719</v>
          </cell>
          <cell r="O2340">
            <v>129.85</v>
          </cell>
        </row>
        <row r="2341">
          <cell r="B2341">
            <v>45720</v>
          </cell>
          <cell r="C2341">
            <v>112.35</v>
          </cell>
        </row>
        <row r="2341">
          <cell r="E2341">
            <v>45643</v>
          </cell>
          <cell r="F2341">
            <v>170.6</v>
          </cell>
        </row>
        <row r="2341">
          <cell r="H2341">
            <v>45646</v>
          </cell>
          <cell r="I2341">
            <v>55.36</v>
          </cell>
        </row>
        <row r="2341">
          <cell r="K2341">
            <v>45643</v>
          </cell>
          <cell r="L2341">
            <v>143.67</v>
          </cell>
        </row>
        <row r="2341">
          <cell r="N2341">
            <v>45720</v>
          </cell>
          <cell r="O2341">
            <v>128.99</v>
          </cell>
        </row>
        <row r="2342">
          <cell r="B2342">
            <v>45721</v>
          </cell>
          <cell r="C2342">
            <v>111.71</v>
          </cell>
        </row>
        <row r="2342">
          <cell r="E2342">
            <v>45644</v>
          </cell>
          <cell r="F2342">
            <v>169.1</v>
          </cell>
        </row>
        <row r="2342">
          <cell r="H2342">
            <v>45649</v>
          </cell>
          <cell r="I2342">
            <v>55.49</v>
          </cell>
        </row>
        <row r="2342">
          <cell r="K2342">
            <v>45644</v>
          </cell>
          <cell r="L2342">
            <v>143.74</v>
          </cell>
        </row>
        <row r="2342">
          <cell r="N2342">
            <v>45721</v>
          </cell>
          <cell r="O2342">
            <v>129.53</v>
          </cell>
        </row>
        <row r="2343">
          <cell r="B2343">
            <v>45722</v>
          </cell>
          <cell r="C2343">
            <v>111.2</v>
          </cell>
        </row>
        <row r="2343">
          <cell r="E2343">
            <v>45645</v>
          </cell>
          <cell r="F2343">
            <v>170.07</v>
          </cell>
        </row>
        <row r="2343">
          <cell r="H2343">
            <v>45650</v>
          </cell>
          <cell r="I2343">
            <v>55.41</v>
          </cell>
        </row>
        <row r="2343">
          <cell r="K2343">
            <v>45645</v>
          </cell>
          <cell r="L2343">
            <v>144.47</v>
          </cell>
        </row>
        <row r="2343">
          <cell r="N2343">
            <v>45722</v>
          </cell>
          <cell r="O2343">
            <v>129.03</v>
          </cell>
        </row>
        <row r="2344">
          <cell r="B2344">
            <v>45723</v>
          </cell>
          <cell r="C2344">
            <v>111.22</v>
          </cell>
        </row>
        <row r="2344">
          <cell r="E2344">
            <v>45646</v>
          </cell>
          <cell r="F2344">
            <v>170.94</v>
          </cell>
        </row>
        <row r="2344">
          <cell r="H2344">
            <v>45651</v>
          </cell>
          <cell r="I2344">
            <v>55.4</v>
          </cell>
        </row>
        <row r="2344">
          <cell r="K2344">
            <v>45646</v>
          </cell>
          <cell r="L2344">
            <v>144.08</v>
          </cell>
        </row>
        <row r="2344">
          <cell r="N2344">
            <v>45723</v>
          </cell>
          <cell r="O2344">
            <v>128.92</v>
          </cell>
        </row>
        <row r="2345">
          <cell r="B2345">
            <v>45726</v>
          </cell>
          <cell r="C2345">
            <v>111.74</v>
          </cell>
        </row>
        <row r="2345">
          <cell r="E2345">
            <v>45649</v>
          </cell>
          <cell r="F2345">
            <v>170.88</v>
          </cell>
        </row>
        <row r="2345">
          <cell r="H2345">
            <v>45652</v>
          </cell>
          <cell r="I2345">
            <v>55.37</v>
          </cell>
        </row>
        <row r="2345">
          <cell r="K2345">
            <v>45649</v>
          </cell>
          <cell r="L2345">
            <v>143.91</v>
          </cell>
        </row>
        <row r="2345">
          <cell r="N2345">
            <v>45726</v>
          </cell>
          <cell r="O2345">
            <v>128.9</v>
          </cell>
        </row>
        <row r="2346">
          <cell r="B2346">
            <v>45727</v>
          </cell>
          <cell r="C2346">
            <v>112.27</v>
          </cell>
        </row>
        <row r="2346">
          <cell r="E2346">
            <v>45650</v>
          </cell>
          <cell r="F2346">
            <v>171.52</v>
          </cell>
        </row>
        <row r="2346">
          <cell r="H2346">
            <v>45653</v>
          </cell>
          <cell r="I2346">
            <v>55.48</v>
          </cell>
        </row>
        <row r="2346">
          <cell r="K2346">
            <v>45650</v>
          </cell>
          <cell r="L2346">
            <v>143.8</v>
          </cell>
        </row>
        <row r="2346">
          <cell r="N2346">
            <v>45727</v>
          </cell>
          <cell r="O2346">
            <v>127.88</v>
          </cell>
        </row>
        <row r="2347">
          <cell r="B2347">
            <v>45728</v>
          </cell>
          <cell r="C2347">
            <v>112.27</v>
          </cell>
        </row>
        <row r="2347">
          <cell r="E2347">
            <v>45651</v>
          </cell>
          <cell r="F2347">
            <v>171.52</v>
          </cell>
        </row>
        <row r="2347">
          <cell r="H2347">
            <v>45656</v>
          </cell>
          <cell r="I2347">
            <v>55.68</v>
          </cell>
        </row>
        <row r="2347">
          <cell r="K2347">
            <v>45651</v>
          </cell>
          <cell r="L2347">
            <v>143.79</v>
          </cell>
        </row>
        <row r="2347">
          <cell r="N2347">
            <v>45728</v>
          </cell>
          <cell r="O2347">
            <v>128.74</v>
          </cell>
        </row>
        <row r="2348">
          <cell r="B2348">
            <v>45729</v>
          </cell>
          <cell r="C2348">
            <v>111.62</v>
          </cell>
        </row>
        <row r="2348">
          <cell r="E2348">
            <v>45652</v>
          </cell>
          <cell r="F2348">
            <v>170.91</v>
          </cell>
        </row>
        <row r="2348">
          <cell r="H2348">
            <v>45657</v>
          </cell>
          <cell r="I2348">
            <v>55.91</v>
          </cell>
        </row>
        <row r="2348">
          <cell r="K2348">
            <v>45652</v>
          </cell>
          <cell r="L2348">
            <v>144.07</v>
          </cell>
        </row>
        <row r="2348">
          <cell r="N2348">
            <v>45729</v>
          </cell>
          <cell r="O2348">
            <v>129.13</v>
          </cell>
        </row>
        <row r="2349">
          <cell r="B2349">
            <v>45730</v>
          </cell>
          <cell r="C2349">
            <v>111.59</v>
          </cell>
        </row>
        <row r="2349">
          <cell r="E2349">
            <v>45653</v>
          </cell>
          <cell r="F2349">
            <v>169.86</v>
          </cell>
        </row>
        <row r="2349">
          <cell r="H2349">
            <v>45658</v>
          </cell>
          <cell r="I2349">
            <v>55.91</v>
          </cell>
        </row>
        <row r="2349">
          <cell r="K2349">
            <v>45653</v>
          </cell>
          <cell r="L2349">
            <v>143.48</v>
          </cell>
        </row>
        <row r="2349">
          <cell r="N2349">
            <v>45730</v>
          </cell>
          <cell r="O2349">
            <v>129.09</v>
          </cell>
        </row>
        <row r="2350">
          <cell r="B2350">
            <v>45733</v>
          </cell>
          <cell r="C2350">
            <v>111.67</v>
          </cell>
        </row>
        <row r="2350">
          <cell r="E2350">
            <v>45656</v>
          </cell>
          <cell r="F2350">
            <v>169.95</v>
          </cell>
        </row>
        <row r="2350">
          <cell r="H2350">
            <v>45659</v>
          </cell>
          <cell r="I2350">
            <v>55.83</v>
          </cell>
        </row>
        <row r="2350">
          <cell r="K2350">
            <v>45656</v>
          </cell>
          <cell r="L2350">
            <v>143.7</v>
          </cell>
        </row>
        <row r="2350">
          <cell r="N2350">
            <v>45733</v>
          </cell>
          <cell r="O2350">
            <v>129.35</v>
          </cell>
        </row>
        <row r="2351">
          <cell r="B2351">
            <v>45734</v>
          </cell>
          <cell r="C2351">
            <v>111.65</v>
          </cell>
        </row>
        <row r="2351">
          <cell r="E2351">
            <v>45657</v>
          </cell>
          <cell r="F2351">
            <v>168.35</v>
          </cell>
        </row>
        <row r="2351">
          <cell r="H2351">
            <v>45660</v>
          </cell>
          <cell r="I2351">
            <v>55.37</v>
          </cell>
        </row>
        <row r="2351">
          <cell r="K2351">
            <v>45657</v>
          </cell>
          <cell r="L2351">
            <v>143.17</v>
          </cell>
        </row>
        <row r="2351">
          <cell r="N2351">
            <v>45734</v>
          </cell>
          <cell r="O2351">
            <v>128.99</v>
          </cell>
        </row>
        <row r="2352">
          <cell r="B2352">
            <v>45735</v>
          </cell>
          <cell r="C2352">
            <v>112</v>
          </cell>
        </row>
        <row r="2352">
          <cell r="E2352">
            <v>45658</v>
          </cell>
          <cell r="F2352">
            <v>168.35</v>
          </cell>
        </row>
        <row r="2352">
          <cell r="H2352">
            <v>45663</v>
          </cell>
          <cell r="I2352">
            <v>55.87</v>
          </cell>
        </row>
        <row r="2352">
          <cell r="K2352">
            <v>45658</v>
          </cell>
          <cell r="L2352">
            <v>143.17</v>
          </cell>
        </row>
        <row r="2352">
          <cell r="N2352">
            <v>45735</v>
          </cell>
          <cell r="O2352">
            <v>128.82</v>
          </cell>
        </row>
        <row r="2353">
          <cell r="B2353">
            <v>45736</v>
          </cell>
          <cell r="C2353">
            <v>112.61</v>
          </cell>
        </row>
        <row r="2353">
          <cell r="E2353">
            <v>45659</v>
          </cell>
          <cell r="F2353">
            <v>170.65</v>
          </cell>
        </row>
        <row r="2353">
          <cell r="H2353">
            <v>45664</v>
          </cell>
          <cell r="I2353">
            <v>56</v>
          </cell>
        </row>
        <row r="2353">
          <cell r="K2353">
            <v>45659</v>
          </cell>
          <cell r="L2353">
            <v>142.8</v>
          </cell>
        </row>
        <row r="2353">
          <cell r="N2353">
            <v>45736</v>
          </cell>
          <cell r="O2353">
            <v>129.47</v>
          </cell>
        </row>
        <row r="2354">
          <cell r="B2354">
            <v>45737</v>
          </cell>
          <cell r="C2354">
            <v>112.47</v>
          </cell>
        </row>
        <row r="2354">
          <cell r="E2354">
            <v>45660</v>
          </cell>
          <cell r="F2354">
            <v>170.78</v>
          </cell>
        </row>
        <row r="2354">
          <cell r="H2354">
            <v>45665</v>
          </cell>
          <cell r="I2354">
            <v>55.65</v>
          </cell>
        </row>
        <row r="2354">
          <cell r="K2354">
            <v>45660</v>
          </cell>
          <cell r="L2354">
            <v>142.71</v>
          </cell>
        </row>
        <row r="2354">
          <cell r="N2354">
            <v>45737</v>
          </cell>
          <cell r="O2354">
            <v>129.79</v>
          </cell>
        </row>
        <row r="2355">
          <cell r="B2355">
            <v>45740</v>
          </cell>
          <cell r="C2355">
            <v>112.03</v>
          </cell>
        </row>
        <row r="2355">
          <cell r="E2355">
            <v>45663</v>
          </cell>
          <cell r="F2355">
            <v>170.48</v>
          </cell>
        </row>
        <row r="2355">
          <cell r="H2355">
            <v>45666</v>
          </cell>
          <cell r="I2355">
            <v>55.71</v>
          </cell>
        </row>
        <row r="2355">
          <cell r="K2355">
            <v>45663</v>
          </cell>
          <cell r="L2355">
            <v>142.79</v>
          </cell>
        </row>
        <row r="2355">
          <cell r="N2355">
            <v>45740</v>
          </cell>
          <cell r="O2355">
            <v>128.86</v>
          </cell>
        </row>
        <row r="2356">
          <cell r="B2356">
            <v>45741</v>
          </cell>
          <cell r="C2356">
            <v>112.58</v>
          </cell>
        </row>
        <row r="2356">
          <cell r="E2356">
            <v>45664</v>
          </cell>
          <cell r="F2356">
            <v>169.31</v>
          </cell>
        </row>
        <row r="2356">
          <cell r="H2356">
            <v>45667</v>
          </cell>
          <cell r="I2356">
            <v>55.38</v>
          </cell>
        </row>
        <row r="2356">
          <cell r="K2356">
            <v>45664</v>
          </cell>
          <cell r="L2356">
            <v>142.82</v>
          </cell>
        </row>
        <row r="2356">
          <cell r="N2356">
            <v>45741</v>
          </cell>
          <cell r="O2356">
            <v>129.5</v>
          </cell>
        </row>
        <row r="2357">
          <cell r="B2357">
            <v>45742</v>
          </cell>
          <cell r="C2357">
            <v>111.87</v>
          </cell>
        </row>
        <row r="2357">
          <cell r="E2357">
            <v>45665</v>
          </cell>
          <cell r="F2357">
            <v>171.77</v>
          </cell>
        </row>
        <row r="2357">
          <cell r="H2357">
            <v>45670</v>
          </cell>
          <cell r="I2357">
            <v>55.74</v>
          </cell>
        </row>
        <row r="2357">
          <cell r="K2357">
            <v>45665</v>
          </cell>
          <cell r="L2357">
            <v>143.29</v>
          </cell>
        </row>
        <row r="2357">
          <cell r="N2357">
            <v>45742</v>
          </cell>
          <cell r="O2357">
            <v>129.3</v>
          </cell>
        </row>
        <row r="2358">
          <cell r="B2358">
            <v>45743</v>
          </cell>
          <cell r="C2358">
            <v>111.31</v>
          </cell>
        </row>
        <row r="2358">
          <cell r="E2358">
            <v>45666</v>
          </cell>
          <cell r="F2358">
            <v>172.04</v>
          </cell>
        </row>
        <row r="2358">
          <cell r="H2358">
            <v>45671</v>
          </cell>
          <cell r="I2358">
            <v>56.07</v>
          </cell>
        </row>
        <row r="2358">
          <cell r="K2358">
            <v>45666</v>
          </cell>
          <cell r="L2358">
            <v>143.17</v>
          </cell>
        </row>
        <row r="2358">
          <cell r="N2358">
            <v>45743</v>
          </cell>
          <cell r="O2358">
            <v>128.84</v>
          </cell>
        </row>
        <row r="2359">
          <cell r="B2359">
            <v>45744</v>
          </cell>
          <cell r="C2359">
            <v>111.72</v>
          </cell>
        </row>
        <row r="2359">
          <cell r="E2359">
            <v>45667</v>
          </cell>
          <cell r="F2359">
            <v>172.1</v>
          </cell>
        </row>
        <row r="2359">
          <cell r="H2359">
            <v>45672</v>
          </cell>
          <cell r="I2359">
            <v>56.11</v>
          </cell>
        </row>
        <row r="2359">
          <cell r="K2359">
            <v>45667</v>
          </cell>
          <cell r="L2359">
            <v>144.66</v>
          </cell>
        </row>
        <row r="2359">
          <cell r="N2359">
            <v>45744</v>
          </cell>
          <cell r="O2359">
            <v>128.51</v>
          </cell>
        </row>
        <row r="2360">
          <cell r="B2360">
            <v>45747</v>
          </cell>
          <cell r="C2360">
            <v>110.93</v>
          </cell>
        </row>
        <row r="2360">
          <cell r="E2360">
            <v>45670</v>
          </cell>
          <cell r="F2360">
            <v>169.95</v>
          </cell>
        </row>
        <row r="2360">
          <cell r="H2360">
            <v>45673</v>
          </cell>
          <cell r="I2360">
            <v>55.38</v>
          </cell>
        </row>
        <row r="2360">
          <cell r="K2360">
            <v>45670</v>
          </cell>
          <cell r="L2360">
            <v>145.05</v>
          </cell>
        </row>
        <row r="2360">
          <cell r="N2360">
            <v>45747</v>
          </cell>
          <cell r="O2360">
            <v>129.73</v>
          </cell>
        </row>
        <row r="2361">
          <cell r="B2361">
            <v>45748</v>
          </cell>
          <cell r="C2361">
            <v>111.71</v>
          </cell>
        </row>
        <row r="2361">
          <cell r="E2361">
            <v>45671</v>
          </cell>
          <cell r="F2361">
            <v>171.95</v>
          </cell>
        </row>
        <row r="2361">
          <cell r="H2361">
            <v>45674</v>
          </cell>
          <cell r="I2361">
            <v>55.29</v>
          </cell>
        </row>
        <row r="2361">
          <cell r="K2361">
            <v>45671</v>
          </cell>
          <cell r="L2361">
            <v>144.94</v>
          </cell>
        </row>
        <row r="2361">
          <cell r="N2361">
            <v>45748</v>
          </cell>
          <cell r="O2361">
            <v>129.35</v>
          </cell>
        </row>
        <row r="2362">
          <cell r="B2362">
            <v>45749</v>
          </cell>
          <cell r="C2362">
            <v>111.77</v>
          </cell>
        </row>
        <row r="2362">
          <cell r="E2362">
            <v>45672</v>
          </cell>
          <cell r="F2362">
            <v>173.34</v>
          </cell>
        </row>
        <row r="2362">
          <cell r="H2362">
            <v>45677</v>
          </cell>
          <cell r="I2362">
            <v>55.41</v>
          </cell>
        </row>
        <row r="2362">
          <cell r="K2362">
            <v>45672</v>
          </cell>
          <cell r="L2362">
            <v>145.24</v>
          </cell>
        </row>
        <row r="2362">
          <cell r="N2362">
            <v>45749</v>
          </cell>
          <cell r="O2362">
            <v>128.91</v>
          </cell>
        </row>
        <row r="2363">
          <cell r="B2363">
            <v>45750</v>
          </cell>
          <cell r="C2363">
            <v>112.17</v>
          </cell>
        </row>
        <row r="2363">
          <cell r="E2363">
            <v>45673</v>
          </cell>
          <cell r="F2363">
            <v>174.06</v>
          </cell>
        </row>
        <row r="2363">
          <cell r="H2363">
            <v>45678</v>
          </cell>
          <cell r="I2363">
            <v>55.24</v>
          </cell>
        </row>
        <row r="2363">
          <cell r="K2363">
            <v>45673</v>
          </cell>
          <cell r="L2363">
            <v>145.84</v>
          </cell>
        </row>
        <row r="2363">
          <cell r="N2363">
            <v>45750</v>
          </cell>
          <cell r="O2363">
            <v>129.76</v>
          </cell>
        </row>
        <row r="2364">
          <cell r="B2364">
            <v>45751</v>
          </cell>
          <cell r="C2364">
            <v>110.84</v>
          </cell>
        </row>
        <row r="2364">
          <cell r="E2364">
            <v>45674</v>
          </cell>
          <cell r="F2364">
            <v>174.6</v>
          </cell>
        </row>
        <row r="2364">
          <cell r="H2364">
            <v>45679</v>
          </cell>
          <cell r="I2364">
            <v>55.15</v>
          </cell>
        </row>
        <row r="2364">
          <cell r="K2364">
            <v>45674</v>
          </cell>
          <cell r="L2364">
            <v>144.9</v>
          </cell>
        </row>
        <row r="2364">
          <cell r="N2364">
            <v>45751</v>
          </cell>
          <cell r="O2364">
            <v>127</v>
          </cell>
        </row>
        <row r="2365">
          <cell r="B2365">
            <v>45754</v>
          </cell>
          <cell r="C2365">
            <v>111.24</v>
          </cell>
        </row>
        <row r="2365">
          <cell r="E2365">
            <v>45677</v>
          </cell>
          <cell r="F2365">
            <v>174.81</v>
          </cell>
        </row>
        <row r="2365">
          <cell r="H2365">
            <v>45680</v>
          </cell>
          <cell r="I2365">
            <v>55.45</v>
          </cell>
        </row>
        <row r="2365">
          <cell r="K2365">
            <v>45677</v>
          </cell>
          <cell r="L2365">
            <v>144.42</v>
          </cell>
        </row>
        <row r="2365">
          <cell r="N2365">
            <v>45754</v>
          </cell>
          <cell r="O2365">
            <v>128.28</v>
          </cell>
        </row>
        <row r="2366">
          <cell r="B2366">
            <v>45755</v>
          </cell>
          <cell r="C2366">
            <v>111.72</v>
          </cell>
        </row>
        <row r="2366">
          <cell r="E2366">
            <v>45678</v>
          </cell>
          <cell r="F2366">
            <v>176.05</v>
          </cell>
        </row>
        <row r="2366">
          <cell r="H2366">
            <v>45681</v>
          </cell>
          <cell r="I2366">
            <v>55.5</v>
          </cell>
        </row>
        <row r="2366">
          <cell r="K2366">
            <v>45678</v>
          </cell>
          <cell r="L2366">
            <v>145.13</v>
          </cell>
        </row>
        <row r="2366">
          <cell r="N2366">
            <v>45755</v>
          </cell>
          <cell r="O2366">
            <v>129.51</v>
          </cell>
        </row>
        <row r="2367">
          <cell r="B2367">
            <v>45756</v>
          </cell>
          <cell r="C2367">
            <v>112.77</v>
          </cell>
        </row>
        <row r="2367">
          <cell r="E2367">
            <v>45679</v>
          </cell>
          <cell r="F2367">
            <v>177.36</v>
          </cell>
        </row>
        <row r="2367">
          <cell r="H2367">
            <v>45684</v>
          </cell>
          <cell r="I2367">
            <v>56.41</v>
          </cell>
        </row>
        <row r="2367">
          <cell r="K2367">
            <v>45679</v>
          </cell>
          <cell r="L2367">
            <v>145.55</v>
          </cell>
        </row>
        <row r="2367">
          <cell r="N2367">
            <v>45756</v>
          </cell>
          <cell r="O2367">
            <v>130.12</v>
          </cell>
        </row>
        <row r="2368">
          <cell r="B2368">
            <v>45757</v>
          </cell>
          <cell r="C2368">
            <v>112.32</v>
          </cell>
        </row>
        <row r="2368">
          <cell r="E2368">
            <v>45680</v>
          </cell>
          <cell r="F2368">
            <v>177.08</v>
          </cell>
        </row>
        <row r="2368">
          <cell r="H2368">
            <v>45685</v>
          </cell>
          <cell r="I2368">
            <v>55.88</v>
          </cell>
        </row>
        <row r="2368">
          <cell r="K2368">
            <v>45680</v>
          </cell>
          <cell r="L2368">
            <v>145.67</v>
          </cell>
        </row>
        <row r="2368">
          <cell r="N2368">
            <v>45757</v>
          </cell>
          <cell r="O2368">
            <v>129.93</v>
          </cell>
        </row>
        <row r="2369">
          <cell r="B2369">
            <v>45758</v>
          </cell>
          <cell r="C2369">
            <v>112.31</v>
          </cell>
        </row>
        <row r="2369">
          <cell r="E2369">
            <v>45681</v>
          </cell>
          <cell r="F2369">
            <v>177.59</v>
          </cell>
        </row>
        <row r="2369">
          <cell r="H2369">
            <v>45686</v>
          </cell>
          <cell r="I2369">
            <v>56.14</v>
          </cell>
        </row>
        <row r="2369">
          <cell r="K2369">
            <v>45681</v>
          </cell>
          <cell r="L2369">
            <v>145.19</v>
          </cell>
        </row>
        <row r="2369">
          <cell r="N2369">
            <v>45758</v>
          </cell>
          <cell r="O2369">
            <v>130.31</v>
          </cell>
        </row>
        <row r="2370">
          <cell r="B2370">
            <v>45761</v>
          </cell>
          <cell r="C2370">
            <v>111.93</v>
          </cell>
        </row>
        <row r="2370">
          <cell r="E2370">
            <v>45684</v>
          </cell>
          <cell r="F2370">
            <v>170.09</v>
          </cell>
        </row>
        <row r="2370">
          <cell r="H2370">
            <v>45687</v>
          </cell>
          <cell r="I2370">
            <v>55.49</v>
          </cell>
        </row>
        <row r="2370">
          <cell r="K2370">
            <v>45684</v>
          </cell>
          <cell r="L2370">
            <v>145.01</v>
          </cell>
        </row>
        <row r="2370">
          <cell r="N2370">
            <v>45761</v>
          </cell>
          <cell r="O2370">
            <v>130.32</v>
          </cell>
        </row>
        <row r="2371">
          <cell r="B2371">
            <v>45762</v>
          </cell>
          <cell r="C2371">
            <v>112.35</v>
          </cell>
        </row>
        <row r="2371">
          <cell r="E2371">
            <v>45685</v>
          </cell>
          <cell r="F2371">
            <v>172.37</v>
          </cell>
        </row>
        <row r="2371">
          <cell r="H2371">
            <v>45688</v>
          </cell>
          <cell r="I2371">
            <v>55.43</v>
          </cell>
        </row>
        <row r="2371">
          <cell r="K2371">
            <v>45685</v>
          </cell>
          <cell r="L2371">
            <v>146.17</v>
          </cell>
        </row>
        <row r="2371">
          <cell r="N2371">
            <v>45762</v>
          </cell>
          <cell r="O2371">
            <v>130</v>
          </cell>
        </row>
        <row r="2372">
          <cell r="B2372">
            <v>45763</v>
          </cell>
          <cell r="C2372">
            <v>112.5</v>
          </cell>
        </row>
        <row r="2372">
          <cell r="E2372">
            <v>45686</v>
          </cell>
          <cell r="F2372">
            <v>174.21</v>
          </cell>
        </row>
        <row r="2372">
          <cell r="H2372">
            <v>45691</v>
          </cell>
          <cell r="I2372">
            <v>54.47</v>
          </cell>
        </row>
        <row r="2372">
          <cell r="K2372">
            <v>45686</v>
          </cell>
          <cell r="L2372">
            <v>144.8</v>
          </cell>
        </row>
        <row r="2372">
          <cell r="N2372">
            <v>45763</v>
          </cell>
          <cell r="O2372">
            <v>129.34</v>
          </cell>
        </row>
        <row r="2373">
          <cell r="B2373">
            <v>45764</v>
          </cell>
          <cell r="C2373">
            <v>111.93</v>
          </cell>
        </row>
        <row r="2373">
          <cell r="E2373">
            <v>45687</v>
          </cell>
          <cell r="F2373">
            <v>176.14</v>
          </cell>
        </row>
        <row r="2373">
          <cell r="H2373">
            <v>45692</v>
          </cell>
          <cell r="I2373">
            <v>55.49</v>
          </cell>
        </row>
        <row r="2373">
          <cell r="K2373">
            <v>45687</v>
          </cell>
          <cell r="L2373">
            <v>144.68</v>
          </cell>
        </row>
        <row r="2373">
          <cell r="N2373">
            <v>45764</v>
          </cell>
          <cell r="O2373">
            <v>129.05</v>
          </cell>
        </row>
        <row r="2374">
          <cell r="B2374">
            <v>45768</v>
          </cell>
          <cell r="C2374">
            <v>111.49</v>
          </cell>
        </row>
        <row r="2374">
          <cell r="E2374">
            <v>45688</v>
          </cell>
          <cell r="F2374">
            <v>175.95</v>
          </cell>
        </row>
        <row r="2374">
          <cell r="H2374">
            <v>45693</v>
          </cell>
          <cell r="I2374">
            <v>55.14</v>
          </cell>
        </row>
        <row r="2374">
          <cell r="K2374">
            <v>45688</v>
          </cell>
          <cell r="L2374">
            <v>144.14</v>
          </cell>
        </row>
        <row r="2374">
          <cell r="N2374">
            <v>45768</v>
          </cell>
          <cell r="O2374">
            <v>129.4</v>
          </cell>
        </row>
        <row r="2375">
          <cell r="B2375">
            <v>45769</v>
          </cell>
          <cell r="C2375">
            <v>111.25</v>
          </cell>
        </row>
        <row r="2375">
          <cell r="E2375">
            <v>45691</v>
          </cell>
          <cell r="F2375">
            <v>178.51</v>
          </cell>
        </row>
        <row r="2375">
          <cell r="H2375">
            <v>45694</v>
          </cell>
          <cell r="I2375">
            <v>55.01</v>
          </cell>
        </row>
        <row r="2375">
          <cell r="K2375">
            <v>45691</v>
          </cell>
          <cell r="L2375">
            <v>145.09</v>
          </cell>
        </row>
        <row r="2375">
          <cell r="N2375">
            <v>45769</v>
          </cell>
          <cell r="O2375">
            <v>129.4</v>
          </cell>
        </row>
        <row r="2376">
          <cell r="B2376">
            <v>45770</v>
          </cell>
          <cell r="C2376">
            <v>111.48</v>
          </cell>
        </row>
        <row r="2376">
          <cell r="E2376">
            <v>45692</v>
          </cell>
          <cell r="F2376">
            <v>178.61</v>
          </cell>
        </row>
        <row r="2376">
          <cell r="H2376">
            <v>45695</v>
          </cell>
          <cell r="I2376">
            <v>55.09</v>
          </cell>
        </row>
        <row r="2376">
          <cell r="K2376">
            <v>45692</v>
          </cell>
          <cell r="L2376">
            <v>145.13</v>
          </cell>
        </row>
        <row r="2376">
          <cell r="N2376">
            <v>45770</v>
          </cell>
          <cell r="O2376">
            <v>129.21</v>
          </cell>
        </row>
        <row r="2377">
          <cell r="B2377">
            <v>45771</v>
          </cell>
          <cell r="C2377">
            <v>111.21</v>
          </cell>
        </row>
        <row r="2377">
          <cell r="E2377">
            <v>45693</v>
          </cell>
          <cell r="F2377">
            <v>181.15</v>
          </cell>
        </row>
        <row r="2377">
          <cell r="H2377">
            <v>45698</v>
          </cell>
          <cell r="I2377">
            <v>55.11</v>
          </cell>
        </row>
        <row r="2377">
          <cell r="K2377">
            <v>45693</v>
          </cell>
          <cell r="L2377">
            <v>145.08</v>
          </cell>
        </row>
        <row r="2377">
          <cell r="N2377">
            <v>45771</v>
          </cell>
          <cell r="O2377">
            <v>129.69</v>
          </cell>
        </row>
        <row r="2378">
          <cell r="B2378">
            <v>45772</v>
          </cell>
          <cell r="C2378">
            <v>112.3</v>
          </cell>
        </row>
        <row r="2378">
          <cell r="E2378">
            <v>45694</v>
          </cell>
          <cell r="F2378">
            <v>183.63</v>
          </cell>
        </row>
        <row r="2378">
          <cell r="H2378">
            <v>45699</v>
          </cell>
          <cell r="I2378">
            <v>55.14</v>
          </cell>
        </row>
        <row r="2378">
          <cell r="K2378">
            <v>45694</v>
          </cell>
          <cell r="L2378">
            <v>145.41</v>
          </cell>
        </row>
        <row r="2378">
          <cell r="N2378">
            <v>45772</v>
          </cell>
          <cell r="O2378">
            <v>129.93</v>
          </cell>
        </row>
        <row r="2379">
          <cell r="B2379">
            <v>45775</v>
          </cell>
          <cell r="C2379">
            <v>111.72</v>
          </cell>
        </row>
        <row r="2379">
          <cell r="E2379">
            <v>45695</v>
          </cell>
          <cell r="F2379">
            <v>184.2</v>
          </cell>
        </row>
        <row r="2379">
          <cell r="H2379">
            <v>45700</v>
          </cell>
          <cell r="I2379">
            <v>55.32</v>
          </cell>
        </row>
        <row r="2379">
          <cell r="K2379">
            <v>45695</v>
          </cell>
          <cell r="L2379">
            <v>145.6</v>
          </cell>
        </row>
        <row r="2379">
          <cell r="N2379">
            <v>45775</v>
          </cell>
          <cell r="O2379">
            <v>129.87</v>
          </cell>
        </row>
        <row r="2380">
          <cell r="B2380">
            <v>45776</v>
          </cell>
          <cell r="C2380">
            <v>112.12</v>
          </cell>
        </row>
        <row r="2380">
          <cell r="E2380">
            <v>45698</v>
          </cell>
          <cell r="F2380">
            <v>183.63</v>
          </cell>
        </row>
        <row r="2380">
          <cell r="H2380">
            <v>45701</v>
          </cell>
          <cell r="I2380">
            <v>55.62</v>
          </cell>
        </row>
        <row r="2380">
          <cell r="K2380">
            <v>45698</v>
          </cell>
          <cell r="L2380">
            <v>145.67</v>
          </cell>
        </row>
        <row r="2380">
          <cell r="N2380">
            <v>45776</v>
          </cell>
          <cell r="O2380">
            <v>129.76</v>
          </cell>
        </row>
        <row r="2381">
          <cell r="B2381">
            <v>45777</v>
          </cell>
          <cell r="C2381">
            <v>112.05</v>
          </cell>
        </row>
        <row r="2381">
          <cell r="E2381">
            <v>45699</v>
          </cell>
          <cell r="F2381">
            <v>181.83</v>
          </cell>
        </row>
        <row r="2381">
          <cell r="H2381">
            <v>45702</v>
          </cell>
          <cell r="I2381">
            <v>56.06</v>
          </cell>
        </row>
        <row r="2381">
          <cell r="K2381">
            <v>45699</v>
          </cell>
          <cell r="L2381">
            <v>145.5</v>
          </cell>
        </row>
        <row r="2381">
          <cell r="N2381">
            <v>45777</v>
          </cell>
          <cell r="O2381">
            <v>130.99</v>
          </cell>
        </row>
        <row r="2382">
          <cell r="B2382">
            <v>45778</v>
          </cell>
          <cell r="C2382">
            <v>112.12</v>
          </cell>
        </row>
        <row r="2382">
          <cell r="E2382">
            <v>45700</v>
          </cell>
          <cell r="F2382">
            <v>181.64</v>
          </cell>
        </row>
        <row r="2382">
          <cell r="H2382">
            <v>45705</v>
          </cell>
          <cell r="I2382">
            <v>56.04</v>
          </cell>
        </row>
        <row r="2382">
          <cell r="K2382">
            <v>45700</v>
          </cell>
          <cell r="L2382">
            <v>145.23</v>
          </cell>
        </row>
        <row r="2382">
          <cell r="N2382">
            <v>45778</v>
          </cell>
          <cell r="O2382">
            <v>130.51</v>
          </cell>
        </row>
        <row r="2383">
          <cell r="B2383">
            <v>45779</v>
          </cell>
          <cell r="C2383">
            <v>112.12</v>
          </cell>
        </row>
        <row r="2383">
          <cell r="E2383">
            <v>45701</v>
          </cell>
          <cell r="F2383">
            <v>181.31</v>
          </cell>
        </row>
        <row r="2383">
          <cell r="H2383">
            <v>45706</v>
          </cell>
          <cell r="I2383">
            <v>55.87</v>
          </cell>
        </row>
        <row r="2383">
          <cell r="K2383">
            <v>45701</v>
          </cell>
          <cell r="L2383">
            <v>145.06</v>
          </cell>
        </row>
        <row r="2383">
          <cell r="N2383">
            <v>45779</v>
          </cell>
          <cell r="O2383">
            <v>130.05</v>
          </cell>
        </row>
        <row r="2384">
          <cell r="B2384">
            <v>45782</v>
          </cell>
          <cell r="C2384">
            <v>112.58</v>
          </cell>
        </row>
        <row r="2384">
          <cell r="E2384">
            <v>45702</v>
          </cell>
          <cell r="F2384">
            <v>180.24</v>
          </cell>
        </row>
        <row r="2384">
          <cell r="H2384">
            <v>45707</v>
          </cell>
          <cell r="I2384">
            <v>55.97</v>
          </cell>
        </row>
        <row r="2384">
          <cell r="K2384">
            <v>45702</v>
          </cell>
          <cell r="L2384">
            <v>144.67</v>
          </cell>
        </row>
        <row r="2384">
          <cell r="N2384">
            <v>45782</v>
          </cell>
          <cell r="O2384">
            <v>130.06</v>
          </cell>
        </row>
        <row r="2385">
          <cell r="B2385">
            <v>45783</v>
          </cell>
          <cell r="C2385">
            <v>113.38</v>
          </cell>
        </row>
        <row r="2385">
          <cell r="E2385">
            <v>45705</v>
          </cell>
          <cell r="F2385">
            <v>180.2</v>
          </cell>
        </row>
        <row r="2385">
          <cell r="H2385">
            <v>45708</v>
          </cell>
          <cell r="I2385">
            <v>56.37</v>
          </cell>
        </row>
        <row r="2385">
          <cell r="K2385">
            <v>45705</v>
          </cell>
          <cell r="L2385">
            <v>144.71</v>
          </cell>
        </row>
        <row r="2385">
          <cell r="N2385">
            <v>45783</v>
          </cell>
          <cell r="O2385">
            <v>129.85</v>
          </cell>
        </row>
        <row r="2386">
          <cell r="B2386">
            <v>45784</v>
          </cell>
          <cell r="C2386">
            <v>114.39</v>
          </cell>
        </row>
        <row r="2386">
          <cell r="E2386">
            <v>45706</v>
          </cell>
          <cell r="F2386">
            <v>177.53</v>
          </cell>
        </row>
        <row r="2386">
          <cell r="H2386">
            <v>45709</v>
          </cell>
          <cell r="I2386">
            <v>56.18</v>
          </cell>
        </row>
        <row r="2386">
          <cell r="K2386">
            <v>45706</v>
          </cell>
          <cell r="L2386">
            <v>144.2</v>
          </cell>
        </row>
        <row r="2386">
          <cell r="N2386">
            <v>45784</v>
          </cell>
          <cell r="O2386">
            <v>130.84</v>
          </cell>
        </row>
        <row r="2387">
          <cell r="B2387">
            <v>45785</v>
          </cell>
          <cell r="C2387">
            <v>113.5</v>
          </cell>
        </row>
        <row r="2387">
          <cell r="E2387">
            <v>45707</v>
          </cell>
          <cell r="F2387">
            <v>177.91</v>
          </cell>
        </row>
        <row r="2387">
          <cell r="H2387">
            <v>45712</v>
          </cell>
          <cell r="I2387">
            <v>56.05</v>
          </cell>
        </row>
        <row r="2387">
          <cell r="K2387">
            <v>45707</v>
          </cell>
          <cell r="L2387">
            <v>143.96</v>
          </cell>
        </row>
        <row r="2387">
          <cell r="N2387">
            <v>45785</v>
          </cell>
          <cell r="O2387">
            <v>129.7</v>
          </cell>
        </row>
        <row r="2388">
          <cell r="B2388">
            <v>45786</v>
          </cell>
          <cell r="C2388">
            <v>112.89</v>
          </cell>
        </row>
        <row r="2388">
          <cell r="E2388">
            <v>45708</v>
          </cell>
          <cell r="F2388">
            <v>175.6</v>
          </cell>
        </row>
        <row r="2388">
          <cell r="H2388">
            <v>45713</v>
          </cell>
          <cell r="I2388">
            <v>55.9</v>
          </cell>
        </row>
        <row r="2388">
          <cell r="K2388">
            <v>45708</v>
          </cell>
          <cell r="L2388">
            <v>143.08</v>
          </cell>
        </row>
        <row r="2388">
          <cell r="N2388">
            <v>45786</v>
          </cell>
          <cell r="O2388">
            <v>130</v>
          </cell>
        </row>
        <row r="2389">
          <cell r="B2389">
            <v>45789</v>
          </cell>
          <cell r="C2389">
            <v>112.18</v>
          </cell>
        </row>
        <row r="2389">
          <cell r="E2389">
            <v>45709</v>
          </cell>
          <cell r="F2389">
            <v>174.59</v>
          </cell>
        </row>
        <row r="2389">
          <cell r="H2389">
            <v>45714</v>
          </cell>
          <cell r="I2389">
            <v>55.69</v>
          </cell>
        </row>
        <row r="2389">
          <cell r="K2389">
            <v>45709</v>
          </cell>
          <cell r="L2389">
            <v>142.64</v>
          </cell>
        </row>
        <row r="2389">
          <cell r="N2389">
            <v>45789</v>
          </cell>
          <cell r="O2389">
            <v>130.48</v>
          </cell>
        </row>
        <row r="2390">
          <cell r="B2390">
            <v>45790</v>
          </cell>
          <cell r="C2390">
            <v>112.13</v>
          </cell>
        </row>
        <row r="2390">
          <cell r="E2390">
            <v>45712</v>
          </cell>
          <cell r="F2390">
            <v>173.74</v>
          </cell>
        </row>
        <row r="2390">
          <cell r="H2390">
            <v>45715</v>
          </cell>
          <cell r="I2390">
            <v>55.09</v>
          </cell>
        </row>
        <row r="2390">
          <cell r="K2390">
            <v>45712</v>
          </cell>
          <cell r="L2390">
            <v>142.52</v>
          </cell>
        </row>
        <row r="2390">
          <cell r="N2390">
            <v>45790</v>
          </cell>
          <cell r="O2390">
            <v>130.74</v>
          </cell>
        </row>
        <row r="2391">
          <cell r="B2391">
            <v>45791</v>
          </cell>
          <cell r="C2391">
            <v>112.57</v>
          </cell>
        </row>
        <row r="2391">
          <cell r="E2391">
            <v>45713</v>
          </cell>
          <cell r="F2391">
            <v>173.3</v>
          </cell>
        </row>
        <row r="2391">
          <cell r="H2391">
            <v>45716</v>
          </cell>
          <cell r="I2391">
            <v>54.74</v>
          </cell>
        </row>
        <row r="2391">
          <cell r="K2391">
            <v>45713</v>
          </cell>
          <cell r="L2391">
            <v>143.69</v>
          </cell>
        </row>
        <row r="2391">
          <cell r="N2391">
            <v>45791</v>
          </cell>
          <cell r="O2391">
            <v>131.15</v>
          </cell>
        </row>
        <row r="2392">
          <cell r="B2392">
            <v>45792</v>
          </cell>
          <cell r="C2392">
            <v>110.85</v>
          </cell>
        </row>
        <row r="2392">
          <cell r="E2392">
            <v>45714</v>
          </cell>
          <cell r="F2392">
            <v>175.76</v>
          </cell>
        </row>
        <row r="2392">
          <cell r="H2392">
            <v>45719</v>
          </cell>
          <cell r="I2392">
            <v>54.23</v>
          </cell>
        </row>
        <row r="2392">
          <cell r="K2392">
            <v>45714</v>
          </cell>
          <cell r="L2392">
            <v>143.71</v>
          </cell>
        </row>
        <row r="2392">
          <cell r="N2392">
            <v>45792</v>
          </cell>
          <cell r="O2392">
            <v>130.89</v>
          </cell>
        </row>
        <row r="2393">
          <cell r="B2393">
            <v>45793</v>
          </cell>
          <cell r="C2393">
            <v>110.38</v>
          </cell>
        </row>
        <row r="2393">
          <cell r="E2393">
            <v>45715</v>
          </cell>
          <cell r="F2393">
            <v>175.49</v>
          </cell>
        </row>
        <row r="2393">
          <cell r="H2393">
            <v>45720</v>
          </cell>
          <cell r="I2393">
            <v>53.63</v>
          </cell>
        </row>
        <row r="2393">
          <cell r="K2393">
            <v>45715</v>
          </cell>
          <cell r="L2393">
            <v>143.85</v>
          </cell>
        </row>
        <row r="2393">
          <cell r="N2393">
            <v>45793</v>
          </cell>
          <cell r="O2393">
            <v>130.84</v>
          </cell>
        </row>
        <row r="2394">
          <cell r="B2394">
            <v>45796</v>
          </cell>
          <cell r="C2394">
            <v>110.51</v>
          </cell>
        </row>
        <row r="2394">
          <cell r="E2394">
            <v>45716</v>
          </cell>
          <cell r="F2394">
            <v>177.36</v>
          </cell>
        </row>
        <row r="2394">
          <cell r="H2394">
            <v>45721</v>
          </cell>
          <cell r="I2394">
            <v>53.93</v>
          </cell>
        </row>
        <row r="2394">
          <cell r="K2394">
            <v>45716</v>
          </cell>
          <cell r="L2394">
            <v>143.63</v>
          </cell>
        </row>
        <row r="2394">
          <cell r="N2394">
            <v>45796</v>
          </cell>
          <cell r="O2394">
            <v>131.22</v>
          </cell>
        </row>
        <row r="2395">
          <cell r="B2395">
            <v>45797</v>
          </cell>
          <cell r="C2395">
            <v>110.17</v>
          </cell>
        </row>
        <row r="2395">
          <cell r="E2395">
            <v>45719</v>
          </cell>
          <cell r="F2395">
            <v>178.47</v>
          </cell>
        </row>
        <row r="2395">
          <cell r="H2395">
            <v>45722</v>
          </cell>
          <cell r="I2395">
            <v>55.24</v>
          </cell>
        </row>
        <row r="2395">
          <cell r="K2395">
            <v>45719</v>
          </cell>
          <cell r="L2395">
            <v>143.49</v>
          </cell>
        </row>
        <row r="2395">
          <cell r="N2395">
            <v>45797</v>
          </cell>
          <cell r="O2395">
            <v>130.43</v>
          </cell>
        </row>
        <row r="2396">
          <cell r="B2396">
            <v>45798</v>
          </cell>
          <cell r="C2396">
            <v>109.97</v>
          </cell>
        </row>
        <row r="2396">
          <cell r="E2396">
            <v>45720</v>
          </cell>
          <cell r="F2396">
            <v>177.08</v>
          </cell>
        </row>
        <row r="2396">
          <cell r="H2396">
            <v>45723</v>
          </cell>
          <cell r="I2396">
            <v>55.39</v>
          </cell>
        </row>
        <row r="2396">
          <cell r="K2396">
            <v>45720</v>
          </cell>
          <cell r="L2396">
            <v>143.12</v>
          </cell>
        </row>
        <row r="2396">
          <cell r="N2396">
            <v>45798</v>
          </cell>
          <cell r="O2396">
            <v>131.13</v>
          </cell>
        </row>
        <row r="2397">
          <cell r="B2397">
            <v>45799</v>
          </cell>
          <cell r="C2397">
            <v>109.91</v>
          </cell>
        </row>
        <row r="2397">
          <cell r="E2397">
            <v>45721</v>
          </cell>
          <cell r="F2397">
            <v>175.15</v>
          </cell>
        </row>
        <row r="2397">
          <cell r="H2397">
            <v>45726</v>
          </cell>
          <cell r="I2397">
            <v>55.42</v>
          </cell>
        </row>
        <row r="2397">
          <cell r="K2397">
            <v>45721</v>
          </cell>
          <cell r="L2397">
            <v>141.91</v>
          </cell>
        </row>
        <row r="2397">
          <cell r="N2397">
            <v>45799</v>
          </cell>
          <cell r="O2397">
            <v>131.13</v>
          </cell>
        </row>
        <row r="2398">
          <cell r="B2398">
            <v>45800</v>
          </cell>
          <cell r="C2398">
            <v>110.24</v>
          </cell>
        </row>
        <row r="2398">
          <cell r="E2398">
            <v>45722</v>
          </cell>
          <cell r="F2398">
            <v>170.9</v>
          </cell>
        </row>
        <row r="2398">
          <cell r="H2398">
            <v>45727</v>
          </cell>
          <cell r="I2398">
            <v>55.53</v>
          </cell>
        </row>
        <row r="2398">
          <cell r="K2398">
            <v>45722</v>
          </cell>
          <cell r="L2398">
            <v>141.52</v>
          </cell>
        </row>
        <row r="2398">
          <cell r="N2398">
            <v>45800</v>
          </cell>
          <cell r="O2398">
            <v>131</v>
          </cell>
        </row>
        <row r="2399">
          <cell r="B2399">
            <v>45803</v>
          </cell>
          <cell r="C2399">
            <v>110.24</v>
          </cell>
        </row>
        <row r="2399">
          <cell r="E2399">
            <v>45723</v>
          </cell>
          <cell r="F2399">
            <v>168.42</v>
          </cell>
        </row>
        <row r="2399">
          <cell r="H2399">
            <v>45728</v>
          </cell>
          <cell r="I2399">
            <v>55.48</v>
          </cell>
        </row>
        <row r="2399">
          <cell r="K2399">
            <v>45723</v>
          </cell>
          <cell r="L2399">
            <v>141.95</v>
          </cell>
        </row>
        <row r="2399">
          <cell r="N2399">
            <v>45803</v>
          </cell>
          <cell r="O2399">
            <v>130.99</v>
          </cell>
        </row>
        <row r="2400">
          <cell r="B2400">
            <v>45804</v>
          </cell>
          <cell r="C2400">
            <v>109.97</v>
          </cell>
        </row>
        <row r="2400">
          <cell r="E2400">
            <v>45726</v>
          </cell>
          <cell r="F2400">
            <v>165.44</v>
          </cell>
        </row>
        <row r="2400">
          <cell r="H2400">
            <v>45729</v>
          </cell>
          <cell r="I2400">
            <v>55.77</v>
          </cell>
        </row>
        <row r="2400">
          <cell r="K2400">
            <v>45726</v>
          </cell>
          <cell r="L2400">
            <v>142.1</v>
          </cell>
        </row>
        <row r="2400">
          <cell r="N2400">
            <v>45804</v>
          </cell>
          <cell r="O2400">
            <v>130.6</v>
          </cell>
        </row>
        <row r="2401">
          <cell r="B2401">
            <v>45805</v>
          </cell>
          <cell r="C2401">
            <v>110.53</v>
          </cell>
        </row>
        <row r="2401">
          <cell r="E2401">
            <v>45727</v>
          </cell>
          <cell r="F2401">
            <v>169.11</v>
          </cell>
        </row>
        <row r="2401">
          <cell r="H2401">
            <v>45730</v>
          </cell>
          <cell r="I2401">
            <v>55.95</v>
          </cell>
        </row>
        <row r="2401">
          <cell r="K2401">
            <v>45727</v>
          </cell>
          <cell r="L2401">
            <v>140.8</v>
          </cell>
        </row>
        <row r="2401">
          <cell r="N2401">
            <v>45805</v>
          </cell>
          <cell r="O2401">
            <v>131.27</v>
          </cell>
        </row>
        <row r="2402">
          <cell r="B2402">
            <v>45806</v>
          </cell>
          <cell r="C2402">
            <v>110.09</v>
          </cell>
        </row>
        <row r="2402">
          <cell r="E2402">
            <v>45728</v>
          </cell>
          <cell r="F2402">
            <v>172.39</v>
          </cell>
        </row>
        <row r="2402">
          <cell r="H2402">
            <v>45733</v>
          </cell>
          <cell r="I2402">
            <v>55.89</v>
          </cell>
        </row>
        <row r="2402">
          <cell r="K2402">
            <v>45728</v>
          </cell>
          <cell r="L2402">
            <v>140.26</v>
          </cell>
        </row>
        <row r="2402">
          <cell r="N2402">
            <v>45806</v>
          </cell>
          <cell r="O2402">
            <v>131.33</v>
          </cell>
        </row>
        <row r="2403">
          <cell r="B2403">
            <v>45807</v>
          </cell>
          <cell r="C2403">
            <v>110.73</v>
          </cell>
        </row>
        <row r="2403">
          <cell r="E2403">
            <v>45729</v>
          </cell>
          <cell r="F2403">
            <v>171.45</v>
          </cell>
        </row>
        <row r="2403">
          <cell r="H2403">
            <v>45734</v>
          </cell>
          <cell r="I2403">
            <v>56.29</v>
          </cell>
        </row>
        <row r="2403">
          <cell r="K2403">
            <v>45729</v>
          </cell>
          <cell r="L2403">
            <v>138.21</v>
          </cell>
        </row>
        <row r="2403">
          <cell r="N2403">
            <v>45807</v>
          </cell>
          <cell r="O2403">
            <v>131.38</v>
          </cell>
        </row>
        <row r="2404">
          <cell r="B2404">
            <v>45810</v>
          </cell>
          <cell r="C2404">
            <v>110.88</v>
          </cell>
        </row>
        <row r="2404">
          <cell r="E2404">
            <v>45730</v>
          </cell>
          <cell r="F2404">
            <v>172.01</v>
          </cell>
        </row>
        <row r="2404">
          <cell r="H2404">
            <v>45735</v>
          </cell>
          <cell r="I2404">
            <v>56.11</v>
          </cell>
        </row>
        <row r="2404">
          <cell r="K2404">
            <v>45730</v>
          </cell>
          <cell r="L2404">
            <v>138.78</v>
          </cell>
        </row>
        <row r="2404">
          <cell r="N2404">
            <v>45810</v>
          </cell>
          <cell r="O2404">
            <v>131.84</v>
          </cell>
        </row>
        <row r="2405">
          <cell r="B2405">
            <v>45811</v>
          </cell>
          <cell r="C2405">
            <v>111.2</v>
          </cell>
        </row>
        <row r="2405">
          <cell r="E2405">
            <v>45733</v>
          </cell>
          <cell r="F2405">
            <v>171.28</v>
          </cell>
        </row>
        <row r="2405">
          <cell r="H2405">
            <v>45736</v>
          </cell>
          <cell r="I2405">
            <v>56.05</v>
          </cell>
        </row>
        <row r="2405">
          <cell r="K2405">
            <v>45733</v>
          </cell>
          <cell r="L2405">
            <v>138.37</v>
          </cell>
        </row>
        <row r="2405">
          <cell r="N2405">
            <v>45811</v>
          </cell>
          <cell r="O2405">
            <v>131.21</v>
          </cell>
        </row>
        <row r="2406">
          <cell r="B2406">
            <v>45812</v>
          </cell>
          <cell r="C2406">
            <v>111.23</v>
          </cell>
        </row>
        <row r="2406">
          <cell r="E2406">
            <v>45734</v>
          </cell>
          <cell r="F2406">
            <v>170.07</v>
          </cell>
        </row>
        <row r="2406">
          <cell r="H2406">
            <v>45737</v>
          </cell>
          <cell r="I2406">
            <v>55.66</v>
          </cell>
        </row>
        <row r="2406">
          <cell r="K2406">
            <v>45734</v>
          </cell>
          <cell r="L2406">
            <v>137.73</v>
          </cell>
        </row>
        <row r="2406">
          <cell r="N2406">
            <v>45812</v>
          </cell>
          <cell r="O2406">
            <v>131.22</v>
          </cell>
        </row>
        <row r="2407">
          <cell r="B2407">
            <v>45813</v>
          </cell>
          <cell r="C2407">
            <v>111.39</v>
          </cell>
        </row>
        <row r="2407">
          <cell r="E2407">
            <v>45735</v>
          </cell>
          <cell r="F2407">
            <v>172.97</v>
          </cell>
        </row>
        <row r="2407">
          <cell r="H2407">
            <v>45740</v>
          </cell>
          <cell r="I2407">
            <v>55.61</v>
          </cell>
        </row>
        <row r="2407">
          <cell r="K2407">
            <v>45735</v>
          </cell>
          <cell r="L2407">
            <v>137.99</v>
          </cell>
        </row>
        <row r="2407">
          <cell r="N2407">
            <v>45813</v>
          </cell>
          <cell r="O2407">
            <v>130.81</v>
          </cell>
        </row>
        <row r="2408">
          <cell r="B2408">
            <v>45814</v>
          </cell>
          <cell r="C2408">
            <v>111.42</v>
          </cell>
        </row>
        <row r="2408">
          <cell r="E2408">
            <v>45736</v>
          </cell>
          <cell r="F2408">
            <v>174.31</v>
          </cell>
        </row>
        <row r="2408">
          <cell r="H2408">
            <v>45741</v>
          </cell>
          <cell r="I2408">
            <v>55.44</v>
          </cell>
        </row>
        <row r="2408">
          <cell r="K2408">
            <v>45736</v>
          </cell>
          <cell r="L2408">
            <v>138.04</v>
          </cell>
        </row>
        <row r="2408">
          <cell r="N2408">
            <v>45814</v>
          </cell>
          <cell r="O2408">
            <v>130.17</v>
          </cell>
        </row>
        <row r="2409">
          <cell r="B2409">
            <v>45817</v>
          </cell>
          <cell r="C2409">
            <v>111.12</v>
          </cell>
        </row>
        <row r="2409">
          <cell r="E2409">
            <v>45737</v>
          </cell>
          <cell r="F2409">
            <v>175.25</v>
          </cell>
        </row>
        <row r="2409">
          <cell r="H2409">
            <v>45742</v>
          </cell>
          <cell r="I2409">
            <v>55.58</v>
          </cell>
        </row>
        <row r="2409">
          <cell r="K2409">
            <v>45737</v>
          </cell>
          <cell r="L2409">
            <v>138.31</v>
          </cell>
        </row>
        <row r="2409">
          <cell r="N2409">
            <v>45817</v>
          </cell>
          <cell r="O2409">
            <v>129.96</v>
          </cell>
        </row>
        <row r="2410">
          <cell r="B2410">
            <v>45818</v>
          </cell>
          <cell r="C2410">
            <v>110.72</v>
          </cell>
        </row>
        <row r="2410">
          <cell r="E2410">
            <v>45740</v>
          </cell>
          <cell r="F2410">
            <v>176.94</v>
          </cell>
        </row>
        <row r="2410">
          <cell r="H2410">
            <v>45743</v>
          </cell>
          <cell r="I2410">
            <v>54.96</v>
          </cell>
        </row>
        <row r="2410">
          <cell r="K2410">
            <v>45740</v>
          </cell>
          <cell r="L2410">
            <v>138.79</v>
          </cell>
        </row>
        <row r="2410">
          <cell r="N2410">
            <v>45818</v>
          </cell>
          <cell r="O2410">
            <v>130.64</v>
          </cell>
        </row>
        <row r="2411">
          <cell r="B2411">
            <v>45819</v>
          </cell>
          <cell r="C2411">
            <v>110.86</v>
          </cell>
        </row>
        <row r="2411">
          <cell r="E2411">
            <v>45741</v>
          </cell>
          <cell r="F2411">
            <v>178.21</v>
          </cell>
        </row>
        <row r="2411">
          <cell r="H2411">
            <v>45744</v>
          </cell>
          <cell r="I2411">
            <v>55.16</v>
          </cell>
        </row>
        <row r="2411">
          <cell r="K2411">
            <v>45741</v>
          </cell>
          <cell r="L2411">
            <v>138.92</v>
          </cell>
        </row>
        <row r="2411">
          <cell r="N2411">
            <v>45819</v>
          </cell>
          <cell r="O2411">
            <v>130.79</v>
          </cell>
        </row>
        <row r="2412">
          <cell r="B2412">
            <v>45820</v>
          </cell>
          <cell r="C2412">
            <v>110.89</v>
          </cell>
        </row>
        <row r="2412">
          <cell r="E2412">
            <v>45742</v>
          </cell>
          <cell r="F2412">
            <v>175.68</v>
          </cell>
        </row>
        <row r="2412">
          <cell r="H2412">
            <v>45747</v>
          </cell>
          <cell r="I2412">
            <v>55.27</v>
          </cell>
        </row>
        <row r="2412">
          <cell r="K2412">
            <v>45742</v>
          </cell>
          <cell r="L2412">
            <v>139.08</v>
          </cell>
        </row>
        <row r="2412">
          <cell r="N2412">
            <v>45820</v>
          </cell>
          <cell r="O2412">
            <v>131.58</v>
          </cell>
        </row>
        <row r="2413">
          <cell r="B2413">
            <v>45821</v>
          </cell>
          <cell r="C2413">
            <v>110.63</v>
          </cell>
        </row>
        <row r="2413">
          <cell r="E2413">
            <v>45743</v>
          </cell>
          <cell r="F2413">
            <v>174.75</v>
          </cell>
        </row>
        <row r="2413">
          <cell r="H2413">
            <v>45748</v>
          </cell>
          <cell r="I2413">
            <v>55.01</v>
          </cell>
        </row>
        <row r="2413">
          <cell r="K2413">
            <v>45743</v>
          </cell>
          <cell r="L2413">
            <v>138.28</v>
          </cell>
        </row>
        <row r="2413">
          <cell r="N2413">
            <v>45821</v>
          </cell>
          <cell r="O2413">
            <v>132.41</v>
          </cell>
        </row>
        <row r="2414">
          <cell r="B2414">
            <v>45824</v>
          </cell>
          <cell r="C2414">
            <v>110.71</v>
          </cell>
        </row>
        <row r="2414">
          <cell r="E2414">
            <v>45744</v>
          </cell>
          <cell r="F2414">
            <v>176.09</v>
          </cell>
        </row>
        <row r="2414">
          <cell r="H2414">
            <v>45749</v>
          </cell>
          <cell r="I2414">
            <v>55.06</v>
          </cell>
        </row>
        <row r="2414">
          <cell r="K2414">
            <v>45744</v>
          </cell>
          <cell r="L2414">
            <v>138.63</v>
          </cell>
        </row>
        <row r="2414">
          <cell r="N2414">
            <v>45824</v>
          </cell>
          <cell r="O2414">
            <v>132.24</v>
          </cell>
        </row>
        <row r="2415">
          <cell r="B2415">
            <v>45825</v>
          </cell>
          <cell r="C2415">
            <v>111.08</v>
          </cell>
        </row>
        <row r="2415">
          <cell r="E2415">
            <v>45747</v>
          </cell>
          <cell r="F2415">
            <v>176.82</v>
          </cell>
        </row>
        <row r="2415">
          <cell r="H2415">
            <v>45750</v>
          </cell>
          <cell r="I2415">
            <v>54.19</v>
          </cell>
        </row>
        <row r="2415">
          <cell r="K2415">
            <v>45747</v>
          </cell>
          <cell r="L2415">
            <v>139.62</v>
          </cell>
        </row>
        <row r="2415">
          <cell r="N2415">
            <v>45825</v>
          </cell>
          <cell r="O2415">
            <v>132.12</v>
          </cell>
        </row>
        <row r="2416">
          <cell r="B2416">
            <v>45826</v>
          </cell>
          <cell r="C2416">
            <v>111.04</v>
          </cell>
        </row>
        <row r="2416">
          <cell r="E2416">
            <v>45748</v>
          </cell>
          <cell r="F2416">
            <v>178.25</v>
          </cell>
        </row>
        <row r="2416">
          <cell r="H2416">
            <v>45751</v>
          </cell>
          <cell r="I2416">
            <v>54.57</v>
          </cell>
        </row>
        <row r="2416">
          <cell r="K2416">
            <v>45748</v>
          </cell>
          <cell r="L2416">
            <v>140.07</v>
          </cell>
        </row>
        <row r="2416">
          <cell r="N2416">
            <v>45826</v>
          </cell>
          <cell r="O2416">
            <v>131.79</v>
          </cell>
        </row>
        <row r="2417">
          <cell r="B2417">
            <v>45828</v>
          </cell>
          <cell r="C2417">
            <v>110.56</v>
          </cell>
        </row>
        <row r="2417">
          <cell r="E2417">
            <v>45749</v>
          </cell>
          <cell r="F2417">
            <v>178.86</v>
          </cell>
        </row>
        <row r="2417">
          <cell r="H2417">
            <v>45754</v>
          </cell>
          <cell r="I2417">
            <v>54.5</v>
          </cell>
        </row>
        <row r="2417">
          <cell r="K2417">
            <v>45749</v>
          </cell>
          <cell r="L2417">
            <v>140.82</v>
          </cell>
        </row>
        <row r="2417">
          <cell r="N2417">
            <v>45828</v>
          </cell>
          <cell r="O2417">
            <v>132.09</v>
          </cell>
        </row>
        <row r="2418">
          <cell r="B2418">
            <v>45831</v>
          </cell>
          <cell r="C2418">
            <v>110.23</v>
          </cell>
        </row>
        <row r="2418">
          <cell r="E2418">
            <v>45750</v>
          </cell>
          <cell r="F2418">
            <v>180.88</v>
          </cell>
        </row>
        <row r="2418">
          <cell r="H2418">
            <v>45755</v>
          </cell>
          <cell r="I2418">
            <v>54.52</v>
          </cell>
        </row>
        <row r="2418">
          <cell r="K2418">
            <v>45750</v>
          </cell>
          <cell r="L2418">
            <v>139.88</v>
          </cell>
        </row>
        <row r="2418">
          <cell r="N2418">
            <v>45831</v>
          </cell>
          <cell r="O2418">
            <v>131.31</v>
          </cell>
        </row>
        <row r="2419">
          <cell r="B2419">
            <v>45832</v>
          </cell>
          <cell r="C2419">
            <v>110.06</v>
          </cell>
        </row>
        <row r="2419">
          <cell r="E2419">
            <v>45751</v>
          </cell>
          <cell r="F2419">
            <v>176.86</v>
          </cell>
        </row>
        <row r="2419">
          <cell r="H2419">
            <v>45756</v>
          </cell>
          <cell r="I2419">
            <v>54.39</v>
          </cell>
        </row>
        <row r="2419">
          <cell r="K2419">
            <v>45751</v>
          </cell>
          <cell r="L2419">
            <v>140.04</v>
          </cell>
        </row>
        <row r="2419">
          <cell r="N2419">
            <v>45832</v>
          </cell>
          <cell r="O2419">
            <v>131.41</v>
          </cell>
        </row>
        <row r="2420">
          <cell r="B2420">
            <v>45833</v>
          </cell>
          <cell r="C2420">
            <v>109.21</v>
          </cell>
        </row>
        <row r="2420">
          <cell r="E2420">
            <v>45754</v>
          </cell>
          <cell r="F2420">
            <v>179.18</v>
          </cell>
        </row>
        <row r="2420">
          <cell r="H2420">
            <v>45757</v>
          </cell>
          <cell r="I2420">
            <v>53.76</v>
          </cell>
        </row>
        <row r="2420">
          <cell r="K2420">
            <v>45754</v>
          </cell>
          <cell r="L2420">
            <v>140.17</v>
          </cell>
        </row>
        <row r="2420">
          <cell r="N2420">
            <v>45833</v>
          </cell>
          <cell r="O2420">
            <v>132.4</v>
          </cell>
        </row>
        <row r="2421">
          <cell r="B2421">
            <v>45834</v>
          </cell>
          <cell r="C2421">
            <v>109.78</v>
          </cell>
        </row>
        <row r="2421">
          <cell r="E2421">
            <v>45755</v>
          </cell>
          <cell r="F2421">
            <v>182.17</v>
          </cell>
        </row>
        <row r="2421">
          <cell r="H2421">
            <v>45758</v>
          </cell>
          <cell r="I2421">
            <v>53.8</v>
          </cell>
        </row>
        <row r="2421">
          <cell r="K2421">
            <v>45755</v>
          </cell>
          <cell r="L2421">
            <v>140.25</v>
          </cell>
        </row>
        <row r="2421">
          <cell r="N2421">
            <v>45834</v>
          </cell>
          <cell r="O2421">
            <v>131.53</v>
          </cell>
        </row>
        <row r="2422">
          <cell r="B2422">
            <v>45835</v>
          </cell>
          <cell r="C2422">
            <v>109.94</v>
          </cell>
        </row>
        <row r="2422">
          <cell r="E2422">
            <v>45756</v>
          </cell>
          <cell r="F2422">
            <v>180.85</v>
          </cell>
        </row>
        <row r="2422">
          <cell r="H2422">
            <v>45761</v>
          </cell>
          <cell r="I2422">
            <v>53.77</v>
          </cell>
        </row>
        <row r="2422">
          <cell r="K2422">
            <v>45756</v>
          </cell>
          <cell r="L2422">
            <v>140.96</v>
          </cell>
        </row>
        <row r="2422">
          <cell r="N2422">
            <v>45835</v>
          </cell>
          <cell r="O2422">
            <v>132.25</v>
          </cell>
        </row>
        <row r="2423">
          <cell r="B2423">
            <v>45838</v>
          </cell>
          <cell r="C2423">
            <v>110.57</v>
          </cell>
        </row>
        <row r="2423">
          <cell r="E2423">
            <v>45757</v>
          </cell>
          <cell r="F2423">
            <v>183.57</v>
          </cell>
        </row>
        <row r="2423">
          <cell r="H2423">
            <v>45762</v>
          </cell>
          <cell r="I2423">
            <v>53.78</v>
          </cell>
        </row>
        <row r="2423">
          <cell r="K2423">
            <v>45757</v>
          </cell>
          <cell r="L2423">
            <v>141.13</v>
          </cell>
        </row>
        <row r="2423">
          <cell r="N2423">
            <v>45838</v>
          </cell>
          <cell r="O2423">
            <v>132.73</v>
          </cell>
        </row>
        <row r="2424">
          <cell r="B2424">
            <v>45839</v>
          </cell>
          <cell r="C2424">
            <v>109.38</v>
          </cell>
        </row>
        <row r="2424">
          <cell r="E2424">
            <v>45758</v>
          </cell>
          <cell r="F2424">
            <v>183.86</v>
          </cell>
        </row>
        <row r="2424">
          <cell r="H2424">
            <v>45763</v>
          </cell>
          <cell r="I2424">
            <v>54.05</v>
          </cell>
        </row>
        <row r="2424">
          <cell r="K2424">
            <v>45758</v>
          </cell>
          <cell r="L2424">
            <v>140.43</v>
          </cell>
        </row>
        <row r="2424">
          <cell r="N2424">
            <v>45839</v>
          </cell>
          <cell r="O2424">
            <v>132.24</v>
          </cell>
        </row>
        <row r="2425">
          <cell r="B2425">
            <v>45840</v>
          </cell>
          <cell r="C2425">
            <v>108.16</v>
          </cell>
        </row>
        <row r="2425">
          <cell r="E2425">
            <v>45761</v>
          </cell>
          <cell r="F2425">
            <v>183.96</v>
          </cell>
        </row>
        <row r="2425">
          <cell r="H2425">
            <v>45764</v>
          </cell>
          <cell r="I2425">
            <v>54.09</v>
          </cell>
        </row>
        <row r="2425">
          <cell r="K2425">
            <v>45761</v>
          </cell>
          <cell r="L2425">
            <v>140.09</v>
          </cell>
        </row>
        <row r="2425">
          <cell r="N2425">
            <v>45840</v>
          </cell>
          <cell r="O2425">
            <v>131.69</v>
          </cell>
        </row>
        <row r="2426">
          <cell r="B2426">
            <v>45841</v>
          </cell>
          <cell r="C2426">
            <v>108.47</v>
          </cell>
        </row>
        <row r="2426">
          <cell r="E2426">
            <v>45762</v>
          </cell>
          <cell r="F2426">
            <v>186.68</v>
          </cell>
        </row>
        <row r="2426">
          <cell r="H2426">
            <v>45765</v>
          </cell>
          <cell r="I2426">
            <v>54.09</v>
          </cell>
        </row>
        <row r="2426">
          <cell r="K2426">
            <v>45762</v>
          </cell>
          <cell r="L2426">
            <v>140.3</v>
          </cell>
        </row>
        <row r="2426">
          <cell r="N2426">
            <v>45841</v>
          </cell>
          <cell r="O2426">
            <v>131.28</v>
          </cell>
        </row>
        <row r="2427">
          <cell r="B2427">
            <v>45845</v>
          </cell>
          <cell r="C2427">
            <v>108.41</v>
          </cell>
        </row>
        <row r="2427">
          <cell r="E2427">
            <v>45763</v>
          </cell>
          <cell r="F2427">
            <v>187.28</v>
          </cell>
        </row>
        <row r="2427">
          <cell r="H2427">
            <v>45768</v>
          </cell>
          <cell r="I2427">
            <v>54.85</v>
          </cell>
        </row>
        <row r="2427">
          <cell r="K2427">
            <v>45763</v>
          </cell>
          <cell r="L2427">
            <v>140.17</v>
          </cell>
        </row>
        <row r="2427">
          <cell r="N2427">
            <v>45845</v>
          </cell>
          <cell r="O2427">
            <v>132.09</v>
          </cell>
        </row>
        <row r="2428">
          <cell r="B2428">
            <v>45846</v>
          </cell>
          <cell r="C2428">
            <v>108.68</v>
          </cell>
        </row>
        <row r="2428">
          <cell r="E2428">
            <v>45764</v>
          </cell>
          <cell r="F2428">
            <v>186.1</v>
          </cell>
        </row>
        <row r="2428">
          <cell r="H2428">
            <v>45769</v>
          </cell>
          <cell r="I2428">
            <v>54.61</v>
          </cell>
        </row>
        <row r="2428">
          <cell r="K2428">
            <v>45764</v>
          </cell>
          <cell r="L2428">
            <v>140.81</v>
          </cell>
        </row>
        <row r="2428">
          <cell r="N2428">
            <v>45846</v>
          </cell>
          <cell r="O2428">
            <v>132.29</v>
          </cell>
        </row>
        <row r="2429">
          <cell r="B2429">
            <v>45847</v>
          </cell>
          <cell r="C2429">
            <v>108.52</v>
          </cell>
        </row>
        <row r="2429">
          <cell r="E2429">
            <v>45765</v>
          </cell>
          <cell r="F2429">
            <v>186.1</v>
          </cell>
        </row>
        <row r="2429">
          <cell r="H2429">
            <v>45770</v>
          </cell>
          <cell r="I2429">
            <v>54.35</v>
          </cell>
        </row>
        <row r="2429">
          <cell r="K2429">
            <v>45765</v>
          </cell>
          <cell r="L2429">
            <v>140.81</v>
          </cell>
        </row>
        <row r="2429">
          <cell r="N2429">
            <v>45847</v>
          </cell>
          <cell r="O2429">
            <v>132.23</v>
          </cell>
        </row>
        <row r="2430">
          <cell r="B2430">
            <v>45848</v>
          </cell>
          <cell r="C2430">
            <v>107.96</v>
          </cell>
        </row>
        <row r="2430">
          <cell r="E2430">
            <v>45768</v>
          </cell>
          <cell r="F2430">
            <v>184.58</v>
          </cell>
        </row>
        <row r="2430">
          <cell r="H2430">
            <v>45771</v>
          </cell>
          <cell r="I2430">
            <v>54.51</v>
          </cell>
        </row>
        <row r="2430">
          <cell r="K2430">
            <v>45768</v>
          </cell>
          <cell r="L2430">
            <v>140.21</v>
          </cell>
        </row>
        <row r="2430">
          <cell r="N2430">
            <v>45848</v>
          </cell>
          <cell r="O2430">
            <v>132.22</v>
          </cell>
        </row>
        <row r="2431">
          <cell r="B2431">
            <v>45849</v>
          </cell>
          <cell r="C2431">
            <v>107.43</v>
          </cell>
        </row>
        <row r="2431">
          <cell r="E2431">
            <v>45769</v>
          </cell>
          <cell r="F2431">
            <v>184.99</v>
          </cell>
        </row>
        <row r="2431">
          <cell r="H2431">
            <v>45772</v>
          </cell>
          <cell r="I2431">
            <v>54.28</v>
          </cell>
        </row>
        <row r="2431">
          <cell r="K2431">
            <v>45769</v>
          </cell>
          <cell r="L2431">
            <v>141.18</v>
          </cell>
        </row>
        <row r="2431">
          <cell r="N2431">
            <v>45849</v>
          </cell>
          <cell r="O2431">
            <v>133.19</v>
          </cell>
        </row>
        <row r="2432">
          <cell r="B2432">
            <v>45852</v>
          </cell>
          <cell r="C2432">
            <v>107.84</v>
          </cell>
        </row>
        <row r="2432">
          <cell r="E2432">
            <v>45770</v>
          </cell>
          <cell r="F2432">
            <v>185.9</v>
          </cell>
        </row>
        <row r="2432">
          <cell r="H2432">
            <v>45775</v>
          </cell>
          <cell r="I2432">
            <v>54.37</v>
          </cell>
        </row>
        <row r="2432">
          <cell r="K2432">
            <v>45770</v>
          </cell>
          <cell r="L2432">
            <v>140.47</v>
          </cell>
        </row>
        <row r="2432">
          <cell r="N2432">
            <v>45852</v>
          </cell>
          <cell r="O2432">
            <v>132.69</v>
          </cell>
        </row>
        <row r="2433">
          <cell r="B2433">
            <v>45853</v>
          </cell>
          <cell r="C2433">
            <v>108.64</v>
          </cell>
        </row>
        <row r="2433">
          <cell r="E2433">
            <v>45771</v>
          </cell>
          <cell r="F2433">
            <v>184.41</v>
          </cell>
        </row>
        <row r="2433">
          <cell r="H2433">
            <v>45776</v>
          </cell>
          <cell r="I2433">
            <v>53.82</v>
          </cell>
        </row>
        <row r="2433">
          <cell r="K2433">
            <v>45771</v>
          </cell>
          <cell r="L2433">
            <v>140.62</v>
          </cell>
        </row>
        <row r="2433">
          <cell r="N2433">
            <v>45853</v>
          </cell>
          <cell r="O2433">
            <v>133.64</v>
          </cell>
        </row>
        <row r="2434">
          <cell r="B2434">
            <v>45854</v>
          </cell>
          <cell r="C2434">
            <v>108.06</v>
          </cell>
        </row>
        <row r="2434">
          <cell r="E2434">
            <v>45772</v>
          </cell>
          <cell r="F2434">
            <v>185.97</v>
          </cell>
        </row>
        <row r="2434">
          <cell r="H2434">
            <v>45777</v>
          </cell>
          <cell r="I2434">
            <v>53.35</v>
          </cell>
        </row>
        <row r="2434">
          <cell r="K2434">
            <v>45772</v>
          </cell>
          <cell r="L2434">
            <v>140.62</v>
          </cell>
        </row>
        <row r="2434">
          <cell r="N2434">
            <v>45854</v>
          </cell>
          <cell r="O2434">
            <v>133.13</v>
          </cell>
        </row>
        <row r="2435">
          <cell r="B2435">
            <v>45855</v>
          </cell>
          <cell r="C2435">
            <v>107.68</v>
          </cell>
        </row>
        <row r="2435">
          <cell r="E2435">
            <v>45775</v>
          </cell>
          <cell r="F2435">
            <v>186.44</v>
          </cell>
        </row>
        <row r="2435">
          <cell r="H2435">
            <v>45778</v>
          </cell>
          <cell r="I2435">
            <v>53.28</v>
          </cell>
        </row>
        <row r="2435">
          <cell r="K2435">
            <v>45775</v>
          </cell>
          <cell r="L2435">
            <v>140.63</v>
          </cell>
        </row>
        <row r="2435">
          <cell r="N2435">
            <v>45855</v>
          </cell>
          <cell r="O2435">
            <v>132.76</v>
          </cell>
        </row>
        <row r="2436">
          <cell r="B2436">
            <v>45856</v>
          </cell>
          <cell r="C2436">
            <v>108.26</v>
          </cell>
        </row>
        <row r="2436">
          <cell r="E2436">
            <v>45776</v>
          </cell>
          <cell r="F2436">
            <v>187.05</v>
          </cell>
        </row>
        <row r="2436">
          <cell r="H2436">
            <v>45779</v>
          </cell>
          <cell r="I2436">
            <v>53.22</v>
          </cell>
        </row>
        <row r="2436">
          <cell r="K2436">
            <v>45776</v>
          </cell>
          <cell r="L2436">
            <v>141.02</v>
          </cell>
        </row>
        <row r="2436">
          <cell r="N2436">
            <v>45856</v>
          </cell>
          <cell r="O2436">
            <v>133.51</v>
          </cell>
        </row>
        <row r="2437">
          <cell r="B2437">
            <v>45859</v>
          </cell>
          <cell r="C2437">
            <v>108.54</v>
          </cell>
        </row>
        <row r="2437">
          <cell r="E2437">
            <v>45777</v>
          </cell>
          <cell r="F2437">
            <v>188.59</v>
          </cell>
        </row>
        <row r="2437">
          <cell r="H2437">
            <v>45782</v>
          </cell>
          <cell r="I2437">
            <v>52.68</v>
          </cell>
        </row>
        <row r="2437">
          <cell r="K2437">
            <v>45777</v>
          </cell>
          <cell r="L2437">
            <v>140.75</v>
          </cell>
        </row>
        <row r="2437">
          <cell r="N2437">
            <v>45859</v>
          </cell>
          <cell r="O2437">
            <v>133.8</v>
          </cell>
        </row>
        <row r="2438">
          <cell r="B2438">
            <v>45860</v>
          </cell>
          <cell r="C2438">
            <v>109.08</v>
          </cell>
        </row>
        <row r="2438">
          <cell r="E2438">
            <v>45778</v>
          </cell>
          <cell r="F2438">
            <v>188.85</v>
          </cell>
        </row>
        <row r="2438">
          <cell r="H2438">
            <v>45783</v>
          </cell>
          <cell r="I2438">
            <v>52.98</v>
          </cell>
        </row>
        <row r="2438">
          <cell r="K2438">
            <v>45778</v>
          </cell>
          <cell r="L2438">
            <v>140.77</v>
          </cell>
        </row>
        <row r="2438">
          <cell r="N2438">
            <v>45860</v>
          </cell>
          <cell r="O2438">
            <v>133.55</v>
          </cell>
        </row>
        <row r="2439">
          <cell r="B2439">
            <v>45861</v>
          </cell>
          <cell r="C2439">
            <v>109.39</v>
          </cell>
        </row>
        <row r="2439">
          <cell r="E2439">
            <v>45779</v>
          </cell>
          <cell r="F2439">
            <v>188.93</v>
          </cell>
        </row>
        <row r="2439">
          <cell r="H2439">
            <v>45784</v>
          </cell>
          <cell r="I2439">
            <v>52.95</v>
          </cell>
        </row>
        <row r="2439">
          <cell r="K2439">
            <v>45779</v>
          </cell>
          <cell r="L2439">
            <v>140.31</v>
          </cell>
        </row>
        <row r="2439">
          <cell r="N2439">
            <v>45861</v>
          </cell>
          <cell r="O2439">
            <v>133.42</v>
          </cell>
        </row>
        <row r="2440">
          <cell r="B2440">
            <v>45862</v>
          </cell>
          <cell r="C2440">
            <v>108.74</v>
          </cell>
        </row>
        <row r="2440">
          <cell r="E2440">
            <v>45782</v>
          </cell>
          <cell r="F2440">
            <v>190.39</v>
          </cell>
        </row>
        <row r="2440">
          <cell r="H2440">
            <v>45785</v>
          </cell>
          <cell r="I2440">
            <v>53.21</v>
          </cell>
        </row>
        <row r="2440">
          <cell r="K2440">
            <v>45782</v>
          </cell>
          <cell r="L2440">
            <v>140.77</v>
          </cell>
        </row>
        <row r="2440">
          <cell r="N2440">
            <v>45862</v>
          </cell>
          <cell r="O2440">
            <v>134.83</v>
          </cell>
        </row>
        <row r="2441">
          <cell r="B2441">
            <v>45863</v>
          </cell>
          <cell r="C2441">
            <v>109.24</v>
          </cell>
        </row>
        <row r="2441">
          <cell r="E2441">
            <v>45783</v>
          </cell>
          <cell r="F2441">
            <v>191.12</v>
          </cell>
        </row>
        <row r="2441">
          <cell r="H2441">
            <v>45786</v>
          </cell>
          <cell r="I2441">
            <v>53.52</v>
          </cell>
        </row>
        <row r="2441">
          <cell r="K2441">
            <v>45783</v>
          </cell>
          <cell r="L2441">
            <v>140.52</v>
          </cell>
        </row>
        <row r="2441">
          <cell r="N2441">
            <v>45863</v>
          </cell>
          <cell r="O2441">
            <v>135</v>
          </cell>
        </row>
        <row r="2442">
          <cell r="B2442">
            <v>45866</v>
          </cell>
          <cell r="C2442">
            <v>109.44</v>
          </cell>
        </row>
        <row r="2442">
          <cell r="E2442">
            <v>45784</v>
          </cell>
          <cell r="F2442">
            <v>191.93</v>
          </cell>
        </row>
        <row r="2442">
          <cell r="H2442">
            <v>45789</v>
          </cell>
          <cell r="I2442">
            <v>53.92</v>
          </cell>
        </row>
        <row r="2442">
          <cell r="K2442">
            <v>45784</v>
          </cell>
          <cell r="L2442">
            <v>140.99</v>
          </cell>
        </row>
        <row r="2442">
          <cell r="N2442">
            <v>45866</v>
          </cell>
          <cell r="O2442">
            <v>135.06</v>
          </cell>
        </row>
        <row r="2443">
          <cell r="B2443">
            <v>45867</v>
          </cell>
          <cell r="C2443">
            <v>108.82</v>
          </cell>
        </row>
        <row r="2443">
          <cell r="E2443">
            <v>45785</v>
          </cell>
          <cell r="F2443">
            <v>188.35</v>
          </cell>
        </row>
        <row r="2443">
          <cell r="H2443">
            <v>45790</v>
          </cell>
          <cell r="I2443">
            <v>54.47</v>
          </cell>
        </row>
        <row r="2443">
          <cell r="K2443">
            <v>45785</v>
          </cell>
          <cell r="L2443">
            <v>141.43</v>
          </cell>
        </row>
        <row r="2443">
          <cell r="N2443">
            <v>45867</v>
          </cell>
          <cell r="O2443">
            <v>135.21</v>
          </cell>
        </row>
        <row r="2444">
          <cell r="B2444">
            <v>45868</v>
          </cell>
          <cell r="C2444">
            <v>109.46</v>
          </cell>
        </row>
        <row r="2444">
          <cell r="E2444">
            <v>45786</v>
          </cell>
          <cell r="F2444">
            <v>187.39</v>
          </cell>
        </row>
        <row r="2444">
          <cell r="H2444">
            <v>45791</v>
          </cell>
          <cell r="I2444">
            <v>54.37</v>
          </cell>
        </row>
        <row r="2444">
          <cell r="K2444">
            <v>45786</v>
          </cell>
          <cell r="L2444">
            <v>140.52</v>
          </cell>
        </row>
        <row r="2444">
          <cell r="N2444">
            <v>45868</v>
          </cell>
          <cell r="O2444">
            <v>135.29</v>
          </cell>
        </row>
        <row r="2445">
          <cell r="B2445">
            <v>45869</v>
          </cell>
          <cell r="C2445">
            <v>108.75</v>
          </cell>
        </row>
        <row r="2445">
          <cell r="E2445">
            <v>45789</v>
          </cell>
          <cell r="F2445">
            <v>180.95</v>
          </cell>
        </row>
        <row r="2445">
          <cell r="H2445">
            <v>45792</v>
          </cell>
          <cell r="I2445">
            <v>53.99</v>
          </cell>
        </row>
        <row r="2445">
          <cell r="K2445">
            <v>45789</v>
          </cell>
          <cell r="L2445">
            <v>141.85</v>
          </cell>
        </row>
        <row r="2445">
          <cell r="N2445">
            <v>45869</v>
          </cell>
          <cell r="O2445">
            <v>135.49</v>
          </cell>
        </row>
        <row r="2446">
          <cell r="B2446">
            <v>45870</v>
          </cell>
          <cell r="C2446">
            <v>107.97</v>
          </cell>
        </row>
        <row r="2446">
          <cell r="E2446">
            <v>45790</v>
          </cell>
          <cell r="F2446">
            <v>181.78</v>
          </cell>
        </row>
        <row r="2446">
          <cell r="H2446">
            <v>45793</v>
          </cell>
          <cell r="I2446">
            <v>53.91</v>
          </cell>
        </row>
        <row r="2446">
          <cell r="K2446">
            <v>45790</v>
          </cell>
          <cell r="L2446">
            <v>142.01</v>
          </cell>
        </row>
        <row r="2446">
          <cell r="N2446">
            <v>45870</v>
          </cell>
          <cell r="O2446">
            <v>135.84</v>
          </cell>
        </row>
        <row r="2447">
          <cell r="B2447">
            <v>45873</v>
          </cell>
          <cell r="C2447">
            <v>107.67</v>
          </cell>
        </row>
        <row r="2447">
          <cell r="E2447">
            <v>45791</v>
          </cell>
          <cell r="F2447">
            <v>183.29</v>
          </cell>
        </row>
        <row r="2447">
          <cell r="H2447">
            <v>45796</v>
          </cell>
          <cell r="I2447">
            <v>53.58</v>
          </cell>
        </row>
        <row r="2447">
          <cell r="K2447">
            <v>45791</v>
          </cell>
          <cell r="L2447">
            <v>142.27</v>
          </cell>
        </row>
        <row r="2447">
          <cell r="N2447">
            <v>45873</v>
          </cell>
          <cell r="O2447">
            <v>134.89</v>
          </cell>
        </row>
        <row r="2448">
          <cell r="B2448">
            <v>45874</v>
          </cell>
          <cell r="C2448">
            <v>107.73</v>
          </cell>
        </row>
        <row r="2448">
          <cell r="E2448">
            <v>45792</v>
          </cell>
          <cell r="F2448">
            <v>184.46</v>
          </cell>
        </row>
        <row r="2448">
          <cell r="H2448">
            <v>45797</v>
          </cell>
          <cell r="I2448">
            <v>53.47</v>
          </cell>
        </row>
        <row r="2448">
          <cell r="K2448">
            <v>45792</v>
          </cell>
          <cell r="L2448">
            <v>142.31</v>
          </cell>
        </row>
        <row r="2448">
          <cell r="N2448">
            <v>45874</v>
          </cell>
          <cell r="O2448">
            <v>134.12</v>
          </cell>
        </row>
        <row r="2449">
          <cell r="B2449">
            <v>45875</v>
          </cell>
          <cell r="C2449">
            <v>107.49</v>
          </cell>
        </row>
        <row r="2449">
          <cell r="E2449">
            <v>45793</v>
          </cell>
          <cell r="F2449">
            <v>184.41</v>
          </cell>
        </row>
        <row r="2449">
          <cell r="H2449">
            <v>45798</v>
          </cell>
          <cell r="I2449">
            <v>53.69</v>
          </cell>
        </row>
        <row r="2449">
          <cell r="K2449">
            <v>45793</v>
          </cell>
          <cell r="L2449">
            <v>143.08</v>
          </cell>
        </row>
        <row r="2449">
          <cell r="N2449">
            <v>45875</v>
          </cell>
          <cell r="O2449">
            <v>134.46</v>
          </cell>
        </row>
        <row r="2450">
          <cell r="B2450">
            <v>45876</v>
          </cell>
          <cell r="C2450">
            <v>107.38</v>
          </cell>
        </row>
        <row r="2450">
          <cell r="E2450">
            <v>45796</v>
          </cell>
          <cell r="F2450">
            <v>186.11</v>
          </cell>
        </row>
        <row r="2450">
          <cell r="H2450">
            <v>45799</v>
          </cell>
          <cell r="I2450">
            <v>53.5</v>
          </cell>
        </row>
        <row r="2450">
          <cell r="K2450">
            <v>45796</v>
          </cell>
          <cell r="L2450">
            <v>143.33</v>
          </cell>
        </row>
        <row r="2450">
          <cell r="N2450">
            <v>45876</v>
          </cell>
          <cell r="O2450">
            <v>135.1</v>
          </cell>
        </row>
        <row r="2451">
          <cell r="B2451">
            <v>45877</v>
          </cell>
          <cell r="C2451">
            <v>106.8</v>
          </cell>
        </row>
        <row r="2451">
          <cell r="E2451">
            <v>45797</v>
          </cell>
          <cell r="F2451">
            <v>186.98</v>
          </cell>
        </row>
        <row r="2451">
          <cell r="H2451">
            <v>45800</v>
          </cell>
          <cell r="I2451">
            <v>53.49</v>
          </cell>
        </row>
        <row r="2451">
          <cell r="K2451">
            <v>45797</v>
          </cell>
          <cell r="L2451">
            <v>142.44</v>
          </cell>
        </row>
        <row r="2451">
          <cell r="N2451">
            <v>45877</v>
          </cell>
          <cell r="O2451">
            <v>135.76</v>
          </cell>
        </row>
        <row r="2452">
          <cell r="B2452">
            <v>45880</v>
          </cell>
          <cell r="C2452">
            <v>106.82</v>
          </cell>
        </row>
        <row r="2452">
          <cell r="E2452">
            <v>45798</v>
          </cell>
          <cell r="F2452">
            <v>189.58</v>
          </cell>
        </row>
        <row r="2452">
          <cell r="H2452">
            <v>45803</v>
          </cell>
          <cell r="I2452">
            <v>53.62</v>
          </cell>
        </row>
        <row r="2452">
          <cell r="K2452">
            <v>45798</v>
          </cell>
          <cell r="L2452">
            <v>142.28</v>
          </cell>
        </row>
        <row r="2452">
          <cell r="N2452">
            <v>45880</v>
          </cell>
          <cell r="O2452">
            <v>135.38</v>
          </cell>
        </row>
        <row r="2453">
          <cell r="B2453">
            <v>45881</v>
          </cell>
          <cell r="C2453">
            <v>106.82</v>
          </cell>
        </row>
        <row r="2453">
          <cell r="E2453">
            <v>45799</v>
          </cell>
          <cell r="F2453">
            <v>189.28</v>
          </cell>
        </row>
        <row r="2453">
          <cell r="H2453">
            <v>45804</v>
          </cell>
          <cell r="I2453">
            <v>53.75</v>
          </cell>
        </row>
        <row r="2453">
          <cell r="K2453">
            <v>45799</v>
          </cell>
          <cell r="L2453">
            <v>142.38</v>
          </cell>
        </row>
        <row r="2453">
          <cell r="N2453">
            <v>45881</v>
          </cell>
          <cell r="O2453">
            <v>133.43</v>
          </cell>
        </row>
        <row r="2454">
          <cell r="B2454">
            <v>45882</v>
          </cell>
          <cell r="C2454">
            <v>106.93</v>
          </cell>
        </row>
        <row r="2454">
          <cell r="E2454">
            <v>45800</v>
          </cell>
          <cell r="F2454">
            <v>191.76</v>
          </cell>
        </row>
        <row r="2454">
          <cell r="H2454">
            <v>45805</v>
          </cell>
          <cell r="I2454">
            <v>53.52</v>
          </cell>
        </row>
        <row r="2454">
          <cell r="K2454">
            <v>45800</v>
          </cell>
          <cell r="L2454">
            <v>141.16</v>
          </cell>
        </row>
        <row r="2454">
          <cell r="N2454">
            <v>45882</v>
          </cell>
          <cell r="O2454">
            <v>131.93</v>
          </cell>
        </row>
        <row r="2455">
          <cell r="B2455">
            <v>45883</v>
          </cell>
          <cell r="C2455">
            <v>106.54</v>
          </cell>
        </row>
        <row r="2455">
          <cell r="E2455">
            <v>45803</v>
          </cell>
          <cell r="F2455">
            <v>192.38</v>
          </cell>
        </row>
        <row r="2455">
          <cell r="H2455">
            <v>45806</v>
          </cell>
          <cell r="I2455">
            <v>53.62</v>
          </cell>
        </row>
        <row r="2455">
          <cell r="K2455">
            <v>45803</v>
          </cell>
          <cell r="L2455">
            <v>140.97</v>
          </cell>
        </row>
        <row r="2455">
          <cell r="N2455">
            <v>45883</v>
          </cell>
          <cell r="O2455">
            <v>133.12</v>
          </cell>
        </row>
        <row r="2456">
          <cell r="B2456">
            <v>45884</v>
          </cell>
          <cell r="C2456">
            <v>106.47</v>
          </cell>
        </row>
        <row r="2456">
          <cell r="E2456">
            <v>45804</v>
          </cell>
          <cell r="F2456">
            <v>190.46</v>
          </cell>
        </row>
        <row r="2456">
          <cell r="H2456">
            <v>45807</v>
          </cell>
          <cell r="I2456">
            <v>53.44</v>
          </cell>
        </row>
        <row r="2456">
          <cell r="K2456">
            <v>45804</v>
          </cell>
          <cell r="L2456">
            <v>141.25</v>
          </cell>
        </row>
        <row r="2456">
          <cell r="N2456">
            <v>45884</v>
          </cell>
          <cell r="O2456">
            <v>133.64</v>
          </cell>
        </row>
        <row r="2457">
          <cell r="B2457">
            <v>45887</v>
          </cell>
          <cell r="C2457">
            <v>106.95</v>
          </cell>
        </row>
        <row r="2457">
          <cell r="E2457">
            <v>45805</v>
          </cell>
          <cell r="F2457">
            <v>192.68</v>
          </cell>
        </row>
        <row r="2457">
          <cell r="H2457">
            <v>45810</v>
          </cell>
          <cell r="I2457">
            <v>53.55</v>
          </cell>
        </row>
        <row r="2457">
          <cell r="K2457">
            <v>45805</v>
          </cell>
          <cell r="L2457">
            <v>141.45</v>
          </cell>
        </row>
        <row r="2457">
          <cell r="N2457">
            <v>45887</v>
          </cell>
          <cell r="O2457">
            <v>133.27</v>
          </cell>
        </row>
        <row r="2458">
          <cell r="B2458">
            <v>45888</v>
          </cell>
          <cell r="C2458">
            <v>107.15</v>
          </cell>
        </row>
        <row r="2458">
          <cell r="E2458">
            <v>45806</v>
          </cell>
          <cell r="F2458">
            <v>190.97</v>
          </cell>
        </row>
        <row r="2458">
          <cell r="H2458">
            <v>45811</v>
          </cell>
          <cell r="I2458">
            <v>53.71</v>
          </cell>
        </row>
        <row r="2458">
          <cell r="K2458">
            <v>45806</v>
          </cell>
          <cell r="L2458">
            <v>141.17</v>
          </cell>
        </row>
        <row r="2458">
          <cell r="N2458">
            <v>45888</v>
          </cell>
          <cell r="O2458">
            <v>133.39</v>
          </cell>
        </row>
        <row r="2459">
          <cell r="B2459">
            <v>45889</v>
          </cell>
          <cell r="C2459">
            <v>107.29</v>
          </cell>
        </row>
        <row r="2459">
          <cell r="E2459">
            <v>45807</v>
          </cell>
          <cell r="F2459">
            <v>194.24</v>
          </cell>
        </row>
        <row r="2459">
          <cell r="H2459">
            <v>45812</v>
          </cell>
          <cell r="I2459">
            <v>53.65</v>
          </cell>
        </row>
        <row r="2459">
          <cell r="K2459">
            <v>45807</v>
          </cell>
          <cell r="L2459">
            <v>141.75</v>
          </cell>
        </row>
        <row r="2459">
          <cell r="N2459">
            <v>45889</v>
          </cell>
          <cell r="O2459">
            <v>133.61</v>
          </cell>
        </row>
        <row r="2460">
          <cell r="B2460">
            <v>45890</v>
          </cell>
          <cell r="C2460">
            <v>107.69</v>
          </cell>
        </row>
        <row r="2460">
          <cell r="E2460">
            <v>45810</v>
          </cell>
          <cell r="F2460">
            <v>197.09</v>
          </cell>
        </row>
        <row r="2460">
          <cell r="H2460">
            <v>45813</v>
          </cell>
          <cell r="I2460">
            <v>53.64</v>
          </cell>
        </row>
        <row r="2460">
          <cell r="K2460">
            <v>45810</v>
          </cell>
          <cell r="L2460">
            <v>141.59</v>
          </cell>
        </row>
        <row r="2460">
          <cell r="N2460">
            <v>45890</v>
          </cell>
          <cell r="O2460">
            <v>132.65</v>
          </cell>
        </row>
        <row r="2461">
          <cell r="B2461">
            <v>45891</v>
          </cell>
          <cell r="C2461">
            <v>107.56</v>
          </cell>
        </row>
        <row r="2461">
          <cell r="E2461">
            <v>45811</v>
          </cell>
          <cell r="F2461">
            <v>193.39</v>
          </cell>
        </row>
        <row r="2461">
          <cell r="H2461">
            <v>45814</v>
          </cell>
          <cell r="I2461">
            <v>53.82</v>
          </cell>
        </row>
        <row r="2461">
          <cell r="K2461">
            <v>45811</v>
          </cell>
          <cell r="L2461">
            <v>141.89</v>
          </cell>
        </row>
        <row r="2461">
          <cell r="N2461">
            <v>45891</v>
          </cell>
          <cell r="O2461">
            <v>130.68</v>
          </cell>
        </row>
        <row r="2462">
          <cell r="B2462">
            <v>45894</v>
          </cell>
          <cell r="C2462">
            <v>107.39</v>
          </cell>
        </row>
        <row r="2462">
          <cell r="E2462">
            <v>45812</v>
          </cell>
          <cell r="F2462">
            <v>193.15</v>
          </cell>
        </row>
        <row r="2462">
          <cell r="H2462">
            <v>45817</v>
          </cell>
          <cell r="I2462">
            <v>54.19</v>
          </cell>
        </row>
        <row r="2462">
          <cell r="K2462">
            <v>45812</v>
          </cell>
          <cell r="L2462">
            <v>142.07</v>
          </cell>
        </row>
        <row r="2462">
          <cell r="N2462">
            <v>45894</v>
          </cell>
          <cell r="O2462">
            <v>130.96</v>
          </cell>
        </row>
        <row r="2463">
          <cell r="B2463">
            <v>45895</v>
          </cell>
          <cell r="C2463">
            <v>107.57</v>
          </cell>
        </row>
        <row r="2463">
          <cell r="E2463">
            <v>45813</v>
          </cell>
          <cell r="F2463">
            <v>194.06</v>
          </cell>
        </row>
        <row r="2463">
          <cell r="H2463">
            <v>45818</v>
          </cell>
          <cell r="I2463">
            <v>54.57</v>
          </cell>
        </row>
        <row r="2463">
          <cell r="K2463">
            <v>45813</v>
          </cell>
          <cell r="L2463">
            <v>142.25</v>
          </cell>
        </row>
        <row r="2463">
          <cell r="N2463">
            <v>45895</v>
          </cell>
          <cell r="O2463">
            <v>131.08</v>
          </cell>
        </row>
        <row r="2464">
          <cell r="B2464">
            <v>45896</v>
          </cell>
          <cell r="C2464">
            <v>107.74</v>
          </cell>
        </row>
        <row r="2464">
          <cell r="E2464">
            <v>45814</v>
          </cell>
          <cell r="F2464">
            <v>192.77</v>
          </cell>
        </row>
        <row r="2464">
          <cell r="H2464">
            <v>45819</v>
          </cell>
          <cell r="I2464">
            <v>54.43</v>
          </cell>
        </row>
        <row r="2464">
          <cell r="K2464">
            <v>45814</v>
          </cell>
          <cell r="L2464">
            <v>141.56</v>
          </cell>
        </row>
        <row r="2464">
          <cell r="N2464">
            <v>45896</v>
          </cell>
          <cell r="O2464">
            <v>130.45</v>
          </cell>
        </row>
        <row r="2465">
          <cell r="B2465">
            <v>45897</v>
          </cell>
          <cell r="C2465">
            <v>108.19</v>
          </cell>
        </row>
        <row r="2465">
          <cell r="E2465">
            <v>45817</v>
          </cell>
          <cell r="F2465">
            <v>189.41</v>
          </cell>
        </row>
        <row r="2465">
          <cell r="H2465">
            <v>45820</v>
          </cell>
          <cell r="I2465">
            <v>54.48</v>
          </cell>
        </row>
        <row r="2465">
          <cell r="K2465">
            <v>45817</v>
          </cell>
          <cell r="L2465">
            <v>140.21</v>
          </cell>
        </row>
        <row r="2465">
          <cell r="N2465">
            <v>45897</v>
          </cell>
          <cell r="O2465">
            <v>130.91</v>
          </cell>
        </row>
        <row r="2466">
          <cell r="B2466">
            <v>45898</v>
          </cell>
          <cell r="C2466">
            <v>108.27</v>
          </cell>
        </row>
        <row r="2466">
          <cell r="E2466">
            <v>45818</v>
          </cell>
          <cell r="F2466">
            <v>185.8</v>
          </cell>
        </row>
        <row r="2466">
          <cell r="H2466">
            <v>45821</v>
          </cell>
          <cell r="I2466">
            <v>54.82</v>
          </cell>
        </row>
        <row r="2466">
          <cell r="K2466">
            <v>45818</v>
          </cell>
          <cell r="L2466">
            <v>140.02</v>
          </cell>
        </row>
        <row r="2466">
          <cell r="N2466">
            <v>45898</v>
          </cell>
          <cell r="O2466">
            <v>130.91</v>
          </cell>
        </row>
        <row r="2467">
          <cell r="B2467">
            <v>45902</v>
          </cell>
          <cell r="C2467">
            <v>107.44</v>
          </cell>
        </row>
        <row r="2467">
          <cell r="E2467">
            <v>45819</v>
          </cell>
          <cell r="F2467">
            <v>187.83</v>
          </cell>
        </row>
        <row r="2467">
          <cell r="H2467">
            <v>45824</v>
          </cell>
          <cell r="I2467">
            <v>54.72</v>
          </cell>
        </row>
        <row r="2467">
          <cell r="K2467">
            <v>45819</v>
          </cell>
          <cell r="L2467">
            <v>140.26</v>
          </cell>
        </row>
        <row r="2467">
          <cell r="N2467">
            <v>45902</v>
          </cell>
          <cell r="O2467">
            <v>131.35</v>
          </cell>
        </row>
        <row r="2468">
          <cell r="B2468">
            <v>45903</v>
          </cell>
          <cell r="C2468">
            <v>106.95</v>
          </cell>
        </row>
        <row r="2468">
          <cell r="E2468">
            <v>45820</v>
          </cell>
          <cell r="F2468">
            <v>188.41</v>
          </cell>
        </row>
        <row r="2468">
          <cell r="H2468">
            <v>45825</v>
          </cell>
          <cell r="I2468">
            <v>54.47</v>
          </cell>
        </row>
        <row r="2468">
          <cell r="K2468">
            <v>45820</v>
          </cell>
          <cell r="L2468">
            <v>140.18</v>
          </cell>
        </row>
        <row r="2468">
          <cell r="N2468">
            <v>45903</v>
          </cell>
          <cell r="O2468">
            <v>131.24</v>
          </cell>
        </row>
        <row r="2469">
          <cell r="B2469">
            <v>45904</v>
          </cell>
          <cell r="C2469">
            <v>106.47</v>
          </cell>
        </row>
        <row r="2469">
          <cell r="E2469">
            <v>45821</v>
          </cell>
          <cell r="F2469">
            <v>190.38</v>
          </cell>
        </row>
        <row r="2469">
          <cell r="H2469">
            <v>45826</v>
          </cell>
          <cell r="I2469">
            <v>54.37</v>
          </cell>
        </row>
        <row r="2469">
          <cell r="K2469">
            <v>45821</v>
          </cell>
          <cell r="L2469">
            <v>139.59</v>
          </cell>
        </row>
        <row r="2469">
          <cell r="N2469">
            <v>45904</v>
          </cell>
          <cell r="O2469">
            <v>130.72</v>
          </cell>
        </row>
        <row r="2470">
          <cell r="B2470">
            <v>45905</v>
          </cell>
          <cell r="C2470">
            <v>105.85</v>
          </cell>
        </row>
        <row r="2470">
          <cell r="E2470">
            <v>45824</v>
          </cell>
          <cell r="F2470">
            <v>188.88</v>
          </cell>
        </row>
        <row r="2470">
          <cell r="H2470">
            <v>45827</v>
          </cell>
          <cell r="I2470">
            <v>54.34</v>
          </cell>
        </row>
        <row r="2470">
          <cell r="K2470">
            <v>45824</v>
          </cell>
          <cell r="L2470">
            <v>139.45</v>
          </cell>
        </row>
        <row r="2470">
          <cell r="N2470">
            <v>45905</v>
          </cell>
          <cell r="O2470">
            <v>130.3</v>
          </cell>
        </row>
        <row r="2471">
          <cell r="B2471">
            <v>45908</v>
          </cell>
          <cell r="C2471">
            <v>105.93</v>
          </cell>
        </row>
        <row r="2471">
          <cell r="E2471">
            <v>45825</v>
          </cell>
          <cell r="F2471">
            <v>191.47</v>
          </cell>
        </row>
        <row r="2471">
          <cell r="H2471">
            <v>45828</v>
          </cell>
          <cell r="I2471">
            <v>54.26</v>
          </cell>
        </row>
        <row r="2471">
          <cell r="K2471">
            <v>45825</v>
          </cell>
          <cell r="L2471">
            <v>139.45</v>
          </cell>
        </row>
        <row r="2471">
          <cell r="N2471">
            <v>45908</v>
          </cell>
          <cell r="O2471">
            <v>129.92</v>
          </cell>
        </row>
        <row r="2472">
          <cell r="B2472">
            <v>45909</v>
          </cell>
          <cell r="C2472">
            <v>105.83</v>
          </cell>
        </row>
        <row r="2472">
          <cell r="E2472">
            <v>45826</v>
          </cell>
          <cell r="F2472">
            <v>191.15</v>
          </cell>
        </row>
        <row r="2472">
          <cell r="H2472">
            <v>45831</v>
          </cell>
          <cell r="I2472">
            <v>53.95</v>
          </cell>
        </row>
        <row r="2472">
          <cell r="K2472">
            <v>45826</v>
          </cell>
          <cell r="L2472">
            <v>138.96</v>
          </cell>
        </row>
        <row r="2472">
          <cell r="N2472">
            <v>45909</v>
          </cell>
          <cell r="O2472">
            <v>130.98</v>
          </cell>
        </row>
        <row r="2473">
          <cell r="B2473">
            <v>45910</v>
          </cell>
          <cell r="C2473">
            <v>105.77</v>
          </cell>
        </row>
        <row r="2473">
          <cell r="E2473">
            <v>45827</v>
          </cell>
          <cell r="F2473">
            <v>191.06</v>
          </cell>
        </row>
        <row r="2473">
          <cell r="H2473">
            <v>45832</v>
          </cell>
          <cell r="I2473">
            <v>53.69</v>
          </cell>
        </row>
        <row r="2473">
          <cell r="K2473">
            <v>45827</v>
          </cell>
          <cell r="L2473">
            <v>139.13</v>
          </cell>
        </row>
        <row r="2473">
          <cell r="N2473">
            <v>45910</v>
          </cell>
          <cell r="O2473">
            <v>132.01</v>
          </cell>
        </row>
        <row r="2474">
          <cell r="B2474">
            <v>45911</v>
          </cell>
          <cell r="C2474">
            <v>105.48</v>
          </cell>
        </row>
        <row r="2474">
          <cell r="E2474">
            <v>45828</v>
          </cell>
          <cell r="F2474">
            <v>191.08</v>
          </cell>
        </row>
        <row r="2474">
          <cell r="H2474">
            <v>45833</v>
          </cell>
          <cell r="I2474">
            <v>53.83</v>
          </cell>
        </row>
        <row r="2474">
          <cell r="K2474">
            <v>45828</v>
          </cell>
          <cell r="L2474">
            <v>139.09</v>
          </cell>
        </row>
        <row r="2474">
          <cell r="N2474">
            <v>45911</v>
          </cell>
          <cell r="O2474">
            <v>131.2</v>
          </cell>
        </row>
        <row r="2475">
          <cell r="B2475">
            <v>45912</v>
          </cell>
          <cell r="C2475">
            <v>105.37</v>
          </cell>
        </row>
        <row r="2475">
          <cell r="E2475">
            <v>45831</v>
          </cell>
          <cell r="F2475">
            <v>192.33</v>
          </cell>
        </row>
        <row r="2475">
          <cell r="H2475">
            <v>45834</v>
          </cell>
          <cell r="I2475">
            <v>54.13</v>
          </cell>
        </row>
        <row r="2475">
          <cell r="K2475">
            <v>45831</v>
          </cell>
          <cell r="L2475">
            <v>139.36</v>
          </cell>
        </row>
        <row r="2475">
          <cell r="N2475">
            <v>45912</v>
          </cell>
          <cell r="O2475">
            <v>132.21</v>
          </cell>
        </row>
        <row r="2476">
          <cell r="B2476">
            <v>45915</v>
          </cell>
          <cell r="C2476">
            <v>105.19</v>
          </cell>
        </row>
        <row r="2476">
          <cell r="E2476">
            <v>45832</v>
          </cell>
          <cell r="F2476">
            <v>191.31</v>
          </cell>
        </row>
        <row r="2476">
          <cell r="H2476">
            <v>45835</v>
          </cell>
          <cell r="I2476">
            <v>53.81</v>
          </cell>
        </row>
        <row r="2476">
          <cell r="K2476">
            <v>45832</v>
          </cell>
          <cell r="L2476">
            <v>139.26</v>
          </cell>
        </row>
        <row r="2476">
          <cell r="N2476">
            <v>45915</v>
          </cell>
          <cell r="O2476">
            <v>132.36</v>
          </cell>
        </row>
        <row r="2477">
          <cell r="B2477">
            <v>45916</v>
          </cell>
          <cell r="C2477">
            <v>105.38</v>
          </cell>
        </row>
        <row r="2477">
          <cell r="E2477">
            <v>45833</v>
          </cell>
          <cell r="F2477">
            <v>190.76</v>
          </cell>
        </row>
        <row r="2477">
          <cell r="H2477">
            <v>45838</v>
          </cell>
          <cell r="I2477">
            <v>54.04</v>
          </cell>
        </row>
        <row r="2477">
          <cell r="K2477">
            <v>45833</v>
          </cell>
          <cell r="L2477">
            <v>138.6</v>
          </cell>
        </row>
        <row r="2477">
          <cell r="N2477">
            <v>45916</v>
          </cell>
          <cell r="O2477">
            <v>132.27</v>
          </cell>
        </row>
        <row r="2478">
          <cell r="B2478">
            <v>45917</v>
          </cell>
          <cell r="C2478">
            <v>105.59</v>
          </cell>
        </row>
        <row r="2478">
          <cell r="E2478">
            <v>45834</v>
          </cell>
          <cell r="F2478">
            <v>190.98</v>
          </cell>
        </row>
        <row r="2478">
          <cell r="H2478">
            <v>45839</v>
          </cell>
          <cell r="I2478">
            <v>54.8</v>
          </cell>
        </row>
        <row r="2478">
          <cell r="K2478">
            <v>45834</v>
          </cell>
          <cell r="L2478">
            <v>137.88</v>
          </cell>
        </row>
        <row r="2478">
          <cell r="N2478">
            <v>45917</v>
          </cell>
          <cell r="O2478">
            <v>132.42</v>
          </cell>
        </row>
        <row r="2479">
          <cell r="B2479">
            <v>45918</v>
          </cell>
          <cell r="C2479">
            <v>105.22</v>
          </cell>
        </row>
        <row r="2479">
          <cell r="E2479">
            <v>45835</v>
          </cell>
          <cell r="F2479">
            <v>191.16</v>
          </cell>
        </row>
        <row r="2479">
          <cell r="H2479">
            <v>45840</v>
          </cell>
          <cell r="I2479">
            <v>55.21</v>
          </cell>
        </row>
        <row r="2479">
          <cell r="K2479">
            <v>45835</v>
          </cell>
          <cell r="L2479">
            <v>138.11</v>
          </cell>
        </row>
        <row r="2479">
          <cell r="N2479">
            <v>45918</v>
          </cell>
          <cell r="O2479">
            <v>131.3</v>
          </cell>
        </row>
        <row r="2480">
          <cell r="B2480">
            <v>45919</v>
          </cell>
          <cell r="C2480">
            <v>105.22</v>
          </cell>
        </row>
        <row r="2480">
          <cell r="E2480">
            <v>45838</v>
          </cell>
          <cell r="F2480">
            <v>193.67</v>
          </cell>
        </row>
        <row r="2480">
          <cell r="H2480">
            <v>45841</v>
          </cell>
          <cell r="I2480">
            <v>55.14</v>
          </cell>
        </row>
        <row r="2480">
          <cell r="K2480">
            <v>45838</v>
          </cell>
          <cell r="L2480">
            <v>138.61</v>
          </cell>
        </row>
        <row r="2480">
          <cell r="N2480">
            <v>45919</v>
          </cell>
          <cell r="O2480">
            <v>132.91</v>
          </cell>
        </row>
        <row r="2481">
          <cell r="B2481">
            <v>45922</v>
          </cell>
          <cell r="C2481">
            <v>105.71</v>
          </cell>
        </row>
        <row r="2481">
          <cell r="E2481">
            <v>45839</v>
          </cell>
          <cell r="F2481">
            <v>186.35</v>
          </cell>
        </row>
        <row r="2481">
          <cell r="H2481">
            <v>45842</v>
          </cell>
          <cell r="I2481">
            <v>55.11</v>
          </cell>
        </row>
        <row r="2481">
          <cell r="K2481">
            <v>45839</v>
          </cell>
          <cell r="L2481">
            <v>138.85</v>
          </cell>
        </row>
        <row r="2481">
          <cell r="N2481">
            <v>45922</v>
          </cell>
          <cell r="O2481">
            <v>132.34</v>
          </cell>
        </row>
        <row r="2482">
          <cell r="B2482">
            <v>45923</v>
          </cell>
          <cell r="C2482">
            <v>104.85</v>
          </cell>
        </row>
        <row r="2482">
          <cell r="E2482">
            <v>45840</v>
          </cell>
          <cell r="F2482">
            <v>183.5</v>
          </cell>
        </row>
        <row r="2482">
          <cell r="H2482">
            <v>45845</v>
          </cell>
          <cell r="I2482">
            <v>54.74</v>
          </cell>
        </row>
        <row r="2482">
          <cell r="K2482">
            <v>45840</v>
          </cell>
          <cell r="L2482">
            <v>138.39</v>
          </cell>
        </row>
        <row r="2482">
          <cell r="N2482">
            <v>45923</v>
          </cell>
          <cell r="O2482">
            <v>132.3</v>
          </cell>
        </row>
        <row r="2483">
          <cell r="B2483">
            <v>45924</v>
          </cell>
          <cell r="C2483">
            <v>104.79</v>
          </cell>
        </row>
        <row r="2483">
          <cell r="E2483">
            <v>45841</v>
          </cell>
          <cell r="F2483">
            <v>186.06</v>
          </cell>
        </row>
        <row r="2483">
          <cell r="H2483">
            <v>45846</v>
          </cell>
          <cell r="I2483">
            <v>54.94</v>
          </cell>
        </row>
        <row r="2483">
          <cell r="K2483">
            <v>45841</v>
          </cell>
          <cell r="L2483">
            <v>138.33</v>
          </cell>
        </row>
        <row r="2483">
          <cell r="N2483">
            <v>45924</v>
          </cell>
          <cell r="O2483">
            <v>132.92</v>
          </cell>
        </row>
        <row r="2484">
          <cell r="B2484">
            <v>45925</v>
          </cell>
          <cell r="C2484">
            <v>104.8</v>
          </cell>
        </row>
        <row r="2484">
          <cell r="E2484">
            <v>45842</v>
          </cell>
          <cell r="F2484">
            <v>186.06</v>
          </cell>
        </row>
        <row r="2484">
          <cell r="H2484">
            <v>45847</v>
          </cell>
          <cell r="I2484">
            <v>54.63</v>
          </cell>
        </row>
        <row r="2484">
          <cell r="K2484">
            <v>45842</v>
          </cell>
          <cell r="L2484">
            <v>138.44</v>
          </cell>
        </row>
        <row r="2484">
          <cell r="N2484">
            <v>45925</v>
          </cell>
          <cell r="O2484">
            <v>132.72</v>
          </cell>
        </row>
        <row r="2485">
          <cell r="B2485">
            <v>45926</v>
          </cell>
          <cell r="C2485">
            <v>104.84</v>
          </cell>
        </row>
        <row r="2485">
          <cell r="E2485">
            <v>45845</v>
          </cell>
          <cell r="F2485">
            <v>189.09</v>
          </cell>
        </row>
        <row r="2485">
          <cell r="H2485">
            <v>45848</v>
          </cell>
          <cell r="I2485">
            <v>54.83</v>
          </cell>
        </row>
        <row r="2485">
          <cell r="K2485">
            <v>45845</v>
          </cell>
          <cell r="L2485">
            <v>138.94</v>
          </cell>
        </row>
        <row r="2485">
          <cell r="N2485">
            <v>45926</v>
          </cell>
          <cell r="O2485">
            <v>132.46</v>
          </cell>
        </row>
        <row r="2486">
          <cell r="B2486">
            <v>45929</v>
          </cell>
          <cell r="C2486">
            <v>104.61</v>
          </cell>
        </row>
        <row r="2486">
          <cell r="E2486">
            <v>45846</v>
          </cell>
          <cell r="F2486">
            <v>183.66</v>
          </cell>
        </row>
        <row r="2486">
          <cell r="H2486">
            <v>45849</v>
          </cell>
          <cell r="I2486">
            <v>54.87</v>
          </cell>
        </row>
        <row r="2486">
          <cell r="K2486">
            <v>45846</v>
          </cell>
          <cell r="L2486">
            <v>138.63</v>
          </cell>
        </row>
        <row r="2486">
          <cell r="N2486">
            <v>45929</v>
          </cell>
          <cell r="O2486">
            <v>133.15</v>
          </cell>
        </row>
        <row r="2487">
          <cell r="B2487">
            <v>45930</v>
          </cell>
          <cell r="C2487">
            <v>103.97</v>
          </cell>
        </row>
        <row r="2487">
          <cell r="E2487">
            <v>45847</v>
          </cell>
          <cell r="F2487">
            <v>184.2</v>
          </cell>
        </row>
        <row r="2487">
          <cell r="H2487">
            <v>45852</v>
          </cell>
          <cell r="I2487">
            <v>54.66</v>
          </cell>
        </row>
        <row r="2487">
          <cell r="K2487">
            <v>45847</v>
          </cell>
          <cell r="L2487">
            <v>139.47</v>
          </cell>
        </row>
        <row r="2487">
          <cell r="N2487">
            <v>45930</v>
          </cell>
          <cell r="O2487">
            <v>133.49</v>
          </cell>
        </row>
        <row r="2488">
          <cell r="B2488">
            <v>45931</v>
          </cell>
          <cell r="C2488">
            <v>103.54</v>
          </cell>
        </row>
        <row r="2488">
          <cell r="E2488">
            <v>45848</v>
          </cell>
          <cell r="F2488">
            <v>181.18</v>
          </cell>
        </row>
        <row r="2488">
          <cell r="H2488">
            <v>45853</v>
          </cell>
          <cell r="I2488">
            <v>54.69</v>
          </cell>
        </row>
        <row r="2488">
          <cell r="K2488">
            <v>45848</v>
          </cell>
          <cell r="L2488">
            <v>139.17</v>
          </cell>
        </row>
        <row r="2488">
          <cell r="N2488">
            <v>45931</v>
          </cell>
          <cell r="O2488">
            <v>134.86</v>
          </cell>
        </row>
        <row r="2489">
          <cell r="B2489">
            <v>45932</v>
          </cell>
          <cell r="C2489">
            <v>103.37</v>
          </cell>
        </row>
        <row r="2489">
          <cell r="E2489">
            <v>45849</v>
          </cell>
          <cell r="F2489">
            <v>181.67</v>
          </cell>
        </row>
        <row r="2489">
          <cell r="H2489">
            <v>45854</v>
          </cell>
          <cell r="I2489">
            <v>54.5</v>
          </cell>
        </row>
        <row r="2489">
          <cell r="K2489">
            <v>45849</v>
          </cell>
          <cell r="L2489">
            <v>138.71</v>
          </cell>
        </row>
        <row r="2489">
          <cell r="N2489">
            <v>45932</v>
          </cell>
          <cell r="O2489">
            <v>135</v>
          </cell>
        </row>
        <row r="2490">
          <cell r="B2490">
            <v>45933</v>
          </cell>
          <cell r="C2490">
            <v>103.05</v>
          </cell>
        </row>
        <row r="2490">
          <cell r="E2490">
            <v>45852</v>
          </cell>
          <cell r="F2490">
            <v>185.72</v>
          </cell>
        </row>
        <row r="2490">
          <cell r="H2490">
            <v>45855</v>
          </cell>
          <cell r="I2490">
            <v>54.66</v>
          </cell>
        </row>
        <row r="2490">
          <cell r="K2490">
            <v>45852</v>
          </cell>
          <cell r="L2490">
            <v>138.47</v>
          </cell>
        </row>
        <row r="2490">
          <cell r="N2490">
            <v>45933</v>
          </cell>
          <cell r="O2490">
            <v>134.78</v>
          </cell>
        </row>
        <row r="2491">
          <cell r="B2491">
            <v>45936</v>
          </cell>
          <cell r="C2491">
            <v>103.21</v>
          </cell>
        </row>
        <row r="2491">
          <cell r="E2491">
            <v>45853</v>
          </cell>
          <cell r="F2491">
            <v>186.79</v>
          </cell>
        </row>
        <row r="2491">
          <cell r="H2491">
            <v>45856</v>
          </cell>
          <cell r="I2491">
            <v>54.55</v>
          </cell>
        </row>
        <row r="2491">
          <cell r="K2491">
            <v>45853</v>
          </cell>
          <cell r="L2491">
            <v>137.42</v>
          </cell>
        </row>
        <row r="2491">
          <cell r="N2491">
            <v>45936</v>
          </cell>
          <cell r="O2491">
            <v>135.23</v>
          </cell>
        </row>
        <row r="2492">
          <cell r="B2492">
            <v>45937</v>
          </cell>
          <cell r="C2492">
            <v>103.26</v>
          </cell>
        </row>
        <row r="2492">
          <cell r="E2492">
            <v>45854</v>
          </cell>
          <cell r="F2492">
            <v>186.79</v>
          </cell>
        </row>
        <row r="2492">
          <cell r="H2492">
            <v>45859</v>
          </cell>
          <cell r="I2492">
            <v>55.11</v>
          </cell>
        </row>
        <row r="2492">
          <cell r="K2492">
            <v>45854</v>
          </cell>
          <cell r="L2492">
            <v>137.7</v>
          </cell>
        </row>
        <row r="2492">
          <cell r="N2492">
            <v>45937</v>
          </cell>
          <cell r="O2492">
            <v>135.69</v>
          </cell>
        </row>
        <row r="2493">
          <cell r="B2493">
            <v>45938</v>
          </cell>
          <cell r="C2493">
            <v>103.4</v>
          </cell>
        </row>
        <row r="2493">
          <cell r="E2493">
            <v>45855</v>
          </cell>
          <cell r="F2493">
            <v>185.69</v>
          </cell>
        </row>
        <row r="2493">
          <cell r="H2493">
            <v>45860</v>
          </cell>
          <cell r="I2493">
            <v>55.28</v>
          </cell>
        </row>
        <row r="2493">
          <cell r="K2493">
            <v>45855</v>
          </cell>
          <cell r="L2493">
            <v>137.68</v>
          </cell>
        </row>
        <row r="2493">
          <cell r="N2493">
            <v>45938</v>
          </cell>
          <cell r="O2493">
            <v>135.26</v>
          </cell>
        </row>
        <row r="2494">
          <cell r="B2494">
            <v>45939</v>
          </cell>
          <cell r="C2494">
            <v>103.06</v>
          </cell>
        </row>
        <row r="2494">
          <cell r="E2494">
            <v>45856</v>
          </cell>
          <cell r="F2494">
            <v>187.87</v>
          </cell>
        </row>
        <row r="2494">
          <cell r="H2494">
            <v>45861</v>
          </cell>
          <cell r="I2494">
            <v>55.62</v>
          </cell>
        </row>
        <row r="2494">
          <cell r="K2494">
            <v>45856</v>
          </cell>
          <cell r="L2494">
            <v>137.47</v>
          </cell>
        </row>
        <row r="2494">
          <cell r="N2494">
            <v>45939</v>
          </cell>
          <cell r="O2494">
            <v>135.61</v>
          </cell>
        </row>
        <row r="2495">
          <cell r="B2495">
            <v>45940</v>
          </cell>
          <cell r="C2495">
            <v>103.56</v>
          </cell>
        </row>
        <row r="2495">
          <cell r="E2495">
            <v>45859</v>
          </cell>
          <cell r="F2495">
            <v>187.56</v>
          </cell>
        </row>
        <row r="2495">
          <cell r="H2495">
            <v>45862</v>
          </cell>
          <cell r="I2495">
            <v>54.64</v>
          </cell>
        </row>
        <row r="2495">
          <cell r="K2495">
            <v>45859</v>
          </cell>
          <cell r="L2495">
            <v>137.75</v>
          </cell>
        </row>
        <row r="2495">
          <cell r="N2495">
            <v>45940</v>
          </cell>
          <cell r="O2495">
            <v>135.22</v>
          </cell>
        </row>
        <row r="2496">
          <cell r="B2496">
            <v>45943</v>
          </cell>
          <cell r="C2496">
            <v>103.92</v>
          </cell>
        </row>
        <row r="2496">
          <cell r="E2496">
            <v>45860</v>
          </cell>
          <cell r="F2496">
            <v>181.89</v>
          </cell>
        </row>
        <row r="2496">
          <cell r="H2496">
            <v>45863</v>
          </cell>
          <cell r="I2496">
            <v>54.85</v>
          </cell>
        </row>
        <row r="2496">
          <cell r="K2496">
            <v>45860</v>
          </cell>
          <cell r="L2496">
            <v>137.63</v>
          </cell>
        </row>
        <row r="2496">
          <cell r="N2496">
            <v>45943</v>
          </cell>
          <cell r="O2496">
            <v>134.69</v>
          </cell>
        </row>
        <row r="2497">
          <cell r="B2497">
            <v>45944</v>
          </cell>
          <cell r="C2497">
            <v>104.09</v>
          </cell>
        </row>
        <row r="2497">
          <cell r="E2497">
            <v>45861</v>
          </cell>
          <cell r="F2497">
            <v>181.14</v>
          </cell>
        </row>
        <row r="2497">
          <cell r="H2497">
            <v>45866</v>
          </cell>
          <cell r="I2497">
            <v>54.72</v>
          </cell>
        </row>
        <row r="2497">
          <cell r="K2497">
            <v>45861</v>
          </cell>
          <cell r="L2497">
            <v>138.99</v>
          </cell>
        </row>
        <row r="2497">
          <cell r="N2497">
            <v>45944</v>
          </cell>
          <cell r="O2497">
            <v>133.84</v>
          </cell>
        </row>
        <row r="2498">
          <cell r="B2498">
            <v>45945</v>
          </cell>
          <cell r="C2498">
            <v>103.79</v>
          </cell>
        </row>
        <row r="2498">
          <cell r="E2498">
            <v>45862</v>
          </cell>
          <cell r="F2498">
            <v>183.12</v>
          </cell>
        </row>
        <row r="2498">
          <cell r="H2498">
            <v>45867</v>
          </cell>
          <cell r="I2498">
            <v>54.7</v>
          </cell>
        </row>
        <row r="2498">
          <cell r="K2498">
            <v>45862</v>
          </cell>
          <cell r="L2498">
            <v>140.17</v>
          </cell>
        </row>
        <row r="2498">
          <cell r="N2498">
            <v>45945</v>
          </cell>
          <cell r="O2498">
            <v>133.56</v>
          </cell>
        </row>
        <row r="2499">
          <cell r="B2499">
            <v>45946</v>
          </cell>
          <cell r="C2499">
            <v>103.44</v>
          </cell>
        </row>
        <row r="2499">
          <cell r="E2499">
            <v>45863</v>
          </cell>
          <cell r="F2499">
            <v>183.15</v>
          </cell>
        </row>
        <row r="2499">
          <cell r="H2499">
            <v>45868</v>
          </cell>
          <cell r="I2499">
            <v>54.32</v>
          </cell>
        </row>
        <row r="2499">
          <cell r="K2499">
            <v>45863</v>
          </cell>
          <cell r="L2499">
            <v>140.13</v>
          </cell>
        </row>
        <row r="2499">
          <cell r="N2499">
            <v>45946</v>
          </cell>
          <cell r="O2499">
            <v>134.1</v>
          </cell>
        </row>
        <row r="2500">
          <cell r="B2500">
            <v>45947</v>
          </cell>
          <cell r="C2500">
            <v>102.79</v>
          </cell>
        </row>
        <row r="2500">
          <cell r="E2500">
            <v>45866</v>
          </cell>
          <cell r="F2500">
            <v>183.53</v>
          </cell>
        </row>
        <row r="2500">
          <cell r="H2500">
            <v>45869</v>
          </cell>
          <cell r="I2500">
            <v>54.47</v>
          </cell>
        </row>
        <row r="2500">
          <cell r="K2500">
            <v>45866</v>
          </cell>
          <cell r="L2500">
            <v>139.97</v>
          </cell>
        </row>
        <row r="2500">
          <cell r="N2500">
            <v>45947</v>
          </cell>
          <cell r="O2500">
            <v>134.72</v>
          </cell>
        </row>
        <row r="2501">
          <cell r="B2501">
            <v>45950</v>
          </cell>
          <cell r="C2501">
            <v>102.83</v>
          </cell>
        </row>
        <row r="2501">
          <cell r="E2501">
            <v>45867</v>
          </cell>
          <cell r="F2501">
            <v>185.16</v>
          </cell>
        </row>
        <row r="2501">
          <cell r="H2501">
            <v>45870</v>
          </cell>
          <cell r="I2501">
            <v>54.5</v>
          </cell>
        </row>
        <row r="2501">
          <cell r="K2501">
            <v>45867</v>
          </cell>
          <cell r="L2501">
            <v>139.58</v>
          </cell>
        </row>
        <row r="2501">
          <cell r="N2501">
            <v>45950</v>
          </cell>
          <cell r="O2501">
            <v>133.71</v>
          </cell>
        </row>
        <row r="2502">
          <cell r="B2502">
            <v>45951</v>
          </cell>
          <cell r="C2502">
            <v>103.26</v>
          </cell>
        </row>
        <row r="2502">
          <cell r="E2502">
            <v>45868</v>
          </cell>
          <cell r="F2502">
            <v>188.23</v>
          </cell>
        </row>
        <row r="2502">
          <cell r="H2502">
            <v>45873</v>
          </cell>
          <cell r="I2502">
            <v>53.7</v>
          </cell>
        </row>
        <row r="2502">
          <cell r="K2502">
            <v>45868</v>
          </cell>
          <cell r="L2502">
            <v>139.4</v>
          </cell>
        </row>
        <row r="2502">
          <cell r="N2502">
            <v>45951</v>
          </cell>
          <cell r="O2502">
            <v>134.16</v>
          </cell>
        </row>
        <row r="2503">
          <cell r="B2503">
            <v>45952</v>
          </cell>
          <cell r="C2503">
            <v>103.61</v>
          </cell>
        </row>
        <row r="2503">
          <cell r="E2503">
            <v>45869</v>
          </cell>
          <cell r="F2503">
            <v>192.41</v>
          </cell>
        </row>
        <row r="2503">
          <cell r="H2503">
            <v>45874</v>
          </cell>
          <cell r="I2503">
            <v>55.18</v>
          </cell>
        </row>
        <row r="2503">
          <cell r="K2503">
            <v>45869</v>
          </cell>
          <cell r="L2503">
            <v>139.93</v>
          </cell>
        </row>
        <row r="2503">
          <cell r="N2503">
            <v>45952</v>
          </cell>
          <cell r="O2503">
            <v>134.06</v>
          </cell>
        </row>
        <row r="2504">
          <cell r="B2504">
            <v>45953</v>
          </cell>
          <cell r="C2504">
            <v>102.58</v>
          </cell>
        </row>
        <row r="2504">
          <cell r="E2504">
            <v>45870</v>
          </cell>
          <cell r="F2504">
            <v>193.08</v>
          </cell>
        </row>
        <row r="2504">
          <cell r="H2504">
            <v>45875</v>
          </cell>
          <cell r="I2504">
            <v>55.69</v>
          </cell>
        </row>
        <row r="2504">
          <cell r="K2504">
            <v>45870</v>
          </cell>
          <cell r="L2504">
            <v>140.9</v>
          </cell>
        </row>
        <row r="2504">
          <cell r="N2504">
            <v>45953</v>
          </cell>
          <cell r="O2504">
            <v>133.9</v>
          </cell>
        </row>
        <row r="2505">
          <cell r="B2505">
            <v>45954</v>
          </cell>
          <cell r="C2505">
            <v>102.63</v>
          </cell>
        </row>
        <row r="2505">
          <cell r="E2505">
            <v>45873</v>
          </cell>
          <cell r="F2505">
            <v>194.85</v>
          </cell>
        </row>
        <row r="2505">
          <cell r="H2505">
            <v>45876</v>
          </cell>
          <cell r="I2505">
            <v>55.52</v>
          </cell>
        </row>
        <row r="2505">
          <cell r="K2505">
            <v>45873</v>
          </cell>
          <cell r="L2505">
            <v>142.08</v>
          </cell>
        </row>
        <row r="2505">
          <cell r="N2505">
            <v>45954</v>
          </cell>
          <cell r="O2505">
            <v>134.14</v>
          </cell>
        </row>
        <row r="2506">
          <cell r="B2506">
            <v>45957</v>
          </cell>
          <cell r="C2506">
            <v>102.29</v>
          </cell>
        </row>
        <row r="2506">
          <cell r="E2506">
            <v>45874</v>
          </cell>
          <cell r="F2506">
            <v>193.88</v>
          </cell>
        </row>
        <row r="2506">
          <cell r="H2506">
            <v>45877</v>
          </cell>
          <cell r="I2506">
            <v>56.32</v>
          </cell>
        </row>
        <row r="2506">
          <cell r="K2506">
            <v>45874</v>
          </cell>
          <cell r="L2506">
            <v>140.74</v>
          </cell>
        </row>
        <row r="2506">
          <cell r="N2506">
            <v>45957</v>
          </cell>
          <cell r="O2506">
            <v>135.58</v>
          </cell>
        </row>
        <row r="2507">
          <cell r="B2507">
            <v>45958</v>
          </cell>
          <cell r="C2507">
            <v>101.78</v>
          </cell>
        </row>
        <row r="2507">
          <cell r="E2507">
            <v>45875</v>
          </cell>
          <cell r="F2507">
            <v>197.34</v>
          </cell>
        </row>
        <row r="2507">
          <cell r="H2507">
            <v>45880</v>
          </cell>
          <cell r="I2507">
            <v>56.04</v>
          </cell>
        </row>
        <row r="2507">
          <cell r="K2507">
            <v>45875</v>
          </cell>
          <cell r="L2507">
            <v>141.32</v>
          </cell>
        </row>
        <row r="2507">
          <cell r="N2507">
            <v>45958</v>
          </cell>
          <cell r="O2507">
            <v>135.55</v>
          </cell>
        </row>
        <row r="2508">
          <cell r="B2508">
            <v>45959</v>
          </cell>
          <cell r="C2508">
            <v>102.65</v>
          </cell>
        </row>
        <row r="2508">
          <cell r="E2508">
            <v>45876</v>
          </cell>
          <cell r="F2508">
            <v>196.49</v>
          </cell>
        </row>
        <row r="2508">
          <cell r="H2508">
            <v>45881</v>
          </cell>
          <cell r="I2508">
            <v>56.72</v>
          </cell>
        </row>
        <row r="2508">
          <cell r="K2508">
            <v>45876</v>
          </cell>
          <cell r="L2508">
            <v>141.04</v>
          </cell>
        </row>
        <row r="2508">
          <cell r="N2508">
            <v>45959</v>
          </cell>
          <cell r="O2508">
            <v>138.07</v>
          </cell>
        </row>
        <row r="2509">
          <cell r="B2509">
            <v>45960</v>
          </cell>
          <cell r="C2509">
            <v>102.08</v>
          </cell>
        </row>
        <row r="2509">
          <cell r="E2509">
            <v>45877</v>
          </cell>
          <cell r="F2509">
            <v>197.29</v>
          </cell>
        </row>
        <row r="2509">
          <cell r="H2509">
            <v>45882</v>
          </cell>
          <cell r="I2509">
            <v>56.86</v>
          </cell>
        </row>
        <row r="2509">
          <cell r="K2509">
            <v>45877</v>
          </cell>
          <cell r="L2509">
            <v>141.33</v>
          </cell>
        </row>
        <row r="2509">
          <cell r="N2509">
            <v>45960</v>
          </cell>
          <cell r="O2509">
            <v>137.31</v>
          </cell>
        </row>
        <row r="2510">
          <cell r="B2510">
            <v>45961</v>
          </cell>
          <cell r="C2510">
            <v>102.82</v>
          </cell>
        </row>
        <row r="2510">
          <cell r="E2510">
            <v>45880</v>
          </cell>
          <cell r="F2510">
            <v>198.22</v>
          </cell>
        </row>
        <row r="2510">
          <cell r="H2510">
            <v>45883</v>
          </cell>
          <cell r="I2510">
            <v>57.08</v>
          </cell>
        </row>
        <row r="2510">
          <cell r="K2510">
            <v>45880</v>
          </cell>
          <cell r="L2510">
            <v>141.19</v>
          </cell>
        </row>
        <row r="2510">
          <cell r="N2510">
            <v>45961</v>
          </cell>
          <cell r="O2510">
            <v>138.11</v>
          </cell>
        </row>
        <row r="2511">
          <cell r="B2511">
            <v>45964</v>
          </cell>
          <cell r="C2511">
            <v>103.43</v>
          </cell>
        </row>
        <row r="2511">
          <cell r="E2511">
            <v>45881</v>
          </cell>
          <cell r="F2511">
            <v>195.67</v>
          </cell>
        </row>
        <row r="2511">
          <cell r="H2511">
            <v>45884</v>
          </cell>
          <cell r="I2511">
            <v>57.25</v>
          </cell>
        </row>
        <row r="2511">
          <cell r="K2511">
            <v>45881</v>
          </cell>
          <cell r="L2511">
            <v>141.39</v>
          </cell>
        </row>
        <row r="2511">
          <cell r="N2511">
            <v>45964</v>
          </cell>
          <cell r="O2511">
            <v>138.14</v>
          </cell>
        </row>
        <row r="2512">
          <cell r="B2512">
            <v>45965</v>
          </cell>
          <cell r="C2512">
            <v>104.16</v>
          </cell>
        </row>
        <row r="2512">
          <cell r="E2512">
            <v>45882</v>
          </cell>
          <cell r="F2512">
            <v>189.79</v>
          </cell>
        </row>
        <row r="2512">
          <cell r="H2512">
            <v>45887</v>
          </cell>
          <cell r="I2512">
            <v>57.67</v>
          </cell>
        </row>
        <row r="2512">
          <cell r="K2512">
            <v>45882</v>
          </cell>
          <cell r="L2512">
            <v>141.97</v>
          </cell>
        </row>
        <row r="2512">
          <cell r="N2512">
            <v>45965</v>
          </cell>
          <cell r="O2512">
            <v>137.22</v>
          </cell>
        </row>
        <row r="2513">
          <cell r="B2513">
            <v>45966</v>
          </cell>
          <cell r="C2513">
            <v>104.69</v>
          </cell>
        </row>
        <row r="2513">
          <cell r="E2513">
            <v>45883</v>
          </cell>
          <cell r="F2513">
            <v>190.22</v>
          </cell>
        </row>
        <row r="2513">
          <cell r="H2513">
            <v>45888</v>
          </cell>
          <cell r="I2513">
            <v>57.58</v>
          </cell>
        </row>
        <row r="2513">
          <cell r="K2513">
            <v>45883</v>
          </cell>
          <cell r="L2513">
            <v>141.61</v>
          </cell>
        </row>
        <row r="2513">
          <cell r="N2513">
            <v>45966</v>
          </cell>
          <cell r="O2513">
            <v>136.55</v>
          </cell>
        </row>
        <row r="2514">
          <cell r="B2514">
            <v>45967</v>
          </cell>
          <cell r="C2514">
            <v>103.3</v>
          </cell>
        </row>
        <row r="2514">
          <cell r="E2514">
            <v>45884</v>
          </cell>
          <cell r="F2514">
            <v>189.92</v>
          </cell>
        </row>
        <row r="2514">
          <cell r="H2514">
            <v>45889</v>
          </cell>
          <cell r="I2514">
            <v>57.42</v>
          </cell>
        </row>
        <row r="2514">
          <cell r="K2514">
            <v>45884</v>
          </cell>
          <cell r="L2514">
            <v>141.66</v>
          </cell>
        </row>
        <row r="2514">
          <cell r="N2514">
            <v>45967</v>
          </cell>
          <cell r="O2514">
            <v>136.96</v>
          </cell>
        </row>
        <row r="2515">
          <cell r="B2515">
            <v>45968</v>
          </cell>
          <cell r="C2515">
            <v>104.4</v>
          </cell>
        </row>
        <row r="2515">
          <cell r="E2515">
            <v>45887</v>
          </cell>
          <cell r="F2515">
            <v>190.19</v>
          </cell>
        </row>
        <row r="2515">
          <cell r="H2515">
            <v>45890</v>
          </cell>
          <cell r="I2515">
            <v>57.76</v>
          </cell>
        </row>
        <row r="2515">
          <cell r="K2515">
            <v>45887</v>
          </cell>
          <cell r="L2515">
            <v>141.63</v>
          </cell>
        </row>
        <row r="2515">
          <cell r="N2515">
            <v>45968</v>
          </cell>
          <cell r="O2515">
            <v>137.34</v>
          </cell>
        </row>
        <row r="2516">
          <cell r="B2516">
            <v>45971</v>
          </cell>
          <cell r="C2516">
            <v>104.52</v>
          </cell>
        </row>
        <row r="2516">
          <cell r="E2516">
            <v>45888</v>
          </cell>
          <cell r="F2516">
            <v>186.19</v>
          </cell>
        </row>
        <row r="2516">
          <cell r="H2516">
            <v>45891</v>
          </cell>
          <cell r="I2516">
            <v>58.59</v>
          </cell>
        </row>
        <row r="2516">
          <cell r="K2516">
            <v>45888</v>
          </cell>
          <cell r="L2516">
            <v>141.54</v>
          </cell>
        </row>
        <row r="2516">
          <cell r="N2516">
            <v>45971</v>
          </cell>
          <cell r="O2516">
            <v>137.26</v>
          </cell>
        </row>
        <row r="2517">
          <cell r="B2517">
            <v>45972</v>
          </cell>
          <cell r="C2517">
            <v>103.94</v>
          </cell>
        </row>
        <row r="2517">
          <cell r="E2517">
            <v>45889</v>
          </cell>
          <cell r="F2517">
            <v>188.33</v>
          </cell>
        </row>
        <row r="2517">
          <cell r="H2517">
            <v>45894</v>
          </cell>
          <cell r="I2517">
            <v>58.97</v>
          </cell>
        </row>
        <row r="2517">
          <cell r="K2517">
            <v>45889</v>
          </cell>
          <cell r="L2517">
            <v>141.65</v>
          </cell>
        </row>
        <row r="2517">
          <cell r="N2517">
            <v>45972</v>
          </cell>
          <cell r="O2517">
            <v>137.11</v>
          </cell>
        </row>
        <row r="2518">
          <cell r="B2518">
            <v>45973</v>
          </cell>
          <cell r="C2518">
            <v>103.68</v>
          </cell>
        </row>
        <row r="2518">
          <cell r="E2518">
            <v>45890</v>
          </cell>
          <cell r="F2518">
            <v>188.93</v>
          </cell>
        </row>
        <row r="2518">
          <cell r="H2518">
            <v>45895</v>
          </cell>
          <cell r="I2518">
            <v>59.04</v>
          </cell>
        </row>
        <row r="2518">
          <cell r="K2518">
            <v>45890</v>
          </cell>
          <cell r="L2518">
            <v>141.34</v>
          </cell>
        </row>
        <row r="2518">
          <cell r="N2518">
            <v>45973</v>
          </cell>
          <cell r="O2518">
            <v>137.43</v>
          </cell>
        </row>
        <row r="2519">
          <cell r="B2519">
            <v>45974</v>
          </cell>
          <cell r="C2519">
            <v>103.41</v>
          </cell>
        </row>
        <row r="2519">
          <cell r="E2519">
            <v>45891</v>
          </cell>
          <cell r="F2519">
            <v>184.02</v>
          </cell>
        </row>
        <row r="2519">
          <cell r="H2519">
            <v>45896</v>
          </cell>
          <cell r="I2519">
            <v>59.15</v>
          </cell>
        </row>
        <row r="2519">
          <cell r="K2519">
            <v>45891</v>
          </cell>
          <cell r="L2519">
            <v>140.53</v>
          </cell>
        </row>
        <row r="2519">
          <cell r="N2519">
            <v>45974</v>
          </cell>
          <cell r="O2519">
            <v>137.58</v>
          </cell>
        </row>
        <row r="2520">
          <cell r="B2520">
            <v>45975</v>
          </cell>
          <cell r="C2520">
            <v>103.74</v>
          </cell>
        </row>
        <row r="2520">
          <cell r="E2520">
            <v>45894</v>
          </cell>
          <cell r="F2520">
            <v>185.05</v>
          </cell>
        </row>
        <row r="2520">
          <cell r="H2520">
            <v>45897</v>
          </cell>
          <cell r="I2520">
            <v>58.81</v>
          </cell>
        </row>
        <row r="2520">
          <cell r="K2520">
            <v>45894</v>
          </cell>
          <cell r="L2520">
            <v>140.69</v>
          </cell>
        </row>
        <row r="2520">
          <cell r="N2520">
            <v>45975</v>
          </cell>
          <cell r="O2520">
            <v>137.41</v>
          </cell>
        </row>
        <row r="2521">
          <cell r="B2521">
            <v>45978</v>
          </cell>
          <cell r="C2521">
            <v>103.14</v>
          </cell>
        </row>
        <row r="2521">
          <cell r="E2521">
            <v>45895</v>
          </cell>
          <cell r="F2521">
            <v>187.85</v>
          </cell>
        </row>
        <row r="2521">
          <cell r="H2521">
            <v>45898</v>
          </cell>
          <cell r="I2521">
            <v>59.1</v>
          </cell>
        </row>
        <row r="2521">
          <cell r="K2521">
            <v>45895</v>
          </cell>
          <cell r="L2521">
            <v>140.94</v>
          </cell>
        </row>
        <row r="2521">
          <cell r="N2521">
            <v>45978</v>
          </cell>
          <cell r="O2521">
            <v>138.48</v>
          </cell>
        </row>
        <row r="2522">
          <cell r="B2522">
            <v>45979</v>
          </cell>
          <cell r="C2522">
            <v>103.1</v>
          </cell>
        </row>
        <row r="2522">
          <cell r="E2522">
            <v>45896</v>
          </cell>
          <cell r="F2522">
            <v>185.78</v>
          </cell>
        </row>
        <row r="2522">
          <cell r="H2522">
            <v>45901</v>
          </cell>
          <cell r="I2522">
            <v>59.07</v>
          </cell>
        </row>
        <row r="2522">
          <cell r="K2522">
            <v>45896</v>
          </cell>
          <cell r="L2522">
            <v>141.12</v>
          </cell>
        </row>
        <row r="2522">
          <cell r="N2522">
            <v>45979</v>
          </cell>
          <cell r="O2522">
            <v>137.84</v>
          </cell>
        </row>
        <row r="2523">
          <cell r="B2523">
            <v>45980</v>
          </cell>
          <cell r="C2523">
            <v>103.75</v>
          </cell>
        </row>
        <row r="2523">
          <cell r="E2523">
            <v>45897</v>
          </cell>
          <cell r="F2523">
            <v>187.85</v>
          </cell>
        </row>
        <row r="2523">
          <cell r="H2523">
            <v>45902</v>
          </cell>
          <cell r="I2523">
            <v>59.55</v>
          </cell>
        </row>
        <row r="2523">
          <cell r="K2523">
            <v>45897</v>
          </cell>
          <cell r="L2523">
            <v>141.33</v>
          </cell>
        </row>
        <row r="2523">
          <cell r="N2523">
            <v>45980</v>
          </cell>
          <cell r="O2523">
            <v>138.14</v>
          </cell>
        </row>
        <row r="2524">
          <cell r="B2524">
            <v>45981</v>
          </cell>
          <cell r="C2524">
            <v>103.2</v>
          </cell>
        </row>
        <row r="2524">
          <cell r="E2524">
            <v>45898</v>
          </cell>
          <cell r="F2524">
            <v>186</v>
          </cell>
        </row>
        <row r="2524">
          <cell r="H2524">
            <v>45903</v>
          </cell>
          <cell r="I2524">
            <v>59.67</v>
          </cell>
        </row>
        <row r="2524">
          <cell r="K2524">
            <v>45898</v>
          </cell>
          <cell r="L2524">
            <v>141.45</v>
          </cell>
        </row>
        <row r="2524">
          <cell r="N2524">
            <v>45981</v>
          </cell>
          <cell r="O2524">
            <v>137.41</v>
          </cell>
        </row>
        <row r="2525">
          <cell r="B2525">
            <v>45982</v>
          </cell>
          <cell r="C2525">
            <v>102.88</v>
          </cell>
        </row>
        <row r="2525">
          <cell r="E2525">
            <v>45901</v>
          </cell>
          <cell r="F2525">
            <v>185.95</v>
          </cell>
        </row>
        <row r="2525">
          <cell r="H2525">
            <v>45904</v>
          </cell>
          <cell r="I2525">
            <v>59.62</v>
          </cell>
        </row>
        <row r="2525">
          <cell r="K2525">
            <v>45901</v>
          </cell>
          <cell r="L2525">
            <v>141.48</v>
          </cell>
        </row>
        <row r="2525">
          <cell r="N2525">
            <v>45982</v>
          </cell>
          <cell r="O2525">
            <v>135.97</v>
          </cell>
        </row>
        <row r="2526">
          <cell r="B2526">
            <v>45985</v>
          </cell>
          <cell r="C2526">
            <v>102.86</v>
          </cell>
        </row>
        <row r="2526">
          <cell r="E2526">
            <v>45902</v>
          </cell>
          <cell r="F2526">
            <v>186.9</v>
          </cell>
        </row>
        <row r="2526">
          <cell r="H2526">
            <v>45905</v>
          </cell>
          <cell r="I2526">
            <v>59.73</v>
          </cell>
        </row>
        <row r="2526">
          <cell r="K2526">
            <v>45902</v>
          </cell>
          <cell r="L2526">
            <v>141.74</v>
          </cell>
        </row>
        <row r="2526">
          <cell r="N2526">
            <v>45985</v>
          </cell>
          <cell r="O2526">
            <v>136.26</v>
          </cell>
        </row>
        <row r="2527">
          <cell r="E2527">
            <v>45903</v>
          </cell>
          <cell r="F2527">
            <v>188.33</v>
          </cell>
        </row>
        <row r="2527">
          <cell r="H2527">
            <v>45908</v>
          </cell>
          <cell r="I2527">
            <v>59.47</v>
          </cell>
        </row>
        <row r="2527">
          <cell r="K2527">
            <v>45903</v>
          </cell>
          <cell r="L2527">
            <v>141.22</v>
          </cell>
        </row>
        <row r="2528">
          <cell r="E2528">
            <v>45904</v>
          </cell>
          <cell r="F2528">
            <v>188.1</v>
          </cell>
        </row>
        <row r="2528">
          <cell r="H2528">
            <v>45909</v>
          </cell>
          <cell r="I2528">
            <v>59.68</v>
          </cell>
        </row>
        <row r="2528">
          <cell r="K2528">
            <v>45904</v>
          </cell>
          <cell r="L2528">
            <v>141.94</v>
          </cell>
        </row>
        <row r="2529">
          <cell r="E2529">
            <v>45905</v>
          </cell>
          <cell r="F2529">
            <v>186.65</v>
          </cell>
        </row>
        <row r="2529">
          <cell r="H2529">
            <v>45910</v>
          </cell>
          <cell r="I2529">
            <v>60.28</v>
          </cell>
        </row>
        <row r="2529">
          <cell r="K2529">
            <v>45905</v>
          </cell>
          <cell r="L2529">
            <v>140.99</v>
          </cell>
        </row>
        <row r="2530">
          <cell r="E2530">
            <v>45908</v>
          </cell>
          <cell r="F2530">
            <v>188.96</v>
          </cell>
        </row>
        <row r="2530">
          <cell r="H2530">
            <v>45911</v>
          </cell>
          <cell r="I2530">
            <v>60.48</v>
          </cell>
        </row>
        <row r="2530">
          <cell r="K2530">
            <v>45908</v>
          </cell>
          <cell r="L2530">
            <v>142</v>
          </cell>
        </row>
        <row r="2531">
          <cell r="E2531">
            <v>45909</v>
          </cell>
          <cell r="F2531">
            <v>190.84</v>
          </cell>
        </row>
        <row r="2531">
          <cell r="H2531">
            <v>45912</v>
          </cell>
          <cell r="I2531">
            <v>60.78</v>
          </cell>
        </row>
        <row r="2531">
          <cell r="K2531">
            <v>45909</v>
          </cell>
          <cell r="L2531">
            <v>141.73</v>
          </cell>
        </row>
        <row r="2532">
          <cell r="E2532">
            <v>45910</v>
          </cell>
          <cell r="F2532">
            <v>193.7</v>
          </cell>
        </row>
        <row r="2532">
          <cell r="H2532">
            <v>45915</v>
          </cell>
          <cell r="I2532">
            <v>60.74</v>
          </cell>
        </row>
        <row r="2532">
          <cell r="K2532">
            <v>45910</v>
          </cell>
          <cell r="L2532">
            <v>142.01</v>
          </cell>
        </row>
        <row r="2533">
          <cell r="E2533">
            <v>45911</v>
          </cell>
          <cell r="F2533">
            <v>191.59</v>
          </cell>
        </row>
        <row r="2533">
          <cell r="H2533">
            <v>45916</v>
          </cell>
          <cell r="I2533">
            <v>60.74</v>
          </cell>
        </row>
        <row r="2533">
          <cell r="K2533">
            <v>45911</v>
          </cell>
          <cell r="L2533">
            <v>141.67</v>
          </cell>
        </row>
        <row r="2534">
          <cell r="E2534">
            <v>45912</v>
          </cell>
          <cell r="F2534">
            <v>193.52</v>
          </cell>
        </row>
        <row r="2534">
          <cell r="H2534">
            <v>45917</v>
          </cell>
          <cell r="I2534">
            <v>60.81</v>
          </cell>
        </row>
        <row r="2534">
          <cell r="K2534">
            <v>45912</v>
          </cell>
          <cell r="L2534">
            <v>141.12</v>
          </cell>
        </row>
        <row r="2535">
          <cell r="E2535">
            <v>45915</v>
          </cell>
          <cell r="F2535">
            <v>195.75</v>
          </cell>
        </row>
        <row r="2535">
          <cell r="H2535">
            <v>45918</v>
          </cell>
          <cell r="I2535">
            <v>60.98</v>
          </cell>
        </row>
        <row r="2535">
          <cell r="K2535">
            <v>45915</v>
          </cell>
          <cell r="L2535">
            <v>141.34</v>
          </cell>
        </row>
        <row r="2536">
          <cell r="E2536">
            <v>45916</v>
          </cell>
          <cell r="F2536">
            <v>193.76</v>
          </cell>
        </row>
        <row r="2536">
          <cell r="H2536">
            <v>45919</v>
          </cell>
          <cell r="I2536">
            <v>61.31</v>
          </cell>
        </row>
        <row r="2536">
          <cell r="K2536">
            <v>45916</v>
          </cell>
          <cell r="L2536">
            <v>140.88</v>
          </cell>
        </row>
        <row r="2537">
          <cell r="E2537">
            <v>45917</v>
          </cell>
          <cell r="F2537">
            <v>194.22</v>
          </cell>
        </row>
        <row r="2537">
          <cell r="H2537">
            <v>45922</v>
          </cell>
          <cell r="I2537">
            <v>61.12</v>
          </cell>
        </row>
        <row r="2537">
          <cell r="K2537">
            <v>45917</v>
          </cell>
          <cell r="L2537">
            <v>140.83</v>
          </cell>
        </row>
        <row r="2538">
          <cell r="E2538">
            <v>45918</v>
          </cell>
          <cell r="F2538">
            <v>196.01</v>
          </cell>
        </row>
        <row r="2538">
          <cell r="H2538">
            <v>45923</v>
          </cell>
          <cell r="I2538">
            <v>61.36</v>
          </cell>
        </row>
        <row r="2538">
          <cell r="K2538">
            <v>45918</v>
          </cell>
          <cell r="L2538">
            <v>139.93</v>
          </cell>
        </row>
        <row r="2539">
          <cell r="E2539">
            <v>45919</v>
          </cell>
          <cell r="F2539">
            <v>198.94</v>
          </cell>
        </row>
        <row r="2539">
          <cell r="H2539">
            <v>45924</v>
          </cell>
          <cell r="I2539">
            <v>61.56</v>
          </cell>
        </row>
        <row r="2539">
          <cell r="K2539">
            <v>45919</v>
          </cell>
          <cell r="L2539">
            <v>139.92</v>
          </cell>
        </row>
        <row r="2540">
          <cell r="E2540">
            <v>45922</v>
          </cell>
          <cell r="F2540">
            <v>199.34</v>
          </cell>
        </row>
        <row r="2540">
          <cell r="H2540">
            <v>45925</v>
          </cell>
          <cell r="I2540">
            <v>61.78</v>
          </cell>
        </row>
        <row r="2540">
          <cell r="K2540">
            <v>45922</v>
          </cell>
          <cell r="L2540">
            <v>140</v>
          </cell>
        </row>
        <row r="2541">
          <cell r="E2541">
            <v>45923</v>
          </cell>
          <cell r="F2541">
            <v>198.26</v>
          </cell>
        </row>
        <row r="2541">
          <cell r="H2541">
            <v>45926</v>
          </cell>
          <cell r="I2541">
            <v>61.51</v>
          </cell>
        </row>
        <row r="2541">
          <cell r="K2541">
            <v>45923</v>
          </cell>
          <cell r="L2541">
            <v>139.42</v>
          </cell>
        </row>
        <row r="2542">
          <cell r="E2542">
            <v>45924</v>
          </cell>
          <cell r="F2542">
            <v>194.81</v>
          </cell>
        </row>
        <row r="2542">
          <cell r="H2542">
            <v>45929</v>
          </cell>
          <cell r="I2542">
            <v>61.45</v>
          </cell>
        </row>
        <row r="2542">
          <cell r="K2542">
            <v>45924</v>
          </cell>
          <cell r="L2542">
            <v>137.77</v>
          </cell>
        </row>
        <row r="2543">
          <cell r="E2543">
            <v>45925</v>
          </cell>
          <cell r="F2543">
            <v>195.65</v>
          </cell>
        </row>
        <row r="2543">
          <cell r="H2543">
            <v>45930</v>
          </cell>
          <cell r="I2543">
            <v>61.79</v>
          </cell>
        </row>
        <row r="2543">
          <cell r="K2543">
            <v>45925</v>
          </cell>
          <cell r="L2543">
            <v>137.59</v>
          </cell>
        </row>
        <row r="2544">
          <cell r="E2544">
            <v>45926</v>
          </cell>
          <cell r="F2544">
            <v>194.85</v>
          </cell>
        </row>
        <row r="2544">
          <cell r="H2544">
            <v>45931</v>
          </cell>
          <cell r="I2544">
            <v>62.27</v>
          </cell>
        </row>
        <row r="2544">
          <cell r="K2544">
            <v>45926</v>
          </cell>
          <cell r="L2544">
            <v>137.83</v>
          </cell>
        </row>
        <row r="2545">
          <cell r="E2545">
            <v>45929</v>
          </cell>
          <cell r="F2545">
            <v>196.18</v>
          </cell>
        </row>
        <row r="2545">
          <cell r="H2545">
            <v>45932</v>
          </cell>
          <cell r="I2545">
            <v>61.71</v>
          </cell>
        </row>
        <row r="2545">
          <cell r="K2545">
            <v>45929</v>
          </cell>
          <cell r="L2545">
            <v>136.58</v>
          </cell>
        </row>
        <row r="2546">
          <cell r="E2546">
            <v>45930</v>
          </cell>
          <cell r="F2546">
            <v>196.57</v>
          </cell>
        </row>
        <row r="2546">
          <cell r="H2546">
            <v>45933</v>
          </cell>
          <cell r="I2546">
            <v>62.03</v>
          </cell>
        </row>
        <row r="2546">
          <cell r="K2546">
            <v>45930</v>
          </cell>
          <cell r="L2546">
            <v>136.03</v>
          </cell>
        </row>
        <row r="2547">
          <cell r="E2547">
            <v>45931</v>
          </cell>
          <cell r="F2547">
            <v>194.74</v>
          </cell>
        </row>
        <row r="2547">
          <cell r="H2547">
            <v>45936</v>
          </cell>
          <cell r="I2547">
            <v>62.07</v>
          </cell>
        </row>
        <row r="2547">
          <cell r="K2547">
            <v>45931</v>
          </cell>
          <cell r="L2547">
            <v>135.24</v>
          </cell>
        </row>
        <row r="2548">
          <cell r="E2548">
            <v>45932</v>
          </cell>
          <cell r="F2548">
            <v>195.06</v>
          </cell>
        </row>
        <row r="2548">
          <cell r="H2548">
            <v>45937</v>
          </cell>
          <cell r="I2548">
            <v>61.94</v>
          </cell>
        </row>
        <row r="2548">
          <cell r="K2548">
            <v>45932</v>
          </cell>
          <cell r="L2548">
            <v>135.24</v>
          </cell>
        </row>
        <row r="2549">
          <cell r="E2549">
            <v>45933</v>
          </cell>
          <cell r="F2549">
            <v>192.13</v>
          </cell>
        </row>
        <row r="2549">
          <cell r="H2549">
            <v>45938</v>
          </cell>
          <cell r="I2549">
            <v>61.64</v>
          </cell>
        </row>
        <row r="2549">
          <cell r="K2549">
            <v>45933</v>
          </cell>
          <cell r="L2549">
            <v>134.72</v>
          </cell>
        </row>
        <row r="2550">
          <cell r="E2550">
            <v>45936</v>
          </cell>
          <cell r="F2550">
            <v>192.85</v>
          </cell>
        </row>
        <row r="2550">
          <cell r="H2550">
            <v>45939</v>
          </cell>
          <cell r="I2550">
            <v>61.21</v>
          </cell>
        </row>
        <row r="2550">
          <cell r="K2550">
            <v>45936</v>
          </cell>
          <cell r="L2550">
            <v>133.75</v>
          </cell>
        </row>
        <row r="2551">
          <cell r="E2551">
            <v>45937</v>
          </cell>
          <cell r="F2551">
            <v>193.84</v>
          </cell>
        </row>
        <row r="2551">
          <cell r="H2551">
            <v>45940</v>
          </cell>
          <cell r="I2551">
            <v>60.74</v>
          </cell>
        </row>
        <row r="2551">
          <cell r="K2551">
            <v>45937</v>
          </cell>
          <cell r="L2551">
            <v>134.02</v>
          </cell>
        </row>
        <row r="2552">
          <cell r="E2552">
            <v>45938</v>
          </cell>
          <cell r="F2552">
            <v>194.78</v>
          </cell>
        </row>
        <row r="2552">
          <cell r="H2552">
            <v>45943</v>
          </cell>
          <cell r="I2552">
            <v>60.7</v>
          </cell>
        </row>
        <row r="2552">
          <cell r="K2552">
            <v>45938</v>
          </cell>
          <cell r="L2552">
            <v>133.27</v>
          </cell>
        </row>
        <row r="2553">
          <cell r="E2553">
            <v>45939</v>
          </cell>
          <cell r="F2553">
            <v>196.29</v>
          </cell>
        </row>
        <row r="2553">
          <cell r="H2553">
            <v>45944</v>
          </cell>
          <cell r="I2553">
            <v>61.14</v>
          </cell>
        </row>
        <row r="2553">
          <cell r="K2553">
            <v>45939</v>
          </cell>
          <cell r="L2553">
            <v>133.69</v>
          </cell>
        </row>
        <row r="2554">
          <cell r="E2554">
            <v>45940</v>
          </cell>
          <cell r="F2554">
            <v>197.56</v>
          </cell>
        </row>
        <row r="2554">
          <cell r="H2554">
            <v>45945</v>
          </cell>
          <cell r="I2554">
            <v>61.35</v>
          </cell>
        </row>
        <row r="2554">
          <cell r="K2554">
            <v>45940</v>
          </cell>
          <cell r="L2554">
            <v>133.95</v>
          </cell>
        </row>
        <row r="2555">
          <cell r="E2555">
            <v>45943</v>
          </cell>
          <cell r="F2555">
            <v>198.04</v>
          </cell>
        </row>
        <row r="2555">
          <cell r="H2555">
            <v>45946</v>
          </cell>
          <cell r="I2555">
            <v>61.39</v>
          </cell>
        </row>
        <row r="2555">
          <cell r="K2555">
            <v>45943</v>
          </cell>
          <cell r="L2555">
            <v>133.59</v>
          </cell>
        </row>
        <row r="2556">
          <cell r="E2556">
            <v>45944</v>
          </cell>
          <cell r="F2556">
            <v>197.66</v>
          </cell>
        </row>
        <row r="2556">
          <cell r="H2556">
            <v>45947</v>
          </cell>
          <cell r="I2556">
            <v>61.01</v>
          </cell>
        </row>
        <row r="2556">
          <cell r="K2556">
            <v>45944</v>
          </cell>
          <cell r="L2556">
            <v>133.73</v>
          </cell>
        </row>
        <row r="2557">
          <cell r="E2557">
            <v>45945</v>
          </cell>
          <cell r="F2557">
            <v>200.15</v>
          </cell>
        </row>
        <row r="2557">
          <cell r="H2557">
            <v>45950</v>
          </cell>
          <cell r="I2557">
            <v>61.2</v>
          </cell>
        </row>
        <row r="2557">
          <cell r="K2557">
            <v>45945</v>
          </cell>
          <cell r="L2557">
            <v>133.33</v>
          </cell>
        </row>
        <row r="2558">
          <cell r="E2558">
            <v>45946</v>
          </cell>
          <cell r="F2558">
            <v>199.88</v>
          </cell>
        </row>
        <row r="2558">
          <cell r="H2558">
            <v>45951</v>
          </cell>
          <cell r="I2558">
            <v>61.23</v>
          </cell>
        </row>
        <row r="2558">
          <cell r="K2558">
            <v>45946</v>
          </cell>
          <cell r="L2558">
            <v>133.66</v>
          </cell>
        </row>
        <row r="2559">
          <cell r="E2559">
            <v>45947</v>
          </cell>
          <cell r="F2559">
            <v>198.13</v>
          </cell>
        </row>
        <row r="2559">
          <cell r="H2559">
            <v>45952</v>
          </cell>
          <cell r="I2559">
            <v>61.09</v>
          </cell>
        </row>
        <row r="2559">
          <cell r="K2559">
            <v>45947</v>
          </cell>
          <cell r="L2559">
            <v>134.07</v>
          </cell>
        </row>
        <row r="2560">
          <cell r="E2560">
            <v>45950</v>
          </cell>
          <cell r="F2560">
            <v>198.18</v>
          </cell>
        </row>
        <row r="2560">
          <cell r="H2560">
            <v>45953</v>
          </cell>
          <cell r="I2560">
            <v>60.61</v>
          </cell>
        </row>
        <row r="2560">
          <cell r="K2560">
            <v>45950</v>
          </cell>
          <cell r="L2560">
            <v>134.13</v>
          </cell>
        </row>
        <row r="2561">
          <cell r="E2561">
            <v>45951</v>
          </cell>
          <cell r="F2561">
            <v>194.21</v>
          </cell>
        </row>
        <row r="2561">
          <cell r="H2561">
            <v>45954</v>
          </cell>
          <cell r="I2561">
            <v>60.69</v>
          </cell>
        </row>
        <row r="2561">
          <cell r="K2561">
            <v>45951</v>
          </cell>
          <cell r="L2561">
            <v>134.67</v>
          </cell>
        </row>
        <row r="2562">
          <cell r="E2562">
            <v>45952</v>
          </cell>
          <cell r="F2562">
            <v>194.01</v>
          </cell>
        </row>
        <row r="2562">
          <cell r="H2562">
            <v>45957</v>
          </cell>
          <cell r="I2562">
            <v>60.39</v>
          </cell>
        </row>
        <row r="2562">
          <cell r="K2562">
            <v>45952</v>
          </cell>
          <cell r="L2562">
            <v>134.8</v>
          </cell>
        </row>
        <row r="2563">
          <cell r="E2563">
            <v>45953</v>
          </cell>
          <cell r="F2563">
            <v>195.49</v>
          </cell>
        </row>
        <row r="2563">
          <cell r="H2563">
            <v>45958</v>
          </cell>
          <cell r="I2563">
            <v>60.54</v>
          </cell>
        </row>
        <row r="2563">
          <cell r="K2563">
            <v>45953</v>
          </cell>
          <cell r="L2563">
            <v>134.77</v>
          </cell>
        </row>
        <row r="2564">
          <cell r="E2564">
            <v>45954</v>
          </cell>
          <cell r="F2564">
            <v>198.17</v>
          </cell>
        </row>
        <row r="2564">
          <cell r="H2564">
            <v>45959</v>
          </cell>
          <cell r="I2564">
            <v>60.85</v>
          </cell>
        </row>
        <row r="2564">
          <cell r="K2564">
            <v>45954</v>
          </cell>
          <cell r="L2564">
            <v>134.34</v>
          </cell>
        </row>
        <row r="2565">
          <cell r="E2565">
            <v>45957</v>
          </cell>
          <cell r="F2565">
            <v>198.37</v>
          </cell>
        </row>
        <row r="2565">
          <cell r="H2565">
            <v>45960</v>
          </cell>
          <cell r="I2565">
            <v>60.54</v>
          </cell>
        </row>
        <row r="2565">
          <cell r="K2565">
            <v>45957</v>
          </cell>
          <cell r="L2565">
            <v>134.1</v>
          </cell>
        </row>
        <row r="2566">
          <cell r="E2566">
            <v>45958</v>
          </cell>
          <cell r="F2566">
            <v>200.32</v>
          </cell>
        </row>
        <row r="2566">
          <cell r="H2566">
            <v>45961</v>
          </cell>
          <cell r="I2566">
            <v>60.85</v>
          </cell>
        </row>
        <row r="2566">
          <cell r="K2566">
            <v>45958</v>
          </cell>
          <cell r="L2566">
            <v>133.16</v>
          </cell>
        </row>
        <row r="2567">
          <cell r="E2567">
            <v>45959</v>
          </cell>
          <cell r="F2567">
            <v>203.86</v>
          </cell>
        </row>
        <row r="2567">
          <cell r="H2567">
            <v>45964</v>
          </cell>
          <cell r="I2567">
            <v>60.35</v>
          </cell>
        </row>
        <row r="2567">
          <cell r="K2567">
            <v>45959</v>
          </cell>
          <cell r="L2567">
            <v>132.34</v>
          </cell>
        </row>
        <row r="2568">
          <cell r="E2568">
            <v>45960</v>
          </cell>
          <cell r="F2568">
            <v>203.58</v>
          </cell>
        </row>
        <row r="2568">
          <cell r="H2568">
            <v>45965</v>
          </cell>
          <cell r="I2568">
            <v>60.32</v>
          </cell>
        </row>
        <row r="2568">
          <cell r="K2568">
            <v>45960</v>
          </cell>
          <cell r="L2568">
            <v>133.89</v>
          </cell>
        </row>
        <row r="2569">
          <cell r="E2569">
            <v>45961</v>
          </cell>
          <cell r="F2569">
            <v>204.01</v>
          </cell>
        </row>
        <row r="2569">
          <cell r="H2569">
            <v>45966</v>
          </cell>
          <cell r="I2569">
            <v>60.7</v>
          </cell>
        </row>
        <row r="2569">
          <cell r="K2569">
            <v>45961</v>
          </cell>
          <cell r="L2569">
            <v>134.11</v>
          </cell>
        </row>
        <row r="2570">
          <cell r="E2570">
            <v>45964</v>
          </cell>
          <cell r="F2570">
            <v>206.78</v>
          </cell>
        </row>
        <row r="2570">
          <cell r="H2570">
            <v>45967</v>
          </cell>
          <cell r="I2570">
            <v>60.75</v>
          </cell>
        </row>
        <row r="2570">
          <cell r="K2570">
            <v>45964</v>
          </cell>
          <cell r="L2570">
            <v>134.53</v>
          </cell>
        </row>
        <row r="2571">
          <cell r="E2571">
            <v>45965</v>
          </cell>
          <cell r="F2571">
            <v>204.51</v>
          </cell>
        </row>
        <row r="2571">
          <cell r="H2571">
            <v>45968</v>
          </cell>
          <cell r="I2571">
            <v>60.68</v>
          </cell>
        </row>
        <row r="2571">
          <cell r="K2571">
            <v>45965</v>
          </cell>
          <cell r="L2571">
            <v>134.96</v>
          </cell>
        </row>
        <row r="2572">
          <cell r="E2572">
            <v>45966</v>
          </cell>
          <cell r="F2572">
            <v>206.55</v>
          </cell>
        </row>
        <row r="2572">
          <cell r="H2572">
            <v>45971</v>
          </cell>
          <cell r="I2572">
            <v>60.28</v>
          </cell>
        </row>
        <row r="2572">
          <cell r="K2572">
            <v>45966</v>
          </cell>
          <cell r="L2572">
            <v>134.08</v>
          </cell>
        </row>
        <row r="2573">
          <cell r="E2573">
            <v>45967</v>
          </cell>
          <cell r="F2573">
            <v>204.64</v>
          </cell>
        </row>
        <row r="2573">
          <cell r="H2573">
            <v>45972</v>
          </cell>
          <cell r="I2573">
            <v>60.51</v>
          </cell>
        </row>
        <row r="2573">
          <cell r="K2573">
            <v>45967</v>
          </cell>
          <cell r="L2573">
            <v>133.41</v>
          </cell>
        </row>
        <row r="2574">
          <cell r="E2574">
            <v>45968</v>
          </cell>
          <cell r="F2574">
            <v>204.86</v>
          </cell>
        </row>
        <row r="2574">
          <cell r="H2574">
            <v>45973</v>
          </cell>
          <cell r="I2574">
            <v>61.16</v>
          </cell>
        </row>
        <row r="2574">
          <cell r="K2574">
            <v>45968</v>
          </cell>
          <cell r="L2574">
            <v>134.19</v>
          </cell>
        </row>
        <row r="2575">
          <cell r="E2575">
            <v>45971</v>
          </cell>
          <cell r="F2575">
            <v>209.32</v>
          </cell>
        </row>
        <row r="2575">
          <cell r="H2575">
            <v>45974</v>
          </cell>
          <cell r="I2575">
            <v>61.71</v>
          </cell>
        </row>
        <row r="2575">
          <cell r="K2575">
            <v>45971</v>
          </cell>
          <cell r="L2575">
            <v>134.24</v>
          </cell>
        </row>
        <row r="2576">
          <cell r="E2576">
            <v>45972</v>
          </cell>
          <cell r="F2576">
            <v>206.67</v>
          </cell>
        </row>
        <row r="2576">
          <cell r="H2576">
            <v>45975</v>
          </cell>
          <cell r="I2576">
            <v>61.78</v>
          </cell>
        </row>
        <row r="2576">
          <cell r="K2576">
            <v>45972</v>
          </cell>
          <cell r="L2576">
            <v>134.26</v>
          </cell>
        </row>
        <row r="2577">
          <cell r="E2577">
            <v>45973</v>
          </cell>
          <cell r="F2577">
            <v>207.43</v>
          </cell>
        </row>
        <row r="2577">
          <cell r="H2577">
            <v>45978</v>
          </cell>
          <cell r="I2577">
            <v>61.6</v>
          </cell>
        </row>
        <row r="2577">
          <cell r="K2577">
            <v>45973</v>
          </cell>
          <cell r="L2577">
            <v>133.5</v>
          </cell>
        </row>
        <row r="2578">
          <cell r="E2578">
            <v>45974</v>
          </cell>
          <cell r="F2578">
            <v>203.05</v>
          </cell>
        </row>
        <row r="2578">
          <cell r="H2578">
            <v>45979</v>
          </cell>
          <cell r="I2578">
            <v>61.91</v>
          </cell>
        </row>
        <row r="2578">
          <cell r="K2578">
            <v>45974</v>
          </cell>
          <cell r="L2578">
            <v>134.1</v>
          </cell>
        </row>
        <row r="2579">
          <cell r="E2579">
            <v>45975</v>
          </cell>
          <cell r="F2579">
            <v>204.36</v>
          </cell>
        </row>
        <row r="2579">
          <cell r="H2579">
            <v>45980</v>
          </cell>
          <cell r="I2579">
            <v>61.52</v>
          </cell>
        </row>
        <row r="2579">
          <cell r="K2579">
            <v>45975</v>
          </cell>
          <cell r="L2579">
            <v>134.44</v>
          </cell>
        </row>
        <row r="2580">
          <cell r="E2580">
            <v>45978</v>
          </cell>
          <cell r="F2580">
            <v>205.52</v>
          </cell>
        </row>
        <row r="2580">
          <cell r="H2580">
            <v>45981</v>
          </cell>
          <cell r="I2580">
            <v>61.47</v>
          </cell>
        </row>
        <row r="2580">
          <cell r="K2580">
            <v>45978</v>
          </cell>
          <cell r="L2580">
            <v>134.33</v>
          </cell>
        </row>
        <row r="2581">
          <cell r="E2581">
            <v>45979</v>
          </cell>
          <cell r="F2581">
            <v>204.69</v>
          </cell>
        </row>
        <row r="2581">
          <cell r="H2581">
            <v>45982</v>
          </cell>
          <cell r="I2581">
            <v>61.94</v>
          </cell>
        </row>
        <row r="2581">
          <cell r="K2581">
            <v>45979</v>
          </cell>
          <cell r="L2581">
            <v>134.29</v>
          </cell>
        </row>
        <row r="2582">
          <cell r="E2582">
            <v>45980</v>
          </cell>
          <cell r="F2582">
            <v>207.51</v>
          </cell>
        </row>
        <row r="2582">
          <cell r="K2582">
            <v>45980</v>
          </cell>
          <cell r="L2582">
            <v>134.26</v>
          </cell>
        </row>
        <row r="2583">
          <cell r="E2583">
            <v>45981</v>
          </cell>
          <cell r="F2583">
            <v>202.83</v>
          </cell>
        </row>
        <row r="2583">
          <cell r="K2583">
            <v>45981</v>
          </cell>
          <cell r="L2583">
            <v>134.78</v>
          </cell>
        </row>
        <row r="2584">
          <cell r="E2584">
            <v>45982</v>
          </cell>
          <cell r="F2584">
            <v>197.56</v>
          </cell>
        </row>
        <row r="2584">
          <cell r="K2584">
            <v>45982</v>
          </cell>
          <cell r="L2584">
            <v>134.85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494"/>
  <sheetViews>
    <sheetView tabSelected="1" zoomScale="92" zoomScaleNormal="92" workbookViewId="0">
      <selection activeCell="U9" sqref="U9"/>
    </sheetView>
  </sheetViews>
  <sheetFormatPr defaultColWidth="9" defaultRowHeight="16.8"/>
  <cols>
    <col min="1" max="1" width="10.4553571428571" customWidth="1"/>
    <col min="10" max="14" width="8.72321428571429" hidden="1" customWidth="1"/>
  </cols>
  <sheetData>
    <row r="1" spans="1:19"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0</v>
      </c>
      <c r="P1" t="s">
        <v>1</v>
      </c>
      <c r="Q1" t="s">
        <v>2</v>
      </c>
      <c r="R1" t="s">
        <v>4</v>
      </c>
      <c r="S1" t="s">
        <v>3</v>
      </c>
    </row>
    <row r="2" spans="1:19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14</v>
      </c>
      <c r="P2" t="s">
        <v>15</v>
      </c>
      <c r="Q2" t="s">
        <v>16</v>
      </c>
      <c r="R2" t="s">
        <v>18</v>
      </c>
      <c r="S2" t="s">
        <v>17</v>
      </c>
    </row>
    <row r="3" spans="1:19">
      <c r="A3" s="1">
        <v>42373</v>
      </c>
      <c r="B3" t="s">
        <v>19</v>
      </c>
      <c r="C3" t="s">
        <v>20</v>
      </c>
      <c r="D3">
        <v>19.825</v>
      </c>
      <c r="E3">
        <v>19.525</v>
      </c>
      <c r="F3">
        <v>-0.0151324085750315</v>
      </c>
      <c r="G3" t="str">
        <f ca="1" t="shared" ref="G3:G66" si="0">IF(ROW()-ROW($A$3)+1&gt;252,(F3-AVERAGE(OFFSET(F3,-252,0,252,1)))/_xlfn.STDEV.S(OFFSET(F3,-252,0,252,1)),"N/A")</f>
        <v>N/A</v>
      </c>
      <c r="H3" t="str">
        <f ca="1" t="shared" ref="H3:H66" si="1">IF(G3&lt;&gt;"N/A",IF(G253&gt;-0.5,"Risk-On","Risk-Off"),"N/A")</f>
        <v>N/A</v>
      </c>
      <c r="I3">
        <f ca="1">IF(H3&lt;&gt;"N/A",IF(H253&gt;-0.5,1,0),0)</f>
        <v>0</v>
      </c>
      <c r="J3" t="str">
        <f>_xlfn.XLOOKUP($A3,[1]Sheet1!$B$9:$B$2584,[1]Sheet1!$C$9:$C$2584,"N/A",0)</f>
        <v>N/A</v>
      </c>
      <c r="K3">
        <f>_xlfn.XLOOKUP($A3,[1]Sheet1!$E$9:$E$2584,[1]Sheet1!$F$9:$F$2584,"N/A",0)</f>
        <v>142.45</v>
      </c>
      <c r="L3">
        <f>_xlfn.XLOOKUP($A3,[1]Sheet1!$H$9:$H$2584,[1]Sheet1!$I$9:$I$2584,"N/A",0)</f>
        <v>91.48</v>
      </c>
      <c r="M3">
        <f>_xlfn.XLOOKUP($A3,[1]Sheet1!$K$9:$K$2584,[1]Sheet1!$L$9:$L$2584,"N/A",0)</f>
        <v>125.4</v>
      </c>
      <c r="N3" t="str">
        <f>_xlfn.XLOOKUP($A3,[1]Sheet1!$N$9:$N$2584,[1]Sheet1!$O$9:$O$2584,"N/A",0)</f>
        <v>N/A</v>
      </c>
      <c r="O3" t="s">
        <v>21</v>
      </c>
      <c r="P3">
        <v>142.45</v>
      </c>
      <c r="Q3">
        <v>91.48</v>
      </c>
      <c r="R3" t="s">
        <v>21</v>
      </c>
      <c r="S3">
        <v>125.4</v>
      </c>
    </row>
    <row r="4" spans="1:19">
      <c r="A4" s="1">
        <v>42374</v>
      </c>
      <c r="B4" t="s">
        <v>19</v>
      </c>
      <c r="C4" t="s">
        <v>20</v>
      </c>
      <c r="D4">
        <v>19.425</v>
      </c>
      <c r="E4">
        <v>19.275</v>
      </c>
      <c r="F4">
        <v>-0.00772200772200783</v>
      </c>
      <c r="G4" t="str">
        <f ca="1" t="shared" si="0"/>
        <v>N/A</v>
      </c>
      <c r="H4" t="str">
        <f ca="1" t="shared" si="1"/>
        <v>N/A</v>
      </c>
      <c r="I4">
        <f ca="1" t="shared" ref="I4:I67" si="2">IF(H4&lt;&gt;"N/A",IF(H254&gt;-0.5,1,0),0)</f>
        <v>0</v>
      </c>
      <c r="J4" t="str">
        <f>_xlfn.XLOOKUP($A4,[1]Sheet1!$B$9:$B$2584,[1]Sheet1!$C$9:$C$2584,"N/A",0)</f>
        <v>N/A</v>
      </c>
      <c r="K4">
        <f>_xlfn.XLOOKUP($A4,[1]Sheet1!$E$9:$E$2584,[1]Sheet1!$F$9:$F$2584,"N/A",0)</f>
        <v>142.87</v>
      </c>
      <c r="L4">
        <f>_xlfn.XLOOKUP($A4,[1]Sheet1!$H$9:$H$2584,[1]Sheet1!$I$9:$I$2584,"N/A",0)</f>
        <v>91.35</v>
      </c>
      <c r="M4">
        <f>_xlfn.XLOOKUP($A4,[1]Sheet1!$K$9:$K$2584,[1]Sheet1!$L$9:$L$2584,"N/A",0)</f>
        <v>125.81</v>
      </c>
      <c r="N4" t="str">
        <f>_xlfn.XLOOKUP($A4,[1]Sheet1!$N$9:$N$2584,[1]Sheet1!$O$9:$O$2584,"N/A",0)</f>
        <v>N/A</v>
      </c>
      <c r="O4" t="s">
        <v>21</v>
      </c>
      <c r="P4">
        <v>142.87</v>
      </c>
      <c r="Q4">
        <v>91.35</v>
      </c>
      <c r="R4" t="s">
        <v>21</v>
      </c>
      <c r="S4">
        <v>125.81</v>
      </c>
    </row>
    <row r="5" spans="1:19">
      <c r="A5" s="1">
        <v>42375</v>
      </c>
      <c r="B5" t="s">
        <v>19</v>
      </c>
      <c r="C5" t="s">
        <v>20</v>
      </c>
      <c r="D5">
        <v>20.325</v>
      </c>
      <c r="E5">
        <v>19.825</v>
      </c>
      <c r="F5">
        <v>-0.02460024600246</v>
      </c>
      <c r="G5" t="str">
        <f ca="1" t="shared" si="0"/>
        <v>N/A</v>
      </c>
      <c r="H5" t="str">
        <f ca="1" t="shared" si="1"/>
        <v>N/A</v>
      </c>
      <c r="I5">
        <f ca="1" t="shared" si="2"/>
        <v>0</v>
      </c>
      <c r="J5" t="str">
        <f>_xlfn.XLOOKUP($A5,[1]Sheet1!$B$9:$B$2584,[1]Sheet1!$C$9:$C$2584,"N/A",0)</f>
        <v>N/A</v>
      </c>
      <c r="K5">
        <f>_xlfn.XLOOKUP($A5,[1]Sheet1!$E$9:$E$2584,[1]Sheet1!$F$9:$F$2584,"N/A",0)</f>
        <v>144.77</v>
      </c>
      <c r="L5">
        <f>_xlfn.XLOOKUP($A5,[1]Sheet1!$H$9:$H$2584,[1]Sheet1!$I$9:$I$2584,"N/A",0)</f>
        <v>91.28</v>
      </c>
      <c r="M5">
        <f>_xlfn.XLOOKUP($A5,[1]Sheet1!$K$9:$K$2584,[1]Sheet1!$L$9:$L$2584,"N/A",0)</f>
        <v>125.76</v>
      </c>
      <c r="N5" t="str">
        <f>_xlfn.XLOOKUP($A5,[1]Sheet1!$N$9:$N$2584,[1]Sheet1!$O$9:$O$2584,"N/A",0)</f>
        <v>N/A</v>
      </c>
      <c r="O5" t="s">
        <v>21</v>
      </c>
      <c r="P5">
        <v>144.77</v>
      </c>
      <c r="Q5">
        <v>91.28</v>
      </c>
      <c r="R5" t="s">
        <v>21</v>
      </c>
      <c r="S5">
        <v>125.76</v>
      </c>
    </row>
    <row r="6" spans="1:19">
      <c r="A6" s="1">
        <v>42376</v>
      </c>
      <c r="B6" t="s">
        <v>19</v>
      </c>
      <c r="C6" t="s">
        <v>20</v>
      </c>
      <c r="D6">
        <v>23.525</v>
      </c>
      <c r="E6">
        <v>21.775</v>
      </c>
      <c r="F6">
        <v>-0.0743889479277364</v>
      </c>
      <c r="G6" t="str">
        <f ca="1" t="shared" si="0"/>
        <v>N/A</v>
      </c>
      <c r="H6" t="str">
        <f ca="1" t="shared" si="1"/>
        <v>N/A</v>
      </c>
      <c r="I6">
        <f ca="1" t="shared" si="2"/>
        <v>0</v>
      </c>
      <c r="J6" t="str">
        <f>_xlfn.XLOOKUP($A6,[1]Sheet1!$B$9:$B$2584,[1]Sheet1!$C$9:$C$2584,"N/A",0)</f>
        <v>N/A</v>
      </c>
      <c r="K6">
        <f>_xlfn.XLOOKUP($A6,[1]Sheet1!$E$9:$E$2584,[1]Sheet1!$F$9:$F$2584,"N/A",0)</f>
        <v>145.02</v>
      </c>
      <c r="L6">
        <f>_xlfn.XLOOKUP($A6,[1]Sheet1!$H$9:$H$2584,[1]Sheet1!$I$9:$I$2584,"N/A",0)</f>
        <v>91.5</v>
      </c>
      <c r="M6">
        <f>_xlfn.XLOOKUP($A6,[1]Sheet1!$K$9:$K$2584,[1]Sheet1!$L$9:$L$2584,"N/A",0)</f>
        <v>125.65</v>
      </c>
      <c r="N6" t="str">
        <f>_xlfn.XLOOKUP($A6,[1]Sheet1!$N$9:$N$2584,[1]Sheet1!$O$9:$O$2584,"N/A",0)</f>
        <v>N/A</v>
      </c>
      <c r="O6" t="s">
        <v>21</v>
      </c>
      <c r="P6">
        <v>145.02</v>
      </c>
      <c r="Q6">
        <v>91.5</v>
      </c>
      <c r="R6" t="s">
        <v>21</v>
      </c>
      <c r="S6">
        <v>125.65</v>
      </c>
    </row>
    <row r="7" spans="1:19">
      <c r="A7" s="1">
        <v>42377</v>
      </c>
      <c r="B7" t="s">
        <v>19</v>
      </c>
      <c r="C7" t="s">
        <v>20</v>
      </c>
      <c r="D7">
        <v>25.275</v>
      </c>
      <c r="E7">
        <v>23.075</v>
      </c>
      <c r="F7">
        <v>-0.0870425321463896</v>
      </c>
      <c r="G7" t="str">
        <f ca="1" t="shared" si="0"/>
        <v>N/A</v>
      </c>
      <c r="H7" t="str">
        <f ca="1" t="shared" si="1"/>
        <v>N/A</v>
      </c>
      <c r="I7">
        <f ca="1" t="shared" si="2"/>
        <v>0</v>
      </c>
      <c r="J7" t="str">
        <f>_xlfn.XLOOKUP($A7,[1]Sheet1!$B$9:$B$2584,[1]Sheet1!$C$9:$C$2584,"N/A",0)</f>
        <v>N/A</v>
      </c>
      <c r="K7">
        <f>_xlfn.XLOOKUP($A7,[1]Sheet1!$E$9:$E$2584,[1]Sheet1!$F$9:$F$2584,"N/A",0)</f>
        <v>145.18</v>
      </c>
      <c r="L7">
        <f>_xlfn.XLOOKUP($A7,[1]Sheet1!$H$9:$H$2584,[1]Sheet1!$I$9:$I$2584,"N/A",0)</f>
        <v>91.49</v>
      </c>
      <c r="M7">
        <f>_xlfn.XLOOKUP($A7,[1]Sheet1!$K$9:$K$2584,[1]Sheet1!$L$9:$L$2584,"N/A",0)</f>
        <v>125.19</v>
      </c>
      <c r="N7" t="str">
        <f>_xlfn.XLOOKUP($A7,[1]Sheet1!$N$9:$N$2584,[1]Sheet1!$O$9:$O$2584,"N/A",0)</f>
        <v>N/A</v>
      </c>
      <c r="O7" t="s">
        <v>21</v>
      </c>
      <c r="P7">
        <v>145.18</v>
      </c>
      <c r="Q7">
        <v>91.49</v>
      </c>
      <c r="R7" t="s">
        <v>21</v>
      </c>
      <c r="S7">
        <v>125.19</v>
      </c>
    </row>
    <row r="8" spans="1:19">
      <c r="A8" s="1">
        <v>42380</v>
      </c>
      <c r="B8" t="s">
        <v>19</v>
      </c>
      <c r="C8" t="s">
        <v>20</v>
      </c>
      <c r="D8">
        <v>23.475</v>
      </c>
      <c r="E8">
        <v>21.975</v>
      </c>
      <c r="F8">
        <v>-0.0638977635782747</v>
      </c>
      <c r="G8" t="str">
        <f ca="1" t="shared" si="0"/>
        <v>N/A</v>
      </c>
      <c r="H8" t="str">
        <f ca="1" t="shared" si="1"/>
        <v>N/A</v>
      </c>
      <c r="I8">
        <f ca="1" t="shared" si="2"/>
        <v>0</v>
      </c>
      <c r="J8" t="str">
        <f>_xlfn.XLOOKUP($A8,[1]Sheet1!$B$9:$B$2584,[1]Sheet1!$C$9:$C$2584,"N/A",0)</f>
        <v>N/A</v>
      </c>
      <c r="K8">
        <f>_xlfn.XLOOKUP($A8,[1]Sheet1!$E$9:$E$2584,[1]Sheet1!$F$9:$F$2584,"N/A",0)</f>
        <v>147.55</v>
      </c>
      <c r="L8">
        <f>_xlfn.XLOOKUP($A8,[1]Sheet1!$H$9:$H$2584,[1]Sheet1!$I$9:$I$2584,"N/A",0)</f>
        <v>91.98</v>
      </c>
      <c r="M8">
        <f>_xlfn.XLOOKUP($A8,[1]Sheet1!$K$9:$K$2584,[1]Sheet1!$L$9:$L$2584,"N/A",0)</f>
        <v>126.54</v>
      </c>
      <c r="N8" t="str">
        <f>_xlfn.XLOOKUP($A8,[1]Sheet1!$N$9:$N$2584,[1]Sheet1!$O$9:$O$2584,"N/A",0)</f>
        <v>N/A</v>
      </c>
      <c r="O8" t="s">
        <v>21</v>
      </c>
      <c r="P8">
        <v>147.55</v>
      </c>
      <c r="Q8">
        <v>91.98</v>
      </c>
      <c r="R8" t="s">
        <v>21</v>
      </c>
      <c r="S8">
        <v>126.54</v>
      </c>
    </row>
    <row r="9" spans="1:19">
      <c r="A9" s="1">
        <v>42381</v>
      </c>
      <c r="B9" t="s">
        <v>19</v>
      </c>
      <c r="C9" t="s">
        <v>20</v>
      </c>
      <c r="D9">
        <v>22.075</v>
      </c>
      <c r="E9">
        <v>21.075</v>
      </c>
      <c r="F9">
        <v>-0.0453001132502831</v>
      </c>
      <c r="G9" t="str">
        <f ca="1" t="shared" si="0"/>
        <v>N/A</v>
      </c>
      <c r="H9" t="str">
        <f ca="1" t="shared" si="1"/>
        <v>N/A</v>
      </c>
      <c r="I9">
        <f ca="1" t="shared" si="2"/>
        <v>0</v>
      </c>
      <c r="J9" t="str">
        <f>_xlfn.XLOOKUP($A9,[1]Sheet1!$B$9:$B$2584,[1]Sheet1!$C$9:$C$2584,"N/A",0)</f>
        <v>N/A</v>
      </c>
      <c r="K9">
        <f>_xlfn.XLOOKUP($A9,[1]Sheet1!$E$9:$E$2584,[1]Sheet1!$F$9:$F$2584,"N/A",0)</f>
        <v>149.98</v>
      </c>
      <c r="L9">
        <f>_xlfn.XLOOKUP($A9,[1]Sheet1!$H$9:$H$2584,[1]Sheet1!$I$9:$I$2584,"N/A",0)</f>
        <v>92.27</v>
      </c>
      <c r="M9">
        <f>_xlfn.XLOOKUP($A9,[1]Sheet1!$K$9:$K$2584,[1]Sheet1!$L$9:$L$2584,"N/A",0)</f>
        <v>127.74</v>
      </c>
      <c r="N9" t="str">
        <f>_xlfn.XLOOKUP($A9,[1]Sheet1!$N$9:$N$2584,[1]Sheet1!$O$9:$O$2584,"N/A",0)</f>
        <v>N/A</v>
      </c>
      <c r="O9" t="s">
        <v>21</v>
      </c>
      <c r="P9">
        <v>149.98</v>
      </c>
      <c r="Q9">
        <v>92.27</v>
      </c>
      <c r="R9" t="s">
        <v>21</v>
      </c>
      <c r="S9">
        <v>127.74</v>
      </c>
    </row>
    <row r="10" spans="1:19">
      <c r="A10" s="1">
        <v>42382</v>
      </c>
      <c r="B10" t="s">
        <v>19</v>
      </c>
      <c r="C10" t="s">
        <v>20</v>
      </c>
      <c r="D10">
        <v>24.725</v>
      </c>
      <c r="E10">
        <v>23.125</v>
      </c>
      <c r="F10">
        <v>-0.0647118301314459</v>
      </c>
      <c r="G10" t="str">
        <f ca="1" t="shared" si="0"/>
        <v>N/A</v>
      </c>
      <c r="H10" t="str">
        <f ca="1" t="shared" si="1"/>
        <v>N/A</v>
      </c>
      <c r="I10">
        <f ca="1" t="shared" si="2"/>
        <v>0</v>
      </c>
      <c r="J10">
        <f>_xlfn.XLOOKUP($A10,[1]Sheet1!$B$9:$B$2584,[1]Sheet1!$C$9:$C$2584,"N/A",0)</f>
        <v>100</v>
      </c>
      <c r="K10">
        <f>_xlfn.XLOOKUP($A10,[1]Sheet1!$E$9:$E$2584,[1]Sheet1!$F$9:$F$2584,"N/A",0)</f>
        <v>148.88</v>
      </c>
      <c r="L10">
        <f>_xlfn.XLOOKUP($A10,[1]Sheet1!$H$9:$H$2584,[1]Sheet1!$I$9:$I$2584,"N/A",0)</f>
        <v>92.49</v>
      </c>
      <c r="M10">
        <f>_xlfn.XLOOKUP($A10,[1]Sheet1!$K$9:$K$2584,[1]Sheet1!$L$9:$L$2584,"N/A",0)</f>
        <v>127.77</v>
      </c>
      <c r="N10">
        <f>_xlfn.XLOOKUP($A10,[1]Sheet1!$N$9:$N$2584,[1]Sheet1!$O$9:$O$2584,"N/A",0)</f>
        <v>100</v>
      </c>
      <c r="O10">
        <v>100</v>
      </c>
      <c r="P10">
        <v>148.88</v>
      </c>
      <c r="Q10">
        <v>92.49</v>
      </c>
      <c r="R10">
        <v>100</v>
      </c>
      <c r="S10">
        <v>127.77</v>
      </c>
    </row>
    <row r="11" spans="1:19">
      <c r="A11" s="1">
        <v>42383</v>
      </c>
      <c r="B11" t="s">
        <v>19</v>
      </c>
      <c r="C11" t="s">
        <v>20</v>
      </c>
      <c r="D11">
        <v>23.575</v>
      </c>
      <c r="E11">
        <v>22.275</v>
      </c>
      <c r="F11">
        <v>-0.0551431601272534</v>
      </c>
      <c r="G11" t="str">
        <f ca="1" t="shared" si="0"/>
        <v>N/A</v>
      </c>
      <c r="H11" t="str">
        <f ca="1" t="shared" si="1"/>
        <v>N/A</v>
      </c>
      <c r="I11">
        <f ca="1" t="shared" si="2"/>
        <v>0</v>
      </c>
      <c r="J11">
        <f>_xlfn.XLOOKUP($A11,[1]Sheet1!$B$9:$B$2584,[1]Sheet1!$C$9:$C$2584,"N/A",0)</f>
        <v>100.15</v>
      </c>
      <c r="K11">
        <f>_xlfn.XLOOKUP($A11,[1]Sheet1!$E$9:$E$2584,[1]Sheet1!$F$9:$F$2584,"N/A",0)</f>
        <v>148.9</v>
      </c>
      <c r="L11">
        <f>_xlfn.XLOOKUP($A11,[1]Sheet1!$H$9:$H$2584,[1]Sheet1!$I$9:$I$2584,"N/A",0)</f>
        <v>92.5</v>
      </c>
      <c r="M11">
        <f>_xlfn.XLOOKUP($A11,[1]Sheet1!$K$9:$K$2584,[1]Sheet1!$L$9:$L$2584,"N/A",0)</f>
        <v>128.23</v>
      </c>
      <c r="N11">
        <f>_xlfn.XLOOKUP($A11,[1]Sheet1!$N$9:$N$2584,[1]Sheet1!$O$9:$O$2584,"N/A",0)</f>
        <v>99.53</v>
      </c>
      <c r="O11">
        <v>100.15</v>
      </c>
      <c r="P11">
        <v>148.9</v>
      </c>
      <c r="Q11">
        <v>92.5</v>
      </c>
      <c r="R11">
        <v>99.53</v>
      </c>
      <c r="S11">
        <v>128.23</v>
      </c>
    </row>
    <row r="12" spans="1:19">
      <c r="A12" s="1">
        <v>42384</v>
      </c>
      <c r="B12" t="s">
        <v>19</v>
      </c>
      <c r="C12" t="s">
        <v>20</v>
      </c>
      <c r="D12">
        <v>26.475</v>
      </c>
      <c r="E12">
        <v>24.35</v>
      </c>
      <c r="F12">
        <v>-0.0802644003777148</v>
      </c>
      <c r="G12" t="str">
        <f ca="1" t="shared" si="0"/>
        <v>N/A</v>
      </c>
      <c r="H12" t="str">
        <f ca="1" t="shared" si="1"/>
        <v>N/A</v>
      </c>
      <c r="I12">
        <f ca="1" t="shared" si="2"/>
        <v>0</v>
      </c>
      <c r="J12">
        <f>_xlfn.XLOOKUP($A12,[1]Sheet1!$B$9:$B$2584,[1]Sheet1!$C$9:$C$2584,"N/A",0)</f>
        <v>99.87</v>
      </c>
      <c r="K12">
        <f>_xlfn.XLOOKUP($A12,[1]Sheet1!$E$9:$E$2584,[1]Sheet1!$F$9:$F$2584,"N/A",0)</f>
        <v>148.7</v>
      </c>
      <c r="L12">
        <f>_xlfn.XLOOKUP($A12,[1]Sheet1!$H$9:$H$2584,[1]Sheet1!$I$9:$I$2584,"N/A",0)</f>
        <v>92.37</v>
      </c>
      <c r="M12">
        <f>_xlfn.XLOOKUP($A12,[1]Sheet1!$K$9:$K$2584,[1]Sheet1!$L$9:$L$2584,"N/A",0)</f>
        <v>129.46</v>
      </c>
      <c r="N12">
        <f>_xlfn.XLOOKUP($A12,[1]Sheet1!$N$9:$N$2584,[1]Sheet1!$O$9:$O$2584,"N/A",0)</f>
        <v>99.19</v>
      </c>
      <c r="O12">
        <v>99.87</v>
      </c>
      <c r="P12">
        <v>148.7</v>
      </c>
      <c r="Q12">
        <v>92.37</v>
      </c>
      <c r="R12">
        <v>99.19</v>
      </c>
      <c r="S12">
        <v>129.46</v>
      </c>
    </row>
    <row r="13" spans="1:19">
      <c r="A13" s="1">
        <v>42388</v>
      </c>
      <c r="B13" t="s">
        <v>19</v>
      </c>
      <c r="C13" t="s">
        <v>20</v>
      </c>
      <c r="D13">
        <v>25.85</v>
      </c>
      <c r="E13">
        <v>24.025</v>
      </c>
      <c r="F13">
        <v>-0.0705996131528047</v>
      </c>
      <c r="G13" t="str">
        <f ca="1" t="shared" si="0"/>
        <v>N/A</v>
      </c>
      <c r="H13" t="str">
        <f ca="1" t="shared" si="1"/>
        <v>N/A</v>
      </c>
      <c r="I13">
        <f ca="1" t="shared" si="2"/>
        <v>0</v>
      </c>
      <c r="J13">
        <f>_xlfn.XLOOKUP($A13,[1]Sheet1!$B$9:$B$2584,[1]Sheet1!$C$9:$C$2584,"N/A",0)</f>
        <v>99.68</v>
      </c>
      <c r="K13">
        <f>_xlfn.XLOOKUP($A13,[1]Sheet1!$E$9:$E$2584,[1]Sheet1!$F$9:$F$2584,"N/A",0)</f>
        <v>150.23</v>
      </c>
      <c r="L13">
        <f>_xlfn.XLOOKUP($A13,[1]Sheet1!$H$9:$H$2584,[1]Sheet1!$I$9:$I$2584,"N/A",0)</f>
        <v>92.46</v>
      </c>
      <c r="M13">
        <f>_xlfn.XLOOKUP($A13,[1]Sheet1!$K$9:$K$2584,[1]Sheet1!$L$9:$L$2584,"N/A",0)</f>
        <v>131.11</v>
      </c>
      <c r="N13">
        <f>_xlfn.XLOOKUP($A13,[1]Sheet1!$N$9:$N$2584,[1]Sheet1!$O$9:$O$2584,"N/A",0)</f>
        <v>100.29</v>
      </c>
      <c r="O13">
        <v>99.68</v>
      </c>
      <c r="P13">
        <v>150.23</v>
      </c>
      <c r="Q13">
        <v>92.46</v>
      </c>
      <c r="R13">
        <v>100.29</v>
      </c>
      <c r="S13">
        <v>131.11</v>
      </c>
    </row>
    <row r="14" spans="1:19">
      <c r="A14" s="1">
        <v>42389</v>
      </c>
      <c r="B14" t="s">
        <v>19</v>
      </c>
      <c r="C14" t="s">
        <v>20</v>
      </c>
      <c r="D14">
        <v>27.4</v>
      </c>
      <c r="E14">
        <v>24.725</v>
      </c>
      <c r="F14">
        <v>-0.0976277372262772</v>
      </c>
      <c r="G14" t="str">
        <f ca="1" t="shared" si="0"/>
        <v>N/A</v>
      </c>
      <c r="H14" t="str">
        <f ca="1" t="shared" si="1"/>
        <v>N/A</v>
      </c>
      <c r="I14">
        <f ca="1" t="shared" si="2"/>
        <v>0</v>
      </c>
      <c r="J14">
        <f>_xlfn.XLOOKUP($A14,[1]Sheet1!$B$9:$B$2584,[1]Sheet1!$C$9:$C$2584,"N/A",0)</f>
        <v>99.58</v>
      </c>
      <c r="K14">
        <f>_xlfn.XLOOKUP($A14,[1]Sheet1!$E$9:$E$2584,[1]Sheet1!$F$9:$F$2584,"N/A",0)</f>
        <v>149.13</v>
      </c>
      <c r="L14">
        <f>_xlfn.XLOOKUP($A14,[1]Sheet1!$H$9:$H$2584,[1]Sheet1!$I$9:$I$2584,"N/A",0)</f>
        <v>91.87</v>
      </c>
      <c r="M14">
        <f>_xlfn.XLOOKUP($A14,[1]Sheet1!$K$9:$K$2584,[1]Sheet1!$L$9:$L$2584,"N/A",0)</f>
        <v>131.14</v>
      </c>
      <c r="N14">
        <f>_xlfn.XLOOKUP($A14,[1]Sheet1!$N$9:$N$2584,[1]Sheet1!$O$9:$O$2584,"N/A",0)</f>
        <v>98.75</v>
      </c>
      <c r="O14">
        <v>99.58</v>
      </c>
      <c r="P14">
        <v>149.13</v>
      </c>
      <c r="Q14">
        <v>91.87</v>
      </c>
      <c r="R14">
        <v>98.75</v>
      </c>
      <c r="S14">
        <v>131.14</v>
      </c>
    </row>
    <row r="15" spans="1:19">
      <c r="A15" s="1">
        <v>42390</v>
      </c>
      <c r="B15" t="s">
        <v>20</v>
      </c>
      <c r="C15" t="s">
        <v>22</v>
      </c>
      <c r="D15">
        <v>25.075</v>
      </c>
      <c r="E15">
        <v>24.075</v>
      </c>
      <c r="F15">
        <v>-0.0398803589232303</v>
      </c>
      <c r="G15" t="str">
        <f ca="1" t="shared" si="0"/>
        <v>N/A</v>
      </c>
      <c r="H15" t="str">
        <f ca="1" t="shared" si="1"/>
        <v>N/A</v>
      </c>
      <c r="I15">
        <f ca="1" t="shared" si="2"/>
        <v>0</v>
      </c>
      <c r="J15">
        <f>_xlfn.XLOOKUP($A15,[1]Sheet1!$B$9:$B$2584,[1]Sheet1!$C$9:$C$2584,"N/A",0)</f>
        <v>100.42</v>
      </c>
      <c r="K15">
        <f>_xlfn.XLOOKUP($A15,[1]Sheet1!$E$9:$E$2584,[1]Sheet1!$F$9:$F$2584,"N/A",0)</f>
        <v>146.71</v>
      </c>
      <c r="L15">
        <f>_xlfn.XLOOKUP($A15,[1]Sheet1!$H$9:$H$2584,[1]Sheet1!$I$9:$I$2584,"N/A",0)</f>
        <v>92.62</v>
      </c>
      <c r="M15">
        <f>_xlfn.XLOOKUP($A15,[1]Sheet1!$K$9:$K$2584,[1]Sheet1!$L$9:$L$2584,"N/A",0)</f>
        <v>130.03</v>
      </c>
      <c r="N15">
        <f>_xlfn.XLOOKUP($A15,[1]Sheet1!$N$9:$N$2584,[1]Sheet1!$O$9:$O$2584,"N/A",0)</f>
        <v>98.83</v>
      </c>
      <c r="O15">
        <v>100.42</v>
      </c>
      <c r="P15">
        <v>146.71</v>
      </c>
      <c r="Q15">
        <v>92.62</v>
      </c>
      <c r="R15">
        <v>98.83</v>
      </c>
      <c r="S15">
        <v>130.03</v>
      </c>
    </row>
    <row r="16" spans="1:19">
      <c r="A16" s="1">
        <v>42391</v>
      </c>
      <c r="B16" t="s">
        <v>20</v>
      </c>
      <c r="C16" t="s">
        <v>22</v>
      </c>
      <c r="D16">
        <v>22.725</v>
      </c>
      <c r="E16">
        <v>22.175</v>
      </c>
      <c r="F16">
        <v>-0.0242024202420242</v>
      </c>
      <c r="G16" t="str">
        <f ca="1" t="shared" si="0"/>
        <v>N/A</v>
      </c>
      <c r="H16" t="str">
        <f ca="1" t="shared" si="1"/>
        <v>N/A</v>
      </c>
      <c r="I16">
        <f ca="1" t="shared" si="2"/>
        <v>0</v>
      </c>
      <c r="J16">
        <f>_xlfn.XLOOKUP($A16,[1]Sheet1!$B$9:$B$2584,[1]Sheet1!$C$9:$C$2584,"N/A",0)</f>
        <v>100.57</v>
      </c>
      <c r="K16">
        <f>_xlfn.XLOOKUP($A16,[1]Sheet1!$E$9:$E$2584,[1]Sheet1!$F$9:$F$2584,"N/A",0)</f>
        <v>147.79</v>
      </c>
      <c r="L16">
        <f>_xlfn.XLOOKUP($A16,[1]Sheet1!$H$9:$H$2584,[1]Sheet1!$I$9:$I$2584,"N/A",0)</f>
        <v>92.67</v>
      </c>
      <c r="M16">
        <f>_xlfn.XLOOKUP($A16,[1]Sheet1!$K$9:$K$2584,[1]Sheet1!$L$9:$L$2584,"N/A",0)</f>
        <v>129.68</v>
      </c>
      <c r="N16">
        <f>_xlfn.XLOOKUP($A16,[1]Sheet1!$N$9:$N$2584,[1]Sheet1!$O$9:$O$2584,"N/A",0)</f>
        <v>98.01</v>
      </c>
      <c r="O16">
        <v>100.57</v>
      </c>
      <c r="P16">
        <v>147.79</v>
      </c>
      <c r="Q16">
        <v>92.67</v>
      </c>
      <c r="R16">
        <v>98.01</v>
      </c>
      <c r="S16">
        <v>129.68</v>
      </c>
    </row>
    <row r="17" spans="1:19">
      <c r="A17" s="1">
        <v>42394</v>
      </c>
      <c r="B17" t="s">
        <v>20</v>
      </c>
      <c r="C17" t="s">
        <v>22</v>
      </c>
      <c r="D17">
        <v>24.025</v>
      </c>
      <c r="E17">
        <v>23.175</v>
      </c>
      <c r="F17">
        <v>-0.0353798126951091</v>
      </c>
      <c r="G17" t="str">
        <f ca="1" t="shared" si="0"/>
        <v>N/A</v>
      </c>
      <c r="H17" t="str">
        <f ca="1" t="shared" si="1"/>
        <v>N/A</v>
      </c>
      <c r="I17">
        <f ca="1" t="shared" si="2"/>
        <v>0</v>
      </c>
      <c r="J17">
        <f>_xlfn.XLOOKUP($A17,[1]Sheet1!$B$9:$B$2584,[1]Sheet1!$C$9:$C$2584,"N/A",0)</f>
        <v>100.28</v>
      </c>
      <c r="K17">
        <f>_xlfn.XLOOKUP($A17,[1]Sheet1!$E$9:$E$2584,[1]Sheet1!$F$9:$F$2584,"N/A",0)</f>
        <v>149.01</v>
      </c>
      <c r="L17">
        <f>_xlfn.XLOOKUP($A17,[1]Sheet1!$H$9:$H$2584,[1]Sheet1!$I$9:$I$2584,"N/A",0)</f>
        <v>92.84</v>
      </c>
      <c r="M17">
        <f>_xlfn.XLOOKUP($A17,[1]Sheet1!$K$9:$K$2584,[1]Sheet1!$L$9:$L$2584,"N/A",0)</f>
        <v>129.5</v>
      </c>
      <c r="N17">
        <f>_xlfn.XLOOKUP($A17,[1]Sheet1!$N$9:$N$2584,[1]Sheet1!$O$9:$O$2584,"N/A",0)</f>
        <v>98.51</v>
      </c>
      <c r="O17">
        <v>100.28</v>
      </c>
      <c r="P17">
        <v>149.01</v>
      </c>
      <c r="Q17">
        <v>92.84</v>
      </c>
      <c r="R17">
        <v>98.51</v>
      </c>
      <c r="S17">
        <v>129.5</v>
      </c>
    </row>
    <row r="18" spans="1:19">
      <c r="A18" s="1">
        <v>42395</v>
      </c>
      <c r="B18" t="s">
        <v>20</v>
      </c>
      <c r="C18" t="s">
        <v>22</v>
      </c>
      <c r="D18">
        <v>22.925</v>
      </c>
      <c r="E18">
        <v>22.225</v>
      </c>
      <c r="F18">
        <v>-0.0305343511450381</v>
      </c>
      <c r="G18" t="str">
        <f ca="1" t="shared" si="0"/>
        <v>N/A</v>
      </c>
      <c r="H18" t="str">
        <f ca="1" t="shared" si="1"/>
        <v>N/A</v>
      </c>
      <c r="I18">
        <f ca="1" t="shared" si="2"/>
        <v>0</v>
      </c>
      <c r="J18">
        <f>_xlfn.XLOOKUP($A18,[1]Sheet1!$B$9:$B$2584,[1]Sheet1!$C$9:$C$2584,"N/A",0)</f>
        <v>100.52</v>
      </c>
      <c r="K18">
        <f>_xlfn.XLOOKUP($A18,[1]Sheet1!$E$9:$E$2584,[1]Sheet1!$F$9:$F$2584,"N/A",0)</f>
        <v>147.48</v>
      </c>
      <c r="L18">
        <f>_xlfn.XLOOKUP($A18,[1]Sheet1!$H$9:$H$2584,[1]Sheet1!$I$9:$I$2584,"N/A",0)</f>
        <v>93.5</v>
      </c>
      <c r="M18">
        <f>_xlfn.XLOOKUP($A18,[1]Sheet1!$K$9:$K$2584,[1]Sheet1!$L$9:$L$2584,"N/A",0)</f>
        <v>128.78</v>
      </c>
      <c r="N18">
        <f>_xlfn.XLOOKUP($A18,[1]Sheet1!$N$9:$N$2584,[1]Sheet1!$O$9:$O$2584,"N/A",0)</f>
        <v>97.67</v>
      </c>
      <c r="O18">
        <v>100.52</v>
      </c>
      <c r="P18">
        <v>147.48</v>
      </c>
      <c r="Q18">
        <v>93.5</v>
      </c>
      <c r="R18">
        <v>97.67</v>
      </c>
      <c r="S18">
        <v>128.78</v>
      </c>
    </row>
    <row r="19" spans="1:19">
      <c r="A19" s="1">
        <v>42396</v>
      </c>
      <c r="B19" t="s">
        <v>20</v>
      </c>
      <c r="C19" t="s">
        <v>22</v>
      </c>
      <c r="D19">
        <v>23.775</v>
      </c>
      <c r="E19">
        <v>22.925</v>
      </c>
      <c r="F19">
        <v>-0.0357518401682438</v>
      </c>
      <c r="G19" t="str">
        <f ca="1" t="shared" si="0"/>
        <v>N/A</v>
      </c>
      <c r="H19" t="str">
        <f ca="1" t="shared" si="1"/>
        <v>N/A</v>
      </c>
      <c r="I19">
        <f ca="1" t="shared" si="2"/>
        <v>0</v>
      </c>
      <c r="J19">
        <f>_xlfn.XLOOKUP($A19,[1]Sheet1!$B$9:$B$2584,[1]Sheet1!$C$9:$C$2584,"N/A",0)</f>
        <v>100.44</v>
      </c>
      <c r="K19">
        <f>_xlfn.XLOOKUP($A19,[1]Sheet1!$E$9:$E$2584,[1]Sheet1!$F$9:$F$2584,"N/A",0)</f>
        <v>146.17</v>
      </c>
      <c r="L19">
        <f>_xlfn.XLOOKUP($A19,[1]Sheet1!$H$9:$H$2584,[1]Sheet1!$I$9:$I$2584,"N/A",0)</f>
        <v>93.65</v>
      </c>
      <c r="M19">
        <f>_xlfn.XLOOKUP($A19,[1]Sheet1!$K$9:$K$2584,[1]Sheet1!$L$9:$L$2584,"N/A",0)</f>
        <v>128.34</v>
      </c>
      <c r="N19">
        <f>_xlfn.XLOOKUP($A19,[1]Sheet1!$N$9:$N$2584,[1]Sheet1!$O$9:$O$2584,"N/A",0)</f>
        <v>98.46</v>
      </c>
      <c r="O19">
        <v>100.44</v>
      </c>
      <c r="P19">
        <v>146.17</v>
      </c>
      <c r="Q19">
        <v>93.65</v>
      </c>
      <c r="R19">
        <v>98.46</v>
      </c>
      <c r="S19">
        <v>128.34</v>
      </c>
    </row>
    <row r="20" spans="1:19">
      <c r="A20" s="1">
        <v>42397</v>
      </c>
      <c r="B20" t="s">
        <v>20</v>
      </c>
      <c r="C20" t="s">
        <v>22</v>
      </c>
      <c r="D20">
        <v>23.275</v>
      </c>
      <c r="E20">
        <v>22.475</v>
      </c>
      <c r="F20">
        <v>-0.0343716433941996</v>
      </c>
      <c r="G20" t="str">
        <f ca="1" t="shared" si="0"/>
        <v>N/A</v>
      </c>
      <c r="H20" t="str">
        <f ca="1" t="shared" si="1"/>
        <v>N/A</v>
      </c>
      <c r="I20">
        <f ca="1" t="shared" si="2"/>
        <v>0</v>
      </c>
      <c r="J20">
        <f>_xlfn.XLOOKUP($A20,[1]Sheet1!$B$9:$B$2584,[1]Sheet1!$C$9:$C$2584,"N/A",0)</f>
        <v>100.44</v>
      </c>
      <c r="K20">
        <f>_xlfn.XLOOKUP($A20,[1]Sheet1!$E$9:$E$2584,[1]Sheet1!$F$9:$F$2584,"N/A",0)</f>
        <v>147.49</v>
      </c>
      <c r="L20">
        <f>_xlfn.XLOOKUP($A20,[1]Sheet1!$H$9:$H$2584,[1]Sheet1!$I$9:$I$2584,"N/A",0)</f>
        <v>93.58</v>
      </c>
      <c r="M20">
        <f>_xlfn.XLOOKUP($A20,[1]Sheet1!$K$9:$K$2584,[1]Sheet1!$L$9:$L$2584,"N/A",0)</f>
        <v>128.48</v>
      </c>
      <c r="N20">
        <f>_xlfn.XLOOKUP($A20,[1]Sheet1!$N$9:$N$2584,[1]Sheet1!$O$9:$O$2584,"N/A",0)</f>
        <v>98.83</v>
      </c>
      <c r="O20">
        <v>100.44</v>
      </c>
      <c r="P20">
        <v>147.49</v>
      </c>
      <c r="Q20">
        <v>93.58</v>
      </c>
      <c r="R20">
        <v>98.83</v>
      </c>
      <c r="S20">
        <v>128.48</v>
      </c>
    </row>
    <row r="21" spans="1:19">
      <c r="A21" s="1">
        <v>42398</v>
      </c>
      <c r="B21" t="s">
        <v>20</v>
      </c>
      <c r="C21" t="s">
        <v>22</v>
      </c>
      <c r="D21">
        <v>21.625</v>
      </c>
      <c r="E21">
        <v>21.325</v>
      </c>
      <c r="F21">
        <v>-0.0138728323699422</v>
      </c>
      <c r="G21" t="str">
        <f ca="1" t="shared" si="0"/>
        <v>N/A</v>
      </c>
      <c r="H21" t="str">
        <f ca="1" t="shared" si="1"/>
        <v>N/A</v>
      </c>
      <c r="I21">
        <f ca="1" t="shared" si="2"/>
        <v>0</v>
      </c>
      <c r="J21">
        <f>_xlfn.XLOOKUP($A21,[1]Sheet1!$B$9:$B$2584,[1]Sheet1!$C$9:$C$2584,"N/A",0)</f>
        <v>100.62</v>
      </c>
      <c r="K21">
        <f>_xlfn.XLOOKUP($A21,[1]Sheet1!$E$9:$E$2584,[1]Sheet1!$F$9:$F$2584,"N/A",0)</f>
        <v>146.36</v>
      </c>
      <c r="L21">
        <f>_xlfn.XLOOKUP($A21,[1]Sheet1!$H$9:$H$2584,[1]Sheet1!$I$9:$I$2584,"N/A",0)</f>
        <v>94.04</v>
      </c>
      <c r="M21">
        <f>_xlfn.XLOOKUP($A21,[1]Sheet1!$K$9:$K$2584,[1]Sheet1!$L$9:$L$2584,"N/A",0)</f>
        <v>128.19</v>
      </c>
      <c r="N21">
        <f>_xlfn.XLOOKUP($A21,[1]Sheet1!$N$9:$N$2584,[1]Sheet1!$O$9:$O$2584,"N/A",0)</f>
        <v>98.31</v>
      </c>
      <c r="O21">
        <v>100.62</v>
      </c>
      <c r="P21">
        <v>146.36</v>
      </c>
      <c r="Q21">
        <v>94.04</v>
      </c>
      <c r="R21">
        <v>98.31</v>
      </c>
      <c r="S21">
        <v>128.19</v>
      </c>
    </row>
    <row r="22" spans="1:19">
      <c r="A22" s="1">
        <v>42401</v>
      </c>
      <c r="B22" t="s">
        <v>20</v>
      </c>
      <c r="C22" t="s">
        <v>22</v>
      </c>
      <c r="D22">
        <v>21.525</v>
      </c>
      <c r="E22">
        <v>21.225</v>
      </c>
      <c r="F22">
        <v>-0.013937282229965</v>
      </c>
      <c r="G22" t="str">
        <f ca="1" t="shared" si="0"/>
        <v>N/A</v>
      </c>
      <c r="H22" t="str">
        <f ca="1" t="shared" si="1"/>
        <v>N/A</v>
      </c>
      <c r="I22">
        <f ca="1" t="shared" si="2"/>
        <v>0</v>
      </c>
      <c r="J22">
        <f>_xlfn.XLOOKUP($A22,[1]Sheet1!$B$9:$B$2584,[1]Sheet1!$C$9:$C$2584,"N/A",0)</f>
        <v>100.52</v>
      </c>
      <c r="K22">
        <f>_xlfn.XLOOKUP($A22,[1]Sheet1!$E$9:$E$2584,[1]Sheet1!$F$9:$F$2584,"N/A",0)</f>
        <v>146.23</v>
      </c>
      <c r="L22">
        <f>_xlfn.XLOOKUP($A22,[1]Sheet1!$H$9:$H$2584,[1]Sheet1!$I$9:$I$2584,"N/A",0)</f>
        <v>94.06</v>
      </c>
      <c r="M22">
        <f>_xlfn.XLOOKUP($A22,[1]Sheet1!$K$9:$K$2584,[1]Sheet1!$L$9:$L$2584,"N/A",0)</f>
        <v>128.23</v>
      </c>
      <c r="N22">
        <f>_xlfn.XLOOKUP($A22,[1]Sheet1!$N$9:$N$2584,[1]Sheet1!$O$9:$O$2584,"N/A",0)</f>
        <v>98.79</v>
      </c>
      <c r="O22">
        <v>100.52</v>
      </c>
      <c r="P22">
        <v>146.23</v>
      </c>
      <c r="Q22">
        <v>94.06</v>
      </c>
      <c r="R22">
        <v>98.79</v>
      </c>
      <c r="S22">
        <v>128.23</v>
      </c>
    </row>
    <row r="23" spans="1:19">
      <c r="A23" s="1">
        <v>42402</v>
      </c>
      <c r="B23" t="s">
        <v>20</v>
      </c>
      <c r="C23" t="s">
        <v>22</v>
      </c>
      <c r="D23">
        <v>23.175</v>
      </c>
      <c r="E23">
        <v>22.425</v>
      </c>
      <c r="F23">
        <v>-0.0323624595469255</v>
      </c>
      <c r="G23" t="str">
        <f ca="1" t="shared" si="0"/>
        <v>N/A</v>
      </c>
      <c r="H23" t="str">
        <f ca="1" t="shared" si="1"/>
        <v>N/A</v>
      </c>
      <c r="I23">
        <f ca="1" t="shared" si="2"/>
        <v>0</v>
      </c>
      <c r="J23">
        <f>_xlfn.XLOOKUP($A23,[1]Sheet1!$B$9:$B$2584,[1]Sheet1!$C$9:$C$2584,"N/A",0)</f>
        <v>100.75</v>
      </c>
      <c r="K23">
        <f>_xlfn.XLOOKUP($A23,[1]Sheet1!$E$9:$E$2584,[1]Sheet1!$F$9:$F$2584,"N/A",0)</f>
        <v>146.9</v>
      </c>
      <c r="L23">
        <f>_xlfn.XLOOKUP($A23,[1]Sheet1!$H$9:$H$2584,[1]Sheet1!$I$9:$I$2584,"N/A",0)</f>
        <v>93.89</v>
      </c>
      <c r="M23">
        <f>_xlfn.XLOOKUP($A23,[1]Sheet1!$K$9:$K$2584,[1]Sheet1!$L$9:$L$2584,"N/A",0)</f>
        <v>129.33</v>
      </c>
      <c r="N23">
        <f>_xlfn.XLOOKUP($A23,[1]Sheet1!$N$9:$N$2584,[1]Sheet1!$O$9:$O$2584,"N/A",0)</f>
        <v>98.94</v>
      </c>
      <c r="O23">
        <v>100.75</v>
      </c>
      <c r="P23">
        <v>146.9</v>
      </c>
      <c r="Q23">
        <v>93.89</v>
      </c>
      <c r="R23">
        <v>98.94</v>
      </c>
      <c r="S23">
        <v>129.33</v>
      </c>
    </row>
    <row r="24" spans="1:19">
      <c r="A24" s="1">
        <v>42403</v>
      </c>
      <c r="B24" t="s">
        <v>20</v>
      </c>
      <c r="C24" t="s">
        <v>22</v>
      </c>
      <c r="D24">
        <v>22.775</v>
      </c>
      <c r="E24">
        <v>22.175</v>
      </c>
      <c r="F24">
        <v>-0.0263446761800218</v>
      </c>
      <c r="G24" t="str">
        <f ca="1" t="shared" si="0"/>
        <v>N/A</v>
      </c>
      <c r="H24" t="str">
        <f ca="1" t="shared" si="1"/>
        <v>N/A</v>
      </c>
      <c r="I24">
        <f ca="1" t="shared" si="2"/>
        <v>0</v>
      </c>
      <c r="J24">
        <f>_xlfn.XLOOKUP($A24,[1]Sheet1!$B$9:$B$2584,[1]Sheet1!$C$9:$C$2584,"N/A",0)</f>
        <v>100.41</v>
      </c>
      <c r="K24">
        <f>_xlfn.XLOOKUP($A24,[1]Sheet1!$E$9:$E$2584,[1]Sheet1!$F$9:$F$2584,"N/A",0)</f>
        <v>142.38</v>
      </c>
      <c r="L24">
        <f>_xlfn.XLOOKUP($A24,[1]Sheet1!$H$9:$H$2584,[1]Sheet1!$I$9:$I$2584,"N/A",0)</f>
        <v>93.86</v>
      </c>
      <c r="M24">
        <f>_xlfn.XLOOKUP($A24,[1]Sheet1!$K$9:$K$2584,[1]Sheet1!$L$9:$L$2584,"N/A",0)</f>
        <v>127.23</v>
      </c>
      <c r="N24">
        <f>_xlfn.XLOOKUP($A24,[1]Sheet1!$N$9:$N$2584,[1]Sheet1!$O$9:$O$2584,"N/A",0)</f>
        <v>99.44</v>
      </c>
      <c r="O24">
        <v>100.41</v>
      </c>
      <c r="P24">
        <v>142.38</v>
      </c>
      <c r="Q24">
        <v>93.86</v>
      </c>
      <c r="R24">
        <v>99.44</v>
      </c>
      <c r="S24">
        <v>127.23</v>
      </c>
    </row>
    <row r="25" spans="1:19">
      <c r="A25" s="1">
        <v>42404</v>
      </c>
      <c r="B25" t="s">
        <v>20</v>
      </c>
      <c r="C25" t="s">
        <v>22</v>
      </c>
      <c r="D25">
        <v>23.075</v>
      </c>
      <c r="E25">
        <v>22.475</v>
      </c>
      <c r="F25">
        <v>-0.0260021668472371</v>
      </c>
      <c r="G25" t="str">
        <f ca="1" t="shared" si="0"/>
        <v>N/A</v>
      </c>
      <c r="H25" t="str">
        <f ca="1" t="shared" si="1"/>
        <v>N/A</v>
      </c>
      <c r="I25">
        <f ca="1" t="shared" si="2"/>
        <v>0</v>
      </c>
      <c r="J25">
        <f>_xlfn.XLOOKUP($A25,[1]Sheet1!$B$9:$B$2584,[1]Sheet1!$C$9:$C$2584,"N/A",0)</f>
        <v>100.41</v>
      </c>
      <c r="K25">
        <f>_xlfn.XLOOKUP($A25,[1]Sheet1!$E$9:$E$2584,[1]Sheet1!$F$9:$F$2584,"N/A",0)</f>
        <v>139.4</v>
      </c>
      <c r="L25">
        <f>_xlfn.XLOOKUP($A25,[1]Sheet1!$H$9:$H$2584,[1]Sheet1!$I$9:$I$2584,"N/A",0)</f>
        <v>94.23</v>
      </c>
      <c r="M25">
        <f>_xlfn.XLOOKUP($A25,[1]Sheet1!$K$9:$K$2584,[1]Sheet1!$L$9:$L$2584,"N/A",0)</f>
        <v>125.88</v>
      </c>
      <c r="N25">
        <f>_xlfn.XLOOKUP($A25,[1]Sheet1!$N$9:$N$2584,[1]Sheet1!$O$9:$O$2584,"N/A",0)</f>
        <v>99.09</v>
      </c>
      <c r="O25">
        <v>100.41</v>
      </c>
      <c r="P25">
        <v>139.4</v>
      </c>
      <c r="Q25">
        <v>94.23</v>
      </c>
      <c r="R25">
        <v>99.09</v>
      </c>
      <c r="S25">
        <v>125.88</v>
      </c>
    </row>
    <row r="26" spans="1:19">
      <c r="A26" s="1">
        <v>42405</v>
      </c>
      <c r="B26" t="s">
        <v>20</v>
      </c>
      <c r="C26" t="s">
        <v>22</v>
      </c>
      <c r="D26">
        <v>24.125</v>
      </c>
      <c r="E26">
        <v>23.05</v>
      </c>
      <c r="F26">
        <v>-0.0445595854922279</v>
      </c>
      <c r="G26" t="str">
        <f ca="1" t="shared" si="0"/>
        <v>N/A</v>
      </c>
      <c r="H26" t="str">
        <f ca="1" t="shared" si="1"/>
        <v>N/A</v>
      </c>
      <c r="I26">
        <f ca="1" t="shared" si="2"/>
        <v>0</v>
      </c>
      <c r="J26">
        <f>_xlfn.XLOOKUP($A26,[1]Sheet1!$B$9:$B$2584,[1]Sheet1!$C$9:$C$2584,"N/A",0)</f>
        <v>99.94</v>
      </c>
      <c r="K26">
        <f>_xlfn.XLOOKUP($A26,[1]Sheet1!$E$9:$E$2584,[1]Sheet1!$F$9:$F$2584,"N/A",0)</f>
        <v>136.57</v>
      </c>
      <c r="L26">
        <f>_xlfn.XLOOKUP($A26,[1]Sheet1!$H$9:$H$2584,[1]Sheet1!$I$9:$I$2584,"N/A",0)</f>
        <v>96.53</v>
      </c>
      <c r="M26">
        <f>_xlfn.XLOOKUP($A26,[1]Sheet1!$K$9:$K$2584,[1]Sheet1!$L$9:$L$2584,"N/A",0)</f>
        <v>126.63</v>
      </c>
      <c r="N26">
        <f>_xlfn.XLOOKUP($A26,[1]Sheet1!$N$9:$N$2584,[1]Sheet1!$O$9:$O$2584,"N/A",0)</f>
        <v>99.22</v>
      </c>
      <c r="O26">
        <v>99.94</v>
      </c>
      <c r="P26">
        <v>136.57</v>
      </c>
      <c r="Q26">
        <v>96.53</v>
      </c>
      <c r="R26">
        <v>99.22</v>
      </c>
      <c r="S26">
        <v>126.63</v>
      </c>
    </row>
    <row r="27" spans="1:19">
      <c r="A27" s="1">
        <v>42408</v>
      </c>
      <c r="B27" t="s">
        <v>20</v>
      </c>
      <c r="C27" t="s">
        <v>22</v>
      </c>
      <c r="D27">
        <v>25.425</v>
      </c>
      <c r="E27">
        <v>23.975</v>
      </c>
      <c r="F27">
        <v>-0.0570304818092428</v>
      </c>
      <c r="G27" t="str">
        <f ca="1" t="shared" si="0"/>
        <v>N/A</v>
      </c>
      <c r="H27" t="str">
        <f ca="1" t="shared" si="1"/>
        <v>N/A</v>
      </c>
      <c r="I27">
        <f ca="1" t="shared" si="2"/>
        <v>0</v>
      </c>
      <c r="J27">
        <f>_xlfn.XLOOKUP($A27,[1]Sheet1!$B$9:$B$2584,[1]Sheet1!$C$9:$C$2584,"N/A",0)</f>
        <v>99.2</v>
      </c>
      <c r="K27">
        <f>_xlfn.XLOOKUP($A27,[1]Sheet1!$E$9:$E$2584,[1]Sheet1!$F$9:$F$2584,"N/A",0)</f>
        <v>137.75</v>
      </c>
      <c r="L27">
        <f>_xlfn.XLOOKUP($A27,[1]Sheet1!$H$9:$H$2584,[1]Sheet1!$I$9:$I$2584,"N/A",0)</f>
        <v>96.94</v>
      </c>
      <c r="M27">
        <f>_xlfn.XLOOKUP($A27,[1]Sheet1!$K$9:$K$2584,[1]Sheet1!$L$9:$L$2584,"N/A",0)</f>
        <v>127.49</v>
      </c>
      <c r="N27">
        <f>_xlfn.XLOOKUP($A27,[1]Sheet1!$N$9:$N$2584,[1]Sheet1!$O$9:$O$2584,"N/A",0)</f>
        <v>99.11</v>
      </c>
      <c r="O27">
        <v>99.2</v>
      </c>
      <c r="P27">
        <v>137.75</v>
      </c>
      <c r="Q27">
        <v>96.94</v>
      </c>
      <c r="R27">
        <v>99.11</v>
      </c>
      <c r="S27">
        <v>127.49</v>
      </c>
    </row>
    <row r="28" spans="1:19">
      <c r="A28" s="1">
        <v>42409</v>
      </c>
      <c r="B28" t="s">
        <v>20</v>
      </c>
      <c r="C28" t="s">
        <v>22</v>
      </c>
      <c r="D28">
        <v>26.125</v>
      </c>
      <c r="E28">
        <v>24.475</v>
      </c>
      <c r="F28">
        <v>-0.063157894736842</v>
      </c>
      <c r="G28" t="str">
        <f ca="1" t="shared" si="0"/>
        <v>N/A</v>
      </c>
      <c r="H28" t="str">
        <f ca="1" t="shared" si="1"/>
        <v>N/A</v>
      </c>
      <c r="I28">
        <f ca="1" t="shared" si="2"/>
        <v>0</v>
      </c>
      <c r="J28">
        <f>_xlfn.XLOOKUP($A28,[1]Sheet1!$B$9:$B$2584,[1]Sheet1!$C$9:$C$2584,"N/A",0)</f>
        <v>98.76</v>
      </c>
      <c r="K28">
        <f>_xlfn.XLOOKUP($A28,[1]Sheet1!$E$9:$E$2584,[1]Sheet1!$F$9:$F$2584,"N/A",0)</f>
        <v>142.4</v>
      </c>
      <c r="L28">
        <f>_xlfn.XLOOKUP($A28,[1]Sheet1!$H$9:$H$2584,[1]Sheet1!$I$9:$I$2584,"N/A",0)</f>
        <v>96.79</v>
      </c>
      <c r="M28">
        <f>_xlfn.XLOOKUP($A28,[1]Sheet1!$K$9:$K$2584,[1]Sheet1!$L$9:$L$2584,"N/A",0)</f>
        <v>129.16</v>
      </c>
      <c r="N28">
        <f>_xlfn.XLOOKUP($A28,[1]Sheet1!$N$9:$N$2584,[1]Sheet1!$O$9:$O$2584,"N/A",0)</f>
        <v>99.6</v>
      </c>
      <c r="O28">
        <v>98.76</v>
      </c>
      <c r="P28">
        <v>142.4</v>
      </c>
      <c r="Q28">
        <v>96.79</v>
      </c>
      <c r="R28">
        <v>99.6</v>
      </c>
      <c r="S28">
        <v>129.16</v>
      </c>
    </row>
    <row r="29" spans="1:19">
      <c r="A29" s="1">
        <v>42410</v>
      </c>
      <c r="B29" t="s">
        <v>20</v>
      </c>
      <c r="C29" t="s">
        <v>22</v>
      </c>
      <c r="D29">
        <v>26.275</v>
      </c>
      <c r="E29">
        <v>24.625</v>
      </c>
      <c r="F29">
        <v>-0.0627973358705993</v>
      </c>
      <c r="G29" t="str">
        <f ca="1" t="shared" si="0"/>
        <v>N/A</v>
      </c>
      <c r="H29" t="str">
        <f ca="1" t="shared" si="1"/>
        <v>N/A</v>
      </c>
      <c r="I29">
        <f ca="1" t="shared" si="2"/>
        <v>0</v>
      </c>
      <c r="J29">
        <f>_xlfn.XLOOKUP($A29,[1]Sheet1!$B$9:$B$2584,[1]Sheet1!$C$9:$C$2584,"N/A",0)</f>
        <v>99.02</v>
      </c>
      <c r="K29">
        <f>_xlfn.XLOOKUP($A29,[1]Sheet1!$E$9:$E$2584,[1]Sheet1!$F$9:$F$2584,"N/A",0)</f>
        <v>143.66</v>
      </c>
      <c r="L29">
        <f>_xlfn.XLOOKUP($A29,[1]Sheet1!$H$9:$H$2584,[1]Sheet1!$I$9:$I$2584,"N/A",0)</f>
        <v>96.23</v>
      </c>
      <c r="M29">
        <f>_xlfn.XLOOKUP($A29,[1]Sheet1!$K$9:$K$2584,[1]Sheet1!$L$9:$L$2584,"N/A",0)</f>
        <v>129.39</v>
      </c>
      <c r="N29">
        <f>_xlfn.XLOOKUP($A29,[1]Sheet1!$N$9:$N$2584,[1]Sheet1!$O$9:$O$2584,"N/A",0)</f>
        <v>99.64</v>
      </c>
      <c r="O29">
        <v>99.02</v>
      </c>
      <c r="P29">
        <v>143.66</v>
      </c>
      <c r="Q29">
        <v>96.23</v>
      </c>
      <c r="R29">
        <v>99.64</v>
      </c>
      <c r="S29">
        <v>129.39</v>
      </c>
    </row>
    <row r="30" spans="1:19">
      <c r="A30" s="1">
        <v>42411</v>
      </c>
      <c r="B30" t="s">
        <v>20</v>
      </c>
      <c r="C30" t="s">
        <v>22</v>
      </c>
      <c r="D30">
        <v>28.125</v>
      </c>
      <c r="E30">
        <v>25.775</v>
      </c>
      <c r="F30">
        <v>-0.0835555555555556</v>
      </c>
      <c r="G30" t="str">
        <f ca="1" t="shared" si="0"/>
        <v>N/A</v>
      </c>
      <c r="H30" t="str">
        <f ca="1" t="shared" si="1"/>
        <v>N/A</v>
      </c>
      <c r="I30">
        <f ca="1" t="shared" si="2"/>
        <v>0</v>
      </c>
      <c r="J30">
        <f>_xlfn.XLOOKUP($A30,[1]Sheet1!$B$9:$B$2584,[1]Sheet1!$C$9:$C$2584,"N/A",0)</f>
        <v>98.99</v>
      </c>
      <c r="K30">
        <f>_xlfn.XLOOKUP($A30,[1]Sheet1!$E$9:$E$2584,[1]Sheet1!$F$9:$F$2584,"N/A",0)</f>
        <v>144.14</v>
      </c>
      <c r="L30">
        <f>_xlfn.XLOOKUP($A30,[1]Sheet1!$H$9:$H$2584,[1]Sheet1!$I$9:$I$2584,"N/A",0)</f>
        <v>95.25</v>
      </c>
      <c r="M30">
        <f>_xlfn.XLOOKUP($A30,[1]Sheet1!$K$9:$K$2584,[1]Sheet1!$L$9:$L$2584,"N/A",0)</f>
        <v>127.8</v>
      </c>
      <c r="N30">
        <f>_xlfn.XLOOKUP($A30,[1]Sheet1!$N$9:$N$2584,[1]Sheet1!$O$9:$O$2584,"N/A",0)</f>
        <v>99.5</v>
      </c>
      <c r="O30">
        <v>98.99</v>
      </c>
      <c r="P30">
        <v>144.14</v>
      </c>
      <c r="Q30">
        <v>95.25</v>
      </c>
      <c r="R30">
        <v>99.5</v>
      </c>
      <c r="S30">
        <v>127.8</v>
      </c>
    </row>
    <row r="31" spans="1:19">
      <c r="A31" s="1">
        <v>42412</v>
      </c>
      <c r="B31" t="s">
        <v>20</v>
      </c>
      <c r="C31" t="s">
        <v>22</v>
      </c>
      <c r="D31">
        <v>26.875</v>
      </c>
      <c r="E31">
        <v>25.125</v>
      </c>
      <c r="F31">
        <v>-0.0651162790697674</v>
      </c>
      <c r="G31" t="str">
        <f ca="1" t="shared" si="0"/>
        <v>N/A</v>
      </c>
      <c r="H31" t="str">
        <f ca="1" t="shared" si="1"/>
        <v>N/A</v>
      </c>
      <c r="I31">
        <f ca="1" t="shared" si="2"/>
        <v>0</v>
      </c>
      <c r="J31">
        <f>_xlfn.XLOOKUP($A31,[1]Sheet1!$B$9:$B$2584,[1]Sheet1!$C$9:$C$2584,"N/A",0)</f>
        <v>98.97</v>
      </c>
      <c r="K31">
        <f>_xlfn.XLOOKUP($A31,[1]Sheet1!$E$9:$E$2584,[1]Sheet1!$F$9:$F$2584,"N/A",0)</f>
        <v>142.56</v>
      </c>
      <c r="L31">
        <f>_xlfn.XLOOKUP($A31,[1]Sheet1!$H$9:$H$2584,[1]Sheet1!$I$9:$I$2584,"N/A",0)</f>
        <v>95.13</v>
      </c>
      <c r="M31">
        <f>_xlfn.XLOOKUP($A31,[1]Sheet1!$K$9:$K$2584,[1]Sheet1!$L$9:$L$2584,"N/A",0)</f>
        <v>127.75</v>
      </c>
      <c r="N31">
        <f>_xlfn.XLOOKUP($A31,[1]Sheet1!$N$9:$N$2584,[1]Sheet1!$O$9:$O$2584,"N/A",0)</f>
        <v>99.97</v>
      </c>
      <c r="O31">
        <v>98.97</v>
      </c>
      <c r="P31">
        <v>142.56</v>
      </c>
      <c r="Q31">
        <v>95.13</v>
      </c>
      <c r="R31">
        <v>99.97</v>
      </c>
      <c r="S31">
        <v>127.75</v>
      </c>
    </row>
    <row r="32" spans="1:19">
      <c r="A32" s="1">
        <v>42416</v>
      </c>
      <c r="B32" t="s">
        <v>20</v>
      </c>
      <c r="C32" t="s">
        <v>22</v>
      </c>
      <c r="D32">
        <v>24.725</v>
      </c>
      <c r="E32">
        <v>23.825</v>
      </c>
      <c r="F32">
        <v>-0.0364004044489384</v>
      </c>
      <c r="G32" t="str">
        <f ca="1" t="shared" si="0"/>
        <v>N/A</v>
      </c>
      <c r="H32" t="str">
        <f ca="1" t="shared" si="1"/>
        <v>N/A</v>
      </c>
      <c r="I32">
        <f ca="1" t="shared" si="2"/>
        <v>0</v>
      </c>
      <c r="J32">
        <f>_xlfn.XLOOKUP($A32,[1]Sheet1!$B$9:$B$2584,[1]Sheet1!$C$9:$C$2584,"N/A",0)</f>
        <v>99</v>
      </c>
      <c r="K32">
        <f>_xlfn.XLOOKUP($A32,[1]Sheet1!$E$9:$E$2584,[1]Sheet1!$F$9:$F$2584,"N/A",0)</f>
        <v>141.41</v>
      </c>
      <c r="L32">
        <f>_xlfn.XLOOKUP($A32,[1]Sheet1!$H$9:$H$2584,[1]Sheet1!$I$9:$I$2584,"N/A",0)</f>
        <v>96.09</v>
      </c>
      <c r="M32">
        <f>_xlfn.XLOOKUP($A32,[1]Sheet1!$K$9:$K$2584,[1]Sheet1!$L$9:$L$2584,"N/A",0)</f>
        <v>127.54</v>
      </c>
      <c r="N32">
        <f>_xlfn.XLOOKUP($A32,[1]Sheet1!$N$9:$N$2584,[1]Sheet1!$O$9:$O$2584,"N/A",0)</f>
        <v>99.43</v>
      </c>
      <c r="O32">
        <v>99</v>
      </c>
      <c r="P32">
        <v>141.41</v>
      </c>
      <c r="Q32">
        <v>96.09</v>
      </c>
      <c r="R32">
        <v>99.43</v>
      </c>
      <c r="S32">
        <v>127.54</v>
      </c>
    </row>
    <row r="33" spans="1:19">
      <c r="A33" s="1">
        <v>42417</v>
      </c>
      <c r="B33" t="s">
        <v>20</v>
      </c>
      <c r="C33" t="s">
        <v>22</v>
      </c>
      <c r="D33">
        <v>23.76</v>
      </c>
      <c r="E33">
        <v>22.925</v>
      </c>
      <c r="F33">
        <v>-0.0351430976430976</v>
      </c>
      <c r="G33" t="str">
        <f ca="1" t="shared" si="0"/>
        <v>N/A</v>
      </c>
      <c r="H33" t="str">
        <f ca="1" t="shared" si="1"/>
        <v>N/A</v>
      </c>
      <c r="I33">
        <f ca="1" t="shared" si="2"/>
        <v>0</v>
      </c>
      <c r="J33">
        <f>_xlfn.XLOOKUP($A33,[1]Sheet1!$B$9:$B$2584,[1]Sheet1!$C$9:$C$2584,"N/A",0)</f>
        <v>98.92</v>
      </c>
      <c r="K33">
        <f>_xlfn.XLOOKUP($A33,[1]Sheet1!$E$9:$E$2584,[1]Sheet1!$F$9:$F$2584,"N/A",0)</f>
        <v>138.8</v>
      </c>
      <c r="L33">
        <f>_xlfn.XLOOKUP($A33,[1]Sheet1!$H$9:$H$2584,[1]Sheet1!$I$9:$I$2584,"N/A",0)</f>
        <v>96.06</v>
      </c>
      <c r="M33">
        <f>_xlfn.XLOOKUP($A33,[1]Sheet1!$K$9:$K$2584,[1]Sheet1!$L$9:$L$2584,"N/A",0)</f>
        <v>125.98</v>
      </c>
      <c r="N33">
        <f>_xlfn.XLOOKUP($A33,[1]Sheet1!$N$9:$N$2584,[1]Sheet1!$O$9:$O$2584,"N/A",0)</f>
        <v>99.27</v>
      </c>
      <c r="O33">
        <v>98.92</v>
      </c>
      <c r="P33">
        <v>138.8</v>
      </c>
      <c r="Q33">
        <v>96.06</v>
      </c>
      <c r="R33">
        <v>99.27</v>
      </c>
      <c r="S33">
        <v>125.98</v>
      </c>
    </row>
    <row r="34" spans="1:19">
      <c r="A34" s="1">
        <v>42418</v>
      </c>
      <c r="B34" t="s">
        <v>22</v>
      </c>
      <c r="C34" t="s">
        <v>23</v>
      </c>
      <c r="D34">
        <v>22.775</v>
      </c>
      <c r="E34">
        <v>23.175</v>
      </c>
      <c r="F34" s="2" t="s">
        <v>24</v>
      </c>
      <c r="G34" t="str">
        <f ca="1" t="shared" si="0"/>
        <v>N/A</v>
      </c>
      <c r="H34" t="str">
        <f ca="1" t="shared" si="1"/>
        <v>N/A</v>
      </c>
      <c r="I34">
        <f ca="1" t="shared" si="2"/>
        <v>0</v>
      </c>
      <c r="J34">
        <f>_xlfn.XLOOKUP($A34,[1]Sheet1!$B$9:$B$2584,[1]Sheet1!$C$9:$C$2584,"N/A",0)</f>
        <v>98.75</v>
      </c>
      <c r="K34">
        <f>_xlfn.XLOOKUP($A34,[1]Sheet1!$E$9:$E$2584,[1]Sheet1!$F$9:$F$2584,"N/A",0)</f>
        <v>136.64</v>
      </c>
      <c r="L34">
        <f>_xlfn.XLOOKUP($A34,[1]Sheet1!$H$9:$H$2584,[1]Sheet1!$I$9:$I$2584,"N/A",0)</f>
        <v>97.01</v>
      </c>
      <c r="M34">
        <f>_xlfn.XLOOKUP($A34,[1]Sheet1!$K$9:$K$2584,[1]Sheet1!$L$9:$L$2584,"N/A",0)</f>
        <v>125.96</v>
      </c>
      <c r="N34">
        <f>_xlfn.XLOOKUP($A34,[1]Sheet1!$N$9:$N$2584,[1]Sheet1!$O$9:$O$2584,"N/A",0)</f>
        <v>98.83</v>
      </c>
      <c r="O34">
        <v>98.75</v>
      </c>
      <c r="P34">
        <v>136.64</v>
      </c>
      <c r="Q34">
        <v>97.01</v>
      </c>
      <c r="R34">
        <v>98.83</v>
      </c>
      <c r="S34">
        <v>125.96</v>
      </c>
    </row>
    <row r="35" spans="1:19">
      <c r="A35" s="1">
        <v>42419</v>
      </c>
      <c r="B35" t="s">
        <v>22</v>
      </c>
      <c r="C35" t="s">
        <v>23</v>
      </c>
      <c r="D35">
        <v>22.375</v>
      </c>
      <c r="E35">
        <v>22.75</v>
      </c>
      <c r="F35">
        <v>0.0167597765363128</v>
      </c>
      <c r="G35" t="str">
        <f ca="1" t="shared" si="0"/>
        <v>N/A</v>
      </c>
      <c r="H35" t="str">
        <f ca="1" t="shared" si="1"/>
        <v>N/A</v>
      </c>
      <c r="I35">
        <f ca="1" t="shared" si="2"/>
        <v>0</v>
      </c>
      <c r="J35">
        <f>_xlfn.XLOOKUP($A35,[1]Sheet1!$B$9:$B$2584,[1]Sheet1!$C$9:$C$2584,"N/A",0)</f>
        <v>98.58</v>
      </c>
      <c r="K35">
        <f>_xlfn.XLOOKUP($A35,[1]Sheet1!$E$9:$E$2584,[1]Sheet1!$F$9:$F$2584,"N/A",0)</f>
        <v>139.62</v>
      </c>
      <c r="L35">
        <f>_xlfn.XLOOKUP($A35,[1]Sheet1!$H$9:$H$2584,[1]Sheet1!$I$9:$I$2584,"N/A",0)</f>
        <v>96.34</v>
      </c>
      <c r="M35">
        <f>_xlfn.XLOOKUP($A35,[1]Sheet1!$K$9:$K$2584,[1]Sheet1!$L$9:$L$2584,"N/A",0)</f>
        <v>125.98</v>
      </c>
      <c r="N35">
        <f>_xlfn.XLOOKUP($A35,[1]Sheet1!$N$9:$N$2584,[1]Sheet1!$O$9:$O$2584,"N/A",0)</f>
        <v>98.38</v>
      </c>
      <c r="O35">
        <v>98.58</v>
      </c>
      <c r="P35">
        <v>139.62</v>
      </c>
      <c r="Q35">
        <v>96.34</v>
      </c>
      <c r="R35">
        <v>98.38</v>
      </c>
      <c r="S35">
        <v>125.98</v>
      </c>
    </row>
    <row r="36" spans="1:19">
      <c r="A36" s="1">
        <v>42422</v>
      </c>
      <c r="B36" t="s">
        <v>22</v>
      </c>
      <c r="C36" t="s">
        <v>23</v>
      </c>
      <c r="D36">
        <v>21.025</v>
      </c>
      <c r="E36">
        <v>21.625</v>
      </c>
      <c r="F36" s="2" t="s">
        <v>25</v>
      </c>
      <c r="G36" t="str">
        <f ca="1" t="shared" si="0"/>
        <v>N/A</v>
      </c>
      <c r="H36" t="str">
        <f ca="1" t="shared" si="1"/>
        <v>N/A</v>
      </c>
      <c r="I36">
        <f ca="1" t="shared" si="2"/>
        <v>0</v>
      </c>
      <c r="J36">
        <f>_xlfn.XLOOKUP($A36,[1]Sheet1!$B$9:$B$2584,[1]Sheet1!$C$9:$C$2584,"N/A",0)</f>
        <v>98.77</v>
      </c>
      <c r="K36">
        <f>_xlfn.XLOOKUP($A36,[1]Sheet1!$E$9:$E$2584,[1]Sheet1!$F$9:$F$2584,"N/A",0)</f>
        <v>137.94</v>
      </c>
      <c r="L36">
        <f>_xlfn.XLOOKUP($A36,[1]Sheet1!$H$9:$H$2584,[1]Sheet1!$I$9:$I$2584,"N/A",0)</f>
        <v>96.43</v>
      </c>
      <c r="M36">
        <f>_xlfn.XLOOKUP($A36,[1]Sheet1!$K$9:$K$2584,[1]Sheet1!$L$9:$L$2584,"N/A",0)</f>
        <v>125.45</v>
      </c>
      <c r="N36">
        <f>_xlfn.XLOOKUP($A36,[1]Sheet1!$N$9:$N$2584,[1]Sheet1!$O$9:$O$2584,"N/A",0)</f>
        <v>99.13</v>
      </c>
      <c r="O36">
        <v>98.77</v>
      </c>
      <c r="P36">
        <v>137.94</v>
      </c>
      <c r="Q36">
        <v>96.43</v>
      </c>
      <c r="R36">
        <v>99.13</v>
      </c>
      <c r="S36">
        <v>125.45</v>
      </c>
    </row>
    <row r="37" spans="1:19">
      <c r="A37" s="1">
        <v>42423</v>
      </c>
      <c r="B37" t="s">
        <v>22</v>
      </c>
      <c r="C37" t="s">
        <v>23</v>
      </c>
      <c r="D37">
        <v>22.175</v>
      </c>
      <c r="E37">
        <v>22.525</v>
      </c>
      <c r="F37" s="2" t="s">
        <v>26</v>
      </c>
      <c r="G37" t="str">
        <f ca="1" t="shared" si="0"/>
        <v>N/A</v>
      </c>
      <c r="H37" t="str">
        <f ca="1" t="shared" si="1"/>
        <v>N/A</v>
      </c>
      <c r="I37">
        <f ca="1" t="shared" si="2"/>
        <v>0</v>
      </c>
      <c r="J37">
        <f>_xlfn.XLOOKUP($A37,[1]Sheet1!$B$9:$B$2584,[1]Sheet1!$C$9:$C$2584,"N/A",0)</f>
        <v>99.11</v>
      </c>
      <c r="K37">
        <f>_xlfn.XLOOKUP($A37,[1]Sheet1!$E$9:$E$2584,[1]Sheet1!$F$9:$F$2584,"N/A",0)</f>
        <v>138.96</v>
      </c>
      <c r="L37">
        <f>_xlfn.XLOOKUP($A37,[1]Sheet1!$H$9:$H$2584,[1]Sheet1!$I$9:$I$2584,"N/A",0)</f>
        <v>96.67</v>
      </c>
      <c r="M37">
        <f>_xlfn.XLOOKUP($A37,[1]Sheet1!$K$9:$K$2584,[1]Sheet1!$L$9:$L$2584,"N/A",0)</f>
        <v>125.83</v>
      </c>
      <c r="N37">
        <f>_xlfn.XLOOKUP($A37,[1]Sheet1!$N$9:$N$2584,[1]Sheet1!$O$9:$O$2584,"N/A",0)</f>
        <v>98.84</v>
      </c>
      <c r="O37">
        <v>99.11</v>
      </c>
      <c r="P37">
        <v>138.96</v>
      </c>
      <c r="Q37">
        <v>96.67</v>
      </c>
      <c r="R37">
        <v>98.84</v>
      </c>
      <c r="S37">
        <v>125.83</v>
      </c>
    </row>
    <row r="38" spans="1:19">
      <c r="A38" s="1">
        <v>42424</v>
      </c>
      <c r="B38" t="s">
        <v>22</v>
      </c>
      <c r="C38" t="s">
        <v>23</v>
      </c>
      <c r="D38">
        <v>21.775</v>
      </c>
      <c r="E38">
        <v>22.125</v>
      </c>
      <c r="F38">
        <v>0.0160734787600459</v>
      </c>
      <c r="G38" t="str">
        <f ca="1" t="shared" si="0"/>
        <v>N/A</v>
      </c>
      <c r="H38" t="str">
        <f ca="1" t="shared" si="1"/>
        <v>N/A</v>
      </c>
      <c r="I38">
        <f ca="1" t="shared" si="2"/>
        <v>0</v>
      </c>
      <c r="J38">
        <f>_xlfn.XLOOKUP($A38,[1]Sheet1!$B$9:$B$2584,[1]Sheet1!$C$9:$C$2584,"N/A",0)</f>
        <v>99.28</v>
      </c>
      <c r="K38">
        <f>_xlfn.XLOOKUP($A38,[1]Sheet1!$E$9:$E$2584,[1]Sheet1!$F$9:$F$2584,"N/A",0)</f>
        <v>139.24</v>
      </c>
      <c r="L38">
        <f>_xlfn.XLOOKUP($A38,[1]Sheet1!$H$9:$H$2584,[1]Sheet1!$I$9:$I$2584,"N/A",0)</f>
        <v>96.7</v>
      </c>
      <c r="M38">
        <f>_xlfn.XLOOKUP($A38,[1]Sheet1!$K$9:$K$2584,[1]Sheet1!$L$9:$L$2584,"N/A",0)</f>
        <v>126.24</v>
      </c>
      <c r="N38">
        <f>_xlfn.XLOOKUP($A38,[1]Sheet1!$N$9:$N$2584,[1]Sheet1!$O$9:$O$2584,"N/A",0)</f>
        <v>98.23</v>
      </c>
      <c r="O38">
        <v>99.28</v>
      </c>
      <c r="P38">
        <v>139.24</v>
      </c>
      <c r="Q38">
        <v>96.7</v>
      </c>
      <c r="R38">
        <v>98.23</v>
      </c>
      <c r="S38">
        <v>126.24</v>
      </c>
    </row>
    <row r="39" spans="1:19">
      <c r="A39" s="1">
        <v>42425</v>
      </c>
      <c r="B39" t="s">
        <v>22</v>
      </c>
      <c r="C39" t="s">
        <v>23</v>
      </c>
      <c r="D39">
        <v>20.825</v>
      </c>
      <c r="E39">
        <v>21.425</v>
      </c>
      <c r="F39" s="2" t="s">
        <v>27</v>
      </c>
      <c r="G39" t="str">
        <f ca="1" t="shared" si="0"/>
        <v>N/A</v>
      </c>
      <c r="H39" t="str">
        <f ca="1" t="shared" si="1"/>
        <v>N/A</v>
      </c>
      <c r="I39">
        <f ca="1" t="shared" si="2"/>
        <v>0</v>
      </c>
      <c r="J39">
        <f>_xlfn.XLOOKUP($A39,[1]Sheet1!$B$9:$B$2584,[1]Sheet1!$C$9:$C$2584,"N/A",0)</f>
        <v>99.4</v>
      </c>
      <c r="K39">
        <f>_xlfn.XLOOKUP($A39,[1]Sheet1!$E$9:$E$2584,[1]Sheet1!$F$9:$F$2584,"N/A",0)</f>
        <v>140.28</v>
      </c>
      <c r="L39">
        <f>_xlfn.XLOOKUP($A39,[1]Sheet1!$H$9:$H$2584,[1]Sheet1!$I$9:$I$2584,"N/A",0)</f>
        <v>96.9</v>
      </c>
      <c r="M39">
        <f>_xlfn.XLOOKUP($A39,[1]Sheet1!$K$9:$K$2584,[1]Sheet1!$L$9:$L$2584,"N/A",0)</f>
        <v>125.84</v>
      </c>
      <c r="N39">
        <f>_xlfn.XLOOKUP($A39,[1]Sheet1!$N$9:$N$2584,[1]Sheet1!$O$9:$O$2584,"N/A",0)</f>
        <v>98.32</v>
      </c>
      <c r="O39">
        <v>99.4</v>
      </c>
      <c r="P39">
        <v>140.28</v>
      </c>
      <c r="Q39">
        <v>96.9</v>
      </c>
      <c r="R39">
        <v>98.32</v>
      </c>
      <c r="S39">
        <v>125.84</v>
      </c>
    </row>
    <row r="40" spans="1:19">
      <c r="A40" s="1">
        <v>42426</v>
      </c>
      <c r="B40" t="s">
        <v>22</v>
      </c>
      <c r="C40" t="s">
        <v>23</v>
      </c>
      <c r="D40">
        <v>21.475</v>
      </c>
      <c r="E40">
        <v>21.825</v>
      </c>
      <c r="F40">
        <v>0.0162980209545982</v>
      </c>
      <c r="G40" t="str">
        <f ca="1" t="shared" si="0"/>
        <v>N/A</v>
      </c>
      <c r="H40" t="str">
        <f ca="1" t="shared" si="1"/>
        <v>N/A</v>
      </c>
      <c r="I40">
        <f ca="1" t="shared" si="2"/>
        <v>0</v>
      </c>
      <c r="J40">
        <f>_xlfn.XLOOKUP($A40,[1]Sheet1!$B$9:$B$2584,[1]Sheet1!$C$9:$C$2584,"N/A",0)</f>
        <v>99.74</v>
      </c>
      <c r="K40">
        <f>_xlfn.XLOOKUP($A40,[1]Sheet1!$E$9:$E$2584,[1]Sheet1!$F$9:$F$2584,"N/A",0)</f>
        <v>139.34</v>
      </c>
      <c r="L40">
        <f>_xlfn.XLOOKUP($A40,[1]Sheet1!$H$9:$H$2584,[1]Sheet1!$I$9:$I$2584,"N/A",0)</f>
        <v>97.23</v>
      </c>
      <c r="M40">
        <f>_xlfn.XLOOKUP($A40,[1]Sheet1!$K$9:$K$2584,[1]Sheet1!$L$9:$L$2584,"N/A",0)</f>
        <v>125.17</v>
      </c>
      <c r="N40">
        <f>_xlfn.XLOOKUP($A40,[1]Sheet1!$N$9:$N$2584,[1]Sheet1!$O$9:$O$2584,"N/A",0)</f>
        <v>98.02</v>
      </c>
      <c r="O40">
        <v>99.74</v>
      </c>
      <c r="P40">
        <v>139.34</v>
      </c>
      <c r="Q40">
        <v>97.23</v>
      </c>
      <c r="R40">
        <v>98.02</v>
      </c>
      <c r="S40">
        <v>125.17</v>
      </c>
    </row>
    <row r="41" spans="1:19">
      <c r="A41" s="1">
        <v>42429</v>
      </c>
      <c r="B41" t="s">
        <v>22</v>
      </c>
      <c r="C41" t="s">
        <v>23</v>
      </c>
      <c r="D41">
        <v>21.775</v>
      </c>
      <c r="E41">
        <v>22.175</v>
      </c>
      <c r="F41" s="2" t="s">
        <v>28</v>
      </c>
      <c r="G41" t="str">
        <f ca="1" t="shared" si="0"/>
        <v>N/A</v>
      </c>
      <c r="H41" t="str">
        <f ca="1" t="shared" si="1"/>
        <v>N/A</v>
      </c>
      <c r="I41">
        <f ca="1" t="shared" si="2"/>
        <v>0</v>
      </c>
      <c r="J41">
        <f>_xlfn.XLOOKUP($A41,[1]Sheet1!$B$9:$B$2584,[1]Sheet1!$C$9:$C$2584,"N/A",0)</f>
        <v>99.89</v>
      </c>
      <c r="K41">
        <f>_xlfn.XLOOKUP($A41,[1]Sheet1!$E$9:$E$2584,[1]Sheet1!$F$9:$F$2584,"N/A",0)</f>
        <v>138.89</v>
      </c>
      <c r="L41">
        <f>_xlfn.XLOOKUP($A41,[1]Sheet1!$H$9:$H$2584,[1]Sheet1!$I$9:$I$2584,"N/A",0)</f>
        <v>97.5</v>
      </c>
      <c r="M41">
        <f>_xlfn.XLOOKUP($A41,[1]Sheet1!$K$9:$K$2584,[1]Sheet1!$L$9:$L$2584,"N/A",0)</f>
        <v>124.34</v>
      </c>
      <c r="N41">
        <f>_xlfn.XLOOKUP($A41,[1]Sheet1!$N$9:$N$2584,[1]Sheet1!$O$9:$O$2584,"N/A",0)</f>
        <v>97.29</v>
      </c>
      <c r="O41">
        <v>99.89</v>
      </c>
      <c r="P41">
        <v>138.89</v>
      </c>
      <c r="Q41">
        <v>97.5</v>
      </c>
      <c r="R41">
        <v>97.29</v>
      </c>
      <c r="S41">
        <v>124.34</v>
      </c>
    </row>
    <row r="42" spans="1:19">
      <c r="A42" s="1">
        <v>42430</v>
      </c>
      <c r="B42" t="s">
        <v>22</v>
      </c>
      <c r="C42" t="s">
        <v>23</v>
      </c>
      <c r="D42">
        <v>19.425</v>
      </c>
      <c r="E42">
        <v>20.325</v>
      </c>
      <c r="F42">
        <v>0.0463320463320462</v>
      </c>
      <c r="G42" t="str">
        <f ca="1" t="shared" si="0"/>
        <v>N/A</v>
      </c>
      <c r="H42" t="str">
        <f ca="1" t="shared" si="1"/>
        <v>N/A</v>
      </c>
      <c r="I42">
        <f ca="1" t="shared" si="2"/>
        <v>0</v>
      </c>
      <c r="J42">
        <f>_xlfn.XLOOKUP($A42,[1]Sheet1!$B$9:$B$2584,[1]Sheet1!$C$9:$C$2584,"N/A",0)</f>
        <v>99.6</v>
      </c>
      <c r="K42">
        <f>_xlfn.XLOOKUP($A42,[1]Sheet1!$E$9:$E$2584,[1]Sheet1!$F$9:$F$2584,"N/A",0)</f>
        <v>139.33</v>
      </c>
      <c r="L42">
        <f>_xlfn.XLOOKUP($A42,[1]Sheet1!$H$9:$H$2584,[1]Sheet1!$I$9:$I$2584,"N/A",0)</f>
        <v>97.75</v>
      </c>
      <c r="M42">
        <f>_xlfn.XLOOKUP($A42,[1]Sheet1!$K$9:$K$2584,[1]Sheet1!$L$9:$L$2584,"N/A",0)</f>
        <v>124.76</v>
      </c>
      <c r="N42">
        <f>_xlfn.XLOOKUP($A42,[1]Sheet1!$N$9:$N$2584,[1]Sheet1!$O$9:$O$2584,"N/A",0)</f>
        <v>97.66</v>
      </c>
      <c r="O42">
        <v>99.6</v>
      </c>
      <c r="P42">
        <v>139.33</v>
      </c>
      <c r="Q42">
        <v>97.75</v>
      </c>
      <c r="R42">
        <v>97.66</v>
      </c>
      <c r="S42">
        <v>124.76</v>
      </c>
    </row>
    <row r="43" spans="1:19">
      <c r="A43" s="1">
        <v>42431</v>
      </c>
      <c r="B43" t="s">
        <v>22</v>
      </c>
      <c r="C43" t="s">
        <v>23</v>
      </c>
      <c r="D43">
        <v>19.275</v>
      </c>
      <c r="E43">
        <v>20.275</v>
      </c>
      <c r="F43">
        <v>0.0518806744487678</v>
      </c>
      <c r="G43" t="str">
        <f ca="1" t="shared" si="0"/>
        <v>N/A</v>
      </c>
      <c r="H43" t="str">
        <f ca="1" t="shared" si="1"/>
        <v>N/A</v>
      </c>
      <c r="I43">
        <f ca="1" t="shared" si="2"/>
        <v>0</v>
      </c>
      <c r="J43">
        <f>_xlfn.XLOOKUP($A43,[1]Sheet1!$B$9:$B$2584,[1]Sheet1!$C$9:$C$2584,"N/A",0)</f>
        <v>99.78</v>
      </c>
      <c r="K43">
        <f>_xlfn.XLOOKUP($A43,[1]Sheet1!$E$9:$E$2584,[1]Sheet1!$F$9:$F$2584,"N/A",0)</f>
        <v>135.78</v>
      </c>
      <c r="L43">
        <f>_xlfn.XLOOKUP($A43,[1]Sheet1!$H$9:$H$2584,[1]Sheet1!$I$9:$I$2584,"N/A",0)</f>
        <v>97.44</v>
      </c>
      <c r="M43">
        <f>_xlfn.XLOOKUP($A43,[1]Sheet1!$K$9:$K$2584,[1]Sheet1!$L$9:$L$2584,"N/A",0)</f>
        <v>122.14</v>
      </c>
      <c r="N43">
        <f>_xlfn.XLOOKUP($A43,[1]Sheet1!$N$9:$N$2584,[1]Sheet1!$O$9:$O$2584,"N/A",0)</f>
        <v>97.33</v>
      </c>
      <c r="O43">
        <v>99.78</v>
      </c>
      <c r="P43">
        <v>135.78</v>
      </c>
      <c r="Q43">
        <v>97.44</v>
      </c>
      <c r="R43">
        <v>97.33</v>
      </c>
      <c r="S43">
        <v>122.14</v>
      </c>
    </row>
    <row r="44" spans="1:19">
      <c r="A44" s="1">
        <v>42432</v>
      </c>
      <c r="B44" t="s">
        <v>22</v>
      </c>
      <c r="C44" t="s">
        <v>23</v>
      </c>
      <c r="D44">
        <v>18.325</v>
      </c>
      <c r="E44">
        <v>19.525</v>
      </c>
      <c r="F44">
        <v>0.0654843110504774</v>
      </c>
      <c r="G44" t="str">
        <f ca="1" t="shared" si="0"/>
        <v>N/A</v>
      </c>
      <c r="H44" t="str">
        <f ca="1" t="shared" si="1"/>
        <v>N/A</v>
      </c>
      <c r="I44">
        <f ca="1" t="shared" si="2"/>
        <v>0</v>
      </c>
      <c r="J44">
        <f>_xlfn.XLOOKUP($A44,[1]Sheet1!$B$9:$B$2584,[1]Sheet1!$C$9:$C$2584,"N/A",0)</f>
        <v>99.37</v>
      </c>
      <c r="K44">
        <f>_xlfn.XLOOKUP($A44,[1]Sheet1!$E$9:$E$2584,[1]Sheet1!$F$9:$F$2584,"N/A",0)</f>
        <v>132.7</v>
      </c>
      <c r="L44">
        <f>_xlfn.XLOOKUP($A44,[1]Sheet1!$H$9:$H$2584,[1]Sheet1!$I$9:$I$2584,"N/A",0)</f>
        <v>97.11</v>
      </c>
      <c r="M44">
        <f>_xlfn.XLOOKUP($A44,[1]Sheet1!$K$9:$K$2584,[1]Sheet1!$L$9:$L$2584,"N/A",0)</f>
        <v>121.19</v>
      </c>
      <c r="N44">
        <f>_xlfn.XLOOKUP($A44,[1]Sheet1!$N$9:$N$2584,[1]Sheet1!$O$9:$O$2584,"N/A",0)</f>
        <v>96.68</v>
      </c>
      <c r="O44">
        <v>99.37</v>
      </c>
      <c r="P44">
        <v>132.7</v>
      </c>
      <c r="Q44">
        <v>97.11</v>
      </c>
      <c r="R44">
        <v>96.68</v>
      </c>
      <c r="S44">
        <v>121.19</v>
      </c>
    </row>
    <row r="45" spans="1:19">
      <c r="A45" s="1">
        <v>42433</v>
      </c>
      <c r="B45" t="s">
        <v>22</v>
      </c>
      <c r="C45" t="s">
        <v>23</v>
      </c>
      <c r="D45">
        <v>18.925</v>
      </c>
      <c r="E45">
        <v>20.025</v>
      </c>
      <c r="F45" s="2" t="s">
        <v>29</v>
      </c>
      <c r="G45" t="str">
        <f ca="1" t="shared" si="0"/>
        <v>N/A</v>
      </c>
      <c r="H45" t="str">
        <f ca="1" t="shared" si="1"/>
        <v>N/A</v>
      </c>
      <c r="I45">
        <f ca="1" t="shared" si="2"/>
        <v>0</v>
      </c>
      <c r="J45">
        <f>_xlfn.XLOOKUP($A45,[1]Sheet1!$B$9:$B$2584,[1]Sheet1!$C$9:$C$2584,"N/A",0)</f>
        <v>99.62</v>
      </c>
      <c r="K45">
        <f>_xlfn.XLOOKUP($A45,[1]Sheet1!$E$9:$E$2584,[1]Sheet1!$F$9:$F$2584,"N/A",0)</f>
        <v>130.15</v>
      </c>
      <c r="L45">
        <f>_xlfn.XLOOKUP($A45,[1]Sheet1!$H$9:$H$2584,[1]Sheet1!$I$9:$I$2584,"N/A",0)</f>
        <v>96.65</v>
      </c>
      <c r="M45">
        <f>_xlfn.XLOOKUP($A45,[1]Sheet1!$K$9:$K$2584,[1]Sheet1!$L$9:$L$2584,"N/A",0)</f>
        <v>120.29</v>
      </c>
      <c r="N45">
        <f>_xlfn.XLOOKUP($A45,[1]Sheet1!$N$9:$N$2584,[1]Sheet1!$O$9:$O$2584,"N/A",0)</f>
        <v>95.95</v>
      </c>
      <c r="O45">
        <v>99.62</v>
      </c>
      <c r="P45">
        <v>130.15</v>
      </c>
      <c r="Q45">
        <v>96.65</v>
      </c>
      <c r="R45">
        <v>95.95</v>
      </c>
      <c r="S45">
        <v>120.29</v>
      </c>
    </row>
    <row r="46" spans="1:19">
      <c r="A46" s="1">
        <v>42436</v>
      </c>
      <c r="B46" t="s">
        <v>22</v>
      </c>
      <c r="C46" t="s">
        <v>23</v>
      </c>
      <c r="D46">
        <v>18.575</v>
      </c>
      <c r="E46">
        <v>19.825</v>
      </c>
      <c r="F46">
        <v>0.0672947510094212</v>
      </c>
      <c r="G46" t="str">
        <f ca="1" t="shared" si="0"/>
        <v>N/A</v>
      </c>
      <c r="H46" t="str">
        <f ca="1" t="shared" si="1"/>
        <v>N/A</v>
      </c>
      <c r="I46">
        <f ca="1" t="shared" si="2"/>
        <v>0</v>
      </c>
      <c r="J46">
        <f>_xlfn.XLOOKUP($A46,[1]Sheet1!$B$9:$B$2584,[1]Sheet1!$C$9:$C$2584,"N/A",0)</f>
        <v>100</v>
      </c>
      <c r="K46">
        <f>_xlfn.XLOOKUP($A46,[1]Sheet1!$E$9:$E$2584,[1]Sheet1!$F$9:$F$2584,"N/A",0)</f>
        <v>126.63</v>
      </c>
      <c r="L46">
        <f>_xlfn.XLOOKUP($A46,[1]Sheet1!$H$9:$H$2584,[1]Sheet1!$I$9:$I$2584,"N/A",0)</f>
        <v>97.03</v>
      </c>
      <c r="M46">
        <f>_xlfn.XLOOKUP($A46,[1]Sheet1!$K$9:$K$2584,[1]Sheet1!$L$9:$L$2584,"N/A",0)</f>
        <v>118.39</v>
      </c>
      <c r="N46">
        <f>_xlfn.XLOOKUP($A46,[1]Sheet1!$N$9:$N$2584,[1]Sheet1!$O$9:$O$2584,"N/A",0)</f>
        <v>94.61</v>
      </c>
      <c r="O46">
        <v>100</v>
      </c>
      <c r="P46">
        <v>126.63</v>
      </c>
      <c r="Q46">
        <v>97.03</v>
      </c>
      <c r="R46">
        <v>94.61</v>
      </c>
      <c r="S46">
        <v>118.39</v>
      </c>
    </row>
    <row r="47" spans="1:19">
      <c r="A47" s="1">
        <v>42437</v>
      </c>
      <c r="B47" t="s">
        <v>22</v>
      </c>
      <c r="C47" t="s">
        <v>23</v>
      </c>
      <c r="D47">
        <v>19.625</v>
      </c>
      <c r="E47">
        <v>20.675</v>
      </c>
      <c r="F47">
        <v>0.0535031847133758</v>
      </c>
      <c r="G47" t="str">
        <f ca="1" t="shared" si="0"/>
        <v>N/A</v>
      </c>
      <c r="H47" t="str">
        <f ca="1" t="shared" si="1"/>
        <v>N/A</v>
      </c>
      <c r="I47">
        <f ca="1" t="shared" si="2"/>
        <v>0</v>
      </c>
      <c r="J47">
        <f>_xlfn.XLOOKUP($A47,[1]Sheet1!$B$9:$B$2584,[1]Sheet1!$C$9:$C$2584,"N/A",0)</f>
        <v>99.69</v>
      </c>
      <c r="K47">
        <f>_xlfn.XLOOKUP($A47,[1]Sheet1!$E$9:$E$2584,[1]Sheet1!$F$9:$F$2584,"N/A",0)</f>
        <v>131.02</v>
      </c>
      <c r="L47">
        <f>_xlfn.XLOOKUP($A47,[1]Sheet1!$H$9:$H$2584,[1]Sheet1!$I$9:$I$2584,"N/A",0)</f>
        <v>97.85</v>
      </c>
      <c r="M47">
        <f>_xlfn.XLOOKUP($A47,[1]Sheet1!$K$9:$K$2584,[1]Sheet1!$L$9:$L$2584,"N/A",0)</f>
        <v>120.68</v>
      </c>
      <c r="N47">
        <f>_xlfn.XLOOKUP($A47,[1]Sheet1!$N$9:$N$2584,[1]Sheet1!$O$9:$O$2584,"N/A",0)</f>
        <v>96.1</v>
      </c>
      <c r="O47">
        <v>99.69</v>
      </c>
      <c r="P47">
        <v>131.02</v>
      </c>
      <c r="Q47">
        <v>97.85</v>
      </c>
      <c r="R47">
        <v>96.1</v>
      </c>
      <c r="S47">
        <v>120.68</v>
      </c>
    </row>
    <row r="48" spans="1:19">
      <c r="A48" s="1">
        <v>42438</v>
      </c>
      <c r="B48" t="s">
        <v>22</v>
      </c>
      <c r="C48" t="s">
        <v>23</v>
      </c>
      <c r="D48">
        <v>19.075</v>
      </c>
      <c r="E48">
        <v>20.125</v>
      </c>
      <c r="F48" s="2" t="s">
        <v>30</v>
      </c>
      <c r="G48" t="str">
        <f ca="1" t="shared" si="0"/>
        <v>N/A</v>
      </c>
      <c r="H48" t="str">
        <f ca="1" t="shared" si="1"/>
        <v>N/A</v>
      </c>
      <c r="I48">
        <f ca="1" t="shared" si="2"/>
        <v>0</v>
      </c>
      <c r="J48">
        <f>_xlfn.XLOOKUP($A48,[1]Sheet1!$B$9:$B$2584,[1]Sheet1!$C$9:$C$2584,"N/A",0)</f>
        <v>99.84</v>
      </c>
      <c r="K48">
        <f>_xlfn.XLOOKUP($A48,[1]Sheet1!$E$9:$E$2584,[1]Sheet1!$F$9:$F$2584,"N/A",0)</f>
        <v>131.32</v>
      </c>
      <c r="L48">
        <f>_xlfn.XLOOKUP($A48,[1]Sheet1!$H$9:$H$2584,[1]Sheet1!$I$9:$I$2584,"N/A",0)</f>
        <v>98.24</v>
      </c>
      <c r="M48">
        <f>_xlfn.XLOOKUP($A48,[1]Sheet1!$K$9:$K$2584,[1]Sheet1!$L$9:$L$2584,"N/A",0)</f>
        <v>120.1</v>
      </c>
      <c r="N48">
        <f>_xlfn.XLOOKUP($A48,[1]Sheet1!$N$9:$N$2584,[1]Sheet1!$O$9:$O$2584,"N/A",0)</f>
        <v>95.64</v>
      </c>
      <c r="O48">
        <v>99.84</v>
      </c>
      <c r="P48">
        <v>131.32</v>
      </c>
      <c r="Q48">
        <v>98.24</v>
      </c>
      <c r="R48">
        <v>95.64</v>
      </c>
      <c r="S48">
        <v>120.1</v>
      </c>
    </row>
    <row r="49" spans="1:19">
      <c r="A49" s="1">
        <v>42439</v>
      </c>
      <c r="B49" t="s">
        <v>22</v>
      </c>
      <c r="C49" t="s">
        <v>23</v>
      </c>
      <c r="D49">
        <v>18.95</v>
      </c>
      <c r="E49">
        <v>19.925</v>
      </c>
      <c r="F49">
        <v>0.0514511873350924</v>
      </c>
      <c r="G49" t="str">
        <f ca="1" t="shared" si="0"/>
        <v>N/A</v>
      </c>
      <c r="H49" t="str">
        <f ca="1" t="shared" si="1"/>
        <v>N/A</v>
      </c>
      <c r="I49">
        <f ca="1" t="shared" si="2"/>
        <v>0</v>
      </c>
      <c r="J49">
        <f>_xlfn.XLOOKUP($A49,[1]Sheet1!$B$9:$B$2584,[1]Sheet1!$C$9:$C$2584,"N/A",0)</f>
        <v>99.65</v>
      </c>
      <c r="K49">
        <f>_xlfn.XLOOKUP($A49,[1]Sheet1!$E$9:$E$2584,[1]Sheet1!$F$9:$F$2584,"N/A",0)</f>
        <v>130.61</v>
      </c>
      <c r="L49">
        <f>_xlfn.XLOOKUP($A49,[1]Sheet1!$H$9:$H$2584,[1]Sheet1!$I$9:$I$2584,"N/A",0)</f>
        <v>98.57</v>
      </c>
      <c r="M49">
        <f>_xlfn.XLOOKUP($A49,[1]Sheet1!$K$9:$K$2584,[1]Sheet1!$L$9:$L$2584,"N/A",0)</f>
        <v>119.81</v>
      </c>
      <c r="N49">
        <f>_xlfn.XLOOKUP($A49,[1]Sheet1!$N$9:$N$2584,[1]Sheet1!$O$9:$O$2584,"N/A",0)</f>
        <v>96.6</v>
      </c>
      <c r="O49">
        <v>99.65</v>
      </c>
      <c r="P49">
        <v>130.61</v>
      </c>
      <c r="Q49">
        <v>98.57</v>
      </c>
      <c r="R49">
        <v>96.6</v>
      </c>
      <c r="S49">
        <v>119.81</v>
      </c>
    </row>
    <row r="50" spans="1:19">
      <c r="A50" s="1">
        <v>42440</v>
      </c>
      <c r="B50" t="s">
        <v>22</v>
      </c>
      <c r="C50" t="s">
        <v>23</v>
      </c>
      <c r="D50">
        <v>17.625</v>
      </c>
      <c r="E50">
        <v>19.1</v>
      </c>
      <c r="F50">
        <v>0.0836879432624114</v>
      </c>
      <c r="G50" t="str">
        <f ca="1" t="shared" si="0"/>
        <v>N/A</v>
      </c>
      <c r="H50" t="str">
        <f ca="1" t="shared" si="1"/>
        <v>N/A</v>
      </c>
      <c r="I50">
        <f ca="1" t="shared" si="2"/>
        <v>0</v>
      </c>
      <c r="J50">
        <f>_xlfn.XLOOKUP($A50,[1]Sheet1!$B$9:$B$2584,[1]Sheet1!$C$9:$C$2584,"N/A",0)</f>
        <v>99.84</v>
      </c>
      <c r="K50">
        <f>_xlfn.XLOOKUP($A50,[1]Sheet1!$E$9:$E$2584,[1]Sheet1!$F$9:$F$2584,"N/A",0)</f>
        <v>129.68</v>
      </c>
      <c r="L50">
        <f>_xlfn.XLOOKUP($A50,[1]Sheet1!$H$9:$H$2584,[1]Sheet1!$I$9:$I$2584,"N/A",0)</f>
        <v>98.43</v>
      </c>
      <c r="M50">
        <f>_xlfn.XLOOKUP($A50,[1]Sheet1!$K$9:$K$2584,[1]Sheet1!$L$9:$L$2584,"N/A",0)</f>
        <v>119.71</v>
      </c>
      <c r="N50">
        <f>_xlfn.XLOOKUP($A50,[1]Sheet1!$N$9:$N$2584,[1]Sheet1!$O$9:$O$2584,"N/A",0)</f>
        <v>96.27</v>
      </c>
      <c r="O50">
        <v>99.84</v>
      </c>
      <c r="P50">
        <v>129.68</v>
      </c>
      <c r="Q50">
        <v>98.43</v>
      </c>
      <c r="R50">
        <v>96.27</v>
      </c>
      <c r="S50">
        <v>119.71</v>
      </c>
    </row>
    <row r="51" spans="1:19">
      <c r="A51" s="1">
        <v>42443</v>
      </c>
      <c r="B51" t="s">
        <v>22</v>
      </c>
      <c r="C51" t="s">
        <v>23</v>
      </c>
      <c r="D51">
        <v>17.425</v>
      </c>
      <c r="E51">
        <v>18.825</v>
      </c>
      <c r="F51">
        <v>0.0803443328550931</v>
      </c>
      <c r="G51" t="str">
        <f ca="1" t="shared" si="0"/>
        <v>N/A</v>
      </c>
      <c r="H51" t="str">
        <f ca="1" t="shared" si="1"/>
        <v>N/A</v>
      </c>
      <c r="I51">
        <f ca="1" t="shared" si="2"/>
        <v>0</v>
      </c>
      <c r="J51">
        <f>_xlfn.XLOOKUP($A51,[1]Sheet1!$B$9:$B$2584,[1]Sheet1!$C$9:$C$2584,"N/A",0)</f>
        <v>99.38</v>
      </c>
      <c r="K51">
        <f>_xlfn.XLOOKUP($A51,[1]Sheet1!$E$9:$E$2584,[1]Sheet1!$F$9:$F$2584,"N/A",0)</f>
        <v>130.16</v>
      </c>
      <c r="L51">
        <f>_xlfn.XLOOKUP($A51,[1]Sheet1!$H$9:$H$2584,[1]Sheet1!$I$9:$I$2584,"N/A",0)</f>
        <v>98.29</v>
      </c>
      <c r="M51">
        <f>_xlfn.XLOOKUP($A51,[1]Sheet1!$K$9:$K$2584,[1]Sheet1!$L$9:$L$2584,"N/A",0)</f>
        <v>119.77</v>
      </c>
      <c r="N51">
        <f>_xlfn.XLOOKUP($A51,[1]Sheet1!$N$9:$N$2584,[1]Sheet1!$O$9:$O$2584,"N/A",0)</f>
        <v>96.37</v>
      </c>
      <c r="O51">
        <v>99.38</v>
      </c>
      <c r="P51">
        <v>130.16</v>
      </c>
      <c r="Q51">
        <v>98.29</v>
      </c>
      <c r="R51">
        <v>96.37</v>
      </c>
      <c r="S51">
        <v>119.77</v>
      </c>
    </row>
    <row r="52" spans="1:19">
      <c r="A52" s="1">
        <v>42444</v>
      </c>
      <c r="B52" t="s">
        <v>22</v>
      </c>
      <c r="C52" t="s">
        <v>23</v>
      </c>
      <c r="D52">
        <v>16.9</v>
      </c>
      <c r="E52">
        <v>19.075</v>
      </c>
      <c r="F52" s="2" t="s">
        <v>31</v>
      </c>
      <c r="G52" t="str">
        <f ca="1" t="shared" si="0"/>
        <v>N/A</v>
      </c>
      <c r="H52" t="str">
        <f ca="1" t="shared" si="1"/>
        <v>N/A</v>
      </c>
      <c r="I52">
        <f ca="1" t="shared" si="2"/>
        <v>0</v>
      </c>
      <c r="J52">
        <f>_xlfn.XLOOKUP($A52,[1]Sheet1!$B$9:$B$2584,[1]Sheet1!$C$9:$C$2584,"N/A",0)</f>
        <v>99.48</v>
      </c>
      <c r="K52">
        <f>_xlfn.XLOOKUP($A52,[1]Sheet1!$E$9:$E$2584,[1]Sheet1!$F$9:$F$2584,"N/A",0)</f>
        <v>133.72</v>
      </c>
      <c r="L52">
        <f>_xlfn.XLOOKUP($A52,[1]Sheet1!$H$9:$H$2584,[1]Sheet1!$I$9:$I$2584,"N/A",0)</f>
        <v>98.16</v>
      </c>
      <c r="M52">
        <f>_xlfn.XLOOKUP($A52,[1]Sheet1!$K$9:$K$2584,[1]Sheet1!$L$9:$L$2584,"N/A",0)</f>
        <v>120.67</v>
      </c>
      <c r="N52">
        <f>_xlfn.XLOOKUP($A52,[1]Sheet1!$N$9:$N$2584,[1]Sheet1!$O$9:$O$2584,"N/A",0)</f>
        <v>97.34</v>
      </c>
      <c r="O52">
        <v>99.48</v>
      </c>
      <c r="P52">
        <v>133.72</v>
      </c>
      <c r="Q52">
        <v>98.16</v>
      </c>
      <c r="R52">
        <v>97.34</v>
      </c>
      <c r="S52">
        <v>120.67</v>
      </c>
    </row>
    <row r="53" spans="1:19">
      <c r="A53" s="1">
        <v>42445</v>
      </c>
      <c r="B53" t="s">
        <v>22</v>
      </c>
      <c r="C53" t="s">
        <v>23</v>
      </c>
      <c r="D53">
        <v>16.22</v>
      </c>
      <c r="E53">
        <v>18.275</v>
      </c>
      <c r="F53" s="2" t="s">
        <v>32</v>
      </c>
      <c r="G53" t="str">
        <f ca="1" t="shared" si="0"/>
        <v>N/A</v>
      </c>
      <c r="H53" t="str">
        <f ca="1" t="shared" si="1"/>
        <v>N/A</v>
      </c>
      <c r="I53">
        <f ca="1" t="shared" si="2"/>
        <v>0</v>
      </c>
      <c r="J53">
        <f>_xlfn.XLOOKUP($A53,[1]Sheet1!$B$9:$B$2584,[1]Sheet1!$C$9:$C$2584,"N/A",0)</f>
        <v>99.87</v>
      </c>
      <c r="K53">
        <f>_xlfn.XLOOKUP($A53,[1]Sheet1!$E$9:$E$2584,[1]Sheet1!$F$9:$F$2584,"N/A",0)</f>
        <v>132.37</v>
      </c>
      <c r="L53">
        <f>_xlfn.XLOOKUP($A53,[1]Sheet1!$H$9:$H$2584,[1]Sheet1!$I$9:$I$2584,"N/A",0)</f>
        <v>97.99</v>
      </c>
      <c r="M53">
        <f>_xlfn.XLOOKUP($A53,[1]Sheet1!$K$9:$K$2584,[1]Sheet1!$L$9:$L$2584,"N/A",0)</f>
        <v>119.65</v>
      </c>
      <c r="N53">
        <f>_xlfn.XLOOKUP($A53,[1]Sheet1!$N$9:$N$2584,[1]Sheet1!$O$9:$O$2584,"N/A",0)</f>
        <v>96.82</v>
      </c>
      <c r="O53">
        <v>99.87</v>
      </c>
      <c r="P53">
        <v>132.37</v>
      </c>
      <c r="Q53">
        <v>97.99</v>
      </c>
      <c r="R53">
        <v>96.82</v>
      </c>
      <c r="S53">
        <v>119.65</v>
      </c>
    </row>
    <row r="54" spans="1:19">
      <c r="A54" s="1">
        <v>42446</v>
      </c>
      <c r="B54" t="s">
        <v>23</v>
      </c>
      <c r="C54" t="s">
        <v>33</v>
      </c>
      <c r="D54">
        <v>17.775</v>
      </c>
      <c r="E54">
        <v>18.825</v>
      </c>
      <c r="F54">
        <v>0.0590717299578059</v>
      </c>
      <c r="G54" t="str">
        <f ca="1" t="shared" si="0"/>
        <v>N/A</v>
      </c>
      <c r="H54" t="str">
        <f ca="1" t="shared" si="1"/>
        <v>N/A</v>
      </c>
      <c r="I54">
        <f ca="1" t="shared" si="2"/>
        <v>0</v>
      </c>
      <c r="J54">
        <f>_xlfn.XLOOKUP($A54,[1]Sheet1!$B$9:$B$2584,[1]Sheet1!$C$9:$C$2584,"N/A",0)</f>
        <v>99.77</v>
      </c>
      <c r="K54">
        <f>_xlfn.XLOOKUP($A54,[1]Sheet1!$E$9:$E$2584,[1]Sheet1!$F$9:$F$2584,"N/A",0)</f>
        <v>130.74</v>
      </c>
      <c r="L54">
        <f>_xlfn.XLOOKUP($A54,[1]Sheet1!$H$9:$H$2584,[1]Sheet1!$I$9:$I$2584,"N/A",0)</f>
        <v>98.11</v>
      </c>
      <c r="M54">
        <f>_xlfn.XLOOKUP($A54,[1]Sheet1!$K$9:$K$2584,[1]Sheet1!$L$9:$L$2584,"N/A",0)</f>
        <v>118.83</v>
      </c>
      <c r="N54">
        <f>_xlfn.XLOOKUP($A54,[1]Sheet1!$N$9:$N$2584,[1]Sheet1!$O$9:$O$2584,"N/A",0)</f>
        <v>95.87</v>
      </c>
      <c r="O54">
        <v>99.77</v>
      </c>
      <c r="P54">
        <v>130.74</v>
      </c>
      <c r="Q54">
        <v>98.11</v>
      </c>
      <c r="R54">
        <v>95.87</v>
      </c>
      <c r="S54">
        <v>118.83</v>
      </c>
    </row>
    <row r="55" spans="1:19">
      <c r="A55" s="1">
        <v>42447</v>
      </c>
      <c r="B55" t="s">
        <v>23</v>
      </c>
      <c r="C55" t="s">
        <v>33</v>
      </c>
      <c r="D55">
        <v>17.725</v>
      </c>
      <c r="E55">
        <v>18.875</v>
      </c>
      <c r="F55">
        <v>0.0648801128349787</v>
      </c>
      <c r="G55" t="str">
        <f ca="1" t="shared" si="0"/>
        <v>N/A</v>
      </c>
      <c r="H55" t="str">
        <f ca="1" t="shared" si="1"/>
        <v>N/A</v>
      </c>
      <c r="I55">
        <f ca="1" t="shared" si="2"/>
        <v>0</v>
      </c>
      <c r="J55">
        <f>_xlfn.XLOOKUP($A55,[1]Sheet1!$B$9:$B$2584,[1]Sheet1!$C$9:$C$2584,"N/A",0)</f>
        <v>99.51</v>
      </c>
      <c r="K55">
        <f>_xlfn.XLOOKUP($A55,[1]Sheet1!$E$9:$E$2584,[1]Sheet1!$F$9:$F$2584,"N/A",0)</f>
        <v>129.69</v>
      </c>
      <c r="L55">
        <f>_xlfn.XLOOKUP($A55,[1]Sheet1!$H$9:$H$2584,[1]Sheet1!$I$9:$I$2584,"N/A",0)</f>
        <v>98.44</v>
      </c>
      <c r="M55">
        <f>_xlfn.XLOOKUP($A55,[1]Sheet1!$K$9:$K$2584,[1]Sheet1!$L$9:$L$2584,"N/A",0)</f>
        <v>119.59</v>
      </c>
      <c r="N55">
        <f>_xlfn.XLOOKUP($A55,[1]Sheet1!$N$9:$N$2584,[1]Sheet1!$O$9:$O$2584,"N/A",0)</f>
        <v>95.7</v>
      </c>
      <c r="O55">
        <v>99.51</v>
      </c>
      <c r="P55">
        <v>129.69</v>
      </c>
      <c r="Q55">
        <v>98.44</v>
      </c>
      <c r="R55">
        <v>95.7</v>
      </c>
      <c r="S55">
        <v>119.59</v>
      </c>
    </row>
    <row r="56" spans="1:19">
      <c r="A56" s="1">
        <v>42450</v>
      </c>
      <c r="B56" t="s">
        <v>23</v>
      </c>
      <c r="C56" t="s">
        <v>33</v>
      </c>
      <c r="D56">
        <v>16.975</v>
      </c>
      <c r="E56">
        <v>18.375</v>
      </c>
      <c r="F56">
        <v>0.0824742268041236</v>
      </c>
      <c r="G56" t="str">
        <f ca="1" t="shared" si="0"/>
        <v>N/A</v>
      </c>
      <c r="H56" t="str">
        <f ca="1" t="shared" si="1"/>
        <v>N/A</v>
      </c>
      <c r="I56">
        <f ca="1" t="shared" si="2"/>
        <v>0</v>
      </c>
      <c r="J56">
        <f>_xlfn.XLOOKUP($A56,[1]Sheet1!$B$9:$B$2584,[1]Sheet1!$C$9:$C$2584,"N/A",0)</f>
        <v>99.49</v>
      </c>
      <c r="K56">
        <f>_xlfn.XLOOKUP($A56,[1]Sheet1!$E$9:$E$2584,[1]Sheet1!$F$9:$F$2584,"N/A",0)</f>
        <v>129.72</v>
      </c>
      <c r="L56">
        <f>_xlfn.XLOOKUP($A56,[1]Sheet1!$H$9:$H$2584,[1]Sheet1!$I$9:$I$2584,"N/A",0)</f>
        <v>98.02</v>
      </c>
      <c r="M56">
        <f>_xlfn.XLOOKUP($A56,[1]Sheet1!$K$9:$K$2584,[1]Sheet1!$L$9:$L$2584,"N/A",0)</f>
        <v>119.75</v>
      </c>
      <c r="N56">
        <f>_xlfn.XLOOKUP($A56,[1]Sheet1!$N$9:$N$2584,[1]Sheet1!$O$9:$O$2584,"N/A",0)</f>
        <v>96.18</v>
      </c>
      <c r="O56">
        <v>99.49</v>
      </c>
      <c r="P56">
        <v>129.72</v>
      </c>
      <c r="Q56">
        <v>98.02</v>
      </c>
      <c r="R56">
        <v>96.18</v>
      </c>
      <c r="S56">
        <v>119.75</v>
      </c>
    </row>
    <row r="57" spans="1:19">
      <c r="A57" s="1">
        <v>42451</v>
      </c>
      <c r="B57" t="s">
        <v>23</v>
      </c>
      <c r="C57" t="s">
        <v>33</v>
      </c>
      <c r="D57">
        <v>16.825</v>
      </c>
      <c r="E57">
        <v>18.375</v>
      </c>
      <c r="F57">
        <v>0.0921248142644874</v>
      </c>
      <c r="G57" t="str">
        <f ca="1" t="shared" si="0"/>
        <v>N/A</v>
      </c>
      <c r="H57" t="str">
        <f ca="1" t="shared" si="1"/>
        <v>N/A</v>
      </c>
      <c r="I57">
        <f ca="1" t="shared" si="2"/>
        <v>0</v>
      </c>
      <c r="J57">
        <f>_xlfn.XLOOKUP($A57,[1]Sheet1!$B$9:$B$2584,[1]Sheet1!$C$9:$C$2584,"N/A",0)</f>
        <v>99.41</v>
      </c>
      <c r="K57">
        <f>_xlfn.XLOOKUP($A57,[1]Sheet1!$E$9:$E$2584,[1]Sheet1!$F$9:$F$2584,"N/A",0)</f>
        <v>129.78</v>
      </c>
      <c r="L57">
        <f>_xlfn.XLOOKUP($A57,[1]Sheet1!$H$9:$H$2584,[1]Sheet1!$I$9:$I$2584,"N/A",0)</f>
        <v>97.7</v>
      </c>
      <c r="M57">
        <f>_xlfn.XLOOKUP($A57,[1]Sheet1!$K$9:$K$2584,[1]Sheet1!$L$9:$L$2584,"N/A",0)</f>
        <v>119.79</v>
      </c>
      <c r="N57">
        <f>_xlfn.XLOOKUP($A57,[1]Sheet1!$N$9:$N$2584,[1]Sheet1!$O$9:$O$2584,"N/A",0)</f>
        <v>96.1</v>
      </c>
      <c r="O57">
        <v>99.41</v>
      </c>
      <c r="P57">
        <v>129.78</v>
      </c>
      <c r="Q57">
        <v>97.7</v>
      </c>
      <c r="R57">
        <v>96.1</v>
      </c>
      <c r="S57">
        <v>119.79</v>
      </c>
    </row>
    <row r="58" spans="1:19">
      <c r="A58" s="1">
        <v>42452</v>
      </c>
      <c r="B58" t="s">
        <v>23</v>
      </c>
      <c r="C58" t="s">
        <v>33</v>
      </c>
      <c r="D58">
        <v>17.725</v>
      </c>
      <c r="E58">
        <v>19.225</v>
      </c>
      <c r="F58">
        <v>0.0846262341325811</v>
      </c>
      <c r="G58" t="str">
        <f ca="1" t="shared" si="0"/>
        <v>N/A</v>
      </c>
      <c r="H58" t="str">
        <f ca="1" t="shared" si="1"/>
        <v>N/A</v>
      </c>
      <c r="I58">
        <f ca="1" t="shared" si="2"/>
        <v>0</v>
      </c>
      <c r="J58">
        <f>_xlfn.XLOOKUP($A58,[1]Sheet1!$B$9:$B$2584,[1]Sheet1!$C$9:$C$2584,"N/A",0)</f>
        <v>99.7</v>
      </c>
      <c r="K58">
        <f>_xlfn.XLOOKUP($A58,[1]Sheet1!$E$9:$E$2584,[1]Sheet1!$F$9:$F$2584,"N/A",0)</f>
        <v>132.47</v>
      </c>
      <c r="L58">
        <f>_xlfn.XLOOKUP($A58,[1]Sheet1!$H$9:$H$2584,[1]Sheet1!$I$9:$I$2584,"N/A",0)</f>
        <v>97.96</v>
      </c>
      <c r="M58">
        <f>_xlfn.XLOOKUP($A58,[1]Sheet1!$K$9:$K$2584,[1]Sheet1!$L$9:$L$2584,"N/A",0)</f>
        <v>122.18</v>
      </c>
      <c r="N58">
        <f>_xlfn.XLOOKUP($A58,[1]Sheet1!$N$9:$N$2584,[1]Sheet1!$O$9:$O$2584,"N/A",0)</f>
        <v>96.92</v>
      </c>
      <c r="O58">
        <v>99.7</v>
      </c>
      <c r="P58">
        <v>132.47</v>
      </c>
      <c r="Q58">
        <v>97.96</v>
      </c>
      <c r="R58">
        <v>96.92</v>
      </c>
      <c r="S58">
        <v>122.18</v>
      </c>
    </row>
    <row r="59" spans="1:19">
      <c r="A59" s="1">
        <v>42453</v>
      </c>
      <c r="B59" t="s">
        <v>23</v>
      </c>
      <c r="C59" t="s">
        <v>33</v>
      </c>
      <c r="D59">
        <v>17.375</v>
      </c>
      <c r="E59">
        <v>19.075</v>
      </c>
      <c r="F59">
        <v>0.097841726618705</v>
      </c>
      <c r="G59" t="str">
        <f ca="1" t="shared" si="0"/>
        <v>N/A</v>
      </c>
      <c r="H59" t="str">
        <f ca="1" t="shared" si="1"/>
        <v>N/A</v>
      </c>
      <c r="I59">
        <f ca="1" t="shared" si="2"/>
        <v>0</v>
      </c>
      <c r="J59">
        <f>_xlfn.XLOOKUP($A59,[1]Sheet1!$B$9:$B$2584,[1]Sheet1!$C$9:$C$2584,"N/A",0)</f>
        <v>99.78</v>
      </c>
      <c r="K59">
        <f>_xlfn.XLOOKUP($A59,[1]Sheet1!$E$9:$E$2584,[1]Sheet1!$F$9:$F$2584,"N/A",0)</f>
        <v>132.18</v>
      </c>
      <c r="L59">
        <f>_xlfn.XLOOKUP($A59,[1]Sheet1!$H$9:$H$2584,[1]Sheet1!$I$9:$I$2584,"N/A",0)</f>
        <v>97.16</v>
      </c>
      <c r="M59">
        <f>_xlfn.XLOOKUP($A59,[1]Sheet1!$K$9:$K$2584,[1]Sheet1!$L$9:$L$2584,"N/A",0)</f>
        <v>121.59</v>
      </c>
      <c r="N59">
        <f>_xlfn.XLOOKUP($A59,[1]Sheet1!$N$9:$N$2584,[1]Sheet1!$O$9:$O$2584,"N/A",0)</f>
        <v>96.42</v>
      </c>
      <c r="O59">
        <v>99.78</v>
      </c>
      <c r="P59">
        <v>132.18</v>
      </c>
      <c r="Q59">
        <v>97.16</v>
      </c>
      <c r="R59">
        <v>96.42</v>
      </c>
      <c r="S59">
        <v>121.59</v>
      </c>
    </row>
    <row r="60" spans="1:19">
      <c r="A60" s="1">
        <v>42457</v>
      </c>
      <c r="B60" t="s">
        <v>23</v>
      </c>
      <c r="C60" t="s">
        <v>33</v>
      </c>
      <c r="D60">
        <v>17.125</v>
      </c>
      <c r="E60">
        <v>18.775</v>
      </c>
      <c r="F60">
        <v>0.0963503649635035</v>
      </c>
      <c r="G60" t="str">
        <f ca="1" t="shared" si="0"/>
        <v>N/A</v>
      </c>
      <c r="H60" t="str">
        <f ca="1" t="shared" si="1"/>
        <v>N/A</v>
      </c>
      <c r="I60">
        <f ca="1" t="shared" si="2"/>
        <v>0</v>
      </c>
      <c r="J60">
        <f>_xlfn.XLOOKUP($A60,[1]Sheet1!$B$9:$B$2584,[1]Sheet1!$C$9:$C$2584,"N/A",0)</f>
        <v>99.98</v>
      </c>
      <c r="K60">
        <f>_xlfn.XLOOKUP($A60,[1]Sheet1!$E$9:$E$2584,[1]Sheet1!$F$9:$F$2584,"N/A",0)</f>
        <v>132.93</v>
      </c>
      <c r="L60">
        <f>_xlfn.XLOOKUP($A60,[1]Sheet1!$H$9:$H$2584,[1]Sheet1!$I$9:$I$2584,"N/A",0)</f>
        <v>97.6</v>
      </c>
      <c r="M60">
        <f>_xlfn.XLOOKUP($A60,[1]Sheet1!$K$9:$K$2584,[1]Sheet1!$L$9:$L$2584,"N/A",0)</f>
        <v>122.02</v>
      </c>
      <c r="N60">
        <f>_xlfn.XLOOKUP($A60,[1]Sheet1!$N$9:$N$2584,[1]Sheet1!$O$9:$O$2584,"N/A",0)</f>
        <v>96.46</v>
      </c>
      <c r="O60">
        <v>99.98</v>
      </c>
      <c r="P60">
        <v>132.93</v>
      </c>
      <c r="Q60">
        <v>97.6</v>
      </c>
      <c r="R60">
        <v>96.46</v>
      </c>
      <c r="S60">
        <v>122.02</v>
      </c>
    </row>
    <row r="61" spans="1:19">
      <c r="A61" s="1">
        <v>42458</v>
      </c>
      <c r="B61" t="s">
        <v>23</v>
      </c>
      <c r="C61" t="s">
        <v>33</v>
      </c>
      <c r="D61">
        <v>16.075</v>
      </c>
      <c r="E61">
        <v>17.825</v>
      </c>
      <c r="F61" s="2" t="s">
        <v>34</v>
      </c>
      <c r="G61" t="str">
        <f ca="1" t="shared" si="0"/>
        <v>N/A</v>
      </c>
      <c r="H61" t="str">
        <f ca="1" t="shared" si="1"/>
        <v>N/A</v>
      </c>
      <c r="I61">
        <f ca="1" t="shared" si="2"/>
        <v>0</v>
      </c>
      <c r="J61">
        <f>_xlfn.XLOOKUP($A61,[1]Sheet1!$B$9:$B$2584,[1]Sheet1!$C$9:$C$2584,"N/A",0)</f>
        <v>100.07</v>
      </c>
      <c r="K61">
        <f>_xlfn.XLOOKUP($A61,[1]Sheet1!$E$9:$E$2584,[1]Sheet1!$F$9:$F$2584,"N/A",0)</f>
        <v>132.48</v>
      </c>
      <c r="L61">
        <f>_xlfn.XLOOKUP($A61,[1]Sheet1!$H$9:$H$2584,[1]Sheet1!$I$9:$I$2584,"N/A",0)</f>
        <v>97.14</v>
      </c>
      <c r="M61">
        <f>_xlfn.XLOOKUP($A61,[1]Sheet1!$K$9:$K$2584,[1]Sheet1!$L$9:$L$2584,"N/A",0)</f>
        <v>121.34</v>
      </c>
      <c r="N61">
        <f>_xlfn.XLOOKUP($A61,[1]Sheet1!$N$9:$N$2584,[1]Sheet1!$O$9:$O$2584,"N/A",0)</f>
        <v>94.66</v>
      </c>
      <c r="O61">
        <v>100.07</v>
      </c>
      <c r="P61">
        <v>132.48</v>
      </c>
      <c r="Q61">
        <v>97.14</v>
      </c>
      <c r="R61">
        <v>94.66</v>
      </c>
      <c r="S61">
        <v>121.34</v>
      </c>
    </row>
    <row r="62" spans="1:19">
      <c r="A62" s="1">
        <v>42459</v>
      </c>
      <c r="B62" t="s">
        <v>23</v>
      </c>
      <c r="C62" t="s">
        <v>33</v>
      </c>
      <c r="D62">
        <v>15.85</v>
      </c>
      <c r="E62">
        <v>17.475</v>
      </c>
      <c r="F62" s="2" t="s">
        <v>35</v>
      </c>
      <c r="G62" t="str">
        <f ca="1" t="shared" si="0"/>
        <v>N/A</v>
      </c>
      <c r="H62" t="str">
        <f ca="1" t="shared" si="1"/>
        <v>N/A</v>
      </c>
      <c r="I62">
        <f ca="1" t="shared" si="2"/>
        <v>0</v>
      </c>
      <c r="J62">
        <f>_xlfn.XLOOKUP($A62,[1]Sheet1!$B$9:$B$2584,[1]Sheet1!$C$9:$C$2584,"N/A",0)</f>
        <v>99.99</v>
      </c>
      <c r="K62">
        <f>_xlfn.XLOOKUP($A62,[1]Sheet1!$E$9:$E$2584,[1]Sheet1!$F$9:$F$2584,"N/A",0)</f>
        <v>132.95</v>
      </c>
      <c r="L62">
        <f>_xlfn.XLOOKUP($A62,[1]Sheet1!$H$9:$H$2584,[1]Sheet1!$I$9:$I$2584,"N/A",0)</f>
        <v>97.22</v>
      </c>
      <c r="M62">
        <f>_xlfn.XLOOKUP($A62,[1]Sheet1!$K$9:$K$2584,[1]Sheet1!$L$9:$L$2584,"N/A",0)</f>
        <v>120.71</v>
      </c>
      <c r="N62">
        <f>_xlfn.XLOOKUP($A62,[1]Sheet1!$N$9:$N$2584,[1]Sheet1!$O$9:$O$2584,"N/A",0)</f>
        <v>95.05</v>
      </c>
      <c r="O62">
        <v>99.99</v>
      </c>
      <c r="P62">
        <v>132.95</v>
      </c>
      <c r="Q62">
        <v>97.22</v>
      </c>
      <c r="R62">
        <v>95.05</v>
      </c>
      <c r="S62">
        <v>120.71</v>
      </c>
    </row>
    <row r="63" spans="1:19">
      <c r="A63" s="1">
        <v>42460</v>
      </c>
      <c r="B63" t="s">
        <v>23</v>
      </c>
      <c r="C63" t="s">
        <v>33</v>
      </c>
      <c r="D63">
        <v>15.925</v>
      </c>
      <c r="E63">
        <v>17.625</v>
      </c>
      <c r="F63" s="2" t="s">
        <v>36</v>
      </c>
      <c r="G63" t="str">
        <f ca="1" t="shared" si="0"/>
        <v>N/A</v>
      </c>
      <c r="H63" t="str">
        <f ca="1" t="shared" si="1"/>
        <v>N/A</v>
      </c>
      <c r="I63">
        <f ca="1" t="shared" si="2"/>
        <v>0</v>
      </c>
      <c r="J63">
        <f>_xlfn.XLOOKUP($A63,[1]Sheet1!$B$9:$B$2584,[1]Sheet1!$C$9:$C$2584,"N/A",0)</f>
        <v>99.96</v>
      </c>
      <c r="K63">
        <f>_xlfn.XLOOKUP($A63,[1]Sheet1!$E$9:$E$2584,[1]Sheet1!$F$9:$F$2584,"N/A",0)</f>
        <v>132.29</v>
      </c>
      <c r="L63">
        <f>_xlfn.XLOOKUP($A63,[1]Sheet1!$H$9:$H$2584,[1]Sheet1!$I$9:$I$2584,"N/A",0)</f>
        <v>96.83</v>
      </c>
      <c r="M63">
        <f>_xlfn.XLOOKUP($A63,[1]Sheet1!$K$9:$K$2584,[1]Sheet1!$L$9:$L$2584,"N/A",0)</f>
        <v>120.94</v>
      </c>
      <c r="N63">
        <f>_xlfn.XLOOKUP($A63,[1]Sheet1!$N$9:$N$2584,[1]Sheet1!$O$9:$O$2584,"N/A",0)</f>
        <v>94.57</v>
      </c>
      <c r="O63">
        <v>99.96</v>
      </c>
      <c r="P63">
        <v>132.29</v>
      </c>
      <c r="Q63">
        <v>96.83</v>
      </c>
      <c r="R63">
        <v>94.57</v>
      </c>
      <c r="S63">
        <v>120.94</v>
      </c>
    </row>
    <row r="64" spans="1:19">
      <c r="A64" s="1">
        <v>42461</v>
      </c>
      <c r="B64" t="s">
        <v>23</v>
      </c>
      <c r="C64" t="s">
        <v>33</v>
      </c>
      <c r="D64">
        <v>15.425</v>
      </c>
      <c r="E64">
        <v>17.175</v>
      </c>
      <c r="F64" s="2" t="s">
        <v>37</v>
      </c>
      <c r="G64" t="str">
        <f ca="1" t="shared" si="0"/>
        <v>N/A</v>
      </c>
      <c r="H64" t="str">
        <f ca="1" t="shared" si="1"/>
        <v>N/A</v>
      </c>
      <c r="I64">
        <f ca="1" t="shared" si="2"/>
        <v>0</v>
      </c>
      <c r="J64">
        <f>_xlfn.XLOOKUP($A64,[1]Sheet1!$B$9:$B$2584,[1]Sheet1!$C$9:$C$2584,"N/A",0)</f>
        <v>99.46</v>
      </c>
      <c r="K64">
        <f>_xlfn.XLOOKUP($A64,[1]Sheet1!$E$9:$E$2584,[1]Sheet1!$F$9:$F$2584,"N/A",0)</f>
        <v>132.98</v>
      </c>
      <c r="L64">
        <f>_xlfn.XLOOKUP($A64,[1]Sheet1!$H$9:$H$2584,[1]Sheet1!$I$9:$I$2584,"N/A",0)</f>
        <v>96.18</v>
      </c>
      <c r="M64">
        <f>_xlfn.XLOOKUP($A64,[1]Sheet1!$K$9:$K$2584,[1]Sheet1!$L$9:$L$2584,"N/A",0)</f>
        <v>121.14</v>
      </c>
      <c r="N64">
        <f>_xlfn.XLOOKUP($A64,[1]Sheet1!$N$9:$N$2584,[1]Sheet1!$O$9:$O$2584,"N/A",0)</f>
        <v>94.71</v>
      </c>
      <c r="O64">
        <v>99.46</v>
      </c>
      <c r="P64">
        <v>132.98</v>
      </c>
      <c r="Q64">
        <v>96.18</v>
      </c>
      <c r="R64">
        <v>94.71</v>
      </c>
      <c r="S64">
        <v>121.14</v>
      </c>
    </row>
    <row r="65" spans="1:19">
      <c r="A65" s="1">
        <v>42464</v>
      </c>
      <c r="B65" t="s">
        <v>23</v>
      </c>
      <c r="C65" t="s">
        <v>33</v>
      </c>
      <c r="D65">
        <v>15.925</v>
      </c>
      <c r="E65">
        <v>17.625</v>
      </c>
      <c r="F65" s="2" t="s">
        <v>36</v>
      </c>
      <c r="G65" t="str">
        <f ca="1" t="shared" si="0"/>
        <v>N/A</v>
      </c>
      <c r="H65" t="str">
        <f ca="1" t="shared" si="1"/>
        <v>N/A</v>
      </c>
      <c r="I65">
        <f ca="1" t="shared" si="2"/>
        <v>0</v>
      </c>
      <c r="J65">
        <f>_xlfn.XLOOKUP($A65,[1]Sheet1!$B$9:$B$2584,[1]Sheet1!$C$9:$C$2584,"N/A",0)</f>
        <v>99.21</v>
      </c>
      <c r="K65">
        <f>_xlfn.XLOOKUP($A65,[1]Sheet1!$E$9:$E$2584,[1]Sheet1!$F$9:$F$2584,"N/A",0)</f>
        <v>133.8</v>
      </c>
      <c r="L65">
        <f>_xlfn.XLOOKUP($A65,[1]Sheet1!$H$9:$H$2584,[1]Sheet1!$I$9:$I$2584,"N/A",0)</f>
        <v>95.6</v>
      </c>
      <c r="M65">
        <f>_xlfn.XLOOKUP($A65,[1]Sheet1!$K$9:$K$2584,[1]Sheet1!$L$9:$L$2584,"N/A",0)</f>
        <v>120.63</v>
      </c>
      <c r="N65">
        <f>_xlfn.XLOOKUP($A65,[1]Sheet1!$N$9:$N$2584,[1]Sheet1!$O$9:$O$2584,"N/A",0)</f>
        <v>95.28</v>
      </c>
      <c r="O65">
        <v>99.21</v>
      </c>
      <c r="P65">
        <v>133.8</v>
      </c>
      <c r="Q65">
        <v>95.6</v>
      </c>
      <c r="R65">
        <v>95.28</v>
      </c>
      <c r="S65">
        <v>120.63</v>
      </c>
    </row>
    <row r="66" spans="1:19">
      <c r="A66" s="1">
        <v>42465</v>
      </c>
      <c r="B66" t="s">
        <v>23</v>
      </c>
      <c r="C66" t="s">
        <v>33</v>
      </c>
      <c r="D66">
        <v>16.775</v>
      </c>
      <c r="E66">
        <v>18.425</v>
      </c>
      <c r="F66">
        <v>0.098360655737705</v>
      </c>
      <c r="G66" t="str">
        <f ca="1" t="shared" si="0"/>
        <v>N/A</v>
      </c>
      <c r="H66" t="str">
        <f ca="1" t="shared" si="1"/>
        <v>N/A</v>
      </c>
      <c r="I66">
        <f ca="1" t="shared" si="2"/>
        <v>0</v>
      </c>
      <c r="J66">
        <f>_xlfn.XLOOKUP($A66,[1]Sheet1!$B$9:$B$2584,[1]Sheet1!$C$9:$C$2584,"N/A",0)</f>
        <v>99.14</v>
      </c>
      <c r="K66">
        <f>_xlfn.XLOOKUP($A66,[1]Sheet1!$E$9:$E$2584,[1]Sheet1!$F$9:$F$2584,"N/A",0)</f>
        <v>134.14</v>
      </c>
      <c r="L66">
        <f>_xlfn.XLOOKUP($A66,[1]Sheet1!$H$9:$H$2584,[1]Sheet1!$I$9:$I$2584,"N/A",0)</f>
        <v>95.32</v>
      </c>
      <c r="M66">
        <f>_xlfn.XLOOKUP($A66,[1]Sheet1!$K$9:$K$2584,[1]Sheet1!$L$9:$L$2584,"N/A",0)</f>
        <v>120.83</v>
      </c>
      <c r="N66">
        <f>_xlfn.XLOOKUP($A66,[1]Sheet1!$N$9:$N$2584,[1]Sheet1!$O$9:$O$2584,"N/A",0)</f>
        <v>95.29</v>
      </c>
      <c r="O66">
        <v>99.14</v>
      </c>
      <c r="P66">
        <v>134.14</v>
      </c>
      <c r="Q66">
        <v>95.32</v>
      </c>
      <c r="R66">
        <v>95.29</v>
      </c>
      <c r="S66">
        <v>120.83</v>
      </c>
    </row>
    <row r="67" spans="1:19">
      <c r="A67" s="1">
        <v>42466</v>
      </c>
      <c r="B67" t="s">
        <v>23</v>
      </c>
      <c r="C67" t="s">
        <v>33</v>
      </c>
      <c r="D67">
        <v>15.625</v>
      </c>
      <c r="E67">
        <v>17.425</v>
      </c>
      <c r="F67" s="2" t="s">
        <v>38</v>
      </c>
      <c r="G67" t="str">
        <f ca="1" t="shared" ref="G67:G130" si="3">IF(ROW()-ROW($A$3)+1&gt;252,(F67-AVERAGE(OFFSET(F67,-252,0,252,1)))/_xlfn.STDEV.S(OFFSET(F67,-252,0,252,1)),"N/A")</f>
        <v>N/A</v>
      </c>
      <c r="H67" t="str">
        <f ca="1" t="shared" ref="H67:H130" si="4">IF(G67&lt;&gt;"N/A",IF(G317&gt;-0.5,"Risk-On","Risk-Off"),"N/A")</f>
        <v>N/A</v>
      </c>
      <c r="I67">
        <f ca="1" t="shared" si="2"/>
        <v>0</v>
      </c>
      <c r="J67">
        <f>_xlfn.XLOOKUP($A67,[1]Sheet1!$B$9:$B$2584,[1]Sheet1!$C$9:$C$2584,"N/A",0)</f>
        <v>98.9</v>
      </c>
      <c r="K67">
        <f>_xlfn.XLOOKUP($A67,[1]Sheet1!$E$9:$E$2584,[1]Sheet1!$F$9:$F$2584,"N/A",0)</f>
        <v>134.41</v>
      </c>
      <c r="L67">
        <f>_xlfn.XLOOKUP($A67,[1]Sheet1!$H$9:$H$2584,[1]Sheet1!$I$9:$I$2584,"N/A",0)</f>
        <v>94.55</v>
      </c>
      <c r="M67">
        <f>_xlfn.XLOOKUP($A67,[1]Sheet1!$K$9:$K$2584,[1]Sheet1!$L$9:$L$2584,"N/A",0)</f>
        <v>120.47</v>
      </c>
      <c r="N67">
        <f>_xlfn.XLOOKUP($A67,[1]Sheet1!$N$9:$N$2584,[1]Sheet1!$O$9:$O$2584,"N/A",0)</f>
        <v>95.14</v>
      </c>
      <c r="O67">
        <v>98.9</v>
      </c>
      <c r="P67">
        <v>134.41</v>
      </c>
      <c r="Q67">
        <v>94.55</v>
      </c>
      <c r="R67">
        <v>95.14</v>
      </c>
      <c r="S67">
        <v>120.47</v>
      </c>
    </row>
    <row r="68" spans="1:19">
      <c r="A68" s="1">
        <v>42467</v>
      </c>
      <c r="B68" t="s">
        <v>23</v>
      </c>
      <c r="C68" t="s">
        <v>33</v>
      </c>
      <c r="D68">
        <v>17.275</v>
      </c>
      <c r="E68">
        <v>18.875</v>
      </c>
      <c r="F68">
        <v>0.0926193921852388</v>
      </c>
      <c r="G68" t="str">
        <f ca="1" t="shared" si="3"/>
        <v>N/A</v>
      </c>
      <c r="H68" t="str">
        <f ca="1" t="shared" si="4"/>
        <v>N/A</v>
      </c>
      <c r="I68">
        <f ca="1" t="shared" ref="I68:I131" si="5">IF(H68&lt;&gt;"N/A",IF(H318&gt;-0.5,1,0),0)</f>
        <v>0</v>
      </c>
      <c r="J68">
        <f>_xlfn.XLOOKUP($A68,[1]Sheet1!$B$9:$B$2584,[1]Sheet1!$C$9:$C$2584,"N/A",0)</f>
        <v>99.02</v>
      </c>
      <c r="K68">
        <f>_xlfn.XLOOKUP($A68,[1]Sheet1!$E$9:$E$2584,[1]Sheet1!$F$9:$F$2584,"N/A",0)</f>
        <v>134.63</v>
      </c>
      <c r="L68">
        <f>_xlfn.XLOOKUP($A68,[1]Sheet1!$H$9:$H$2584,[1]Sheet1!$I$9:$I$2584,"N/A",0)</f>
        <v>94.64</v>
      </c>
      <c r="M68">
        <f>_xlfn.XLOOKUP($A68,[1]Sheet1!$K$9:$K$2584,[1]Sheet1!$L$9:$L$2584,"N/A",0)</f>
        <v>120.11</v>
      </c>
      <c r="N68">
        <f>_xlfn.XLOOKUP($A68,[1]Sheet1!$N$9:$N$2584,[1]Sheet1!$O$9:$O$2584,"N/A",0)</f>
        <v>95.25</v>
      </c>
      <c r="O68">
        <v>99.02</v>
      </c>
      <c r="P68">
        <v>134.63</v>
      </c>
      <c r="Q68">
        <v>94.64</v>
      </c>
      <c r="R68">
        <v>95.25</v>
      </c>
      <c r="S68">
        <v>120.11</v>
      </c>
    </row>
    <row r="69" spans="1:19">
      <c r="A69" s="1">
        <v>42468</v>
      </c>
      <c r="B69" t="s">
        <v>23</v>
      </c>
      <c r="C69" t="s">
        <v>33</v>
      </c>
      <c r="D69">
        <v>16.675</v>
      </c>
      <c r="E69">
        <v>18.525</v>
      </c>
      <c r="F69" s="2" t="s">
        <v>39</v>
      </c>
      <c r="G69" t="str">
        <f ca="1" t="shared" si="3"/>
        <v>N/A</v>
      </c>
      <c r="H69" t="str">
        <f ca="1" t="shared" si="4"/>
        <v>N/A</v>
      </c>
      <c r="I69">
        <f ca="1" t="shared" si="5"/>
        <v>0</v>
      </c>
      <c r="J69">
        <f>_xlfn.XLOOKUP($A69,[1]Sheet1!$B$9:$B$2584,[1]Sheet1!$C$9:$C$2584,"N/A",0)</f>
        <v>99.09</v>
      </c>
      <c r="K69">
        <f>_xlfn.XLOOKUP($A69,[1]Sheet1!$E$9:$E$2584,[1]Sheet1!$F$9:$F$2584,"N/A",0)</f>
        <v>134.85</v>
      </c>
      <c r="L69">
        <f>_xlfn.XLOOKUP($A69,[1]Sheet1!$H$9:$H$2584,[1]Sheet1!$I$9:$I$2584,"N/A",0)</f>
        <v>94.51</v>
      </c>
      <c r="M69">
        <f>_xlfn.XLOOKUP($A69,[1]Sheet1!$K$9:$K$2584,[1]Sheet1!$L$9:$L$2584,"N/A",0)</f>
        <v>118.99</v>
      </c>
      <c r="N69">
        <f>_xlfn.XLOOKUP($A69,[1]Sheet1!$N$9:$N$2584,[1]Sheet1!$O$9:$O$2584,"N/A",0)</f>
        <v>95.06</v>
      </c>
      <c r="O69">
        <v>99.09</v>
      </c>
      <c r="P69">
        <v>134.85</v>
      </c>
      <c r="Q69">
        <v>94.51</v>
      </c>
      <c r="R69">
        <v>95.06</v>
      </c>
      <c r="S69">
        <v>118.99</v>
      </c>
    </row>
    <row r="70" spans="1:19">
      <c r="A70" s="1">
        <v>42471</v>
      </c>
      <c r="B70" t="s">
        <v>23</v>
      </c>
      <c r="C70" t="s">
        <v>33</v>
      </c>
      <c r="D70">
        <v>17.075</v>
      </c>
      <c r="E70">
        <v>19.025</v>
      </c>
      <c r="F70" s="2" t="s">
        <v>40</v>
      </c>
      <c r="G70" t="str">
        <f ca="1" t="shared" si="3"/>
        <v>N/A</v>
      </c>
      <c r="H70" t="str">
        <f ca="1" t="shared" si="4"/>
        <v>N/A</v>
      </c>
      <c r="I70">
        <f ca="1" t="shared" si="5"/>
        <v>0</v>
      </c>
      <c r="J70">
        <f>_xlfn.XLOOKUP($A70,[1]Sheet1!$B$9:$B$2584,[1]Sheet1!$C$9:$C$2584,"N/A",0)</f>
        <v>99.21</v>
      </c>
      <c r="K70">
        <f>_xlfn.XLOOKUP($A70,[1]Sheet1!$E$9:$E$2584,[1]Sheet1!$F$9:$F$2584,"N/A",0)</f>
        <v>134.29</v>
      </c>
      <c r="L70">
        <f>_xlfn.XLOOKUP($A70,[1]Sheet1!$H$9:$H$2584,[1]Sheet1!$I$9:$I$2584,"N/A",0)</f>
        <v>94.75</v>
      </c>
      <c r="M70">
        <f>_xlfn.XLOOKUP($A70,[1]Sheet1!$K$9:$K$2584,[1]Sheet1!$L$9:$L$2584,"N/A",0)</f>
        <v>118.11</v>
      </c>
      <c r="N70">
        <f>_xlfn.XLOOKUP($A70,[1]Sheet1!$N$9:$N$2584,[1]Sheet1!$O$9:$O$2584,"N/A",0)</f>
        <v>94.9</v>
      </c>
      <c r="O70">
        <v>99.21</v>
      </c>
      <c r="P70">
        <v>134.29</v>
      </c>
      <c r="Q70">
        <v>94.75</v>
      </c>
      <c r="R70">
        <v>94.9</v>
      </c>
      <c r="S70">
        <v>118.11</v>
      </c>
    </row>
    <row r="71" spans="1:19">
      <c r="A71" s="1">
        <v>42472</v>
      </c>
      <c r="B71" t="s">
        <v>23</v>
      </c>
      <c r="C71" t="s">
        <v>33</v>
      </c>
      <c r="D71">
        <v>15.925</v>
      </c>
      <c r="E71">
        <v>18.275</v>
      </c>
      <c r="F71" s="2" t="s">
        <v>41</v>
      </c>
      <c r="G71" t="str">
        <f ca="1" t="shared" si="3"/>
        <v>N/A</v>
      </c>
      <c r="H71" t="str">
        <f ca="1" t="shared" si="4"/>
        <v>N/A</v>
      </c>
      <c r="I71">
        <f ca="1" t="shared" si="5"/>
        <v>0</v>
      </c>
      <c r="J71">
        <f>_xlfn.XLOOKUP($A71,[1]Sheet1!$B$9:$B$2584,[1]Sheet1!$C$9:$C$2584,"N/A",0)</f>
        <v>99.37</v>
      </c>
      <c r="K71">
        <f>_xlfn.XLOOKUP($A71,[1]Sheet1!$E$9:$E$2584,[1]Sheet1!$F$9:$F$2584,"N/A",0)</f>
        <v>134.14</v>
      </c>
      <c r="L71">
        <f>_xlfn.XLOOKUP($A71,[1]Sheet1!$H$9:$H$2584,[1]Sheet1!$I$9:$I$2584,"N/A",0)</f>
        <v>94.52</v>
      </c>
      <c r="M71">
        <f>_xlfn.XLOOKUP($A71,[1]Sheet1!$K$9:$K$2584,[1]Sheet1!$L$9:$L$2584,"N/A",0)</f>
        <v>117.74</v>
      </c>
      <c r="N71">
        <f>_xlfn.XLOOKUP($A71,[1]Sheet1!$N$9:$N$2584,[1]Sheet1!$O$9:$O$2584,"N/A",0)</f>
        <v>94.97</v>
      </c>
      <c r="O71">
        <v>99.37</v>
      </c>
      <c r="P71">
        <v>134.14</v>
      </c>
      <c r="Q71">
        <v>94.52</v>
      </c>
      <c r="R71">
        <v>94.97</v>
      </c>
      <c r="S71">
        <v>117.74</v>
      </c>
    </row>
    <row r="72" spans="1:19">
      <c r="A72" s="1">
        <v>42473</v>
      </c>
      <c r="B72" t="s">
        <v>23</v>
      </c>
      <c r="C72" t="s">
        <v>33</v>
      </c>
      <c r="D72">
        <v>14.825</v>
      </c>
      <c r="E72">
        <v>17.475</v>
      </c>
      <c r="F72" s="2" t="s">
        <v>42</v>
      </c>
      <c r="G72" t="str">
        <f ca="1" t="shared" si="3"/>
        <v>N/A</v>
      </c>
      <c r="H72" t="str">
        <f ca="1" t="shared" si="4"/>
        <v>N/A</v>
      </c>
      <c r="I72">
        <f ca="1" t="shared" si="5"/>
        <v>0</v>
      </c>
      <c r="J72">
        <f>_xlfn.XLOOKUP($A72,[1]Sheet1!$B$9:$B$2584,[1]Sheet1!$C$9:$C$2584,"N/A",0)</f>
        <v>99.13</v>
      </c>
      <c r="K72">
        <f>_xlfn.XLOOKUP($A72,[1]Sheet1!$E$9:$E$2584,[1]Sheet1!$F$9:$F$2584,"N/A",0)</f>
        <v>132.82</v>
      </c>
      <c r="L72">
        <f>_xlfn.XLOOKUP($A72,[1]Sheet1!$H$9:$H$2584,[1]Sheet1!$I$9:$I$2584,"N/A",0)</f>
        <v>95.05</v>
      </c>
      <c r="M72">
        <f>_xlfn.XLOOKUP($A72,[1]Sheet1!$K$9:$K$2584,[1]Sheet1!$L$9:$L$2584,"N/A",0)</f>
        <v>118.23</v>
      </c>
      <c r="N72">
        <f>_xlfn.XLOOKUP($A72,[1]Sheet1!$N$9:$N$2584,[1]Sheet1!$O$9:$O$2584,"N/A",0)</f>
        <v>94.35</v>
      </c>
      <c r="O72">
        <v>99.13</v>
      </c>
      <c r="P72">
        <v>132.82</v>
      </c>
      <c r="Q72">
        <v>95.05</v>
      </c>
      <c r="R72">
        <v>94.35</v>
      </c>
      <c r="S72">
        <v>118.23</v>
      </c>
    </row>
    <row r="73" spans="1:19">
      <c r="A73" s="1">
        <v>42474</v>
      </c>
      <c r="B73" t="s">
        <v>23</v>
      </c>
      <c r="C73" t="s">
        <v>33</v>
      </c>
      <c r="D73">
        <v>14.675</v>
      </c>
      <c r="E73">
        <v>17.275</v>
      </c>
      <c r="F73" s="2" t="s">
        <v>43</v>
      </c>
      <c r="G73" t="str">
        <f ca="1" t="shared" si="3"/>
        <v>N/A</v>
      </c>
      <c r="H73" t="str">
        <f ca="1" t="shared" si="4"/>
        <v>N/A</v>
      </c>
      <c r="I73">
        <f ca="1" t="shared" si="5"/>
        <v>0</v>
      </c>
      <c r="J73">
        <f>_xlfn.XLOOKUP($A73,[1]Sheet1!$B$9:$B$2584,[1]Sheet1!$C$9:$C$2584,"N/A",0)</f>
        <v>99.23</v>
      </c>
      <c r="K73">
        <f>_xlfn.XLOOKUP($A73,[1]Sheet1!$E$9:$E$2584,[1]Sheet1!$F$9:$F$2584,"N/A",0)</f>
        <v>132.86</v>
      </c>
      <c r="L73">
        <f>_xlfn.XLOOKUP($A73,[1]Sheet1!$H$9:$H$2584,[1]Sheet1!$I$9:$I$2584,"N/A",0)</f>
        <v>94.27</v>
      </c>
      <c r="M73">
        <f>_xlfn.XLOOKUP($A73,[1]Sheet1!$K$9:$K$2584,[1]Sheet1!$L$9:$L$2584,"N/A",0)</f>
        <v>118.8</v>
      </c>
      <c r="N73">
        <f>_xlfn.XLOOKUP($A73,[1]Sheet1!$N$9:$N$2584,[1]Sheet1!$O$9:$O$2584,"N/A",0)</f>
        <v>94.81</v>
      </c>
      <c r="O73">
        <v>99.23</v>
      </c>
      <c r="P73">
        <v>132.86</v>
      </c>
      <c r="Q73">
        <v>94.27</v>
      </c>
      <c r="R73">
        <v>94.81</v>
      </c>
      <c r="S73">
        <v>118.8</v>
      </c>
    </row>
    <row r="74" spans="1:19">
      <c r="A74" s="1">
        <v>42475</v>
      </c>
      <c r="B74" t="s">
        <v>23</v>
      </c>
      <c r="C74" t="s">
        <v>33</v>
      </c>
      <c r="D74">
        <v>14.725</v>
      </c>
      <c r="E74">
        <v>17.075</v>
      </c>
      <c r="F74" s="2" t="s">
        <v>44</v>
      </c>
      <c r="G74" t="str">
        <f ca="1" t="shared" si="3"/>
        <v>N/A</v>
      </c>
      <c r="H74" t="str">
        <f ca="1" t="shared" si="4"/>
        <v>N/A</v>
      </c>
      <c r="I74">
        <f ca="1" t="shared" si="5"/>
        <v>0</v>
      </c>
      <c r="J74">
        <f>_xlfn.XLOOKUP($A74,[1]Sheet1!$B$9:$B$2584,[1]Sheet1!$C$9:$C$2584,"N/A",0)</f>
        <v>99.13</v>
      </c>
      <c r="K74">
        <f>_xlfn.XLOOKUP($A74,[1]Sheet1!$E$9:$E$2584,[1]Sheet1!$F$9:$F$2584,"N/A",0)</f>
        <v>132.19</v>
      </c>
      <c r="L74">
        <f>_xlfn.XLOOKUP($A74,[1]Sheet1!$H$9:$H$2584,[1]Sheet1!$I$9:$I$2584,"N/A",0)</f>
        <v>93.96</v>
      </c>
      <c r="M74">
        <f>_xlfn.XLOOKUP($A74,[1]Sheet1!$K$9:$K$2584,[1]Sheet1!$L$9:$L$2584,"N/A",0)</f>
        <v>118.79</v>
      </c>
      <c r="N74">
        <f>_xlfn.XLOOKUP($A74,[1]Sheet1!$N$9:$N$2584,[1]Sheet1!$O$9:$O$2584,"N/A",0)</f>
        <v>94.41</v>
      </c>
      <c r="O74">
        <v>99.13</v>
      </c>
      <c r="P74">
        <v>132.19</v>
      </c>
      <c r="Q74">
        <v>93.96</v>
      </c>
      <c r="R74">
        <v>94.41</v>
      </c>
      <c r="S74">
        <v>118.79</v>
      </c>
    </row>
    <row r="75" spans="1:19">
      <c r="A75" s="1">
        <v>42478</v>
      </c>
      <c r="B75" t="s">
        <v>23</v>
      </c>
      <c r="C75" t="s">
        <v>33</v>
      </c>
      <c r="D75">
        <v>13.825</v>
      </c>
      <c r="E75">
        <v>16.225</v>
      </c>
      <c r="F75" s="2" t="s">
        <v>45</v>
      </c>
      <c r="G75" t="str">
        <f ca="1" t="shared" si="3"/>
        <v>N/A</v>
      </c>
      <c r="H75" t="str">
        <f ca="1" t="shared" si="4"/>
        <v>N/A</v>
      </c>
      <c r="I75">
        <f ca="1" t="shared" si="5"/>
        <v>0</v>
      </c>
      <c r="J75">
        <f>_xlfn.XLOOKUP($A75,[1]Sheet1!$B$9:$B$2584,[1]Sheet1!$C$9:$C$2584,"N/A",0)</f>
        <v>99.17</v>
      </c>
      <c r="K75">
        <f>_xlfn.XLOOKUP($A75,[1]Sheet1!$E$9:$E$2584,[1]Sheet1!$F$9:$F$2584,"N/A",0)</f>
        <v>132.61</v>
      </c>
      <c r="L75">
        <f>_xlfn.XLOOKUP($A75,[1]Sheet1!$H$9:$H$2584,[1]Sheet1!$I$9:$I$2584,"N/A",0)</f>
        <v>93.89</v>
      </c>
      <c r="M75">
        <f>_xlfn.XLOOKUP($A75,[1]Sheet1!$K$9:$K$2584,[1]Sheet1!$L$9:$L$2584,"N/A",0)</f>
        <v>118.56</v>
      </c>
      <c r="N75">
        <f>_xlfn.XLOOKUP($A75,[1]Sheet1!$N$9:$N$2584,[1]Sheet1!$O$9:$O$2584,"N/A",0)</f>
        <v>94.43</v>
      </c>
      <c r="O75">
        <v>99.17</v>
      </c>
      <c r="P75">
        <v>132.61</v>
      </c>
      <c r="Q75">
        <v>93.89</v>
      </c>
      <c r="R75">
        <v>94.43</v>
      </c>
      <c r="S75">
        <v>118.56</v>
      </c>
    </row>
    <row r="76" spans="1:19">
      <c r="A76" s="1">
        <v>42479</v>
      </c>
      <c r="B76" t="s">
        <v>23</v>
      </c>
      <c r="C76" t="s">
        <v>33</v>
      </c>
      <c r="D76">
        <v>13.25</v>
      </c>
      <c r="E76">
        <v>16.225</v>
      </c>
      <c r="F76" s="2" t="s">
        <v>46</v>
      </c>
      <c r="G76" t="str">
        <f ca="1" t="shared" si="3"/>
        <v>N/A</v>
      </c>
      <c r="H76" t="str">
        <f ca="1" t="shared" si="4"/>
        <v>N/A</v>
      </c>
      <c r="I76">
        <f ca="1" t="shared" si="5"/>
        <v>0</v>
      </c>
      <c r="J76">
        <f>_xlfn.XLOOKUP($A76,[1]Sheet1!$B$9:$B$2584,[1]Sheet1!$C$9:$C$2584,"N/A",0)</f>
        <v>99</v>
      </c>
      <c r="K76">
        <f>_xlfn.XLOOKUP($A76,[1]Sheet1!$E$9:$E$2584,[1]Sheet1!$F$9:$F$2584,"N/A",0)</f>
        <v>131.58</v>
      </c>
      <c r="L76">
        <f>_xlfn.XLOOKUP($A76,[1]Sheet1!$H$9:$H$2584,[1]Sheet1!$I$9:$I$2584,"N/A",0)</f>
        <v>94.34</v>
      </c>
      <c r="M76">
        <f>_xlfn.XLOOKUP($A76,[1]Sheet1!$K$9:$K$2584,[1]Sheet1!$L$9:$L$2584,"N/A",0)</f>
        <v>116.97</v>
      </c>
      <c r="N76">
        <f>_xlfn.XLOOKUP($A76,[1]Sheet1!$N$9:$N$2584,[1]Sheet1!$O$9:$O$2584,"N/A",0)</f>
        <v>94.75</v>
      </c>
      <c r="O76">
        <v>99</v>
      </c>
      <c r="P76">
        <v>131.58</v>
      </c>
      <c r="Q76">
        <v>94.34</v>
      </c>
      <c r="R76">
        <v>94.75</v>
      </c>
      <c r="S76">
        <v>116.97</v>
      </c>
    </row>
    <row r="77" spans="1:19">
      <c r="A77" s="1">
        <v>42480</v>
      </c>
      <c r="B77" t="s">
        <v>23</v>
      </c>
      <c r="C77" t="s">
        <v>33</v>
      </c>
      <c r="D77">
        <v>12.38</v>
      </c>
      <c r="E77">
        <v>16.425</v>
      </c>
      <c r="F77" s="2" t="s">
        <v>47</v>
      </c>
      <c r="G77" t="str">
        <f ca="1" t="shared" si="3"/>
        <v>N/A</v>
      </c>
      <c r="H77" t="str">
        <f ca="1" t="shared" si="4"/>
        <v>N/A</v>
      </c>
      <c r="I77">
        <f ca="1" t="shared" si="5"/>
        <v>0</v>
      </c>
      <c r="J77">
        <f>_xlfn.XLOOKUP($A77,[1]Sheet1!$B$9:$B$2584,[1]Sheet1!$C$9:$C$2584,"N/A",0)</f>
        <v>99.02</v>
      </c>
      <c r="K77">
        <f>_xlfn.XLOOKUP($A77,[1]Sheet1!$E$9:$E$2584,[1]Sheet1!$F$9:$F$2584,"N/A",0)</f>
        <v>130.99</v>
      </c>
      <c r="L77">
        <f>_xlfn.XLOOKUP($A77,[1]Sheet1!$H$9:$H$2584,[1]Sheet1!$I$9:$I$2584,"N/A",0)</f>
        <v>94.89</v>
      </c>
      <c r="M77">
        <f>_xlfn.XLOOKUP($A77,[1]Sheet1!$K$9:$K$2584,[1]Sheet1!$L$9:$L$2584,"N/A",0)</f>
        <v>116.88</v>
      </c>
      <c r="N77">
        <f>_xlfn.XLOOKUP($A77,[1]Sheet1!$N$9:$N$2584,[1]Sheet1!$O$9:$O$2584,"N/A",0)</f>
        <v>94.83</v>
      </c>
      <c r="O77">
        <v>99.02</v>
      </c>
      <c r="P77">
        <v>130.99</v>
      </c>
      <c r="Q77">
        <v>94.89</v>
      </c>
      <c r="R77">
        <v>94.83</v>
      </c>
      <c r="S77">
        <v>116.88</v>
      </c>
    </row>
    <row r="78" spans="1:19">
      <c r="A78" s="1">
        <v>42481</v>
      </c>
      <c r="B78" t="s">
        <v>33</v>
      </c>
      <c r="C78" t="s">
        <v>48</v>
      </c>
      <c r="D78">
        <v>16.775</v>
      </c>
      <c r="E78">
        <v>18.475</v>
      </c>
      <c r="F78" s="2" t="s">
        <v>49</v>
      </c>
      <c r="G78" t="str">
        <f ca="1" t="shared" si="3"/>
        <v>N/A</v>
      </c>
      <c r="H78" t="str">
        <f ca="1" t="shared" si="4"/>
        <v>N/A</v>
      </c>
      <c r="I78">
        <f ca="1" t="shared" si="5"/>
        <v>0</v>
      </c>
      <c r="J78">
        <f>_xlfn.XLOOKUP($A78,[1]Sheet1!$B$9:$B$2584,[1]Sheet1!$C$9:$C$2584,"N/A",0)</f>
        <v>99.21</v>
      </c>
      <c r="K78">
        <f>_xlfn.XLOOKUP($A78,[1]Sheet1!$E$9:$E$2584,[1]Sheet1!$F$9:$F$2584,"N/A",0)</f>
        <v>129.9</v>
      </c>
      <c r="L78">
        <f>_xlfn.XLOOKUP($A78,[1]Sheet1!$H$9:$H$2584,[1]Sheet1!$I$9:$I$2584,"N/A",0)</f>
        <v>94.73</v>
      </c>
      <c r="M78">
        <f>_xlfn.XLOOKUP($A78,[1]Sheet1!$K$9:$K$2584,[1]Sheet1!$L$9:$L$2584,"N/A",0)</f>
        <v>116.44</v>
      </c>
      <c r="N78">
        <f>_xlfn.XLOOKUP($A78,[1]Sheet1!$N$9:$N$2584,[1]Sheet1!$O$9:$O$2584,"N/A",0)</f>
        <v>95.11</v>
      </c>
      <c r="O78">
        <v>99.21</v>
      </c>
      <c r="P78">
        <v>129.9</v>
      </c>
      <c r="Q78">
        <v>94.73</v>
      </c>
      <c r="R78">
        <v>95.11</v>
      </c>
      <c r="S78">
        <v>116.44</v>
      </c>
    </row>
    <row r="79" spans="1:19">
      <c r="A79" s="1">
        <v>42482</v>
      </c>
      <c r="B79" t="s">
        <v>33</v>
      </c>
      <c r="C79" t="s">
        <v>48</v>
      </c>
      <c r="D79">
        <v>16.175</v>
      </c>
      <c r="E79">
        <v>18.025</v>
      </c>
      <c r="F79" s="2" t="s">
        <v>50</v>
      </c>
      <c r="G79" t="str">
        <f ca="1" t="shared" si="3"/>
        <v>N/A</v>
      </c>
      <c r="H79" t="str">
        <f ca="1" t="shared" si="4"/>
        <v>N/A</v>
      </c>
      <c r="I79">
        <f ca="1" t="shared" si="5"/>
        <v>0</v>
      </c>
      <c r="J79">
        <f>_xlfn.XLOOKUP($A79,[1]Sheet1!$B$9:$B$2584,[1]Sheet1!$C$9:$C$2584,"N/A",0)</f>
        <v>99.29</v>
      </c>
      <c r="K79">
        <f>_xlfn.XLOOKUP($A79,[1]Sheet1!$E$9:$E$2584,[1]Sheet1!$F$9:$F$2584,"N/A",0)</f>
        <v>128.76</v>
      </c>
      <c r="L79">
        <f>_xlfn.XLOOKUP($A79,[1]Sheet1!$H$9:$H$2584,[1]Sheet1!$I$9:$I$2584,"N/A",0)</f>
        <v>95.03</v>
      </c>
      <c r="M79">
        <f>_xlfn.XLOOKUP($A79,[1]Sheet1!$K$9:$K$2584,[1]Sheet1!$L$9:$L$2584,"N/A",0)</f>
        <v>116.25</v>
      </c>
      <c r="N79">
        <f>_xlfn.XLOOKUP($A79,[1]Sheet1!$N$9:$N$2584,[1]Sheet1!$O$9:$O$2584,"N/A",0)</f>
        <v>94.36</v>
      </c>
      <c r="O79">
        <v>99.29</v>
      </c>
      <c r="P79">
        <v>128.76</v>
      </c>
      <c r="Q79">
        <v>95.03</v>
      </c>
      <c r="R79">
        <v>94.36</v>
      </c>
      <c r="S79">
        <v>116.25</v>
      </c>
    </row>
    <row r="80" spans="1:19">
      <c r="A80" s="1">
        <v>42485</v>
      </c>
      <c r="B80" t="s">
        <v>33</v>
      </c>
      <c r="C80" t="s">
        <v>48</v>
      </c>
      <c r="D80">
        <v>16.225</v>
      </c>
      <c r="E80">
        <v>18.175</v>
      </c>
      <c r="F80" s="2" t="s">
        <v>51</v>
      </c>
      <c r="G80" t="str">
        <f ca="1" t="shared" si="3"/>
        <v>N/A</v>
      </c>
      <c r="H80" t="str">
        <f ca="1" t="shared" si="4"/>
        <v>N/A</v>
      </c>
      <c r="I80">
        <f ca="1" t="shared" si="5"/>
        <v>0</v>
      </c>
      <c r="J80">
        <f>_xlfn.XLOOKUP($A80,[1]Sheet1!$B$9:$B$2584,[1]Sheet1!$C$9:$C$2584,"N/A",0)</f>
        <v>99.47</v>
      </c>
      <c r="K80">
        <f>_xlfn.XLOOKUP($A80,[1]Sheet1!$E$9:$E$2584,[1]Sheet1!$F$9:$F$2584,"N/A",0)</f>
        <v>129.91</v>
      </c>
      <c r="L80">
        <f>_xlfn.XLOOKUP($A80,[1]Sheet1!$H$9:$H$2584,[1]Sheet1!$I$9:$I$2584,"N/A",0)</f>
        <v>94.64</v>
      </c>
      <c r="M80">
        <f>_xlfn.XLOOKUP($A80,[1]Sheet1!$K$9:$K$2584,[1]Sheet1!$L$9:$L$2584,"N/A",0)</f>
        <v>116.95</v>
      </c>
      <c r="N80">
        <f>_xlfn.XLOOKUP($A80,[1]Sheet1!$N$9:$N$2584,[1]Sheet1!$O$9:$O$2584,"N/A",0)</f>
        <v>94.62</v>
      </c>
      <c r="O80">
        <v>99.47</v>
      </c>
      <c r="P80">
        <v>129.91</v>
      </c>
      <c r="Q80">
        <v>94.64</v>
      </c>
      <c r="R80">
        <v>94.62</v>
      </c>
      <c r="S80">
        <v>116.95</v>
      </c>
    </row>
    <row r="81" spans="1:19">
      <c r="A81" s="1">
        <v>42486</v>
      </c>
      <c r="B81" t="s">
        <v>33</v>
      </c>
      <c r="C81" t="s">
        <v>48</v>
      </c>
      <c r="D81">
        <v>15.925</v>
      </c>
      <c r="E81">
        <v>18.025</v>
      </c>
      <c r="F81" s="2" t="s">
        <v>52</v>
      </c>
      <c r="G81" t="str">
        <f ca="1" t="shared" si="3"/>
        <v>N/A</v>
      </c>
      <c r="H81" t="str">
        <f ca="1" t="shared" si="4"/>
        <v>N/A</v>
      </c>
      <c r="I81">
        <f ca="1" t="shared" si="5"/>
        <v>0</v>
      </c>
      <c r="J81">
        <f>_xlfn.XLOOKUP($A81,[1]Sheet1!$B$9:$B$2584,[1]Sheet1!$C$9:$C$2584,"N/A",0)</f>
        <v>99.39</v>
      </c>
      <c r="K81">
        <f>_xlfn.XLOOKUP($A81,[1]Sheet1!$E$9:$E$2584,[1]Sheet1!$F$9:$F$2584,"N/A",0)</f>
        <v>128.59</v>
      </c>
      <c r="L81">
        <f>_xlfn.XLOOKUP($A81,[1]Sheet1!$H$9:$H$2584,[1]Sheet1!$I$9:$I$2584,"N/A",0)</f>
        <v>94.91</v>
      </c>
      <c r="M81">
        <f>_xlfn.XLOOKUP($A81,[1]Sheet1!$K$9:$K$2584,[1]Sheet1!$L$9:$L$2584,"N/A",0)</f>
        <v>116.97</v>
      </c>
      <c r="N81">
        <f>_xlfn.XLOOKUP($A81,[1]Sheet1!$N$9:$N$2584,[1]Sheet1!$O$9:$O$2584,"N/A",0)</f>
        <v>94.02</v>
      </c>
      <c r="O81">
        <v>99.39</v>
      </c>
      <c r="P81">
        <v>128.59</v>
      </c>
      <c r="Q81">
        <v>94.91</v>
      </c>
      <c r="R81">
        <v>94.02</v>
      </c>
      <c r="S81">
        <v>116.97</v>
      </c>
    </row>
    <row r="82" spans="1:19">
      <c r="A82" s="1">
        <v>42487</v>
      </c>
      <c r="B82" t="s">
        <v>33</v>
      </c>
      <c r="C82" t="s">
        <v>48</v>
      </c>
      <c r="D82">
        <v>15.475</v>
      </c>
      <c r="E82">
        <v>17.625</v>
      </c>
      <c r="F82" s="2" t="s">
        <v>53</v>
      </c>
      <c r="G82" t="str">
        <f ca="1" t="shared" si="3"/>
        <v>N/A</v>
      </c>
      <c r="H82" t="str">
        <f ca="1" t="shared" si="4"/>
        <v>N/A</v>
      </c>
      <c r="I82">
        <f ca="1" t="shared" si="5"/>
        <v>0</v>
      </c>
      <c r="J82">
        <f>_xlfn.XLOOKUP($A82,[1]Sheet1!$B$9:$B$2584,[1]Sheet1!$C$9:$C$2584,"N/A",0)</f>
        <v>99.58</v>
      </c>
      <c r="K82">
        <f>_xlfn.XLOOKUP($A82,[1]Sheet1!$E$9:$E$2584,[1]Sheet1!$F$9:$F$2584,"N/A",0)</f>
        <v>129.01</v>
      </c>
      <c r="L82">
        <f>_xlfn.XLOOKUP($A82,[1]Sheet1!$H$9:$H$2584,[1]Sheet1!$I$9:$I$2584,"N/A",0)</f>
        <v>94.98</v>
      </c>
      <c r="M82">
        <f>_xlfn.XLOOKUP($A82,[1]Sheet1!$K$9:$K$2584,[1]Sheet1!$L$9:$L$2584,"N/A",0)</f>
        <v>116.99</v>
      </c>
      <c r="N82">
        <f>_xlfn.XLOOKUP($A82,[1]Sheet1!$N$9:$N$2584,[1]Sheet1!$O$9:$O$2584,"N/A",0)</f>
        <v>93.79</v>
      </c>
      <c r="O82">
        <v>99.58</v>
      </c>
      <c r="P82">
        <v>129.01</v>
      </c>
      <c r="Q82">
        <v>94.98</v>
      </c>
      <c r="R82">
        <v>93.79</v>
      </c>
      <c r="S82">
        <v>116.99</v>
      </c>
    </row>
    <row r="83" spans="1:19">
      <c r="A83" s="1">
        <v>42488</v>
      </c>
      <c r="B83" t="s">
        <v>33</v>
      </c>
      <c r="C83" t="s">
        <v>48</v>
      </c>
      <c r="D83">
        <v>16.475</v>
      </c>
      <c r="E83">
        <v>18.475</v>
      </c>
      <c r="F83" s="2" t="s">
        <v>54</v>
      </c>
      <c r="G83" t="str">
        <f ca="1" t="shared" si="3"/>
        <v>N/A</v>
      </c>
      <c r="H83" t="str">
        <f ca="1" t="shared" si="4"/>
        <v>N/A</v>
      </c>
      <c r="I83">
        <f ca="1" t="shared" si="5"/>
        <v>0</v>
      </c>
      <c r="J83">
        <f>_xlfn.XLOOKUP($A83,[1]Sheet1!$B$9:$B$2584,[1]Sheet1!$C$9:$C$2584,"N/A",0)</f>
        <v>99.03</v>
      </c>
      <c r="K83">
        <f>_xlfn.XLOOKUP($A83,[1]Sheet1!$E$9:$E$2584,[1]Sheet1!$F$9:$F$2584,"N/A",0)</f>
        <v>128.52</v>
      </c>
      <c r="L83">
        <f>_xlfn.XLOOKUP($A83,[1]Sheet1!$H$9:$H$2584,[1]Sheet1!$I$9:$I$2584,"N/A",0)</f>
        <v>94.59</v>
      </c>
      <c r="M83">
        <f>_xlfn.XLOOKUP($A83,[1]Sheet1!$K$9:$K$2584,[1]Sheet1!$L$9:$L$2584,"N/A",0)</f>
        <v>115.47</v>
      </c>
      <c r="N83">
        <f>_xlfn.XLOOKUP($A83,[1]Sheet1!$N$9:$N$2584,[1]Sheet1!$O$9:$O$2584,"N/A",0)</f>
        <v>93.95</v>
      </c>
      <c r="O83">
        <v>99.03</v>
      </c>
      <c r="P83">
        <v>128.52</v>
      </c>
      <c r="Q83">
        <v>94.59</v>
      </c>
      <c r="R83">
        <v>93.95</v>
      </c>
      <c r="S83">
        <v>115.47</v>
      </c>
    </row>
    <row r="84" spans="1:19">
      <c r="A84" s="1">
        <v>42489</v>
      </c>
      <c r="B84" t="s">
        <v>33</v>
      </c>
      <c r="C84" t="s">
        <v>48</v>
      </c>
      <c r="D84">
        <v>16.875</v>
      </c>
      <c r="E84">
        <v>18.975</v>
      </c>
      <c r="F84" s="2" t="s">
        <v>55</v>
      </c>
      <c r="G84" t="str">
        <f ca="1" t="shared" si="3"/>
        <v>N/A</v>
      </c>
      <c r="H84" t="str">
        <f ca="1" t="shared" si="4"/>
        <v>N/A</v>
      </c>
      <c r="I84">
        <f ca="1" t="shared" si="5"/>
        <v>0</v>
      </c>
      <c r="J84">
        <f>_xlfn.XLOOKUP($A84,[1]Sheet1!$B$9:$B$2584,[1]Sheet1!$C$9:$C$2584,"N/A",0)</f>
        <v>98.76</v>
      </c>
      <c r="K84">
        <f>_xlfn.XLOOKUP($A84,[1]Sheet1!$E$9:$E$2584,[1]Sheet1!$F$9:$F$2584,"N/A",0)</f>
        <v>129.09</v>
      </c>
      <c r="L84">
        <f>_xlfn.XLOOKUP($A84,[1]Sheet1!$H$9:$H$2584,[1]Sheet1!$I$9:$I$2584,"N/A",0)</f>
        <v>93.26</v>
      </c>
      <c r="M84">
        <f>_xlfn.XLOOKUP($A84,[1]Sheet1!$K$9:$K$2584,[1]Sheet1!$L$9:$L$2584,"N/A",0)</f>
        <v>113.75</v>
      </c>
      <c r="N84">
        <f>_xlfn.XLOOKUP($A84,[1]Sheet1!$N$9:$N$2584,[1]Sheet1!$O$9:$O$2584,"N/A",0)</f>
        <v>94.02</v>
      </c>
      <c r="O84">
        <v>98.76</v>
      </c>
      <c r="P84">
        <v>129.09</v>
      </c>
      <c r="Q84">
        <v>93.26</v>
      </c>
      <c r="R84">
        <v>94.02</v>
      </c>
      <c r="S84">
        <v>113.75</v>
      </c>
    </row>
    <row r="85" spans="1:19">
      <c r="A85" s="1">
        <v>42492</v>
      </c>
      <c r="B85" t="s">
        <v>33</v>
      </c>
      <c r="C85" t="s">
        <v>48</v>
      </c>
      <c r="D85">
        <v>15.775</v>
      </c>
      <c r="E85">
        <v>18.175</v>
      </c>
      <c r="F85" s="2" t="s">
        <v>56</v>
      </c>
      <c r="G85" t="str">
        <f ca="1" t="shared" si="3"/>
        <v>N/A</v>
      </c>
      <c r="H85" t="str">
        <f ca="1" t="shared" si="4"/>
        <v>N/A</v>
      </c>
      <c r="I85">
        <f ca="1" t="shared" si="5"/>
        <v>0</v>
      </c>
      <c r="J85">
        <f>_xlfn.XLOOKUP($A85,[1]Sheet1!$B$9:$B$2584,[1]Sheet1!$C$9:$C$2584,"N/A",0)</f>
        <v>98.61</v>
      </c>
      <c r="K85">
        <f>_xlfn.XLOOKUP($A85,[1]Sheet1!$E$9:$E$2584,[1]Sheet1!$F$9:$F$2584,"N/A",0)</f>
        <v>130.02</v>
      </c>
      <c r="L85">
        <f>_xlfn.XLOOKUP($A85,[1]Sheet1!$H$9:$H$2584,[1]Sheet1!$I$9:$I$2584,"N/A",0)</f>
        <v>92.7</v>
      </c>
      <c r="M85">
        <f>_xlfn.XLOOKUP($A85,[1]Sheet1!$K$9:$K$2584,[1]Sheet1!$L$9:$L$2584,"N/A",0)</f>
        <v>114.6</v>
      </c>
      <c r="N85">
        <f>_xlfn.XLOOKUP($A85,[1]Sheet1!$N$9:$N$2584,[1]Sheet1!$O$9:$O$2584,"N/A",0)</f>
        <v>93.93</v>
      </c>
      <c r="O85">
        <v>98.61</v>
      </c>
      <c r="P85">
        <v>130.02</v>
      </c>
      <c r="Q85">
        <v>92.7</v>
      </c>
      <c r="R85">
        <v>93.93</v>
      </c>
      <c r="S85">
        <v>114.6</v>
      </c>
    </row>
    <row r="86" spans="1:19">
      <c r="A86" s="1">
        <v>42493</v>
      </c>
      <c r="B86" t="s">
        <v>33</v>
      </c>
      <c r="C86" t="s">
        <v>48</v>
      </c>
      <c r="D86">
        <v>16.625</v>
      </c>
      <c r="E86">
        <v>18.925</v>
      </c>
      <c r="F86" s="2" t="s">
        <v>57</v>
      </c>
      <c r="G86" t="str">
        <f ca="1" t="shared" si="3"/>
        <v>N/A</v>
      </c>
      <c r="H86" t="str">
        <f ca="1" t="shared" si="4"/>
        <v>N/A</v>
      </c>
      <c r="I86">
        <f ca="1" t="shared" si="5"/>
        <v>0</v>
      </c>
      <c r="J86">
        <f>_xlfn.XLOOKUP($A86,[1]Sheet1!$B$9:$B$2584,[1]Sheet1!$C$9:$C$2584,"N/A",0)</f>
        <v>98.47</v>
      </c>
      <c r="K86">
        <f>_xlfn.XLOOKUP($A86,[1]Sheet1!$E$9:$E$2584,[1]Sheet1!$F$9:$F$2584,"N/A",0)</f>
        <v>130.47</v>
      </c>
      <c r="L86">
        <f>_xlfn.XLOOKUP($A86,[1]Sheet1!$H$9:$H$2584,[1]Sheet1!$I$9:$I$2584,"N/A",0)</f>
        <v>93.2</v>
      </c>
      <c r="M86">
        <f>_xlfn.XLOOKUP($A86,[1]Sheet1!$K$9:$K$2584,[1]Sheet1!$L$9:$L$2584,"N/A",0)</f>
        <v>115.94</v>
      </c>
      <c r="N86">
        <f>_xlfn.XLOOKUP($A86,[1]Sheet1!$N$9:$N$2584,[1]Sheet1!$O$9:$O$2584,"N/A",0)</f>
        <v>94.13</v>
      </c>
      <c r="O86">
        <v>98.47</v>
      </c>
      <c r="P86">
        <v>130.47</v>
      </c>
      <c r="Q86">
        <v>93.2</v>
      </c>
      <c r="R86">
        <v>94.13</v>
      </c>
      <c r="S86">
        <v>115.94</v>
      </c>
    </row>
    <row r="87" spans="1:19">
      <c r="A87" s="1">
        <v>42494</v>
      </c>
      <c r="B87" t="s">
        <v>33</v>
      </c>
      <c r="C87" t="s">
        <v>48</v>
      </c>
      <c r="D87">
        <v>16.875</v>
      </c>
      <c r="E87">
        <v>19.075</v>
      </c>
      <c r="F87" s="2" t="s">
        <v>58</v>
      </c>
      <c r="G87" t="str">
        <f ca="1" t="shared" si="3"/>
        <v>N/A</v>
      </c>
      <c r="H87" t="str">
        <f ca="1" t="shared" si="4"/>
        <v>N/A</v>
      </c>
      <c r="I87">
        <f ca="1" t="shared" si="5"/>
        <v>0</v>
      </c>
      <c r="J87">
        <f>_xlfn.XLOOKUP($A87,[1]Sheet1!$B$9:$B$2584,[1]Sheet1!$C$9:$C$2584,"N/A",0)</f>
        <v>99.13</v>
      </c>
      <c r="K87">
        <f>_xlfn.XLOOKUP($A87,[1]Sheet1!$E$9:$E$2584,[1]Sheet1!$F$9:$F$2584,"N/A",0)</f>
        <v>130.88</v>
      </c>
      <c r="L87">
        <f>_xlfn.XLOOKUP($A87,[1]Sheet1!$H$9:$H$2584,[1]Sheet1!$I$9:$I$2584,"N/A",0)</f>
        <v>93.23</v>
      </c>
      <c r="M87">
        <f>_xlfn.XLOOKUP($A87,[1]Sheet1!$K$9:$K$2584,[1]Sheet1!$L$9:$L$2584,"N/A",0)</f>
        <v>116.8</v>
      </c>
      <c r="N87">
        <f>_xlfn.XLOOKUP($A87,[1]Sheet1!$N$9:$N$2584,[1]Sheet1!$O$9:$O$2584,"N/A",0)</f>
        <v>93.73</v>
      </c>
      <c r="O87">
        <v>99.13</v>
      </c>
      <c r="P87">
        <v>130.88</v>
      </c>
      <c r="Q87">
        <v>93.23</v>
      </c>
      <c r="R87">
        <v>93.73</v>
      </c>
      <c r="S87">
        <v>116.8</v>
      </c>
    </row>
    <row r="88" spans="1:19">
      <c r="A88" s="1">
        <v>42495</v>
      </c>
      <c r="B88" t="s">
        <v>33</v>
      </c>
      <c r="C88" t="s">
        <v>48</v>
      </c>
      <c r="D88">
        <v>16.725</v>
      </c>
      <c r="E88">
        <v>19.075</v>
      </c>
      <c r="F88" s="2" t="s">
        <v>59</v>
      </c>
      <c r="G88" t="str">
        <f ca="1" t="shared" si="3"/>
        <v>N/A</v>
      </c>
      <c r="H88" t="str">
        <f ca="1" t="shared" si="4"/>
        <v>N/A</v>
      </c>
      <c r="I88">
        <f ca="1" t="shared" si="5"/>
        <v>0</v>
      </c>
      <c r="J88">
        <f>_xlfn.XLOOKUP($A88,[1]Sheet1!$B$9:$B$2584,[1]Sheet1!$C$9:$C$2584,"N/A",0)</f>
        <v>99.2</v>
      </c>
      <c r="K88">
        <f>_xlfn.XLOOKUP($A88,[1]Sheet1!$E$9:$E$2584,[1]Sheet1!$F$9:$F$2584,"N/A",0)</f>
        <v>131.62</v>
      </c>
      <c r="L88">
        <f>_xlfn.XLOOKUP($A88,[1]Sheet1!$H$9:$H$2584,[1]Sheet1!$I$9:$I$2584,"N/A",0)</f>
        <v>92.84</v>
      </c>
      <c r="M88">
        <f>_xlfn.XLOOKUP($A88,[1]Sheet1!$K$9:$K$2584,[1]Sheet1!$L$9:$L$2584,"N/A",0)</f>
        <v>116.6</v>
      </c>
      <c r="N88">
        <f>_xlfn.XLOOKUP($A88,[1]Sheet1!$N$9:$N$2584,[1]Sheet1!$O$9:$O$2584,"N/A",0)</f>
        <v>94</v>
      </c>
      <c r="O88">
        <v>99.2</v>
      </c>
      <c r="P88">
        <v>131.62</v>
      </c>
      <c r="Q88">
        <v>92.84</v>
      </c>
      <c r="R88">
        <v>94</v>
      </c>
      <c r="S88">
        <v>116.6</v>
      </c>
    </row>
    <row r="89" spans="1:19">
      <c r="A89" s="1">
        <v>42496</v>
      </c>
      <c r="B89" t="s">
        <v>33</v>
      </c>
      <c r="C89" t="s">
        <v>48</v>
      </c>
      <c r="D89">
        <v>15.725</v>
      </c>
      <c r="E89">
        <v>18.325</v>
      </c>
      <c r="F89" s="2" t="s">
        <v>60</v>
      </c>
      <c r="G89" t="str">
        <f ca="1" t="shared" si="3"/>
        <v>N/A</v>
      </c>
      <c r="H89" t="str">
        <f ca="1" t="shared" si="4"/>
        <v>N/A</v>
      </c>
      <c r="I89">
        <f ca="1" t="shared" si="5"/>
        <v>0</v>
      </c>
      <c r="J89">
        <f>_xlfn.XLOOKUP($A89,[1]Sheet1!$B$9:$B$2584,[1]Sheet1!$C$9:$C$2584,"N/A",0)</f>
        <v>99.58</v>
      </c>
      <c r="K89">
        <f>_xlfn.XLOOKUP($A89,[1]Sheet1!$E$9:$E$2584,[1]Sheet1!$F$9:$F$2584,"N/A",0)</f>
        <v>133.3</v>
      </c>
      <c r="L89">
        <f>_xlfn.XLOOKUP($A89,[1]Sheet1!$H$9:$H$2584,[1]Sheet1!$I$9:$I$2584,"N/A",0)</f>
        <v>92.97</v>
      </c>
      <c r="M89">
        <f>_xlfn.XLOOKUP($A89,[1]Sheet1!$K$9:$K$2584,[1]Sheet1!$L$9:$L$2584,"N/A",0)</f>
        <v>116.43</v>
      </c>
      <c r="N89">
        <f>_xlfn.XLOOKUP($A89,[1]Sheet1!$N$9:$N$2584,[1]Sheet1!$O$9:$O$2584,"N/A",0)</f>
        <v>93.87</v>
      </c>
      <c r="O89">
        <v>99.58</v>
      </c>
      <c r="P89">
        <v>133.3</v>
      </c>
      <c r="Q89">
        <v>92.97</v>
      </c>
      <c r="R89">
        <v>93.87</v>
      </c>
      <c r="S89">
        <v>116.43</v>
      </c>
    </row>
    <row r="90" spans="1:19">
      <c r="A90" s="1">
        <v>42499</v>
      </c>
      <c r="B90" t="s">
        <v>33</v>
      </c>
      <c r="C90" t="s">
        <v>48</v>
      </c>
      <c r="D90">
        <v>15.475</v>
      </c>
      <c r="E90">
        <v>18.025</v>
      </c>
      <c r="F90" s="2" t="s">
        <v>61</v>
      </c>
      <c r="G90" t="str">
        <f ca="1" t="shared" si="3"/>
        <v>N/A</v>
      </c>
      <c r="H90" t="str">
        <f ca="1" t="shared" si="4"/>
        <v>N/A</v>
      </c>
      <c r="I90">
        <f ca="1" t="shared" si="5"/>
        <v>0</v>
      </c>
      <c r="J90">
        <f>_xlfn.XLOOKUP($A90,[1]Sheet1!$B$9:$B$2584,[1]Sheet1!$C$9:$C$2584,"N/A",0)</f>
        <v>99.51</v>
      </c>
      <c r="K90">
        <f>_xlfn.XLOOKUP($A90,[1]Sheet1!$E$9:$E$2584,[1]Sheet1!$F$9:$F$2584,"N/A",0)</f>
        <v>133.03</v>
      </c>
      <c r="L90">
        <f>_xlfn.XLOOKUP($A90,[1]Sheet1!$H$9:$H$2584,[1]Sheet1!$I$9:$I$2584,"N/A",0)</f>
        <v>92.81</v>
      </c>
      <c r="M90">
        <f>_xlfn.XLOOKUP($A90,[1]Sheet1!$K$9:$K$2584,[1]Sheet1!$L$9:$L$2584,"N/A",0)</f>
        <v>117.54</v>
      </c>
      <c r="N90">
        <f>_xlfn.XLOOKUP($A90,[1]Sheet1!$N$9:$N$2584,[1]Sheet1!$O$9:$O$2584,"N/A",0)</f>
        <v>93.57</v>
      </c>
      <c r="O90">
        <v>99.51</v>
      </c>
      <c r="P90">
        <v>133.03</v>
      </c>
      <c r="Q90">
        <v>92.81</v>
      </c>
      <c r="R90">
        <v>93.57</v>
      </c>
      <c r="S90">
        <v>117.54</v>
      </c>
    </row>
    <row r="91" spans="1:19">
      <c r="A91" s="1">
        <v>42500</v>
      </c>
      <c r="B91" t="s">
        <v>33</v>
      </c>
      <c r="C91" t="s">
        <v>48</v>
      </c>
      <c r="D91">
        <v>14.525</v>
      </c>
      <c r="E91">
        <v>17.125</v>
      </c>
      <c r="F91" s="2" t="s">
        <v>62</v>
      </c>
      <c r="G91" t="str">
        <f ca="1" t="shared" si="3"/>
        <v>N/A</v>
      </c>
      <c r="H91" t="str">
        <f ca="1" t="shared" si="4"/>
        <v>N/A</v>
      </c>
      <c r="I91">
        <f ca="1" t="shared" si="5"/>
        <v>0</v>
      </c>
      <c r="J91">
        <f>_xlfn.XLOOKUP($A91,[1]Sheet1!$B$9:$B$2584,[1]Sheet1!$C$9:$C$2584,"N/A",0)</f>
        <v>99.51</v>
      </c>
      <c r="K91">
        <f>_xlfn.XLOOKUP($A91,[1]Sheet1!$E$9:$E$2584,[1]Sheet1!$F$9:$F$2584,"N/A",0)</f>
        <v>133.21</v>
      </c>
      <c r="L91">
        <f>_xlfn.XLOOKUP($A91,[1]Sheet1!$H$9:$H$2584,[1]Sheet1!$I$9:$I$2584,"N/A",0)</f>
        <v>92.41</v>
      </c>
      <c r="M91">
        <f>_xlfn.XLOOKUP($A91,[1]Sheet1!$K$9:$K$2584,[1]Sheet1!$L$9:$L$2584,"N/A",0)</f>
        <v>116.65</v>
      </c>
      <c r="N91">
        <f>_xlfn.XLOOKUP($A91,[1]Sheet1!$N$9:$N$2584,[1]Sheet1!$O$9:$O$2584,"N/A",0)</f>
        <v>94.41</v>
      </c>
      <c r="O91">
        <v>99.51</v>
      </c>
      <c r="P91">
        <v>133.21</v>
      </c>
      <c r="Q91">
        <v>92.41</v>
      </c>
      <c r="R91">
        <v>94.41</v>
      </c>
      <c r="S91">
        <v>116.65</v>
      </c>
    </row>
    <row r="92" spans="1:19">
      <c r="A92" s="1">
        <v>42501</v>
      </c>
      <c r="B92" t="s">
        <v>33</v>
      </c>
      <c r="C92" t="s">
        <v>48</v>
      </c>
      <c r="D92">
        <v>15.625</v>
      </c>
      <c r="E92">
        <v>17.975</v>
      </c>
      <c r="F92" s="2" t="s">
        <v>63</v>
      </c>
      <c r="G92" t="str">
        <f ca="1" t="shared" si="3"/>
        <v>N/A</v>
      </c>
      <c r="H92" t="str">
        <f ca="1" t="shared" si="4"/>
        <v>N/A</v>
      </c>
      <c r="I92">
        <f ca="1" t="shared" si="5"/>
        <v>0</v>
      </c>
      <c r="J92">
        <f>_xlfn.XLOOKUP($A92,[1]Sheet1!$B$9:$B$2584,[1]Sheet1!$C$9:$C$2584,"N/A",0)</f>
        <v>99.59</v>
      </c>
      <c r="K92">
        <f>_xlfn.XLOOKUP($A92,[1]Sheet1!$E$9:$E$2584,[1]Sheet1!$F$9:$F$2584,"N/A",0)</f>
        <v>134.18</v>
      </c>
      <c r="L92">
        <f>_xlfn.XLOOKUP($A92,[1]Sheet1!$H$9:$H$2584,[1]Sheet1!$I$9:$I$2584,"N/A",0)</f>
        <v>92.06</v>
      </c>
      <c r="M92">
        <f>_xlfn.XLOOKUP($A92,[1]Sheet1!$K$9:$K$2584,[1]Sheet1!$L$9:$L$2584,"N/A",0)</f>
        <v>115.43</v>
      </c>
      <c r="N92">
        <f>_xlfn.XLOOKUP($A92,[1]Sheet1!$N$9:$N$2584,[1]Sheet1!$O$9:$O$2584,"N/A",0)</f>
        <v>94.69</v>
      </c>
      <c r="O92">
        <v>99.59</v>
      </c>
      <c r="P92">
        <v>134.18</v>
      </c>
      <c r="Q92">
        <v>92.06</v>
      </c>
      <c r="R92">
        <v>94.69</v>
      </c>
      <c r="S92">
        <v>115.43</v>
      </c>
    </row>
    <row r="93" spans="1:19">
      <c r="A93" s="1">
        <v>42502</v>
      </c>
      <c r="B93" t="s">
        <v>33</v>
      </c>
      <c r="C93" t="s">
        <v>48</v>
      </c>
      <c r="D93">
        <v>15.225</v>
      </c>
      <c r="E93">
        <v>17.475</v>
      </c>
      <c r="F93" s="2" t="s">
        <v>64</v>
      </c>
      <c r="G93" t="str">
        <f ca="1" t="shared" si="3"/>
        <v>N/A</v>
      </c>
      <c r="H93" t="str">
        <f ca="1" t="shared" si="4"/>
        <v>N/A</v>
      </c>
      <c r="I93">
        <f ca="1" t="shared" si="5"/>
        <v>0</v>
      </c>
      <c r="J93">
        <f>_xlfn.XLOOKUP($A93,[1]Sheet1!$B$9:$B$2584,[1]Sheet1!$C$9:$C$2584,"N/A",0)</f>
        <v>99.57</v>
      </c>
      <c r="K93">
        <f>_xlfn.XLOOKUP($A93,[1]Sheet1!$E$9:$E$2584,[1]Sheet1!$F$9:$F$2584,"N/A",0)</f>
        <v>135.41</v>
      </c>
      <c r="L93">
        <f>_xlfn.XLOOKUP($A93,[1]Sheet1!$H$9:$H$2584,[1]Sheet1!$I$9:$I$2584,"N/A",0)</f>
        <v>91.81</v>
      </c>
      <c r="M93">
        <f>_xlfn.XLOOKUP($A93,[1]Sheet1!$K$9:$K$2584,[1]Sheet1!$L$9:$L$2584,"N/A",0)</f>
        <v>116.19</v>
      </c>
      <c r="N93">
        <f>_xlfn.XLOOKUP($A93,[1]Sheet1!$N$9:$N$2584,[1]Sheet1!$O$9:$O$2584,"N/A",0)</f>
        <v>94.94</v>
      </c>
      <c r="O93">
        <v>99.57</v>
      </c>
      <c r="P93">
        <v>135.41</v>
      </c>
      <c r="Q93">
        <v>91.81</v>
      </c>
      <c r="R93">
        <v>94.94</v>
      </c>
      <c r="S93">
        <v>116.19</v>
      </c>
    </row>
    <row r="94" spans="1:19">
      <c r="A94" s="1">
        <v>42503</v>
      </c>
      <c r="B94" t="s">
        <v>33</v>
      </c>
      <c r="C94" t="s">
        <v>48</v>
      </c>
      <c r="D94">
        <v>15.875</v>
      </c>
      <c r="E94">
        <v>18.075</v>
      </c>
      <c r="F94" s="2" t="s">
        <v>65</v>
      </c>
      <c r="G94" t="str">
        <f ca="1" t="shared" si="3"/>
        <v>N/A</v>
      </c>
      <c r="H94" t="str">
        <f ca="1" t="shared" si="4"/>
        <v>N/A</v>
      </c>
      <c r="I94">
        <f ca="1" t="shared" si="5"/>
        <v>0</v>
      </c>
      <c r="J94">
        <f>_xlfn.XLOOKUP($A94,[1]Sheet1!$B$9:$B$2584,[1]Sheet1!$C$9:$C$2584,"N/A",0)</f>
        <v>99.62</v>
      </c>
      <c r="K94">
        <f>_xlfn.XLOOKUP($A94,[1]Sheet1!$E$9:$E$2584,[1]Sheet1!$F$9:$F$2584,"N/A",0)</f>
        <v>135.88</v>
      </c>
      <c r="L94">
        <f>_xlfn.XLOOKUP($A94,[1]Sheet1!$H$9:$H$2584,[1]Sheet1!$I$9:$I$2584,"N/A",0)</f>
        <v>91.86</v>
      </c>
      <c r="M94">
        <f>_xlfn.XLOOKUP($A94,[1]Sheet1!$K$9:$K$2584,[1]Sheet1!$L$9:$L$2584,"N/A",0)</f>
        <v>115.75</v>
      </c>
      <c r="N94">
        <f>_xlfn.XLOOKUP($A94,[1]Sheet1!$N$9:$N$2584,[1]Sheet1!$O$9:$O$2584,"N/A",0)</f>
        <v>94.77</v>
      </c>
      <c r="O94">
        <v>99.62</v>
      </c>
      <c r="P94">
        <v>135.88</v>
      </c>
      <c r="Q94">
        <v>91.86</v>
      </c>
      <c r="R94">
        <v>94.77</v>
      </c>
      <c r="S94">
        <v>115.75</v>
      </c>
    </row>
    <row r="95" spans="1:19">
      <c r="A95" s="1">
        <v>42506</v>
      </c>
      <c r="B95" t="s">
        <v>33</v>
      </c>
      <c r="C95" t="s">
        <v>48</v>
      </c>
      <c r="D95">
        <v>15.125</v>
      </c>
      <c r="E95">
        <v>17.425</v>
      </c>
      <c r="F95" s="2" t="s">
        <v>66</v>
      </c>
      <c r="G95" t="str">
        <f ca="1" t="shared" si="3"/>
        <v>N/A</v>
      </c>
      <c r="H95" t="str">
        <f ca="1" t="shared" si="4"/>
        <v>N/A</v>
      </c>
      <c r="I95">
        <f ca="1" t="shared" si="5"/>
        <v>0</v>
      </c>
      <c r="J95">
        <f>_xlfn.XLOOKUP($A95,[1]Sheet1!$B$9:$B$2584,[1]Sheet1!$C$9:$C$2584,"N/A",0)</f>
        <v>99.37</v>
      </c>
      <c r="K95">
        <f>_xlfn.XLOOKUP($A95,[1]Sheet1!$E$9:$E$2584,[1]Sheet1!$F$9:$F$2584,"N/A",0)</f>
        <v>135.96</v>
      </c>
      <c r="L95">
        <f>_xlfn.XLOOKUP($A95,[1]Sheet1!$H$9:$H$2584,[1]Sheet1!$I$9:$I$2584,"N/A",0)</f>
        <v>91.71</v>
      </c>
      <c r="M95">
        <f>_xlfn.XLOOKUP($A95,[1]Sheet1!$K$9:$K$2584,[1]Sheet1!$L$9:$L$2584,"N/A",0)</f>
        <v>115.19</v>
      </c>
      <c r="N95">
        <f>_xlfn.XLOOKUP($A95,[1]Sheet1!$N$9:$N$2584,[1]Sheet1!$O$9:$O$2584,"N/A",0)</f>
        <v>94.77</v>
      </c>
      <c r="O95">
        <v>99.37</v>
      </c>
      <c r="P95">
        <v>135.96</v>
      </c>
      <c r="Q95">
        <v>91.71</v>
      </c>
      <c r="R95">
        <v>94.77</v>
      </c>
      <c r="S95">
        <v>115.19</v>
      </c>
    </row>
    <row r="96" spans="1:19">
      <c r="A96" s="1">
        <v>42507</v>
      </c>
      <c r="B96" t="s">
        <v>33</v>
      </c>
      <c r="C96" t="s">
        <v>48</v>
      </c>
      <c r="D96">
        <v>15.425</v>
      </c>
      <c r="E96">
        <v>18</v>
      </c>
      <c r="F96" s="2" t="s">
        <v>67</v>
      </c>
      <c r="G96" t="str">
        <f ca="1" t="shared" si="3"/>
        <v>N/A</v>
      </c>
      <c r="H96" t="str">
        <f ca="1" t="shared" si="4"/>
        <v>N/A</v>
      </c>
      <c r="I96">
        <f ca="1" t="shared" si="5"/>
        <v>0</v>
      </c>
      <c r="J96">
        <f>_xlfn.XLOOKUP($A96,[1]Sheet1!$B$9:$B$2584,[1]Sheet1!$C$9:$C$2584,"N/A",0)</f>
        <v>99.53</v>
      </c>
      <c r="K96">
        <f>_xlfn.XLOOKUP($A96,[1]Sheet1!$E$9:$E$2584,[1]Sheet1!$F$9:$F$2584,"N/A",0)</f>
        <v>134.41</v>
      </c>
      <c r="L96">
        <f>_xlfn.XLOOKUP($A96,[1]Sheet1!$H$9:$H$2584,[1]Sheet1!$I$9:$I$2584,"N/A",0)</f>
        <v>92.21</v>
      </c>
      <c r="M96">
        <f>_xlfn.XLOOKUP($A96,[1]Sheet1!$K$9:$K$2584,[1]Sheet1!$L$9:$L$2584,"N/A",0)</f>
        <v>114.66</v>
      </c>
      <c r="N96">
        <f>_xlfn.XLOOKUP($A96,[1]Sheet1!$N$9:$N$2584,[1]Sheet1!$O$9:$O$2584,"N/A",0)</f>
        <v>95.73</v>
      </c>
      <c r="O96">
        <v>99.53</v>
      </c>
      <c r="P96">
        <v>134.41</v>
      </c>
      <c r="Q96">
        <v>92.21</v>
      </c>
      <c r="R96">
        <v>95.73</v>
      </c>
      <c r="S96">
        <v>114.66</v>
      </c>
    </row>
    <row r="97" spans="1:19">
      <c r="A97" s="1">
        <v>42508</v>
      </c>
      <c r="B97" t="s">
        <v>33</v>
      </c>
      <c r="C97" t="s">
        <v>48</v>
      </c>
      <c r="D97">
        <v>15.89</v>
      </c>
      <c r="E97">
        <v>18.075</v>
      </c>
      <c r="F97" s="2" t="s">
        <v>68</v>
      </c>
      <c r="G97" t="str">
        <f ca="1" t="shared" si="3"/>
        <v>N/A</v>
      </c>
      <c r="H97" t="str">
        <f ca="1" t="shared" si="4"/>
        <v>N/A</v>
      </c>
      <c r="I97">
        <f ca="1" t="shared" si="5"/>
        <v>0</v>
      </c>
      <c r="J97">
        <f>_xlfn.XLOOKUP($A97,[1]Sheet1!$B$9:$B$2584,[1]Sheet1!$C$9:$C$2584,"N/A",0)</f>
        <v>99.3</v>
      </c>
      <c r="K97">
        <f>_xlfn.XLOOKUP($A97,[1]Sheet1!$E$9:$E$2584,[1]Sheet1!$F$9:$F$2584,"N/A",0)</f>
        <v>135.01</v>
      </c>
      <c r="L97">
        <f>_xlfn.XLOOKUP($A97,[1]Sheet1!$H$9:$H$2584,[1]Sheet1!$I$9:$I$2584,"N/A",0)</f>
        <v>92.39</v>
      </c>
      <c r="M97">
        <f>_xlfn.XLOOKUP($A97,[1]Sheet1!$K$9:$K$2584,[1]Sheet1!$L$9:$L$2584,"N/A",0)</f>
        <v>115.18</v>
      </c>
      <c r="N97">
        <f>_xlfn.XLOOKUP($A97,[1]Sheet1!$N$9:$N$2584,[1]Sheet1!$O$9:$O$2584,"N/A",0)</f>
        <v>95.88</v>
      </c>
      <c r="O97">
        <v>99.3</v>
      </c>
      <c r="P97">
        <v>135.01</v>
      </c>
      <c r="Q97">
        <v>92.39</v>
      </c>
      <c r="R97">
        <v>95.88</v>
      </c>
      <c r="S97">
        <v>115.18</v>
      </c>
    </row>
    <row r="98" spans="1:19">
      <c r="A98" s="1">
        <v>42509</v>
      </c>
      <c r="B98" t="s">
        <v>48</v>
      </c>
      <c r="C98" t="s">
        <v>69</v>
      </c>
      <c r="D98">
        <v>17.975</v>
      </c>
      <c r="E98">
        <v>19.325</v>
      </c>
      <c r="F98">
        <v>0.0751043115438107</v>
      </c>
      <c r="G98" t="str">
        <f ca="1" t="shared" si="3"/>
        <v>N/A</v>
      </c>
      <c r="H98" t="str">
        <f ca="1" t="shared" si="4"/>
        <v>N/A</v>
      </c>
      <c r="I98">
        <f ca="1" t="shared" si="5"/>
        <v>0</v>
      </c>
      <c r="J98">
        <f>_xlfn.XLOOKUP($A98,[1]Sheet1!$B$9:$B$2584,[1]Sheet1!$C$9:$C$2584,"N/A",0)</f>
        <v>99.2</v>
      </c>
      <c r="K98">
        <f>_xlfn.XLOOKUP($A98,[1]Sheet1!$E$9:$E$2584,[1]Sheet1!$F$9:$F$2584,"N/A",0)</f>
        <v>134.65</v>
      </c>
      <c r="L98">
        <f>_xlfn.XLOOKUP($A98,[1]Sheet1!$H$9:$H$2584,[1]Sheet1!$I$9:$I$2584,"N/A",0)</f>
        <v>91.9</v>
      </c>
      <c r="M98">
        <f>_xlfn.XLOOKUP($A98,[1]Sheet1!$K$9:$K$2584,[1]Sheet1!$L$9:$L$2584,"N/A",0)</f>
        <v>115.14</v>
      </c>
      <c r="N98">
        <f>_xlfn.XLOOKUP($A98,[1]Sheet1!$N$9:$N$2584,[1]Sheet1!$O$9:$O$2584,"N/A",0)</f>
        <v>96.14</v>
      </c>
      <c r="O98">
        <v>99.2</v>
      </c>
      <c r="P98">
        <v>134.65</v>
      </c>
      <c r="Q98">
        <v>91.9</v>
      </c>
      <c r="R98">
        <v>96.14</v>
      </c>
      <c r="S98">
        <v>115.14</v>
      </c>
    </row>
    <row r="99" spans="1:19">
      <c r="A99" s="1">
        <v>42510</v>
      </c>
      <c r="B99" t="s">
        <v>48</v>
      </c>
      <c r="C99" t="s">
        <v>69</v>
      </c>
      <c r="D99">
        <v>17.325</v>
      </c>
      <c r="E99">
        <v>18.95</v>
      </c>
      <c r="F99">
        <v>0.0937950937950937</v>
      </c>
      <c r="G99" t="str">
        <f ca="1" t="shared" si="3"/>
        <v>N/A</v>
      </c>
      <c r="H99" t="str">
        <f ca="1" t="shared" si="4"/>
        <v>N/A</v>
      </c>
      <c r="I99">
        <f ca="1" t="shared" si="5"/>
        <v>0</v>
      </c>
      <c r="J99">
        <f>_xlfn.XLOOKUP($A99,[1]Sheet1!$B$9:$B$2584,[1]Sheet1!$C$9:$C$2584,"N/A",0)</f>
        <v>99.22</v>
      </c>
      <c r="K99">
        <f>_xlfn.XLOOKUP($A99,[1]Sheet1!$E$9:$E$2584,[1]Sheet1!$F$9:$F$2584,"N/A",0)</f>
        <v>133.91</v>
      </c>
      <c r="L99">
        <f>_xlfn.XLOOKUP($A99,[1]Sheet1!$H$9:$H$2584,[1]Sheet1!$I$9:$I$2584,"N/A",0)</f>
        <v>92.17</v>
      </c>
      <c r="M99">
        <f>_xlfn.XLOOKUP($A99,[1]Sheet1!$K$9:$K$2584,[1]Sheet1!$L$9:$L$2584,"N/A",0)</f>
        <v>114.69</v>
      </c>
      <c r="N99">
        <f>_xlfn.XLOOKUP($A99,[1]Sheet1!$N$9:$N$2584,[1]Sheet1!$O$9:$O$2584,"N/A",0)</f>
        <v>95.32</v>
      </c>
      <c r="O99">
        <v>99.22</v>
      </c>
      <c r="P99">
        <v>133.91</v>
      </c>
      <c r="Q99">
        <v>92.17</v>
      </c>
      <c r="R99">
        <v>95.32</v>
      </c>
      <c r="S99">
        <v>114.69</v>
      </c>
    </row>
    <row r="100" spans="1:19">
      <c r="A100" s="1">
        <v>42513</v>
      </c>
      <c r="B100" t="s">
        <v>48</v>
      </c>
      <c r="C100" t="s">
        <v>69</v>
      </c>
      <c r="D100">
        <v>17.575</v>
      </c>
      <c r="E100">
        <v>19.075</v>
      </c>
      <c r="F100">
        <v>0.0853485064011379</v>
      </c>
      <c r="G100" t="str">
        <f ca="1" t="shared" si="3"/>
        <v>N/A</v>
      </c>
      <c r="H100" t="str">
        <f ca="1" t="shared" si="4"/>
        <v>N/A</v>
      </c>
      <c r="I100">
        <f ca="1" t="shared" si="5"/>
        <v>0</v>
      </c>
      <c r="J100">
        <f>_xlfn.XLOOKUP($A100,[1]Sheet1!$B$9:$B$2584,[1]Sheet1!$C$9:$C$2584,"N/A",0)</f>
        <v>99.18</v>
      </c>
      <c r="K100">
        <f>_xlfn.XLOOKUP($A100,[1]Sheet1!$E$9:$E$2584,[1]Sheet1!$F$9:$F$2584,"N/A",0)</f>
        <v>133.76</v>
      </c>
      <c r="L100">
        <f>_xlfn.XLOOKUP($A100,[1]Sheet1!$H$9:$H$2584,[1]Sheet1!$I$9:$I$2584,"N/A",0)</f>
        <v>92.09</v>
      </c>
      <c r="M100">
        <f>_xlfn.XLOOKUP($A100,[1]Sheet1!$K$9:$K$2584,[1]Sheet1!$L$9:$L$2584,"N/A",0)</f>
        <v>114.45</v>
      </c>
      <c r="N100">
        <f>_xlfn.XLOOKUP($A100,[1]Sheet1!$N$9:$N$2584,[1]Sheet1!$O$9:$O$2584,"N/A",0)</f>
        <v>95.53</v>
      </c>
      <c r="O100">
        <v>99.18</v>
      </c>
      <c r="P100">
        <v>133.76</v>
      </c>
      <c r="Q100">
        <v>92.09</v>
      </c>
      <c r="R100">
        <v>95.53</v>
      </c>
      <c r="S100">
        <v>114.45</v>
      </c>
    </row>
    <row r="101" spans="1:19">
      <c r="A101" s="1">
        <v>42514</v>
      </c>
      <c r="B101" t="s">
        <v>48</v>
      </c>
      <c r="C101" t="s">
        <v>69</v>
      </c>
      <c r="D101">
        <v>16.475</v>
      </c>
      <c r="E101">
        <v>18.225</v>
      </c>
      <c r="F101" s="2" t="s">
        <v>70</v>
      </c>
      <c r="G101" t="str">
        <f ca="1" t="shared" si="3"/>
        <v>N/A</v>
      </c>
      <c r="H101" t="str">
        <f ca="1" t="shared" si="4"/>
        <v>N/A</v>
      </c>
      <c r="I101">
        <f ca="1" t="shared" si="5"/>
        <v>0</v>
      </c>
      <c r="J101">
        <f>_xlfn.XLOOKUP($A101,[1]Sheet1!$B$9:$B$2584,[1]Sheet1!$C$9:$C$2584,"N/A",0)</f>
        <v>99.33</v>
      </c>
      <c r="K101">
        <f>_xlfn.XLOOKUP($A101,[1]Sheet1!$E$9:$E$2584,[1]Sheet1!$F$9:$F$2584,"N/A",0)</f>
        <v>134.39</v>
      </c>
      <c r="L101">
        <f>_xlfn.XLOOKUP($A101,[1]Sheet1!$H$9:$H$2584,[1]Sheet1!$I$9:$I$2584,"N/A",0)</f>
        <v>92.14</v>
      </c>
      <c r="M101">
        <f>_xlfn.XLOOKUP($A101,[1]Sheet1!$K$9:$K$2584,[1]Sheet1!$L$9:$L$2584,"N/A",0)</f>
        <v>115.31</v>
      </c>
      <c r="N101">
        <f>_xlfn.XLOOKUP($A101,[1]Sheet1!$N$9:$N$2584,[1]Sheet1!$O$9:$O$2584,"N/A",0)</f>
        <v>95.1</v>
      </c>
      <c r="O101">
        <v>99.33</v>
      </c>
      <c r="P101">
        <v>134.39</v>
      </c>
      <c r="Q101">
        <v>92.14</v>
      </c>
      <c r="R101">
        <v>95.1</v>
      </c>
      <c r="S101">
        <v>115.31</v>
      </c>
    </row>
    <row r="102" spans="1:19">
      <c r="A102" s="1">
        <v>42515</v>
      </c>
      <c r="B102" t="s">
        <v>48</v>
      </c>
      <c r="C102" t="s">
        <v>69</v>
      </c>
      <c r="D102">
        <v>16.175</v>
      </c>
      <c r="E102">
        <v>18.025</v>
      </c>
      <c r="F102" s="2" t="s">
        <v>50</v>
      </c>
      <c r="G102" t="str">
        <f ca="1" t="shared" si="3"/>
        <v>N/A</v>
      </c>
      <c r="H102" t="str">
        <f ca="1" t="shared" si="4"/>
        <v>N/A</v>
      </c>
      <c r="I102">
        <f ca="1" t="shared" si="5"/>
        <v>0</v>
      </c>
      <c r="J102">
        <f>_xlfn.XLOOKUP($A102,[1]Sheet1!$B$9:$B$2584,[1]Sheet1!$C$9:$C$2584,"N/A",0)</f>
        <v>99.24</v>
      </c>
      <c r="K102">
        <f>_xlfn.XLOOKUP($A102,[1]Sheet1!$E$9:$E$2584,[1]Sheet1!$F$9:$F$2584,"N/A",0)</f>
        <v>133.16</v>
      </c>
      <c r="L102">
        <f>_xlfn.XLOOKUP($A102,[1]Sheet1!$H$9:$H$2584,[1]Sheet1!$I$9:$I$2584,"N/A",0)</f>
        <v>92.43</v>
      </c>
      <c r="M102">
        <f>_xlfn.XLOOKUP($A102,[1]Sheet1!$K$9:$K$2584,[1]Sheet1!$L$9:$L$2584,"N/A",0)</f>
        <v>114.97</v>
      </c>
      <c r="N102">
        <f>_xlfn.XLOOKUP($A102,[1]Sheet1!$N$9:$N$2584,[1]Sheet1!$O$9:$O$2584,"N/A",0)</f>
        <v>95.24</v>
      </c>
      <c r="O102">
        <v>99.24</v>
      </c>
      <c r="P102">
        <v>133.16</v>
      </c>
      <c r="Q102">
        <v>92.43</v>
      </c>
      <c r="R102">
        <v>95.24</v>
      </c>
      <c r="S102">
        <v>114.97</v>
      </c>
    </row>
    <row r="103" spans="1:19">
      <c r="A103" s="1">
        <v>42516</v>
      </c>
      <c r="B103" t="s">
        <v>48</v>
      </c>
      <c r="C103" t="s">
        <v>69</v>
      </c>
      <c r="D103">
        <v>15.825</v>
      </c>
      <c r="E103">
        <v>17.825</v>
      </c>
      <c r="F103" s="2" t="s">
        <v>71</v>
      </c>
      <c r="G103" t="str">
        <f ca="1" t="shared" si="3"/>
        <v>N/A</v>
      </c>
      <c r="H103" t="str">
        <f ca="1" t="shared" si="4"/>
        <v>N/A</v>
      </c>
      <c r="I103">
        <f ca="1" t="shared" si="5"/>
        <v>0</v>
      </c>
      <c r="J103">
        <f>_xlfn.XLOOKUP($A103,[1]Sheet1!$B$9:$B$2584,[1]Sheet1!$C$9:$C$2584,"N/A",0)</f>
        <v>98.88</v>
      </c>
      <c r="K103">
        <f>_xlfn.XLOOKUP($A103,[1]Sheet1!$E$9:$E$2584,[1]Sheet1!$F$9:$F$2584,"N/A",0)</f>
        <v>132.98</v>
      </c>
      <c r="L103">
        <f>_xlfn.XLOOKUP($A103,[1]Sheet1!$H$9:$H$2584,[1]Sheet1!$I$9:$I$2584,"N/A",0)</f>
        <v>92.58</v>
      </c>
      <c r="M103">
        <f>_xlfn.XLOOKUP($A103,[1]Sheet1!$K$9:$K$2584,[1]Sheet1!$L$9:$L$2584,"N/A",0)</f>
        <v>115.11</v>
      </c>
      <c r="N103">
        <f>_xlfn.XLOOKUP($A103,[1]Sheet1!$N$9:$N$2584,[1]Sheet1!$O$9:$O$2584,"N/A",0)</f>
        <v>95.35</v>
      </c>
      <c r="O103">
        <v>98.88</v>
      </c>
      <c r="P103">
        <v>132.98</v>
      </c>
      <c r="Q103">
        <v>92.58</v>
      </c>
      <c r="R103">
        <v>95.35</v>
      </c>
      <c r="S103">
        <v>115.11</v>
      </c>
    </row>
    <row r="104" spans="1:19">
      <c r="A104" s="1">
        <v>42517</v>
      </c>
      <c r="B104" t="s">
        <v>48</v>
      </c>
      <c r="C104" t="s">
        <v>69</v>
      </c>
      <c r="D104">
        <v>15.375</v>
      </c>
      <c r="E104">
        <v>17.625</v>
      </c>
      <c r="F104" s="2" t="s">
        <v>72</v>
      </c>
      <c r="G104" t="str">
        <f ca="1" t="shared" si="3"/>
        <v>N/A</v>
      </c>
      <c r="H104" t="str">
        <f ca="1" t="shared" si="4"/>
        <v>N/A</v>
      </c>
      <c r="I104">
        <f ca="1" t="shared" si="5"/>
        <v>0</v>
      </c>
      <c r="J104">
        <f>_xlfn.XLOOKUP($A104,[1]Sheet1!$B$9:$B$2584,[1]Sheet1!$C$9:$C$2584,"N/A",0)</f>
        <v>99.09</v>
      </c>
      <c r="K104">
        <f>_xlfn.XLOOKUP($A104,[1]Sheet1!$E$9:$E$2584,[1]Sheet1!$F$9:$F$2584,"N/A",0)</f>
        <v>132.87</v>
      </c>
      <c r="L104">
        <f>_xlfn.XLOOKUP($A104,[1]Sheet1!$H$9:$H$2584,[1]Sheet1!$I$9:$I$2584,"N/A",0)</f>
        <v>92.8</v>
      </c>
      <c r="M104">
        <f>_xlfn.XLOOKUP($A104,[1]Sheet1!$K$9:$K$2584,[1]Sheet1!$L$9:$L$2584,"N/A",0)</f>
        <v>115.72</v>
      </c>
      <c r="N104">
        <f>_xlfn.XLOOKUP($A104,[1]Sheet1!$N$9:$N$2584,[1]Sheet1!$O$9:$O$2584,"N/A",0)</f>
        <v>95.04</v>
      </c>
      <c r="O104">
        <v>99.09</v>
      </c>
      <c r="P104">
        <v>132.87</v>
      </c>
      <c r="Q104">
        <v>92.8</v>
      </c>
      <c r="R104">
        <v>95.04</v>
      </c>
      <c r="S104">
        <v>115.72</v>
      </c>
    </row>
    <row r="105" spans="1:19">
      <c r="A105" s="1">
        <v>42521</v>
      </c>
      <c r="B105" t="s">
        <v>48</v>
      </c>
      <c r="C105" t="s">
        <v>69</v>
      </c>
      <c r="D105">
        <v>15.275</v>
      </c>
      <c r="E105">
        <v>17.475</v>
      </c>
      <c r="F105" s="2" t="s">
        <v>73</v>
      </c>
      <c r="G105" t="str">
        <f ca="1" t="shared" si="3"/>
        <v>N/A</v>
      </c>
      <c r="H105" t="str">
        <f ca="1" t="shared" si="4"/>
        <v>N/A</v>
      </c>
      <c r="I105">
        <f ca="1" t="shared" si="5"/>
        <v>0</v>
      </c>
      <c r="J105">
        <f>_xlfn.XLOOKUP($A105,[1]Sheet1!$B$9:$B$2584,[1]Sheet1!$C$9:$C$2584,"N/A",0)</f>
        <v>99.05</v>
      </c>
      <c r="K105">
        <f>_xlfn.XLOOKUP($A105,[1]Sheet1!$E$9:$E$2584,[1]Sheet1!$F$9:$F$2584,"N/A",0)</f>
        <v>130.6</v>
      </c>
      <c r="L105">
        <f>_xlfn.XLOOKUP($A105,[1]Sheet1!$H$9:$H$2584,[1]Sheet1!$I$9:$I$2584,"N/A",0)</f>
        <v>93.03</v>
      </c>
      <c r="M105">
        <f>_xlfn.XLOOKUP($A105,[1]Sheet1!$K$9:$K$2584,[1]Sheet1!$L$9:$L$2584,"N/A",0)</f>
        <v>115.27</v>
      </c>
      <c r="N105">
        <f>_xlfn.XLOOKUP($A105,[1]Sheet1!$N$9:$N$2584,[1]Sheet1!$O$9:$O$2584,"N/A",0)</f>
        <v>94.68</v>
      </c>
      <c r="O105">
        <v>99.05</v>
      </c>
      <c r="P105">
        <v>130.6</v>
      </c>
      <c r="Q105">
        <v>93.03</v>
      </c>
      <c r="R105">
        <v>94.68</v>
      </c>
      <c r="S105">
        <v>115.27</v>
      </c>
    </row>
    <row r="106" spans="1:19">
      <c r="A106" s="1">
        <v>42522</v>
      </c>
      <c r="B106" t="s">
        <v>48</v>
      </c>
      <c r="C106" t="s">
        <v>69</v>
      </c>
      <c r="D106">
        <v>15.275</v>
      </c>
      <c r="E106">
        <v>17.525</v>
      </c>
      <c r="F106" s="2" t="s">
        <v>74</v>
      </c>
      <c r="G106" t="str">
        <f ca="1" t="shared" si="3"/>
        <v>N/A</v>
      </c>
      <c r="H106" t="str">
        <f ca="1" t="shared" si="4"/>
        <v>N/A</v>
      </c>
      <c r="I106">
        <f ca="1" t="shared" si="5"/>
        <v>0</v>
      </c>
      <c r="J106">
        <f>_xlfn.XLOOKUP($A106,[1]Sheet1!$B$9:$B$2584,[1]Sheet1!$C$9:$C$2584,"N/A",0)</f>
        <v>99.21</v>
      </c>
      <c r="K106">
        <f>_xlfn.XLOOKUP($A106,[1]Sheet1!$E$9:$E$2584,[1]Sheet1!$F$9:$F$2584,"N/A",0)</f>
        <v>129.96</v>
      </c>
      <c r="L106">
        <f>_xlfn.XLOOKUP($A106,[1]Sheet1!$H$9:$H$2584,[1]Sheet1!$I$9:$I$2584,"N/A",0)</f>
        <v>93.14</v>
      </c>
      <c r="M106">
        <f>_xlfn.XLOOKUP($A106,[1]Sheet1!$K$9:$K$2584,[1]Sheet1!$L$9:$L$2584,"N/A",0)</f>
        <v>116.23</v>
      </c>
      <c r="N106">
        <f>_xlfn.XLOOKUP($A106,[1]Sheet1!$N$9:$N$2584,[1]Sheet1!$O$9:$O$2584,"N/A",0)</f>
        <v>94.23</v>
      </c>
      <c r="O106">
        <v>99.21</v>
      </c>
      <c r="P106">
        <v>129.96</v>
      </c>
      <c r="Q106">
        <v>93.14</v>
      </c>
      <c r="R106">
        <v>94.23</v>
      </c>
      <c r="S106">
        <v>116.23</v>
      </c>
    </row>
    <row r="107" spans="1:19">
      <c r="A107" s="1">
        <v>42523</v>
      </c>
      <c r="B107" t="s">
        <v>48</v>
      </c>
      <c r="C107" t="s">
        <v>69</v>
      </c>
      <c r="D107">
        <v>14.825</v>
      </c>
      <c r="E107">
        <v>17.175</v>
      </c>
      <c r="F107" s="2" t="s">
        <v>75</v>
      </c>
      <c r="G107" t="str">
        <f ca="1" t="shared" si="3"/>
        <v>N/A</v>
      </c>
      <c r="H107" t="str">
        <f ca="1" t="shared" si="4"/>
        <v>N/A</v>
      </c>
      <c r="I107">
        <f ca="1" t="shared" si="5"/>
        <v>0</v>
      </c>
      <c r="J107">
        <f>_xlfn.XLOOKUP($A107,[1]Sheet1!$B$9:$B$2584,[1]Sheet1!$C$9:$C$2584,"N/A",0)</f>
        <v>98.73</v>
      </c>
      <c r="K107">
        <f>_xlfn.XLOOKUP($A107,[1]Sheet1!$E$9:$E$2584,[1]Sheet1!$F$9:$F$2584,"N/A",0)</f>
        <v>128.84</v>
      </c>
      <c r="L107">
        <f>_xlfn.XLOOKUP($A107,[1]Sheet1!$H$9:$H$2584,[1]Sheet1!$I$9:$I$2584,"N/A",0)</f>
        <v>92.8</v>
      </c>
      <c r="M107">
        <f>_xlfn.XLOOKUP($A107,[1]Sheet1!$K$9:$K$2584,[1]Sheet1!$L$9:$L$2584,"N/A",0)</f>
        <v>115.86</v>
      </c>
      <c r="N107">
        <f>_xlfn.XLOOKUP($A107,[1]Sheet1!$N$9:$N$2584,[1]Sheet1!$O$9:$O$2584,"N/A",0)</f>
        <v>94.08</v>
      </c>
      <c r="O107">
        <v>98.73</v>
      </c>
      <c r="P107">
        <v>128.84</v>
      </c>
      <c r="Q107">
        <v>92.8</v>
      </c>
      <c r="R107">
        <v>94.08</v>
      </c>
      <c r="S107">
        <v>115.86</v>
      </c>
    </row>
    <row r="108" spans="1:19">
      <c r="A108" s="1">
        <v>42524</v>
      </c>
      <c r="B108" t="s">
        <v>48</v>
      </c>
      <c r="C108" t="s">
        <v>69</v>
      </c>
      <c r="D108">
        <v>14.725</v>
      </c>
      <c r="E108">
        <v>17.125</v>
      </c>
      <c r="F108" s="2" t="s">
        <v>76</v>
      </c>
      <c r="G108" t="str">
        <f ca="1" t="shared" si="3"/>
        <v>N/A</v>
      </c>
      <c r="H108" t="str">
        <f ca="1" t="shared" si="4"/>
        <v>N/A</v>
      </c>
      <c r="I108">
        <f ca="1" t="shared" si="5"/>
        <v>0</v>
      </c>
      <c r="J108">
        <f>_xlfn.XLOOKUP($A108,[1]Sheet1!$B$9:$B$2584,[1]Sheet1!$C$9:$C$2584,"N/A",0)</f>
        <v>99.14</v>
      </c>
      <c r="K108">
        <f>_xlfn.XLOOKUP($A108,[1]Sheet1!$E$9:$E$2584,[1]Sheet1!$F$9:$F$2584,"N/A",0)</f>
        <v>128.36</v>
      </c>
      <c r="L108">
        <f>_xlfn.XLOOKUP($A108,[1]Sheet1!$H$9:$H$2584,[1]Sheet1!$I$9:$I$2584,"N/A",0)</f>
        <v>93.11</v>
      </c>
      <c r="M108">
        <f>_xlfn.XLOOKUP($A108,[1]Sheet1!$K$9:$K$2584,[1]Sheet1!$L$9:$L$2584,"N/A",0)</f>
        <v>114.24</v>
      </c>
      <c r="N108">
        <f>_xlfn.XLOOKUP($A108,[1]Sheet1!$N$9:$N$2584,[1]Sheet1!$O$9:$O$2584,"N/A",0)</f>
        <v>94.37</v>
      </c>
      <c r="O108">
        <v>99.14</v>
      </c>
      <c r="P108">
        <v>128.36</v>
      </c>
      <c r="Q108">
        <v>93.11</v>
      </c>
      <c r="R108">
        <v>94.37</v>
      </c>
      <c r="S108">
        <v>114.24</v>
      </c>
    </row>
    <row r="109" spans="1:19">
      <c r="A109" s="1">
        <v>42527</v>
      </c>
      <c r="B109" t="s">
        <v>48</v>
      </c>
      <c r="C109" t="s">
        <v>69</v>
      </c>
      <c r="D109">
        <v>14.475</v>
      </c>
      <c r="E109">
        <v>16.875</v>
      </c>
      <c r="F109" s="2" t="s">
        <v>77</v>
      </c>
      <c r="G109" t="str">
        <f ca="1" t="shared" si="3"/>
        <v>N/A</v>
      </c>
      <c r="H109" t="str">
        <f ca="1" t="shared" si="4"/>
        <v>N/A</v>
      </c>
      <c r="I109">
        <f ca="1" t="shared" si="5"/>
        <v>0</v>
      </c>
      <c r="J109">
        <f>_xlfn.XLOOKUP($A109,[1]Sheet1!$B$9:$B$2584,[1]Sheet1!$C$9:$C$2584,"N/A",0)</f>
        <v>98.73</v>
      </c>
      <c r="K109">
        <f>_xlfn.XLOOKUP($A109,[1]Sheet1!$E$9:$E$2584,[1]Sheet1!$F$9:$F$2584,"N/A",0)</f>
        <v>127.48</v>
      </c>
      <c r="L109">
        <f>_xlfn.XLOOKUP($A109,[1]Sheet1!$H$9:$H$2584,[1]Sheet1!$I$9:$I$2584,"N/A",0)</f>
        <v>92.88</v>
      </c>
      <c r="M109">
        <f>_xlfn.XLOOKUP($A109,[1]Sheet1!$K$9:$K$2584,[1]Sheet1!$L$9:$L$2584,"N/A",0)</f>
        <v>113.77</v>
      </c>
      <c r="N109">
        <f>_xlfn.XLOOKUP($A109,[1]Sheet1!$N$9:$N$2584,[1]Sheet1!$O$9:$O$2584,"N/A",0)</f>
        <v>93.89</v>
      </c>
      <c r="O109">
        <v>98.73</v>
      </c>
      <c r="P109">
        <v>127.48</v>
      </c>
      <c r="Q109">
        <v>92.88</v>
      </c>
      <c r="R109">
        <v>93.89</v>
      </c>
      <c r="S109">
        <v>113.77</v>
      </c>
    </row>
    <row r="110" spans="1:19">
      <c r="A110" s="1">
        <v>42528</v>
      </c>
      <c r="B110" t="s">
        <v>48</v>
      </c>
      <c r="C110" t="s">
        <v>69</v>
      </c>
      <c r="D110">
        <v>14.725</v>
      </c>
      <c r="E110">
        <v>16.875</v>
      </c>
      <c r="F110" s="2" t="s">
        <v>78</v>
      </c>
      <c r="G110" t="str">
        <f ca="1" t="shared" si="3"/>
        <v>N/A</v>
      </c>
      <c r="H110" t="str">
        <f ca="1" t="shared" si="4"/>
        <v>N/A</v>
      </c>
      <c r="I110">
        <f ca="1" t="shared" si="5"/>
        <v>0</v>
      </c>
      <c r="J110">
        <f>_xlfn.XLOOKUP($A110,[1]Sheet1!$B$9:$B$2584,[1]Sheet1!$C$9:$C$2584,"N/A",0)</f>
        <v>98.58</v>
      </c>
      <c r="K110">
        <f>_xlfn.XLOOKUP($A110,[1]Sheet1!$E$9:$E$2584,[1]Sheet1!$F$9:$F$2584,"N/A",0)</f>
        <v>128.51</v>
      </c>
      <c r="L110">
        <f>_xlfn.XLOOKUP($A110,[1]Sheet1!$H$9:$H$2584,[1]Sheet1!$I$9:$I$2584,"N/A",0)</f>
        <v>93.36</v>
      </c>
      <c r="M110">
        <f>_xlfn.XLOOKUP($A110,[1]Sheet1!$K$9:$K$2584,[1]Sheet1!$L$9:$L$2584,"N/A",0)</f>
        <v>114.15</v>
      </c>
      <c r="N110">
        <f>_xlfn.XLOOKUP($A110,[1]Sheet1!$N$9:$N$2584,[1]Sheet1!$O$9:$O$2584,"N/A",0)</f>
        <v>93.5</v>
      </c>
      <c r="O110">
        <v>98.58</v>
      </c>
      <c r="P110">
        <v>128.51</v>
      </c>
      <c r="Q110">
        <v>93.36</v>
      </c>
      <c r="R110">
        <v>93.5</v>
      </c>
      <c r="S110">
        <v>114.15</v>
      </c>
    </row>
    <row r="111" spans="1:19">
      <c r="A111" s="1">
        <v>42529</v>
      </c>
      <c r="B111" t="s">
        <v>48</v>
      </c>
      <c r="C111" t="s">
        <v>69</v>
      </c>
      <c r="D111">
        <v>14.975</v>
      </c>
      <c r="E111">
        <v>16.875</v>
      </c>
      <c r="F111" s="2" t="s">
        <v>79</v>
      </c>
      <c r="G111" t="str">
        <f ca="1" t="shared" si="3"/>
        <v>N/A</v>
      </c>
      <c r="H111" t="str">
        <f ca="1" t="shared" si="4"/>
        <v>N/A</v>
      </c>
      <c r="I111">
        <f ca="1" t="shared" si="5"/>
        <v>0</v>
      </c>
      <c r="J111">
        <f>_xlfn.XLOOKUP($A111,[1]Sheet1!$B$9:$B$2584,[1]Sheet1!$C$9:$C$2584,"N/A",0)</f>
        <v>98.3</v>
      </c>
      <c r="K111">
        <f>_xlfn.XLOOKUP($A111,[1]Sheet1!$E$9:$E$2584,[1]Sheet1!$F$9:$F$2584,"N/A",0)</f>
        <v>129</v>
      </c>
      <c r="L111">
        <f>_xlfn.XLOOKUP($A111,[1]Sheet1!$H$9:$H$2584,[1]Sheet1!$I$9:$I$2584,"N/A",0)</f>
        <v>93.14</v>
      </c>
      <c r="M111">
        <f>_xlfn.XLOOKUP($A111,[1]Sheet1!$K$9:$K$2584,[1]Sheet1!$L$9:$L$2584,"N/A",0)</f>
        <v>114.01</v>
      </c>
      <c r="N111">
        <f>_xlfn.XLOOKUP($A111,[1]Sheet1!$N$9:$N$2584,[1]Sheet1!$O$9:$O$2584,"N/A",0)</f>
        <v>92.97</v>
      </c>
      <c r="O111">
        <v>98.3</v>
      </c>
      <c r="P111">
        <v>129</v>
      </c>
      <c r="Q111">
        <v>93.14</v>
      </c>
      <c r="R111">
        <v>92.97</v>
      </c>
      <c r="S111">
        <v>114.01</v>
      </c>
    </row>
    <row r="112" spans="1:19">
      <c r="A112" s="1">
        <v>42530</v>
      </c>
      <c r="B112" t="s">
        <v>48</v>
      </c>
      <c r="C112" t="s">
        <v>69</v>
      </c>
      <c r="D112">
        <v>15.475</v>
      </c>
      <c r="E112">
        <v>17.175</v>
      </c>
      <c r="F112" s="2" t="s">
        <v>80</v>
      </c>
      <c r="G112" t="str">
        <f ca="1" t="shared" si="3"/>
        <v>N/A</v>
      </c>
      <c r="H112" t="str">
        <f ca="1" t="shared" si="4"/>
        <v>N/A</v>
      </c>
      <c r="I112">
        <f ca="1" t="shared" si="5"/>
        <v>0</v>
      </c>
      <c r="J112">
        <f>_xlfn.XLOOKUP($A112,[1]Sheet1!$B$9:$B$2584,[1]Sheet1!$C$9:$C$2584,"N/A",0)</f>
        <v>98.57</v>
      </c>
      <c r="K112">
        <f>_xlfn.XLOOKUP($A112,[1]Sheet1!$E$9:$E$2584,[1]Sheet1!$F$9:$F$2584,"N/A",0)</f>
        <v>129.54</v>
      </c>
      <c r="L112">
        <f>_xlfn.XLOOKUP($A112,[1]Sheet1!$H$9:$H$2584,[1]Sheet1!$I$9:$I$2584,"N/A",0)</f>
        <v>93.24</v>
      </c>
      <c r="M112">
        <f>_xlfn.XLOOKUP($A112,[1]Sheet1!$K$9:$K$2584,[1]Sheet1!$L$9:$L$2584,"N/A",0)</f>
        <v>114.13</v>
      </c>
      <c r="N112">
        <f>_xlfn.XLOOKUP($A112,[1]Sheet1!$N$9:$N$2584,[1]Sheet1!$O$9:$O$2584,"N/A",0)</f>
        <v>93.32</v>
      </c>
      <c r="O112">
        <v>98.57</v>
      </c>
      <c r="P112">
        <v>129.54</v>
      </c>
      <c r="Q112">
        <v>93.24</v>
      </c>
      <c r="R112">
        <v>93.32</v>
      </c>
      <c r="S112">
        <v>114.13</v>
      </c>
    </row>
    <row r="113" spans="1:19">
      <c r="A113" s="1">
        <v>42531</v>
      </c>
      <c r="B113" t="s">
        <v>48</v>
      </c>
      <c r="C113" t="s">
        <v>69</v>
      </c>
      <c r="D113">
        <v>17.525</v>
      </c>
      <c r="E113">
        <v>18.425</v>
      </c>
      <c r="F113" s="2" t="s">
        <v>81</v>
      </c>
      <c r="G113" t="str">
        <f ca="1" t="shared" si="3"/>
        <v>N/A</v>
      </c>
      <c r="H113" t="str">
        <f ca="1" t="shared" si="4"/>
        <v>N/A</v>
      </c>
      <c r="I113">
        <f ca="1" t="shared" si="5"/>
        <v>0</v>
      </c>
      <c r="J113">
        <f>_xlfn.XLOOKUP($A113,[1]Sheet1!$B$9:$B$2584,[1]Sheet1!$C$9:$C$2584,"N/A",0)</f>
        <v>98.28</v>
      </c>
      <c r="K113">
        <f>_xlfn.XLOOKUP($A113,[1]Sheet1!$E$9:$E$2584,[1]Sheet1!$F$9:$F$2584,"N/A",0)</f>
        <v>130.27</v>
      </c>
      <c r="L113">
        <f>_xlfn.XLOOKUP($A113,[1]Sheet1!$H$9:$H$2584,[1]Sheet1!$I$9:$I$2584,"N/A",0)</f>
        <v>93.76</v>
      </c>
      <c r="M113">
        <f>_xlfn.XLOOKUP($A113,[1]Sheet1!$K$9:$K$2584,[1]Sheet1!$L$9:$L$2584,"N/A",0)</f>
        <v>114.89</v>
      </c>
      <c r="N113">
        <f>_xlfn.XLOOKUP($A113,[1]Sheet1!$N$9:$N$2584,[1]Sheet1!$O$9:$O$2584,"N/A",0)</f>
        <v>93.62</v>
      </c>
      <c r="O113">
        <v>98.28</v>
      </c>
      <c r="P113">
        <v>130.27</v>
      </c>
      <c r="Q113">
        <v>93.76</v>
      </c>
      <c r="R113">
        <v>93.62</v>
      </c>
      <c r="S113">
        <v>114.89</v>
      </c>
    </row>
    <row r="114" spans="1:19">
      <c r="A114" s="1">
        <v>42534</v>
      </c>
      <c r="B114" t="s">
        <v>48</v>
      </c>
      <c r="C114" t="s">
        <v>69</v>
      </c>
      <c r="D114">
        <v>21.325</v>
      </c>
      <c r="E114">
        <v>21.225</v>
      </c>
      <c r="F114">
        <v>-0.00468933177022264</v>
      </c>
      <c r="G114" t="str">
        <f ca="1" t="shared" si="3"/>
        <v>N/A</v>
      </c>
      <c r="H114" t="str">
        <f ca="1" t="shared" si="4"/>
        <v>N/A</v>
      </c>
      <c r="I114">
        <f ca="1" t="shared" si="5"/>
        <v>0</v>
      </c>
      <c r="J114">
        <f>_xlfn.XLOOKUP($A114,[1]Sheet1!$B$9:$B$2584,[1]Sheet1!$C$9:$C$2584,"N/A",0)</f>
        <v>98.36</v>
      </c>
      <c r="K114">
        <f>_xlfn.XLOOKUP($A114,[1]Sheet1!$E$9:$E$2584,[1]Sheet1!$F$9:$F$2584,"N/A",0)</f>
        <v>130.09</v>
      </c>
      <c r="L114">
        <f>_xlfn.XLOOKUP($A114,[1]Sheet1!$H$9:$H$2584,[1]Sheet1!$I$9:$I$2584,"N/A",0)</f>
        <v>93.03</v>
      </c>
      <c r="M114">
        <f>_xlfn.XLOOKUP($A114,[1]Sheet1!$K$9:$K$2584,[1]Sheet1!$L$9:$L$2584,"N/A",0)</f>
        <v>114.16</v>
      </c>
      <c r="N114">
        <f>_xlfn.XLOOKUP($A114,[1]Sheet1!$N$9:$N$2584,[1]Sheet1!$O$9:$O$2584,"N/A",0)</f>
        <v>94.23</v>
      </c>
      <c r="O114">
        <v>98.36</v>
      </c>
      <c r="P114">
        <v>130.09</v>
      </c>
      <c r="Q114">
        <v>93.03</v>
      </c>
      <c r="R114">
        <v>94.23</v>
      </c>
      <c r="S114">
        <v>114.16</v>
      </c>
    </row>
    <row r="115" spans="1:19">
      <c r="A115" s="1">
        <v>42535</v>
      </c>
      <c r="B115" t="s">
        <v>48</v>
      </c>
      <c r="C115" t="s">
        <v>69</v>
      </c>
      <c r="D115">
        <v>20.575</v>
      </c>
      <c r="E115">
        <v>20.875</v>
      </c>
      <c r="F115">
        <v>0.0145808019441069</v>
      </c>
      <c r="G115" t="str">
        <f ca="1" t="shared" si="3"/>
        <v>N/A</v>
      </c>
      <c r="H115" t="str">
        <f ca="1" t="shared" si="4"/>
        <v>N/A</v>
      </c>
      <c r="I115">
        <f ca="1" t="shared" si="5"/>
        <v>0</v>
      </c>
      <c r="J115">
        <f>_xlfn.XLOOKUP($A115,[1]Sheet1!$B$9:$B$2584,[1]Sheet1!$C$9:$C$2584,"N/A",0)</f>
        <v>98.21</v>
      </c>
      <c r="K115">
        <f>_xlfn.XLOOKUP($A115,[1]Sheet1!$E$9:$E$2584,[1]Sheet1!$F$9:$F$2584,"N/A",0)</f>
        <v>130.83</v>
      </c>
      <c r="L115">
        <f>_xlfn.XLOOKUP($A115,[1]Sheet1!$H$9:$H$2584,[1]Sheet1!$I$9:$I$2584,"N/A",0)</f>
        <v>92.38</v>
      </c>
      <c r="M115">
        <f>_xlfn.XLOOKUP($A115,[1]Sheet1!$K$9:$K$2584,[1]Sheet1!$L$9:$L$2584,"N/A",0)</f>
        <v>114.07</v>
      </c>
      <c r="N115">
        <f>_xlfn.XLOOKUP($A115,[1]Sheet1!$N$9:$N$2584,[1]Sheet1!$O$9:$O$2584,"N/A",0)</f>
        <v>94</v>
      </c>
      <c r="O115">
        <v>98.21</v>
      </c>
      <c r="P115">
        <v>130.83</v>
      </c>
      <c r="Q115">
        <v>92.38</v>
      </c>
      <c r="R115">
        <v>94</v>
      </c>
      <c r="S115">
        <v>114.07</v>
      </c>
    </row>
    <row r="116" spans="1:19">
      <c r="A116" s="1">
        <v>42536</v>
      </c>
      <c r="B116" t="s">
        <v>48</v>
      </c>
      <c r="C116" t="s">
        <v>69</v>
      </c>
      <c r="D116">
        <v>20.44</v>
      </c>
      <c r="E116">
        <v>20.575</v>
      </c>
      <c r="F116">
        <v>0.00660469667318972</v>
      </c>
      <c r="G116" t="str">
        <f ca="1" t="shared" si="3"/>
        <v>N/A</v>
      </c>
      <c r="H116" t="str">
        <f ca="1" t="shared" si="4"/>
        <v>N/A</v>
      </c>
      <c r="I116">
        <f ca="1" t="shared" si="5"/>
        <v>0</v>
      </c>
      <c r="J116">
        <f>_xlfn.XLOOKUP($A116,[1]Sheet1!$B$9:$B$2584,[1]Sheet1!$C$9:$C$2584,"N/A",0)</f>
        <v>98.16</v>
      </c>
      <c r="K116">
        <f>_xlfn.XLOOKUP($A116,[1]Sheet1!$E$9:$E$2584,[1]Sheet1!$F$9:$F$2584,"N/A",0)</f>
        <v>130.72</v>
      </c>
      <c r="L116">
        <f>_xlfn.XLOOKUP($A116,[1]Sheet1!$H$9:$H$2584,[1]Sheet1!$I$9:$I$2584,"N/A",0)</f>
        <v>92.46</v>
      </c>
      <c r="M116">
        <f>_xlfn.XLOOKUP($A116,[1]Sheet1!$K$9:$K$2584,[1]Sheet1!$L$9:$L$2584,"N/A",0)</f>
        <v>113.89</v>
      </c>
      <c r="N116">
        <f>_xlfn.XLOOKUP($A116,[1]Sheet1!$N$9:$N$2584,[1]Sheet1!$O$9:$O$2584,"N/A",0)</f>
        <v>93.94</v>
      </c>
      <c r="O116">
        <v>98.16</v>
      </c>
      <c r="P116">
        <v>130.72</v>
      </c>
      <c r="Q116">
        <v>92.46</v>
      </c>
      <c r="R116">
        <v>93.94</v>
      </c>
      <c r="S116">
        <v>113.89</v>
      </c>
    </row>
    <row r="117" spans="1:19">
      <c r="A117" s="1">
        <v>42537</v>
      </c>
      <c r="B117" t="s">
        <v>69</v>
      </c>
      <c r="C117" t="s">
        <v>82</v>
      </c>
      <c r="D117">
        <v>20.025</v>
      </c>
      <c r="E117">
        <v>20.425</v>
      </c>
      <c r="F117" s="2" t="s">
        <v>83</v>
      </c>
      <c r="G117" t="str">
        <f ca="1" t="shared" si="3"/>
        <v>N/A</v>
      </c>
      <c r="H117" t="str">
        <f ca="1" t="shared" si="4"/>
        <v>N/A</v>
      </c>
      <c r="I117">
        <f ca="1" t="shared" si="5"/>
        <v>0</v>
      </c>
      <c r="J117">
        <f>_xlfn.XLOOKUP($A117,[1]Sheet1!$B$9:$B$2584,[1]Sheet1!$C$9:$C$2584,"N/A",0)</f>
        <v>98.53</v>
      </c>
      <c r="K117">
        <f>_xlfn.XLOOKUP($A117,[1]Sheet1!$E$9:$E$2584,[1]Sheet1!$F$9:$F$2584,"N/A",0)</f>
        <v>130.57</v>
      </c>
      <c r="L117">
        <f>_xlfn.XLOOKUP($A117,[1]Sheet1!$H$9:$H$2584,[1]Sheet1!$I$9:$I$2584,"N/A",0)</f>
        <v>92.75</v>
      </c>
      <c r="M117">
        <f>_xlfn.XLOOKUP($A117,[1]Sheet1!$K$9:$K$2584,[1]Sheet1!$L$9:$L$2584,"N/A",0)</f>
        <v>114.65</v>
      </c>
      <c r="N117">
        <f>_xlfn.XLOOKUP($A117,[1]Sheet1!$N$9:$N$2584,[1]Sheet1!$O$9:$O$2584,"N/A",0)</f>
        <v>94.18</v>
      </c>
      <c r="O117">
        <v>98.53</v>
      </c>
      <c r="P117">
        <v>130.57</v>
      </c>
      <c r="Q117">
        <v>92.75</v>
      </c>
      <c r="R117">
        <v>94.18</v>
      </c>
      <c r="S117">
        <v>114.65</v>
      </c>
    </row>
    <row r="118" spans="1:19">
      <c r="A118" s="1">
        <v>42538</v>
      </c>
      <c r="B118" t="s">
        <v>69</v>
      </c>
      <c r="C118" t="s">
        <v>82</v>
      </c>
      <c r="D118">
        <v>20.075</v>
      </c>
      <c r="E118">
        <v>20.475</v>
      </c>
      <c r="F118">
        <v>0.0199252801992529</v>
      </c>
      <c r="G118" t="str">
        <f ca="1" t="shared" si="3"/>
        <v>N/A</v>
      </c>
      <c r="H118" t="str">
        <f ca="1" t="shared" si="4"/>
        <v>N/A</v>
      </c>
      <c r="I118">
        <f ca="1" t="shared" si="5"/>
        <v>0</v>
      </c>
      <c r="J118">
        <f>_xlfn.XLOOKUP($A118,[1]Sheet1!$B$9:$B$2584,[1]Sheet1!$C$9:$C$2584,"N/A",0)</f>
        <v>98.44</v>
      </c>
      <c r="K118">
        <f>_xlfn.XLOOKUP($A118,[1]Sheet1!$E$9:$E$2584,[1]Sheet1!$F$9:$F$2584,"N/A",0)</f>
        <v>130.07</v>
      </c>
      <c r="L118">
        <f>_xlfn.XLOOKUP($A118,[1]Sheet1!$H$9:$H$2584,[1]Sheet1!$I$9:$I$2584,"N/A",0)</f>
        <v>93.31</v>
      </c>
      <c r="M118">
        <f>_xlfn.XLOOKUP($A118,[1]Sheet1!$K$9:$K$2584,[1]Sheet1!$L$9:$L$2584,"N/A",0)</f>
        <v>114.56</v>
      </c>
      <c r="N118">
        <f>_xlfn.XLOOKUP($A118,[1]Sheet1!$N$9:$N$2584,[1]Sheet1!$O$9:$O$2584,"N/A",0)</f>
        <v>94.07</v>
      </c>
      <c r="O118">
        <v>98.44</v>
      </c>
      <c r="P118">
        <v>130.07</v>
      </c>
      <c r="Q118">
        <v>93.31</v>
      </c>
      <c r="R118">
        <v>94.07</v>
      </c>
      <c r="S118">
        <v>114.56</v>
      </c>
    </row>
    <row r="119" spans="1:19">
      <c r="A119" s="1">
        <v>42541</v>
      </c>
      <c r="B119" t="s">
        <v>69</v>
      </c>
      <c r="C119" t="s">
        <v>82</v>
      </c>
      <c r="D119">
        <v>18.475</v>
      </c>
      <c r="E119">
        <v>19.275</v>
      </c>
      <c r="F119">
        <v>0.0433017591339646</v>
      </c>
      <c r="G119" t="str">
        <f ca="1" t="shared" si="3"/>
        <v>N/A</v>
      </c>
      <c r="H119" t="str">
        <f ca="1" t="shared" si="4"/>
        <v>N/A</v>
      </c>
      <c r="I119">
        <f ca="1" t="shared" si="5"/>
        <v>0</v>
      </c>
      <c r="J119">
        <f>_xlfn.XLOOKUP($A119,[1]Sheet1!$B$9:$B$2584,[1]Sheet1!$C$9:$C$2584,"N/A",0)</f>
        <v>98.38</v>
      </c>
      <c r="K119">
        <f>_xlfn.XLOOKUP($A119,[1]Sheet1!$E$9:$E$2584,[1]Sheet1!$F$9:$F$2584,"N/A",0)</f>
        <v>130.18</v>
      </c>
      <c r="L119">
        <f>_xlfn.XLOOKUP($A119,[1]Sheet1!$H$9:$H$2584,[1]Sheet1!$I$9:$I$2584,"N/A",0)</f>
        <v>93.41</v>
      </c>
      <c r="M119">
        <f>_xlfn.XLOOKUP($A119,[1]Sheet1!$K$9:$K$2584,[1]Sheet1!$L$9:$L$2584,"N/A",0)</f>
        <v>114.52</v>
      </c>
      <c r="N119">
        <f>_xlfn.XLOOKUP($A119,[1]Sheet1!$N$9:$N$2584,[1]Sheet1!$O$9:$O$2584,"N/A",0)</f>
        <v>93.75</v>
      </c>
      <c r="O119">
        <v>98.38</v>
      </c>
      <c r="P119">
        <v>130.18</v>
      </c>
      <c r="Q119">
        <v>93.41</v>
      </c>
      <c r="R119">
        <v>93.75</v>
      </c>
      <c r="S119">
        <v>114.52</v>
      </c>
    </row>
    <row r="120" spans="1:19">
      <c r="A120" s="1">
        <v>42542</v>
      </c>
      <c r="B120" t="s">
        <v>69</v>
      </c>
      <c r="C120" t="s">
        <v>82</v>
      </c>
      <c r="D120">
        <v>18.675</v>
      </c>
      <c r="E120">
        <v>19.325</v>
      </c>
      <c r="F120" s="2" t="s">
        <v>84</v>
      </c>
      <c r="G120" t="str">
        <f ca="1" t="shared" si="3"/>
        <v>N/A</v>
      </c>
      <c r="H120" t="str">
        <f ca="1" t="shared" si="4"/>
        <v>N/A</v>
      </c>
      <c r="I120">
        <f ca="1" t="shared" si="5"/>
        <v>0</v>
      </c>
      <c r="J120">
        <f>_xlfn.XLOOKUP($A120,[1]Sheet1!$B$9:$B$2584,[1]Sheet1!$C$9:$C$2584,"N/A",0)</f>
        <v>98.54</v>
      </c>
      <c r="K120">
        <f>_xlfn.XLOOKUP($A120,[1]Sheet1!$E$9:$E$2584,[1]Sheet1!$F$9:$F$2584,"N/A",0)</f>
        <v>131.12</v>
      </c>
      <c r="L120">
        <f>_xlfn.XLOOKUP($A120,[1]Sheet1!$H$9:$H$2584,[1]Sheet1!$I$9:$I$2584,"N/A",0)</f>
        <v>93.26</v>
      </c>
      <c r="M120">
        <f>_xlfn.XLOOKUP($A120,[1]Sheet1!$K$9:$K$2584,[1]Sheet1!$L$9:$L$2584,"N/A",0)</f>
        <v>114.65</v>
      </c>
      <c r="N120">
        <f>_xlfn.XLOOKUP($A120,[1]Sheet1!$N$9:$N$2584,[1]Sheet1!$O$9:$O$2584,"N/A",0)</f>
        <v>94.4</v>
      </c>
      <c r="O120">
        <v>98.54</v>
      </c>
      <c r="P120">
        <v>131.12</v>
      </c>
      <c r="Q120">
        <v>93.26</v>
      </c>
      <c r="R120">
        <v>94.4</v>
      </c>
      <c r="S120">
        <v>114.65</v>
      </c>
    </row>
    <row r="121" spans="1:19">
      <c r="A121" s="1">
        <v>42543</v>
      </c>
      <c r="B121" t="s">
        <v>69</v>
      </c>
      <c r="C121" t="s">
        <v>82</v>
      </c>
      <c r="D121">
        <v>19.425</v>
      </c>
      <c r="E121">
        <v>19.675</v>
      </c>
      <c r="F121">
        <v>0.0128700128700128</v>
      </c>
      <c r="G121" t="str">
        <f ca="1" t="shared" si="3"/>
        <v>N/A</v>
      </c>
      <c r="H121" t="str">
        <f ca="1" t="shared" si="4"/>
        <v>N/A</v>
      </c>
      <c r="I121">
        <f ca="1" t="shared" si="5"/>
        <v>0</v>
      </c>
      <c r="J121">
        <f>_xlfn.XLOOKUP($A121,[1]Sheet1!$B$9:$B$2584,[1]Sheet1!$C$9:$C$2584,"N/A",0)</f>
        <v>98.38</v>
      </c>
      <c r="K121">
        <f>_xlfn.XLOOKUP($A121,[1]Sheet1!$E$9:$E$2584,[1]Sheet1!$F$9:$F$2584,"N/A",0)</f>
        <v>130.94</v>
      </c>
      <c r="L121">
        <f>_xlfn.XLOOKUP($A121,[1]Sheet1!$H$9:$H$2584,[1]Sheet1!$I$9:$I$2584,"N/A",0)</f>
        <v>93.41</v>
      </c>
      <c r="M121">
        <f>_xlfn.XLOOKUP($A121,[1]Sheet1!$K$9:$K$2584,[1]Sheet1!$L$9:$L$2584,"N/A",0)</f>
        <v>114.62</v>
      </c>
      <c r="N121">
        <f>_xlfn.XLOOKUP($A121,[1]Sheet1!$N$9:$N$2584,[1]Sheet1!$O$9:$O$2584,"N/A",0)</f>
        <v>94.44</v>
      </c>
      <c r="O121">
        <v>98.38</v>
      </c>
      <c r="P121">
        <v>130.94</v>
      </c>
      <c r="Q121">
        <v>93.41</v>
      </c>
      <c r="R121">
        <v>94.44</v>
      </c>
      <c r="S121">
        <v>114.62</v>
      </c>
    </row>
    <row r="122" spans="1:19">
      <c r="A122" s="1">
        <v>42544</v>
      </c>
      <c r="B122" t="s">
        <v>69</v>
      </c>
      <c r="C122" t="s">
        <v>82</v>
      </c>
      <c r="D122">
        <v>16.675</v>
      </c>
      <c r="E122">
        <v>17.625</v>
      </c>
      <c r="F122">
        <v>0.0569715142428785</v>
      </c>
      <c r="G122" t="str">
        <f ca="1" t="shared" si="3"/>
        <v>N/A</v>
      </c>
      <c r="H122" t="str">
        <f ca="1" t="shared" si="4"/>
        <v>N/A</v>
      </c>
      <c r="I122">
        <f ca="1" t="shared" si="5"/>
        <v>0</v>
      </c>
      <c r="J122">
        <f>_xlfn.XLOOKUP($A122,[1]Sheet1!$B$9:$B$2584,[1]Sheet1!$C$9:$C$2584,"N/A",0)</f>
        <v>98.43</v>
      </c>
      <c r="K122">
        <f>_xlfn.XLOOKUP($A122,[1]Sheet1!$E$9:$E$2584,[1]Sheet1!$F$9:$F$2584,"N/A",0)</f>
        <v>130.05</v>
      </c>
      <c r="L122">
        <f>_xlfn.XLOOKUP($A122,[1]Sheet1!$H$9:$H$2584,[1]Sheet1!$I$9:$I$2584,"N/A",0)</f>
        <v>93.65</v>
      </c>
      <c r="M122">
        <f>_xlfn.XLOOKUP($A122,[1]Sheet1!$K$9:$K$2584,[1]Sheet1!$L$9:$L$2584,"N/A",0)</f>
        <v>114.55</v>
      </c>
      <c r="N122">
        <f>_xlfn.XLOOKUP($A122,[1]Sheet1!$N$9:$N$2584,[1]Sheet1!$O$9:$O$2584,"N/A",0)</f>
        <v>94.15</v>
      </c>
      <c r="O122">
        <v>98.43</v>
      </c>
      <c r="P122">
        <v>130.05</v>
      </c>
      <c r="Q122">
        <v>93.65</v>
      </c>
      <c r="R122">
        <v>94.15</v>
      </c>
      <c r="S122">
        <v>114.55</v>
      </c>
    </row>
    <row r="123" spans="1:19">
      <c r="A123" s="1">
        <v>42545</v>
      </c>
      <c r="B123" t="s">
        <v>69</v>
      </c>
      <c r="C123" t="s">
        <v>82</v>
      </c>
      <c r="D123">
        <v>22.65</v>
      </c>
      <c r="E123">
        <v>22.125</v>
      </c>
      <c r="F123">
        <v>-0.0231788079470198</v>
      </c>
      <c r="G123" t="str">
        <f ca="1" t="shared" si="3"/>
        <v>N/A</v>
      </c>
      <c r="H123" t="str">
        <f ca="1" t="shared" si="4"/>
        <v>N/A</v>
      </c>
      <c r="I123">
        <f ca="1" t="shared" si="5"/>
        <v>0</v>
      </c>
      <c r="J123">
        <f>_xlfn.XLOOKUP($A123,[1]Sheet1!$B$9:$B$2584,[1]Sheet1!$C$9:$C$2584,"N/A",0)</f>
        <v>98.47</v>
      </c>
      <c r="K123">
        <f>_xlfn.XLOOKUP($A123,[1]Sheet1!$E$9:$E$2584,[1]Sheet1!$F$9:$F$2584,"N/A",0)</f>
        <v>130.87</v>
      </c>
      <c r="L123">
        <f>_xlfn.XLOOKUP($A123,[1]Sheet1!$H$9:$H$2584,[1]Sheet1!$I$9:$I$2584,"N/A",0)</f>
        <v>93.71</v>
      </c>
      <c r="M123">
        <f>_xlfn.XLOOKUP($A123,[1]Sheet1!$K$9:$K$2584,[1]Sheet1!$L$9:$L$2584,"N/A",0)</f>
        <v>114.42</v>
      </c>
      <c r="N123">
        <f>_xlfn.XLOOKUP($A123,[1]Sheet1!$N$9:$N$2584,[1]Sheet1!$O$9:$O$2584,"N/A",0)</f>
        <v>93.49</v>
      </c>
      <c r="O123">
        <v>98.47</v>
      </c>
      <c r="P123">
        <v>130.87</v>
      </c>
      <c r="Q123">
        <v>93.71</v>
      </c>
      <c r="R123">
        <v>93.49</v>
      </c>
      <c r="S123">
        <v>114.42</v>
      </c>
    </row>
    <row r="124" spans="1:19">
      <c r="A124" s="1">
        <v>42548</v>
      </c>
      <c r="B124" t="s">
        <v>69</v>
      </c>
      <c r="C124" t="s">
        <v>82</v>
      </c>
      <c r="D124">
        <v>23.65</v>
      </c>
      <c r="E124">
        <v>23.025</v>
      </c>
      <c r="F124">
        <v>-0.0264270613107822</v>
      </c>
      <c r="G124" t="str">
        <f ca="1" t="shared" si="3"/>
        <v>N/A</v>
      </c>
      <c r="H124" t="str">
        <f ca="1" t="shared" si="4"/>
        <v>N/A</v>
      </c>
      <c r="I124">
        <f ca="1" t="shared" si="5"/>
        <v>0</v>
      </c>
      <c r="J124">
        <f>_xlfn.XLOOKUP($A124,[1]Sheet1!$B$9:$B$2584,[1]Sheet1!$C$9:$C$2584,"N/A",0)</f>
        <v>98.49</v>
      </c>
      <c r="K124">
        <f>_xlfn.XLOOKUP($A124,[1]Sheet1!$E$9:$E$2584,[1]Sheet1!$F$9:$F$2584,"N/A",0)</f>
        <v>132.12</v>
      </c>
      <c r="L124">
        <f>_xlfn.XLOOKUP($A124,[1]Sheet1!$H$9:$H$2584,[1]Sheet1!$I$9:$I$2584,"N/A",0)</f>
        <v>93.01</v>
      </c>
      <c r="M124">
        <f>_xlfn.XLOOKUP($A124,[1]Sheet1!$K$9:$K$2584,[1]Sheet1!$L$9:$L$2584,"N/A",0)</f>
        <v>114.8</v>
      </c>
      <c r="N124">
        <f>_xlfn.XLOOKUP($A124,[1]Sheet1!$N$9:$N$2584,[1]Sheet1!$O$9:$O$2584,"N/A",0)</f>
        <v>94.38</v>
      </c>
      <c r="O124">
        <v>98.49</v>
      </c>
      <c r="P124">
        <v>132.12</v>
      </c>
      <c r="Q124">
        <v>93.01</v>
      </c>
      <c r="R124">
        <v>94.38</v>
      </c>
      <c r="S124">
        <v>114.8</v>
      </c>
    </row>
    <row r="125" spans="1:19">
      <c r="A125" s="1">
        <v>42549</v>
      </c>
      <c r="B125" t="s">
        <v>69</v>
      </c>
      <c r="C125" t="s">
        <v>82</v>
      </c>
      <c r="D125">
        <v>18.875</v>
      </c>
      <c r="E125">
        <v>19.375</v>
      </c>
      <c r="F125" s="2" t="s">
        <v>85</v>
      </c>
      <c r="G125" t="str">
        <f ca="1" t="shared" si="3"/>
        <v>N/A</v>
      </c>
      <c r="H125" t="str">
        <f ca="1" t="shared" si="4"/>
        <v>N/A</v>
      </c>
      <c r="I125">
        <f ca="1" t="shared" si="5"/>
        <v>0</v>
      </c>
      <c r="J125">
        <f>_xlfn.XLOOKUP($A125,[1]Sheet1!$B$9:$B$2584,[1]Sheet1!$C$9:$C$2584,"N/A",0)</f>
        <v>98.39</v>
      </c>
      <c r="K125">
        <f>_xlfn.XLOOKUP($A125,[1]Sheet1!$E$9:$E$2584,[1]Sheet1!$F$9:$F$2584,"N/A",0)</f>
        <v>131.81</v>
      </c>
      <c r="L125">
        <f>_xlfn.XLOOKUP($A125,[1]Sheet1!$H$9:$H$2584,[1]Sheet1!$I$9:$I$2584,"N/A",0)</f>
        <v>92.68</v>
      </c>
      <c r="M125">
        <f>_xlfn.XLOOKUP($A125,[1]Sheet1!$K$9:$K$2584,[1]Sheet1!$L$9:$L$2584,"N/A",0)</f>
        <v>114.35</v>
      </c>
      <c r="N125">
        <f>_xlfn.XLOOKUP($A125,[1]Sheet1!$N$9:$N$2584,[1]Sheet1!$O$9:$O$2584,"N/A",0)</f>
        <v>94.71</v>
      </c>
      <c r="O125">
        <v>98.39</v>
      </c>
      <c r="P125">
        <v>131.81</v>
      </c>
      <c r="Q125">
        <v>92.68</v>
      </c>
      <c r="R125">
        <v>94.71</v>
      </c>
      <c r="S125">
        <v>114.35</v>
      </c>
    </row>
    <row r="126" spans="1:19">
      <c r="A126" s="1">
        <v>42550</v>
      </c>
      <c r="B126" t="s">
        <v>69</v>
      </c>
      <c r="C126" t="s">
        <v>82</v>
      </c>
      <c r="D126">
        <v>17.475</v>
      </c>
      <c r="E126">
        <v>18.55</v>
      </c>
      <c r="F126">
        <v>0.0615164520743919</v>
      </c>
      <c r="G126" t="str">
        <f ca="1" t="shared" si="3"/>
        <v>N/A</v>
      </c>
      <c r="H126" t="str">
        <f ca="1" t="shared" si="4"/>
        <v>N/A</v>
      </c>
      <c r="I126">
        <f ca="1" t="shared" si="5"/>
        <v>0</v>
      </c>
      <c r="J126">
        <f>_xlfn.XLOOKUP($A126,[1]Sheet1!$B$9:$B$2584,[1]Sheet1!$C$9:$C$2584,"N/A",0)</f>
        <v>98.37</v>
      </c>
      <c r="K126">
        <f>_xlfn.XLOOKUP($A126,[1]Sheet1!$E$9:$E$2584,[1]Sheet1!$F$9:$F$2584,"N/A",0)</f>
        <v>131.93</v>
      </c>
      <c r="L126">
        <f>_xlfn.XLOOKUP($A126,[1]Sheet1!$H$9:$H$2584,[1]Sheet1!$I$9:$I$2584,"N/A",0)</f>
        <v>92.6</v>
      </c>
      <c r="M126">
        <f>_xlfn.XLOOKUP($A126,[1]Sheet1!$K$9:$K$2584,[1]Sheet1!$L$9:$L$2584,"N/A",0)</f>
        <v>113.86</v>
      </c>
      <c r="N126">
        <f>_xlfn.XLOOKUP($A126,[1]Sheet1!$N$9:$N$2584,[1]Sheet1!$O$9:$O$2584,"N/A",0)</f>
        <v>94.6</v>
      </c>
      <c r="O126">
        <v>98.37</v>
      </c>
      <c r="P126">
        <v>131.93</v>
      </c>
      <c r="Q126">
        <v>92.6</v>
      </c>
      <c r="R126">
        <v>94.6</v>
      </c>
      <c r="S126">
        <v>113.86</v>
      </c>
    </row>
    <row r="127" spans="1:19">
      <c r="A127" s="1">
        <v>42551</v>
      </c>
      <c r="B127" t="s">
        <v>69</v>
      </c>
      <c r="C127" t="s">
        <v>82</v>
      </c>
      <c r="D127">
        <v>16.975</v>
      </c>
      <c r="E127">
        <v>18.325</v>
      </c>
      <c r="F127">
        <v>0.0795287187039763</v>
      </c>
      <c r="G127" t="str">
        <f ca="1" t="shared" si="3"/>
        <v>N/A</v>
      </c>
      <c r="H127" t="str">
        <f ca="1" t="shared" si="4"/>
        <v>N/A</v>
      </c>
      <c r="I127">
        <f ca="1" t="shared" si="5"/>
        <v>0</v>
      </c>
      <c r="J127">
        <f>_xlfn.XLOOKUP($A127,[1]Sheet1!$B$9:$B$2584,[1]Sheet1!$C$9:$C$2584,"N/A",0)</f>
        <v>98.22</v>
      </c>
      <c r="K127">
        <f>_xlfn.XLOOKUP($A127,[1]Sheet1!$E$9:$E$2584,[1]Sheet1!$F$9:$F$2584,"N/A",0)</f>
        <v>131.47</v>
      </c>
      <c r="L127">
        <f>_xlfn.XLOOKUP($A127,[1]Sheet1!$H$9:$H$2584,[1]Sheet1!$I$9:$I$2584,"N/A",0)</f>
        <v>93.3</v>
      </c>
      <c r="M127">
        <f>_xlfn.XLOOKUP($A127,[1]Sheet1!$K$9:$K$2584,[1]Sheet1!$L$9:$L$2584,"N/A",0)</f>
        <v>114.33</v>
      </c>
      <c r="N127">
        <f>_xlfn.XLOOKUP($A127,[1]Sheet1!$N$9:$N$2584,[1]Sheet1!$O$9:$O$2584,"N/A",0)</f>
        <v>94.24</v>
      </c>
      <c r="O127">
        <v>98.22</v>
      </c>
      <c r="P127">
        <v>131.47</v>
      </c>
      <c r="Q127">
        <v>93.3</v>
      </c>
      <c r="R127">
        <v>94.24</v>
      </c>
      <c r="S127">
        <v>114.33</v>
      </c>
    </row>
    <row r="128" spans="1:19">
      <c r="A128" s="1">
        <v>42552</v>
      </c>
      <c r="B128" t="s">
        <v>69</v>
      </c>
      <c r="C128" t="s">
        <v>82</v>
      </c>
      <c r="D128">
        <v>16.775</v>
      </c>
      <c r="E128">
        <v>18.25</v>
      </c>
      <c r="F128">
        <v>0.0879284649776453</v>
      </c>
      <c r="G128" t="str">
        <f ca="1" t="shared" si="3"/>
        <v>N/A</v>
      </c>
      <c r="H128" t="str">
        <f ca="1" t="shared" si="4"/>
        <v>N/A</v>
      </c>
      <c r="I128">
        <f ca="1" t="shared" si="5"/>
        <v>0</v>
      </c>
      <c r="J128">
        <f>_xlfn.XLOOKUP($A128,[1]Sheet1!$B$9:$B$2584,[1]Sheet1!$C$9:$C$2584,"N/A",0)</f>
        <v>98.01</v>
      </c>
      <c r="K128">
        <f>_xlfn.XLOOKUP($A128,[1]Sheet1!$E$9:$E$2584,[1]Sheet1!$F$9:$F$2584,"N/A",0)</f>
        <v>131.36</v>
      </c>
      <c r="L128">
        <f>_xlfn.XLOOKUP($A128,[1]Sheet1!$H$9:$H$2584,[1]Sheet1!$I$9:$I$2584,"N/A",0)</f>
        <v>92.81</v>
      </c>
      <c r="M128">
        <f>_xlfn.XLOOKUP($A128,[1]Sheet1!$K$9:$K$2584,[1]Sheet1!$L$9:$L$2584,"N/A",0)</f>
        <v>113.97</v>
      </c>
      <c r="N128">
        <f>_xlfn.XLOOKUP($A128,[1]Sheet1!$N$9:$N$2584,[1]Sheet1!$O$9:$O$2584,"N/A",0)</f>
        <v>94.02</v>
      </c>
      <c r="O128">
        <v>98.01</v>
      </c>
      <c r="P128">
        <v>131.36</v>
      </c>
      <c r="Q128">
        <v>92.81</v>
      </c>
      <c r="R128">
        <v>94.02</v>
      </c>
      <c r="S128">
        <v>113.97</v>
      </c>
    </row>
    <row r="129" spans="1:19">
      <c r="A129" s="1">
        <v>42556</v>
      </c>
      <c r="B129" t="s">
        <v>69</v>
      </c>
      <c r="C129" t="s">
        <v>82</v>
      </c>
      <c r="D129">
        <v>16.825</v>
      </c>
      <c r="E129">
        <v>18.325</v>
      </c>
      <c r="F129">
        <v>0.0891530460624071</v>
      </c>
      <c r="G129" t="str">
        <f ca="1" t="shared" si="3"/>
        <v>N/A</v>
      </c>
      <c r="H129" t="str">
        <f ca="1" t="shared" si="4"/>
        <v>N/A</v>
      </c>
      <c r="I129">
        <f ca="1" t="shared" si="5"/>
        <v>0</v>
      </c>
      <c r="J129">
        <f>_xlfn.XLOOKUP($A129,[1]Sheet1!$B$9:$B$2584,[1]Sheet1!$C$9:$C$2584,"N/A",0)</f>
        <v>98.44</v>
      </c>
      <c r="K129">
        <f>_xlfn.XLOOKUP($A129,[1]Sheet1!$E$9:$E$2584,[1]Sheet1!$F$9:$F$2584,"N/A",0)</f>
        <v>132.95</v>
      </c>
      <c r="L129">
        <f>_xlfn.XLOOKUP($A129,[1]Sheet1!$H$9:$H$2584,[1]Sheet1!$I$9:$I$2584,"N/A",0)</f>
        <v>92.49</v>
      </c>
      <c r="M129">
        <f>_xlfn.XLOOKUP($A129,[1]Sheet1!$K$9:$K$2584,[1]Sheet1!$L$9:$L$2584,"N/A",0)</f>
        <v>113.28</v>
      </c>
      <c r="N129">
        <f>_xlfn.XLOOKUP($A129,[1]Sheet1!$N$9:$N$2584,[1]Sheet1!$O$9:$O$2584,"N/A",0)</f>
        <v>94.33</v>
      </c>
      <c r="O129">
        <v>98.44</v>
      </c>
      <c r="P129">
        <v>132.95</v>
      </c>
      <c r="Q129">
        <v>92.49</v>
      </c>
      <c r="R129">
        <v>94.33</v>
      </c>
      <c r="S129">
        <v>113.28</v>
      </c>
    </row>
    <row r="130" spans="1:19">
      <c r="A130" s="1">
        <v>42557</v>
      </c>
      <c r="B130" t="s">
        <v>69</v>
      </c>
      <c r="C130" t="s">
        <v>82</v>
      </c>
      <c r="D130">
        <v>16.175</v>
      </c>
      <c r="E130">
        <v>17.825</v>
      </c>
      <c r="F130" s="2" t="s">
        <v>86</v>
      </c>
      <c r="G130" t="str">
        <f ca="1" t="shared" si="3"/>
        <v>N/A</v>
      </c>
      <c r="H130" t="str">
        <f ca="1" t="shared" si="4"/>
        <v>N/A</v>
      </c>
      <c r="I130">
        <f ca="1" t="shared" si="5"/>
        <v>0</v>
      </c>
      <c r="J130">
        <f>_xlfn.XLOOKUP($A130,[1]Sheet1!$B$9:$B$2584,[1]Sheet1!$C$9:$C$2584,"N/A",0)</f>
        <v>98.37</v>
      </c>
      <c r="K130">
        <f>_xlfn.XLOOKUP($A130,[1]Sheet1!$E$9:$E$2584,[1]Sheet1!$F$9:$F$2584,"N/A",0)</f>
        <v>132.4</v>
      </c>
      <c r="L130">
        <f>_xlfn.XLOOKUP($A130,[1]Sheet1!$H$9:$H$2584,[1]Sheet1!$I$9:$I$2584,"N/A",0)</f>
        <v>92.29</v>
      </c>
      <c r="M130">
        <f>_xlfn.XLOOKUP($A130,[1]Sheet1!$K$9:$K$2584,[1]Sheet1!$L$9:$L$2584,"N/A",0)</f>
        <v>112.72</v>
      </c>
      <c r="N130">
        <f>_xlfn.XLOOKUP($A130,[1]Sheet1!$N$9:$N$2584,[1]Sheet1!$O$9:$O$2584,"N/A",0)</f>
        <v>94.27</v>
      </c>
      <c r="O130">
        <v>98.37</v>
      </c>
      <c r="P130">
        <v>132.4</v>
      </c>
      <c r="Q130">
        <v>92.29</v>
      </c>
      <c r="R130">
        <v>94.27</v>
      </c>
      <c r="S130">
        <v>112.72</v>
      </c>
    </row>
    <row r="131" spans="1:19">
      <c r="A131" s="1">
        <v>42558</v>
      </c>
      <c r="B131" t="s">
        <v>69</v>
      </c>
      <c r="C131" t="s">
        <v>82</v>
      </c>
      <c r="D131">
        <v>15.925</v>
      </c>
      <c r="E131">
        <v>17.675</v>
      </c>
      <c r="F131" s="2" t="s">
        <v>87</v>
      </c>
      <c r="G131" t="str">
        <f ca="1" t="shared" ref="G131:G194" si="6">IF(ROW()-ROW($A$3)+1&gt;252,(F131-AVERAGE(OFFSET(F131,-252,0,252,1)))/_xlfn.STDEV.S(OFFSET(F131,-252,0,252,1)),"N/A")</f>
        <v>N/A</v>
      </c>
      <c r="H131" t="str">
        <f ca="1" t="shared" ref="H131:H194" si="7">IF(G131&lt;&gt;"N/A",IF(G381&gt;-0.5,"Risk-On","Risk-Off"),"N/A")</f>
        <v>N/A</v>
      </c>
      <c r="I131">
        <f ca="1" t="shared" si="5"/>
        <v>0</v>
      </c>
      <c r="J131">
        <f>_xlfn.XLOOKUP($A131,[1]Sheet1!$B$9:$B$2584,[1]Sheet1!$C$9:$C$2584,"N/A",0)</f>
        <v>98.69</v>
      </c>
      <c r="K131">
        <f>_xlfn.XLOOKUP($A131,[1]Sheet1!$E$9:$E$2584,[1]Sheet1!$F$9:$F$2584,"N/A",0)</f>
        <v>131.6</v>
      </c>
      <c r="L131">
        <f>_xlfn.XLOOKUP($A131,[1]Sheet1!$H$9:$H$2584,[1]Sheet1!$I$9:$I$2584,"N/A",0)</f>
        <v>92.22</v>
      </c>
      <c r="M131">
        <f>_xlfn.XLOOKUP($A131,[1]Sheet1!$K$9:$K$2584,[1]Sheet1!$L$9:$L$2584,"N/A",0)</f>
        <v>112.61</v>
      </c>
      <c r="N131">
        <f>_xlfn.XLOOKUP($A131,[1]Sheet1!$N$9:$N$2584,[1]Sheet1!$O$9:$O$2584,"N/A",0)</f>
        <v>94.38</v>
      </c>
      <c r="O131">
        <v>98.69</v>
      </c>
      <c r="P131">
        <v>131.6</v>
      </c>
      <c r="Q131">
        <v>92.22</v>
      </c>
      <c r="R131">
        <v>94.38</v>
      </c>
      <c r="S131">
        <v>112.61</v>
      </c>
    </row>
    <row r="132" spans="1:19">
      <c r="A132" s="1">
        <v>42559</v>
      </c>
      <c r="B132" t="s">
        <v>69</v>
      </c>
      <c r="C132" t="s">
        <v>82</v>
      </c>
      <c r="D132">
        <v>14.775</v>
      </c>
      <c r="E132">
        <v>16.775</v>
      </c>
      <c r="F132" s="2" t="s">
        <v>88</v>
      </c>
      <c r="G132" t="str">
        <f ca="1" t="shared" si="6"/>
        <v>N/A</v>
      </c>
      <c r="H132" t="str">
        <f ca="1" t="shared" si="7"/>
        <v>N/A</v>
      </c>
      <c r="I132">
        <f ca="1" t="shared" ref="I132:I195" si="8">IF(H132&lt;&gt;"N/A",IF(H382&gt;-0.5,1,0),0)</f>
        <v>0</v>
      </c>
      <c r="J132">
        <f>_xlfn.XLOOKUP($A132,[1]Sheet1!$B$9:$B$2584,[1]Sheet1!$C$9:$C$2584,"N/A",0)</f>
        <v>98.79</v>
      </c>
      <c r="K132">
        <f>_xlfn.XLOOKUP($A132,[1]Sheet1!$E$9:$E$2584,[1]Sheet1!$F$9:$F$2584,"N/A",0)</f>
        <v>131.06</v>
      </c>
      <c r="L132">
        <f>_xlfn.XLOOKUP($A132,[1]Sheet1!$H$9:$H$2584,[1]Sheet1!$I$9:$I$2584,"N/A",0)</f>
        <v>92.31</v>
      </c>
      <c r="M132">
        <f>_xlfn.XLOOKUP($A132,[1]Sheet1!$K$9:$K$2584,[1]Sheet1!$L$9:$L$2584,"N/A",0)</f>
        <v>112.68</v>
      </c>
      <c r="N132">
        <f>_xlfn.XLOOKUP($A132,[1]Sheet1!$N$9:$N$2584,[1]Sheet1!$O$9:$O$2584,"N/A",0)</f>
        <v>93.72</v>
      </c>
      <c r="O132">
        <v>98.79</v>
      </c>
      <c r="P132">
        <v>131.06</v>
      </c>
      <c r="Q132">
        <v>92.31</v>
      </c>
      <c r="R132">
        <v>93.72</v>
      </c>
      <c r="S132">
        <v>112.68</v>
      </c>
    </row>
    <row r="133" spans="1:19">
      <c r="A133" s="1">
        <v>42562</v>
      </c>
      <c r="B133" t="s">
        <v>69</v>
      </c>
      <c r="C133" t="s">
        <v>82</v>
      </c>
      <c r="D133">
        <v>14.625</v>
      </c>
      <c r="E133">
        <v>16.725</v>
      </c>
      <c r="F133" s="2" t="s">
        <v>89</v>
      </c>
      <c r="G133" t="str">
        <f ca="1" t="shared" si="6"/>
        <v>N/A</v>
      </c>
      <c r="H133" t="str">
        <f ca="1" t="shared" si="7"/>
        <v>N/A</v>
      </c>
      <c r="I133">
        <f ca="1" t="shared" si="8"/>
        <v>0</v>
      </c>
      <c r="J133">
        <f>_xlfn.XLOOKUP($A133,[1]Sheet1!$B$9:$B$2584,[1]Sheet1!$C$9:$C$2584,"N/A",0)</f>
        <v>98.67</v>
      </c>
      <c r="K133">
        <f>_xlfn.XLOOKUP($A133,[1]Sheet1!$E$9:$E$2584,[1]Sheet1!$F$9:$F$2584,"N/A",0)</f>
        <v>130.77</v>
      </c>
      <c r="L133">
        <f>_xlfn.XLOOKUP($A133,[1]Sheet1!$H$9:$H$2584,[1]Sheet1!$I$9:$I$2584,"N/A",0)</f>
        <v>92.62</v>
      </c>
      <c r="M133">
        <f>_xlfn.XLOOKUP($A133,[1]Sheet1!$K$9:$K$2584,[1]Sheet1!$L$9:$L$2584,"N/A",0)</f>
        <v>112.75</v>
      </c>
      <c r="N133">
        <f>_xlfn.XLOOKUP($A133,[1]Sheet1!$N$9:$N$2584,[1]Sheet1!$O$9:$O$2584,"N/A",0)</f>
        <v>93.03</v>
      </c>
      <c r="O133">
        <v>98.67</v>
      </c>
      <c r="P133">
        <v>130.77</v>
      </c>
      <c r="Q133">
        <v>92.62</v>
      </c>
      <c r="R133">
        <v>93.03</v>
      </c>
      <c r="S133">
        <v>112.75</v>
      </c>
    </row>
    <row r="134" spans="1:19">
      <c r="A134" s="1">
        <v>42563</v>
      </c>
      <c r="B134" t="s">
        <v>69</v>
      </c>
      <c r="C134" t="s">
        <v>82</v>
      </c>
      <c r="D134">
        <v>14.275</v>
      </c>
      <c r="E134">
        <v>16.225</v>
      </c>
      <c r="F134" s="2" t="s">
        <v>90</v>
      </c>
      <c r="G134" t="str">
        <f ca="1" t="shared" si="6"/>
        <v>N/A</v>
      </c>
      <c r="H134" t="str">
        <f ca="1" t="shared" si="7"/>
        <v>N/A</v>
      </c>
      <c r="I134">
        <f ca="1" t="shared" si="8"/>
        <v>0</v>
      </c>
      <c r="J134">
        <f>_xlfn.XLOOKUP($A134,[1]Sheet1!$B$9:$B$2584,[1]Sheet1!$C$9:$C$2584,"N/A",0)</f>
        <v>98.48</v>
      </c>
      <c r="K134">
        <f>_xlfn.XLOOKUP($A134,[1]Sheet1!$E$9:$E$2584,[1]Sheet1!$F$9:$F$2584,"N/A",0)</f>
        <v>130.14</v>
      </c>
      <c r="L134">
        <f>_xlfn.XLOOKUP($A134,[1]Sheet1!$H$9:$H$2584,[1]Sheet1!$I$9:$I$2584,"N/A",0)</f>
        <v>93.16</v>
      </c>
      <c r="M134">
        <f>_xlfn.XLOOKUP($A134,[1]Sheet1!$K$9:$K$2584,[1]Sheet1!$L$9:$L$2584,"N/A",0)</f>
        <v>113.06</v>
      </c>
      <c r="N134">
        <f>_xlfn.XLOOKUP($A134,[1]Sheet1!$N$9:$N$2584,[1]Sheet1!$O$9:$O$2584,"N/A",0)</f>
        <v>92.89</v>
      </c>
      <c r="O134">
        <v>98.48</v>
      </c>
      <c r="P134">
        <v>130.14</v>
      </c>
      <c r="Q134">
        <v>93.16</v>
      </c>
      <c r="R134">
        <v>92.89</v>
      </c>
      <c r="S134">
        <v>113.06</v>
      </c>
    </row>
    <row r="135" spans="1:19">
      <c r="A135" s="1">
        <v>42564</v>
      </c>
      <c r="B135" t="s">
        <v>69</v>
      </c>
      <c r="C135" t="s">
        <v>82</v>
      </c>
      <c r="D135">
        <v>14.175</v>
      </c>
      <c r="E135">
        <v>16.225</v>
      </c>
      <c r="F135">
        <v>0.144620811287478</v>
      </c>
      <c r="G135" t="str">
        <f ca="1" t="shared" si="6"/>
        <v>N/A</v>
      </c>
      <c r="H135" t="str">
        <f ca="1" t="shared" si="7"/>
        <v>N/A</v>
      </c>
      <c r="I135">
        <f ca="1" t="shared" si="8"/>
        <v>0</v>
      </c>
      <c r="J135">
        <f>_xlfn.XLOOKUP($A135,[1]Sheet1!$B$9:$B$2584,[1]Sheet1!$C$9:$C$2584,"N/A",0)</f>
        <v>98.71</v>
      </c>
      <c r="K135">
        <f>_xlfn.XLOOKUP($A135,[1]Sheet1!$E$9:$E$2584,[1]Sheet1!$F$9:$F$2584,"N/A",0)</f>
        <v>129.86</v>
      </c>
      <c r="L135">
        <f>_xlfn.XLOOKUP($A135,[1]Sheet1!$H$9:$H$2584,[1]Sheet1!$I$9:$I$2584,"N/A",0)</f>
        <v>93.87</v>
      </c>
      <c r="M135">
        <f>_xlfn.XLOOKUP($A135,[1]Sheet1!$K$9:$K$2584,[1]Sheet1!$L$9:$L$2584,"N/A",0)</f>
        <v>112.56</v>
      </c>
      <c r="N135">
        <f>_xlfn.XLOOKUP($A135,[1]Sheet1!$N$9:$N$2584,[1]Sheet1!$O$9:$O$2584,"N/A",0)</f>
        <v>93.27</v>
      </c>
      <c r="O135">
        <v>98.71</v>
      </c>
      <c r="P135">
        <v>129.86</v>
      </c>
      <c r="Q135">
        <v>93.87</v>
      </c>
      <c r="R135">
        <v>93.27</v>
      </c>
      <c r="S135">
        <v>112.56</v>
      </c>
    </row>
    <row r="136" spans="1:19">
      <c r="A136" s="1">
        <v>42565</v>
      </c>
      <c r="B136" t="s">
        <v>69</v>
      </c>
      <c r="C136" t="s">
        <v>82</v>
      </c>
      <c r="D136">
        <v>14.025</v>
      </c>
      <c r="E136">
        <v>16.125</v>
      </c>
      <c r="F136" s="2" t="s">
        <v>91</v>
      </c>
      <c r="G136" t="str">
        <f ca="1" t="shared" si="6"/>
        <v>N/A</v>
      </c>
      <c r="H136" t="str">
        <f ca="1" t="shared" si="7"/>
        <v>N/A</v>
      </c>
      <c r="I136">
        <f ca="1" t="shared" si="8"/>
        <v>0</v>
      </c>
      <c r="J136">
        <f>_xlfn.XLOOKUP($A136,[1]Sheet1!$B$9:$B$2584,[1]Sheet1!$C$9:$C$2584,"N/A",0)</f>
        <v>98.57</v>
      </c>
      <c r="K136">
        <f>_xlfn.XLOOKUP($A136,[1]Sheet1!$E$9:$E$2584,[1]Sheet1!$F$9:$F$2584,"N/A",0)</f>
        <v>129.42</v>
      </c>
      <c r="L136">
        <f>_xlfn.XLOOKUP($A136,[1]Sheet1!$H$9:$H$2584,[1]Sheet1!$I$9:$I$2584,"N/A",0)</f>
        <v>94.36</v>
      </c>
      <c r="M136">
        <f>_xlfn.XLOOKUP($A136,[1]Sheet1!$K$9:$K$2584,[1]Sheet1!$L$9:$L$2584,"N/A",0)</f>
        <v>112.76</v>
      </c>
      <c r="N136">
        <f>_xlfn.XLOOKUP($A136,[1]Sheet1!$N$9:$N$2584,[1]Sheet1!$O$9:$O$2584,"N/A",0)</f>
        <v>93.81</v>
      </c>
      <c r="O136">
        <v>98.57</v>
      </c>
      <c r="P136">
        <v>129.42</v>
      </c>
      <c r="Q136">
        <v>94.36</v>
      </c>
      <c r="R136">
        <v>93.81</v>
      </c>
      <c r="S136">
        <v>112.76</v>
      </c>
    </row>
    <row r="137" spans="1:19">
      <c r="A137" s="1">
        <v>42566</v>
      </c>
      <c r="B137" t="s">
        <v>69</v>
      </c>
      <c r="C137" t="s">
        <v>82</v>
      </c>
      <c r="D137">
        <v>13.825</v>
      </c>
      <c r="E137">
        <v>16.325</v>
      </c>
      <c r="F137" s="2" t="s">
        <v>92</v>
      </c>
      <c r="G137" t="str">
        <f ca="1" t="shared" si="6"/>
        <v>N/A</v>
      </c>
      <c r="H137" t="str">
        <f ca="1" t="shared" si="7"/>
        <v>N/A</v>
      </c>
      <c r="I137">
        <f ca="1" t="shared" si="8"/>
        <v>0</v>
      </c>
      <c r="J137">
        <f>_xlfn.XLOOKUP($A137,[1]Sheet1!$B$9:$B$2584,[1]Sheet1!$C$9:$C$2584,"N/A",0)</f>
        <v>98.58</v>
      </c>
      <c r="K137">
        <f>_xlfn.XLOOKUP($A137,[1]Sheet1!$E$9:$E$2584,[1]Sheet1!$F$9:$F$2584,"N/A",0)</f>
        <v>129</v>
      </c>
      <c r="L137">
        <f>_xlfn.XLOOKUP($A137,[1]Sheet1!$H$9:$H$2584,[1]Sheet1!$I$9:$I$2584,"N/A",0)</f>
        <v>94.2</v>
      </c>
      <c r="M137">
        <f>_xlfn.XLOOKUP($A137,[1]Sheet1!$K$9:$K$2584,[1]Sheet1!$L$9:$L$2584,"N/A",0)</f>
        <v>112.78</v>
      </c>
      <c r="N137">
        <f>_xlfn.XLOOKUP($A137,[1]Sheet1!$N$9:$N$2584,[1]Sheet1!$O$9:$O$2584,"N/A",0)</f>
        <v>93.69</v>
      </c>
      <c r="O137">
        <v>98.58</v>
      </c>
      <c r="P137">
        <v>129</v>
      </c>
      <c r="Q137">
        <v>94.2</v>
      </c>
      <c r="R137">
        <v>93.69</v>
      </c>
      <c r="S137">
        <v>112.78</v>
      </c>
    </row>
    <row r="138" spans="1:19">
      <c r="A138" s="1">
        <v>42569</v>
      </c>
      <c r="B138" t="s">
        <v>69</v>
      </c>
      <c r="C138" t="s">
        <v>82</v>
      </c>
      <c r="D138">
        <v>13.075</v>
      </c>
      <c r="E138">
        <v>15.725</v>
      </c>
      <c r="F138" s="2" t="s">
        <v>93</v>
      </c>
      <c r="G138" t="str">
        <f ca="1" t="shared" si="6"/>
        <v>N/A</v>
      </c>
      <c r="H138" t="str">
        <f ca="1" t="shared" si="7"/>
        <v>N/A</v>
      </c>
      <c r="I138">
        <f ca="1" t="shared" si="8"/>
        <v>0</v>
      </c>
      <c r="J138">
        <f>_xlfn.XLOOKUP($A138,[1]Sheet1!$B$9:$B$2584,[1]Sheet1!$C$9:$C$2584,"N/A",0)</f>
        <v>98.85</v>
      </c>
      <c r="K138">
        <f>_xlfn.XLOOKUP($A138,[1]Sheet1!$E$9:$E$2584,[1]Sheet1!$F$9:$F$2584,"N/A",0)</f>
        <v>128.49</v>
      </c>
      <c r="L138">
        <f>_xlfn.XLOOKUP($A138,[1]Sheet1!$H$9:$H$2584,[1]Sheet1!$I$9:$I$2584,"N/A",0)</f>
        <v>94.53</v>
      </c>
      <c r="M138">
        <f>_xlfn.XLOOKUP($A138,[1]Sheet1!$K$9:$K$2584,[1]Sheet1!$L$9:$L$2584,"N/A",0)</f>
        <v>112.97</v>
      </c>
      <c r="N138">
        <f>_xlfn.XLOOKUP($A138,[1]Sheet1!$N$9:$N$2584,[1]Sheet1!$O$9:$O$2584,"N/A",0)</f>
        <v>93.57</v>
      </c>
      <c r="O138">
        <v>98.85</v>
      </c>
      <c r="P138">
        <v>128.49</v>
      </c>
      <c r="Q138">
        <v>94.53</v>
      </c>
      <c r="R138">
        <v>93.57</v>
      </c>
      <c r="S138">
        <v>112.97</v>
      </c>
    </row>
    <row r="139" spans="1:19">
      <c r="A139" s="1">
        <v>42570</v>
      </c>
      <c r="B139" t="s">
        <v>69</v>
      </c>
      <c r="C139" t="s">
        <v>82</v>
      </c>
      <c r="D139">
        <v>12.225</v>
      </c>
      <c r="E139">
        <v>15.675</v>
      </c>
      <c r="F139" s="2" t="s">
        <v>94</v>
      </c>
      <c r="G139" t="str">
        <f ca="1" t="shared" si="6"/>
        <v>N/A</v>
      </c>
      <c r="H139" t="str">
        <f ca="1" t="shared" si="7"/>
        <v>N/A</v>
      </c>
      <c r="I139">
        <f ca="1" t="shared" si="8"/>
        <v>0</v>
      </c>
      <c r="J139">
        <f>_xlfn.XLOOKUP($A139,[1]Sheet1!$B$9:$B$2584,[1]Sheet1!$C$9:$C$2584,"N/A",0)</f>
        <v>98.74</v>
      </c>
      <c r="K139">
        <f>_xlfn.XLOOKUP($A139,[1]Sheet1!$E$9:$E$2584,[1]Sheet1!$F$9:$F$2584,"N/A",0)</f>
        <v>128.86</v>
      </c>
      <c r="L139">
        <f>_xlfn.XLOOKUP($A139,[1]Sheet1!$H$9:$H$2584,[1]Sheet1!$I$9:$I$2584,"N/A",0)</f>
        <v>95.04</v>
      </c>
      <c r="M139">
        <f>_xlfn.XLOOKUP($A139,[1]Sheet1!$K$9:$K$2584,[1]Sheet1!$L$9:$L$2584,"N/A",0)</f>
        <v>113.31</v>
      </c>
      <c r="N139">
        <f>_xlfn.XLOOKUP($A139,[1]Sheet1!$N$9:$N$2584,[1]Sheet1!$O$9:$O$2584,"N/A",0)</f>
        <v>93.84</v>
      </c>
      <c r="O139">
        <v>98.74</v>
      </c>
      <c r="P139">
        <v>128.86</v>
      </c>
      <c r="Q139">
        <v>95.04</v>
      </c>
      <c r="R139">
        <v>93.84</v>
      </c>
      <c r="S139">
        <v>113.31</v>
      </c>
    </row>
    <row r="140" spans="1:19">
      <c r="A140" s="1">
        <v>42571</v>
      </c>
      <c r="B140" t="s">
        <v>69</v>
      </c>
      <c r="C140" t="s">
        <v>82</v>
      </c>
      <c r="D140">
        <v>11.62</v>
      </c>
      <c r="E140">
        <v>15.475</v>
      </c>
      <c r="F140" s="2" t="s">
        <v>95</v>
      </c>
      <c r="G140" t="str">
        <f ca="1" t="shared" si="6"/>
        <v>N/A</v>
      </c>
      <c r="H140" t="str">
        <f ca="1" t="shared" si="7"/>
        <v>N/A</v>
      </c>
      <c r="I140">
        <f ca="1" t="shared" si="8"/>
        <v>0</v>
      </c>
      <c r="J140">
        <f>_xlfn.XLOOKUP($A140,[1]Sheet1!$B$9:$B$2584,[1]Sheet1!$C$9:$C$2584,"N/A",0)</f>
        <v>98.92</v>
      </c>
      <c r="K140">
        <f>_xlfn.XLOOKUP($A140,[1]Sheet1!$E$9:$E$2584,[1]Sheet1!$F$9:$F$2584,"N/A",0)</f>
        <v>128</v>
      </c>
      <c r="L140">
        <f>_xlfn.XLOOKUP($A140,[1]Sheet1!$H$9:$H$2584,[1]Sheet1!$I$9:$I$2584,"N/A",0)</f>
        <v>95.21</v>
      </c>
      <c r="M140">
        <f>_xlfn.XLOOKUP($A140,[1]Sheet1!$K$9:$K$2584,[1]Sheet1!$L$9:$L$2584,"N/A",0)</f>
        <v>113.7</v>
      </c>
      <c r="N140">
        <f>_xlfn.XLOOKUP($A140,[1]Sheet1!$N$9:$N$2584,[1]Sheet1!$O$9:$O$2584,"N/A",0)</f>
        <v>93.61</v>
      </c>
      <c r="O140">
        <v>98.92</v>
      </c>
      <c r="P140">
        <v>128</v>
      </c>
      <c r="Q140">
        <v>95.21</v>
      </c>
      <c r="R140">
        <v>93.61</v>
      </c>
      <c r="S140">
        <v>113.7</v>
      </c>
    </row>
    <row r="141" spans="1:19">
      <c r="A141" s="1">
        <v>42572</v>
      </c>
      <c r="B141" t="s">
        <v>82</v>
      </c>
      <c r="C141" t="s">
        <v>96</v>
      </c>
      <c r="D141">
        <v>15.825</v>
      </c>
      <c r="E141">
        <v>17.775</v>
      </c>
      <c r="F141" s="2" t="s">
        <v>97</v>
      </c>
      <c r="G141" t="str">
        <f ca="1" t="shared" si="6"/>
        <v>N/A</v>
      </c>
      <c r="H141" t="str">
        <f ca="1" t="shared" si="7"/>
        <v>N/A</v>
      </c>
      <c r="I141">
        <f ca="1" t="shared" si="8"/>
        <v>0</v>
      </c>
      <c r="J141">
        <f>_xlfn.XLOOKUP($A141,[1]Sheet1!$B$9:$B$2584,[1]Sheet1!$C$9:$C$2584,"N/A",0)</f>
        <v>98.56</v>
      </c>
      <c r="K141">
        <f>_xlfn.XLOOKUP($A141,[1]Sheet1!$E$9:$E$2584,[1]Sheet1!$F$9:$F$2584,"N/A",0)</f>
        <v>126.76</v>
      </c>
      <c r="L141">
        <f>_xlfn.XLOOKUP($A141,[1]Sheet1!$H$9:$H$2584,[1]Sheet1!$I$9:$I$2584,"N/A",0)</f>
        <v>95.49</v>
      </c>
      <c r="M141">
        <f>_xlfn.XLOOKUP($A141,[1]Sheet1!$K$9:$K$2584,[1]Sheet1!$L$9:$L$2584,"N/A",0)</f>
        <v>113.38</v>
      </c>
      <c r="N141">
        <f>_xlfn.XLOOKUP($A141,[1]Sheet1!$N$9:$N$2584,[1]Sheet1!$O$9:$O$2584,"N/A",0)</f>
        <v>93.79</v>
      </c>
      <c r="O141">
        <v>98.56</v>
      </c>
      <c r="P141">
        <v>126.76</v>
      </c>
      <c r="Q141">
        <v>95.49</v>
      </c>
      <c r="R141">
        <v>93.79</v>
      </c>
      <c r="S141">
        <v>113.38</v>
      </c>
    </row>
    <row r="142" spans="1:19">
      <c r="A142" s="1">
        <v>42573</v>
      </c>
      <c r="B142" t="s">
        <v>82</v>
      </c>
      <c r="C142" t="s">
        <v>96</v>
      </c>
      <c r="D142">
        <v>15.375</v>
      </c>
      <c r="E142">
        <v>17.525</v>
      </c>
      <c r="F142" s="2" t="s">
        <v>98</v>
      </c>
      <c r="G142" t="str">
        <f ca="1" t="shared" si="6"/>
        <v>N/A</v>
      </c>
      <c r="H142" t="str">
        <f ca="1" t="shared" si="7"/>
        <v>N/A</v>
      </c>
      <c r="I142">
        <f ca="1" t="shared" si="8"/>
        <v>0</v>
      </c>
      <c r="J142">
        <f>_xlfn.XLOOKUP($A142,[1]Sheet1!$B$9:$B$2584,[1]Sheet1!$C$9:$C$2584,"N/A",0)</f>
        <v>98.59</v>
      </c>
      <c r="K142">
        <f>_xlfn.XLOOKUP($A142,[1]Sheet1!$E$9:$E$2584,[1]Sheet1!$F$9:$F$2584,"N/A",0)</f>
        <v>126.79</v>
      </c>
      <c r="L142">
        <f>_xlfn.XLOOKUP($A142,[1]Sheet1!$H$9:$H$2584,[1]Sheet1!$I$9:$I$2584,"N/A",0)</f>
        <v>95.12</v>
      </c>
      <c r="M142">
        <f>_xlfn.XLOOKUP($A142,[1]Sheet1!$K$9:$K$2584,[1]Sheet1!$L$9:$L$2584,"N/A",0)</f>
        <v>113.47</v>
      </c>
      <c r="N142">
        <f>_xlfn.XLOOKUP($A142,[1]Sheet1!$N$9:$N$2584,[1]Sheet1!$O$9:$O$2584,"N/A",0)</f>
        <v>93.71</v>
      </c>
      <c r="O142">
        <v>98.59</v>
      </c>
      <c r="P142">
        <v>126.79</v>
      </c>
      <c r="Q142">
        <v>95.12</v>
      </c>
      <c r="R142">
        <v>93.71</v>
      </c>
      <c r="S142">
        <v>113.47</v>
      </c>
    </row>
    <row r="143" spans="1:19">
      <c r="A143" s="1">
        <v>42576</v>
      </c>
      <c r="B143" t="s">
        <v>82</v>
      </c>
      <c r="C143" t="s">
        <v>96</v>
      </c>
      <c r="D143">
        <v>15.325</v>
      </c>
      <c r="E143">
        <v>17.575</v>
      </c>
      <c r="F143" s="2" t="s">
        <v>99</v>
      </c>
      <c r="G143" t="str">
        <f ca="1" t="shared" si="6"/>
        <v>N/A</v>
      </c>
      <c r="H143" t="str">
        <f ca="1" t="shared" si="7"/>
        <v>N/A</v>
      </c>
      <c r="I143">
        <f ca="1" t="shared" si="8"/>
        <v>0</v>
      </c>
      <c r="J143">
        <f>_xlfn.XLOOKUP($A143,[1]Sheet1!$B$9:$B$2584,[1]Sheet1!$C$9:$C$2584,"N/A",0)</f>
        <v>98.76</v>
      </c>
      <c r="K143">
        <f>_xlfn.XLOOKUP($A143,[1]Sheet1!$E$9:$E$2584,[1]Sheet1!$F$9:$F$2584,"N/A",0)</f>
        <v>125.63</v>
      </c>
      <c r="L143">
        <f>_xlfn.XLOOKUP($A143,[1]Sheet1!$H$9:$H$2584,[1]Sheet1!$I$9:$I$2584,"N/A",0)</f>
        <v>95.16</v>
      </c>
      <c r="M143">
        <f>_xlfn.XLOOKUP($A143,[1]Sheet1!$K$9:$K$2584,[1]Sheet1!$L$9:$L$2584,"N/A",0)</f>
        <v>114.04</v>
      </c>
      <c r="N143">
        <f>_xlfn.XLOOKUP($A143,[1]Sheet1!$N$9:$N$2584,[1]Sheet1!$O$9:$O$2584,"N/A",0)</f>
        <v>93.87</v>
      </c>
      <c r="O143">
        <v>98.76</v>
      </c>
      <c r="P143">
        <v>125.63</v>
      </c>
      <c r="Q143">
        <v>95.16</v>
      </c>
      <c r="R143">
        <v>93.87</v>
      </c>
      <c r="S143">
        <v>114.04</v>
      </c>
    </row>
    <row r="144" spans="1:19">
      <c r="A144" s="1">
        <v>42577</v>
      </c>
      <c r="B144" t="s">
        <v>82</v>
      </c>
      <c r="C144" t="s">
        <v>96</v>
      </c>
      <c r="D144">
        <v>15.175</v>
      </c>
      <c r="E144">
        <v>17.475</v>
      </c>
      <c r="F144" s="2" t="s">
        <v>100</v>
      </c>
      <c r="G144" t="str">
        <f ca="1" t="shared" si="6"/>
        <v>N/A</v>
      </c>
      <c r="H144" t="str">
        <f ca="1" t="shared" si="7"/>
        <v>N/A</v>
      </c>
      <c r="I144">
        <f ca="1" t="shared" si="8"/>
        <v>0</v>
      </c>
      <c r="J144">
        <f>_xlfn.XLOOKUP($A144,[1]Sheet1!$B$9:$B$2584,[1]Sheet1!$C$9:$C$2584,"N/A",0)</f>
        <v>98.69</v>
      </c>
      <c r="K144">
        <f>_xlfn.XLOOKUP($A144,[1]Sheet1!$E$9:$E$2584,[1]Sheet1!$F$9:$F$2584,"N/A",0)</f>
        <v>126.24</v>
      </c>
      <c r="L144">
        <f>_xlfn.XLOOKUP($A144,[1]Sheet1!$H$9:$H$2584,[1]Sheet1!$I$9:$I$2584,"N/A",0)</f>
        <v>95.53</v>
      </c>
      <c r="M144">
        <f>_xlfn.XLOOKUP($A144,[1]Sheet1!$K$9:$K$2584,[1]Sheet1!$L$9:$L$2584,"N/A",0)</f>
        <v>113.98</v>
      </c>
      <c r="N144">
        <f>_xlfn.XLOOKUP($A144,[1]Sheet1!$N$9:$N$2584,[1]Sheet1!$O$9:$O$2584,"N/A",0)</f>
        <v>94.06</v>
      </c>
      <c r="O144">
        <v>98.69</v>
      </c>
      <c r="P144">
        <v>126.24</v>
      </c>
      <c r="Q144">
        <v>95.53</v>
      </c>
      <c r="R144">
        <v>94.06</v>
      </c>
      <c r="S144">
        <v>113.98</v>
      </c>
    </row>
    <row r="145" spans="1:19">
      <c r="A145" s="1">
        <v>42578</v>
      </c>
      <c r="B145" t="s">
        <v>82</v>
      </c>
      <c r="C145" t="s">
        <v>96</v>
      </c>
      <c r="D145">
        <v>14.775</v>
      </c>
      <c r="E145">
        <v>17.275</v>
      </c>
      <c r="F145" s="2" t="s">
        <v>101</v>
      </c>
      <c r="G145" t="str">
        <f ca="1" t="shared" si="6"/>
        <v>N/A</v>
      </c>
      <c r="H145" t="str">
        <f ca="1" t="shared" si="7"/>
        <v>N/A</v>
      </c>
      <c r="I145">
        <f ca="1" t="shared" si="8"/>
        <v>0</v>
      </c>
      <c r="J145">
        <f>_xlfn.XLOOKUP($A145,[1]Sheet1!$B$9:$B$2584,[1]Sheet1!$C$9:$C$2584,"N/A",0)</f>
        <v>97.91</v>
      </c>
      <c r="K145">
        <f>_xlfn.XLOOKUP($A145,[1]Sheet1!$E$9:$E$2584,[1]Sheet1!$F$9:$F$2584,"N/A",0)</f>
        <v>126.49</v>
      </c>
      <c r="L145">
        <f>_xlfn.XLOOKUP($A145,[1]Sheet1!$H$9:$H$2584,[1]Sheet1!$I$9:$I$2584,"N/A",0)</f>
        <v>95.16</v>
      </c>
      <c r="M145">
        <f>_xlfn.XLOOKUP($A145,[1]Sheet1!$K$9:$K$2584,[1]Sheet1!$L$9:$L$2584,"N/A",0)</f>
        <v>112.75</v>
      </c>
      <c r="N145">
        <f>_xlfn.XLOOKUP($A145,[1]Sheet1!$N$9:$N$2584,[1]Sheet1!$O$9:$O$2584,"N/A",0)</f>
        <v>93.66</v>
      </c>
      <c r="O145">
        <v>97.91</v>
      </c>
      <c r="P145">
        <v>126.49</v>
      </c>
      <c r="Q145">
        <v>95.16</v>
      </c>
      <c r="R145">
        <v>93.66</v>
      </c>
      <c r="S145">
        <v>112.75</v>
      </c>
    </row>
    <row r="146" spans="1:19">
      <c r="A146" s="1">
        <v>42579</v>
      </c>
      <c r="B146" t="s">
        <v>82</v>
      </c>
      <c r="C146" t="s">
        <v>96</v>
      </c>
      <c r="D146">
        <v>14.375</v>
      </c>
      <c r="E146">
        <v>16.925</v>
      </c>
      <c r="F146" s="2" t="s">
        <v>102</v>
      </c>
      <c r="G146" t="str">
        <f ca="1" t="shared" si="6"/>
        <v>N/A</v>
      </c>
      <c r="H146" t="str">
        <f ca="1" t="shared" si="7"/>
        <v>N/A</v>
      </c>
      <c r="I146">
        <f ca="1" t="shared" si="8"/>
        <v>0</v>
      </c>
      <c r="J146">
        <f>_xlfn.XLOOKUP($A146,[1]Sheet1!$B$9:$B$2584,[1]Sheet1!$C$9:$C$2584,"N/A",0)</f>
        <v>98.71</v>
      </c>
      <c r="K146">
        <f>_xlfn.XLOOKUP($A146,[1]Sheet1!$E$9:$E$2584,[1]Sheet1!$F$9:$F$2584,"N/A",0)</f>
        <v>127.06</v>
      </c>
      <c r="L146">
        <f>_xlfn.XLOOKUP($A146,[1]Sheet1!$H$9:$H$2584,[1]Sheet1!$I$9:$I$2584,"N/A",0)</f>
        <v>94.41</v>
      </c>
      <c r="M146">
        <f>_xlfn.XLOOKUP($A146,[1]Sheet1!$K$9:$K$2584,[1]Sheet1!$L$9:$L$2584,"N/A",0)</f>
        <v>112.38</v>
      </c>
      <c r="N146">
        <f>_xlfn.XLOOKUP($A146,[1]Sheet1!$N$9:$N$2584,[1]Sheet1!$O$9:$O$2584,"N/A",0)</f>
        <v>94.14</v>
      </c>
      <c r="O146">
        <v>98.71</v>
      </c>
      <c r="P146">
        <v>127.06</v>
      </c>
      <c r="Q146">
        <v>94.41</v>
      </c>
      <c r="R146">
        <v>94.14</v>
      </c>
      <c r="S146">
        <v>112.38</v>
      </c>
    </row>
    <row r="147" spans="1:19">
      <c r="A147" s="1">
        <v>42580</v>
      </c>
      <c r="B147" t="s">
        <v>82</v>
      </c>
      <c r="C147" t="s">
        <v>96</v>
      </c>
      <c r="D147">
        <v>13.825</v>
      </c>
      <c r="E147">
        <v>16.425</v>
      </c>
      <c r="F147" s="2" t="s">
        <v>103</v>
      </c>
      <c r="G147" t="str">
        <f ca="1" t="shared" si="6"/>
        <v>N/A</v>
      </c>
      <c r="H147" t="str">
        <f ca="1" t="shared" si="7"/>
        <v>N/A</v>
      </c>
      <c r="I147">
        <f ca="1" t="shared" si="8"/>
        <v>0</v>
      </c>
      <c r="J147">
        <f>_xlfn.XLOOKUP($A147,[1]Sheet1!$B$9:$B$2584,[1]Sheet1!$C$9:$C$2584,"N/A",0)</f>
        <v>98.78</v>
      </c>
      <c r="K147">
        <f>_xlfn.XLOOKUP($A147,[1]Sheet1!$E$9:$E$2584,[1]Sheet1!$F$9:$F$2584,"N/A",0)</f>
        <v>127.5</v>
      </c>
      <c r="L147">
        <f>_xlfn.XLOOKUP($A147,[1]Sheet1!$H$9:$H$2584,[1]Sheet1!$I$9:$I$2584,"N/A",0)</f>
        <v>94.44</v>
      </c>
      <c r="M147">
        <f>_xlfn.XLOOKUP($A147,[1]Sheet1!$K$9:$K$2584,[1]Sheet1!$L$9:$L$2584,"N/A",0)</f>
        <v>112.1</v>
      </c>
      <c r="N147">
        <f>_xlfn.XLOOKUP($A147,[1]Sheet1!$N$9:$N$2584,[1]Sheet1!$O$9:$O$2584,"N/A",0)</f>
        <v>93.72</v>
      </c>
      <c r="O147">
        <v>98.78</v>
      </c>
      <c r="P147">
        <v>127.5</v>
      </c>
      <c r="Q147">
        <v>94.44</v>
      </c>
      <c r="R147">
        <v>93.72</v>
      </c>
      <c r="S147">
        <v>112.1</v>
      </c>
    </row>
    <row r="148" spans="1:19">
      <c r="A148" s="1">
        <v>42583</v>
      </c>
      <c r="B148" t="s">
        <v>82</v>
      </c>
      <c r="C148" t="s">
        <v>96</v>
      </c>
      <c r="D148">
        <v>13.625</v>
      </c>
      <c r="E148">
        <v>16.225</v>
      </c>
      <c r="F148" s="2" t="s">
        <v>104</v>
      </c>
      <c r="G148" t="str">
        <f ca="1" t="shared" si="6"/>
        <v>N/A</v>
      </c>
      <c r="H148" t="str">
        <f ca="1" t="shared" si="7"/>
        <v>N/A</v>
      </c>
      <c r="I148">
        <f ca="1" t="shared" si="8"/>
        <v>0</v>
      </c>
      <c r="J148">
        <f>_xlfn.XLOOKUP($A148,[1]Sheet1!$B$9:$B$2584,[1]Sheet1!$C$9:$C$2584,"N/A",0)</f>
        <v>98.79</v>
      </c>
      <c r="K148">
        <f>_xlfn.XLOOKUP($A148,[1]Sheet1!$E$9:$E$2584,[1]Sheet1!$F$9:$F$2584,"N/A",0)</f>
        <v>127.1</v>
      </c>
      <c r="L148">
        <f>_xlfn.XLOOKUP($A148,[1]Sheet1!$H$9:$H$2584,[1]Sheet1!$I$9:$I$2584,"N/A",0)</f>
        <v>93.99</v>
      </c>
      <c r="M148">
        <f>_xlfn.XLOOKUP($A148,[1]Sheet1!$K$9:$K$2584,[1]Sheet1!$L$9:$L$2584,"N/A",0)</f>
        <v>111.91</v>
      </c>
      <c r="N148">
        <f>_xlfn.XLOOKUP($A148,[1]Sheet1!$N$9:$N$2584,[1]Sheet1!$O$9:$O$2584,"N/A",0)</f>
        <v>93.69</v>
      </c>
      <c r="O148">
        <v>98.79</v>
      </c>
      <c r="P148">
        <v>127.1</v>
      </c>
      <c r="Q148">
        <v>93.99</v>
      </c>
      <c r="R148">
        <v>93.69</v>
      </c>
      <c r="S148">
        <v>111.91</v>
      </c>
    </row>
    <row r="149" spans="1:19">
      <c r="A149" s="1">
        <v>42584</v>
      </c>
      <c r="B149" t="s">
        <v>82</v>
      </c>
      <c r="C149" t="s">
        <v>96</v>
      </c>
      <c r="D149">
        <v>14.225</v>
      </c>
      <c r="E149">
        <v>16.625</v>
      </c>
      <c r="F149" s="2" t="s">
        <v>105</v>
      </c>
      <c r="G149" t="str">
        <f ca="1" t="shared" si="6"/>
        <v>N/A</v>
      </c>
      <c r="H149" t="str">
        <f ca="1" t="shared" si="7"/>
        <v>N/A</v>
      </c>
      <c r="I149">
        <f ca="1" t="shared" si="8"/>
        <v>0</v>
      </c>
      <c r="J149">
        <f>_xlfn.XLOOKUP($A149,[1]Sheet1!$B$9:$B$2584,[1]Sheet1!$C$9:$C$2584,"N/A",0)</f>
        <v>99.14</v>
      </c>
      <c r="K149">
        <f>_xlfn.XLOOKUP($A149,[1]Sheet1!$E$9:$E$2584,[1]Sheet1!$F$9:$F$2584,"N/A",0)</f>
        <v>127.6</v>
      </c>
      <c r="L149">
        <f>_xlfn.XLOOKUP($A149,[1]Sheet1!$H$9:$H$2584,[1]Sheet1!$I$9:$I$2584,"N/A",0)</f>
        <v>93.94</v>
      </c>
      <c r="M149">
        <f>_xlfn.XLOOKUP($A149,[1]Sheet1!$K$9:$K$2584,[1]Sheet1!$L$9:$L$2584,"N/A",0)</f>
        <v>111.74</v>
      </c>
      <c r="N149">
        <f>_xlfn.XLOOKUP($A149,[1]Sheet1!$N$9:$N$2584,[1]Sheet1!$O$9:$O$2584,"N/A",0)</f>
        <v>94.22</v>
      </c>
      <c r="O149">
        <v>99.14</v>
      </c>
      <c r="P149">
        <v>127.6</v>
      </c>
      <c r="Q149">
        <v>93.94</v>
      </c>
      <c r="R149">
        <v>94.22</v>
      </c>
      <c r="S149">
        <v>111.74</v>
      </c>
    </row>
    <row r="150" spans="1:19">
      <c r="A150" s="1">
        <v>42585</v>
      </c>
      <c r="B150" t="s">
        <v>82</v>
      </c>
      <c r="C150" t="s">
        <v>96</v>
      </c>
      <c r="D150">
        <v>13.825</v>
      </c>
      <c r="E150">
        <v>16.275</v>
      </c>
      <c r="F150" s="2" t="s">
        <v>106</v>
      </c>
      <c r="G150" t="str">
        <f ca="1" t="shared" si="6"/>
        <v>N/A</v>
      </c>
      <c r="H150" t="str">
        <f ca="1" t="shared" si="7"/>
        <v>N/A</v>
      </c>
      <c r="I150">
        <f ca="1" t="shared" si="8"/>
        <v>0</v>
      </c>
      <c r="J150">
        <f>_xlfn.XLOOKUP($A150,[1]Sheet1!$B$9:$B$2584,[1]Sheet1!$C$9:$C$2584,"N/A",0)</f>
        <v>99</v>
      </c>
      <c r="K150">
        <f>_xlfn.XLOOKUP($A150,[1]Sheet1!$E$9:$E$2584,[1]Sheet1!$F$9:$F$2584,"N/A",0)</f>
        <v>126.93</v>
      </c>
      <c r="L150">
        <f>_xlfn.XLOOKUP($A150,[1]Sheet1!$H$9:$H$2584,[1]Sheet1!$I$9:$I$2584,"N/A",0)</f>
        <v>93.95</v>
      </c>
      <c r="M150">
        <f>_xlfn.XLOOKUP($A150,[1]Sheet1!$K$9:$K$2584,[1]Sheet1!$L$9:$L$2584,"N/A",0)</f>
        <v>111.8</v>
      </c>
      <c r="N150">
        <f>_xlfn.XLOOKUP($A150,[1]Sheet1!$N$9:$N$2584,[1]Sheet1!$O$9:$O$2584,"N/A",0)</f>
        <v>94.34</v>
      </c>
      <c r="O150">
        <v>99</v>
      </c>
      <c r="P150">
        <v>126.93</v>
      </c>
      <c r="Q150">
        <v>93.95</v>
      </c>
      <c r="R150">
        <v>94.34</v>
      </c>
      <c r="S150">
        <v>111.8</v>
      </c>
    </row>
    <row r="151" spans="1:19">
      <c r="A151" s="1">
        <v>42586</v>
      </c>
      <c r="B151" t="s">
        <v>82</v>
      </c>
      <c r="C151" t="s">
        <v>96</v>
      </c>
      <c r="D151">
        <v>13.425</v>
      </c>
      <c r="E151">
        <v>15.875</v>
      </c>
      <c r="F151" s="2" t="s">
        <v>107</v>
      </c>
      <c r="G151" t="str">
        <f ca="1" t="shared" si="6"/>
        <v>N/A</v>
      </c>
      <c r="H151" t="str">
        <f ca="1" t="shared" si="7"/>
        <v>N/A</v>
      </c>
      <c r="I151">
        <f ca="1" t="shared" si="8"/>
        <v>0</v>
      </c>
      <c r="J151">
        <f>_xlfn.XLOOKUP($A151,[1]Sheet1!$B$9:$B$2584,[1]Sheet1!$C$9:$C$2584,"N/A",0)</f>
        <v>99.28</v>
      </c>
      <c r="K151">
        <f>_xlfn.XLOOKUP($A151,[1]Sheet1!$E$9:$E$2584,[1]Sheet1!$F$9:$F$2584,"N/A",0)</f>
        <v>127.94</v>
      </c>
      <c r="L151">
        <f>_xlfn.XLOOKUP($A151,[1]Sheet1!$H$9:$H$2584,[1]Sheet1!$I$9:$I$2584,"N/A",0)</f>
        <v>94.06</v>
      </c>
      <c r="M151">
        <f>_xlfn.XLOOKUP($A151,[1]Sheet1!$K$9:$K$2584,[1]Sheet1!$L$9:$L$2584,"N/A",0)</f>
        <v>111.17</v>
      </c>
      <c r="N151">
        <f>_xlfn.XLOOKUP($A151,[1]Sheet1!$N$9:$N$2584,[1]Sheet1!$O$9:$O$2584,"N/A",0)</f>
        <v>94.27</v>
      </c>
      <c r="O151">
        <v>99.28</v>
      </c>
      <c r="P151">
        <v>127.94</v>
      </c>
      <c r="Q151">
        <v>94.06</v>
      </c>
      <c r="R151">
        <v>94.27</v>
      </c>
      <c r="S151">
        <v>111.17</v>
      </c>
    </row>
    <row r="152" spans="1:19">
      <c r="A152" s="1">
        <v>42587</v>
      </c>
      <c r="B152" t="s">
        <v>82</v>
      </c>
      <c r="C152" t="s">
        <v>96</v>
      </c>
      <c r="D152">
        <v>12.875</v>
      </c>
      <c r="E152">
        <v>15.325</v>
      </c>
      <c r="F152" s="2" t="s">
        <v>108</v>
      </c>
      <c r="G152" t="str">
        <f ca="1" t="shared" si="6"/>
        <v>N/A</v>
      </c>
      <c r="H152" t="str">
        <f ca="1" t="shared" si="7"/>
        <v>N/A</v>
      </c>
      <c r="I152">
        <f ca="1" t="shared" si="8"/>
        <v>0</v>
      </c>
      <c r="J152">
        <f>_xlfn.XLOOKUP($A152,[1]Sheet1!$B$9:$B$2584,[1]Sheet1!$C$9:$C$2584,"N/A",0)</f>
        <v>98.95</v>
      </c>
      <c r="K152">
        <f>_xlfn.XLOOKUP($A152,[1]Sheet1!$E$9:$E$2584,[1]Sheet1!$F$9:$F$2584,"N/A",0)</f>
        <v>127.69</v>
      </c>
      <c r="L152">
        <f>_xlfn.XLOOKUP($A152,[1]Sheet1!$H$9:$H$2584,[1]Sheet1!$I$9:$I$2584,"N/A",0)</f>
        <v>94.47</v>
      </c>
      <c r="M152">
        <f>_xlfn.XLOOKUP($A152,[1]Sheet1!$K$9:$K$2584,[1]Sheet1!$L$9:$L$2584,"N/A",0)</f>
        <v>111.72</v>
      </c>
      <c r="N152">
        <f>_xlfn.XLOOKUP($A152,[1]Sheet1!$N$9:$N$2584,[1]Sheet1!$O$9:$O$2584,"N/A",0)</f>
        <v>93.76</v>
      </c>
      <c r="O152">
        <v>98.95</v>
      </c>
      <c r="P152">
        <v>127.69</v>
      </c>
      <c r="Q152">
        <v>94.47</v>
      </c>
      <c r="R152">
        <v>93.76</v>
      </c>
      <c r="S152">
        <v>111.72</v>
      </c>
    </row>
    <row r="153" spans="1:19">
      <c r="A153" s="1">
        <v>42590</v>
      </c>
      <c r="B153" t="s">
        <v>82</v>
      </c>
      <c r="C153" t="s">
        <v>96</v>
      </c>
      <c r="D153">
        <v>12.475</v>
      </c>
      <c r="E153">
        <v>15.125</v>
      </c>
      <c r="F153" s="2" t="s">
        <v>109</v>
      </c>
      <c r="G153" t="str">
        <f ca="1" t="shared" si="6"/>
        <v>N/A</v>
      </c>
      <c r="H153" t="str">
        <f ca="1" t="shared" si="7"/>
        <v>N/A</v>
      </c>
      <c r="I153">
        <f ca="1" t="shared" si="8"/>
        <v>0</v>
      </c>
      <c r="J153">
        <f>_xlfn.XLOOKUP($A153,[1]Sheet1!$B$9:$B$2584,[1]Sheet1!$C$9:$C$2584,"N/A",0)</f>
        <v>99.15</v>
      </c>
      <c r="K153">
        <f>_xlfn.XLOOKUP($A153,[1]Sheet1!$E$9:$E$2584,[1]Sheet1!$F$9:$F$2584,"N/A",0)</f>
        <v>127.42</v>
      </c>
      <c r="L153">
        <f>_xlfn.XLOOKUP($A153,[1]Sheet1!$H$9:$H$2584,[1]Sheet1!$I$9:$I$2584,"N/A",0)</f>
        <v>94.9</v>
      </c>
      <c r="M153">
        <f>_xlfn.XLOOKUP($A153,[1]Sheet1!$K$9:$K$2584,[1]Sheet1!$L$9:$L$2584,"N/A",0)</f>
        <v>111.73</v>
      </c>
      <c r="N153">
        <f>_xlfn.XLOOKUP($A153,[1]Sheet1!$N$9:$N$2584,[1]Sheet1!$O$9:$O$2584,"N/A",0)</f>
        <v>93.58</v>
      </c>
      <c r="O153">
        <v>99.15</v>
      </c>
      <c r="P153">
        <v>127.42</v>
      </c>
      <c r="Q153">
        <v>94.9</v>
      </c>
      <c r="R153">
        <v>93.58</v>
      </c>
      <c r="S153">
        <v>111.73</v>
      </c>
    </row>
    <row r="154" spans="1:19">
      <c r="A154" s="1">
        <v>42591</v>
      </c>
      <c r="B154" t="s">
        <v>82</v>
      </c>
      <c r="C154" t="s">
        <v>96</v>
      </c>
      <c r="D154">
        <v>12.375</v>
      </c>
      <c r="E154">
        <v>14.875</v>
      </c>
      <c r="F154" s="2" t="s">
        <v>110</v>
      </c>
      <c r="G154" t="str">
        <f ca="1" t="shared" si="6"/>
        <v>N/A</v>
      </c>
      <c r="H154" t="str">
        <f ca="1" t="shared" si="7"/>
        <v>N/A</v>
      </c>
      <c r="I154">
        <f ca="1" t="shared" si="8"/>
        <v>0</v>
      </c>
      <c r="J154">
        <f>_xlfn.XLOOKUP($A154,[1]Sheet1!$B$9:$B$2584,[1]Sheet1!$C$9:$C$2584,"N/A",0)</f>
        <v>98.85</v>
      </c>
      <c r="K154">
        <f>_xlfn.XLOOKUP($A154,[1]Sheet1!$E$9:$E$2584,[1]Sheet1!$F$9:$F$2584,"N/A",0)</f>
        <v>127.62</v>
      </c>
      <c r="L154">
        <f>_xlfn.XLOOKUP($A154,[1]Sheet1!$H$9:$H$2584,[1]Sheet1!$I$9:$I$2584,"N/A",0)</f>
        <v>94.18</v>
      </c>
      <c r="M154">
        <f>_xlfn.XLOOKUP($A154,[1]Sheet1!$K$9:$K$2584,[1]Sheet1!$L$9:$L$2584,"N/A",0)</f>
        <v>110.61</v>
      </c>
      <c r="N154">
        <f>_xlfn.XLOOKUP($A154,[1]Sheet1!$N$9:$N$2584,[1]Sheet1!$O$9:$O$2584,"N/A",0)</f>
        <v>93.43</v>
      </c>
      <c r="O154">
        <v>98.85</v>
      </c>
      <c r="P154">
        <v>127.62</v>
      </c>
      <c r="Q154">
        <v>94.18</v>
      </c>
      <c r="R154">
        <v>93.43</v>
      </c>
      <c r="S154">
        <v>110.61</v>
      </c>
    </row>
    <row r="155" spans="1:19">
      <c r="A155" s="1">
        <v>42592</v>
      </c>
      <c r="B155" t="s">
        <v>82</v>
      </c>
      <c r="C155" t="s">
        <v>96</v>
      </c>
      <c r="D155">
        <v>12.875</v>
      </c>
      <c r="E155">
        <v>15.175</v>
      </c>
      <c r="F155" s="2" t="s">
        <v>111</v>
      </c>
      <c r="G155" t="str">
        <f ca="1" t="shared" si="6"/>
        <v>N/A</v>
      </c>
      <c r="H155" t="str">
        <f ca="1" t="shared" si="7"/>
        <v>N/A</v>
      </c>
      <c r="I155">
        <f ca="1" t="shared" si="8"/>
        <v>0</v>
      </c>
      <c r="J155">
        <f>_xlfn.XLOOKUP($A155,[1]Sheet1!$B$9:$B$2584,[1]Sheet1!$C$9:$C$2584,"N/A",0)</f>
        <v>99.5</v>
      </c>
      <c r="K155">
        <f>_xlfn.XLOOKUP($A155,[1]Sheet1!$E$9:$E$2584,[1]Sheet1!$F$9:$F$2584,"N/A",0)</f>
        <v>127.67</v>
      </c>
      <c r="L155">
        <f>_xlfn.XLOOKUP($A155,[1]Sheet1!$H$9:$H$2584,[1]Sheet1!$I$9:$I$2584,"N/A",0)</f>
        <v>94.11</v>
      </c>
      <c r="M155">
        <f>_xlfn.XLOOKUP($A155,[1]Sheet1!$K$9:$K$2584,[1]Sheet1!$L$9:$L$2584,"N/A",0)</f>
        <v>110.77</v>
      </c>
      <c r="N155">
        <f>_xlfn.XLOOKUP($A155,[1]Sheet1!$N$9:$N$2584,[1]Sheet1!$O$9:$O$2584,"N/A",0)</f>
        <v>93.4</v>
      </c>
      <c r="O155">
        <v>99.5</v>
      </c>
      <c r="P155">
        <v>127.67</v>
      </c>
      <c r="Q155">
        <v>94.11</v>
      </c>
      <c r="R155">
        <v>93.4</v>
      </c>
      <c r="S155">
        <v>110.77</v>
      </c>
    </row>
    <row r="156" spans="1:19">
      <c r="A156" s="1">
        <v>42593</v>
      </c>
      <c r="B156" t="s">
        <v>82</v>
      </c>
      <c r="C156" t="s">
        <v>96</v>
      </c>
      <c r="D156">
        <v>12.625</v>
      </c>
      <c r="E156">
        <v>15.075</v>
      </c>
      <c r="F156">
        <v>0.194059405940594</v>
      </c>
      <c r="G156" t="str">
        <f ca="1" t="shared" si="6"/>
        <v>N/A</v>
      </c>
      <c r="H156" t="str">
        <f ca="1" t="shared" si="7"/>
        <v>N/A</v>
      </c>
      <c r="I156">
        <f ca="1" t="shared" si="8"/>
        <v>0</v>
      </c>
      <c r="J156">
        <f>_xlfn.XLOOKUP($A156,[1]Sheet1!$B$9:$B$2584,[1]Sheet1!$C$9:$C$2584,"N/A",0)</f>
        <v>99.22</v>
      </c>
      <c r="K156">
        <f>_xlfn.XLOOKUP($A156,[1]Sheet1!$E$9:$E$2584,[1]Sheet1!$F$9:$F$2584,"N/A",0)</f>
        <v>126.99</v>
      </c>
      <c r="L156">
        <f>_xlfn.XLOOKUP($A156,[1]Sheet1!$H$9:$H$2584,[1]Sheet1!$I$9:$I$2584,"N/A",0)</f>
        <v>94.46</v>
      </c>
      <c r="M156">
        <f>_xlfn.XLOOKUP($A156,[1]Sheet1!$K$9:$K$2584,[1]Sheet1!$L$9:$L$2584,"N/A",0)</f>
        <v>110.93</v>
      </c>
      <c r="N156">
        <f>_xlfn.XLOOKUP($A156,[1]Sheet1!$N$9:$N$2584,[1]Sheet1!$O$9:$O$2584,"N/A",0)</f>
        <v>93.46</v>
      </c>
      <c r="O156">
        <v>99.22</v>
      </c>
      <c r="P156">
        <v>126.99</v>
      </c>
      <c r="Q156">
        <v>94.46</v>
      </c>
      <c r="R156">
        <v>93.46</v>
      </c>
      <c r="S156">
        <v>110.93</v>
      </c>
    </row>
    <row r="157" spans="1:19">
      <c r="A157" s="1">
        <v>42594</v>
      </c>
      <c r="B157" t="s">
        <v>82</v>
      </c>
      <c r="C157" t="s">
        <v>96</v>
      </c>
      <c r="D157">
        <v>12.325</v>
      </c>
      <c r="E157">
        <v>14.975</v>
      </c>
      <c r="F157" s="2" t="s">
        <v>112</v>
      </c>
      <c r="G157" t="str">
        <f ca="1" t="shared" si="6"/>
        <v>N/A</v>
      </c>
      <c r="H157" t="str">
        <f ca="1" t="shared" si="7"/>
        <v>N/A</v>
      </c>
      <c r="I157">
        <f ca="1" t="shared" si="8"/>
        <v>0</v>
      </c>
      <c r="J157">
        <f>_xlfn.XLOOKUP($A157,[1]Sheet1!$B$9:$B$2584,[1]Sheet1!$C$9:$C$2584,"N/A",0)</f>
        <v>99.04</v>
      </c>
      <c r="K157">
        <f>_xlfn.XLOOKUP($A157,[1]Sheet1!$E$9:$E$2584,[1]Sheet1!$F$9:$F$2584,"N/A",0)</f>
        <v>126.5</v>
      </c>
      <c r="L157">
        <f>_xlfn.XLOOKUP($A157,[1]Sheet1!$H$9:$H$2584,[1]Sheet1!$I$9:$I$2584,"N/A",0)</f>
        <v>94.17</v>
      </c>
      <c r="M157">
        <f>_xlfn.XLOOKUP($A157,[1]Sheet1!$K$9:$K$2584,[1]Sheet1!$L$9:$L$2584,"N/A",0)</f>
        <v>110.87</v>
      </c>
      <c r="N157">
        <f>_xlfn.XLOOKUP($A157,[1]Sheet1!$N$9:$N$2584,[1]Sheet1!$O$9:$O$2584,"N/A",0)</f>
        <v>93.23</v>
      </c>
      <c r="O157">
        <v>99.04</v>
      </c>
      <c r="P157">
        <v>126.5</v>
      </c>
      <c r="Q157">
        <v>94.17</v>
      </c>
      <c r="R157">
        <v>93.23</v>
      </c>
      <c r="S157">
        <v>110.87</v>
      </c>
    </row>
    <row r="158" spans="1:19">
      <c r="A158" s="1">
        <v>42597</v>
      </c>
      <c r="B158" t="s">
        <v>82</v>
      </c>
      <c r="C158" t="s">
        <v>96</v>
      </c>
      <c r="D158">
        <v>12.225</v>
      </c>
      <c r="E158">
        <v>14.825</v>
      </c>
      <c r="F158" s="2" t="s">
        <v>113</v>
      </c>
      <c r="G158" t="str">
        <f ca="1" t="shared" si="6"/>
        <v>N/A</v>
      </c>
      <c r="H158" t="str">
        <f ca="1" t="shared" si="7"/>
        <v>N/A</v>
      </c>
      <c r="I158">
        <f ca="1" t="shared" si="8"/>
        <v>0</v>
      </c>
      <c r="J158">
        <f>_xlfn.XLOOKUP($A158,[1]Sheet1!$B$9:$B$2584,[1]Sheet1!$C$9:$C$2584,"N/A",0)</f>
        <v>98.77</v>
      </c>
      <c r="K158">
        <f>_xlfn.XLOOKUP($A158,[1]Sheet1!$E$9:$E$2584,[1]Sheet1!$F$9:$F$2584,"N/A",0)</f>
        <v>126</v>
      </c>
      <c r="L158">
        <f>_xlfn.XLOOKUP($A158,[1]Sheet1!$H$9:$H$2584,[1]Sheet1!$I$9:$I$2584,"N/A",0)</f>
        <v>94.25</v>
      </c>
      <c r="M158">
        <f>_xlfn.XLOOKUP($A158,[1]Sheet1!$K$9:$K$2584,[1]Sheet1!$L$9:$L$2584,"N/A",0)</f>
        <v>110.58</v>
      </c>
      <c r="N158">
        <f>_xlfn.XLOOKUP($A158,[1]Sheet1!$N$9:$N$2584,[1]Sheet1!$O$9:$O$2584,"N/A",0)</f>
        <v>92.94</v>
      </c>
      <c r="O158">
        <v>98.77</v>
      </c>
      <c r="P158">
        <v>126</v>
      </c>
      <c r="Q158">
        <v>94.25</v>
      </c>
      <c r="R158">
        <v>92.94</v>
      </c>
      <c r="S158">
        <v>110.58</v>
      </c>
    </row>
    <row r="159" spans="1:19">
      <c r="A159" s="1">
        <v>42598</v>
      </c>
      <c r="B159" t="s">
        <v>82</v>
      </c>
      <c r="C159" t="s">
        <v>96</v>
      </c>
      <c r="D159">
        <v>12.825</v>
      </c>
      <c r="E159">
        <v>15.325</v>
      </c>
      <c r="F159" s="2" t="s">
        <v>114</v>
      </c>
      <c r="G159" t="str">
        <f ca="1" t="shared" si="6"/>
        <v>N/A</v>
      </c>
      <c r="H159" t="str">
        <f ca="1" t="shared" si="7"/>
        <v>N/A</v>
      </c>
      <c r="I159">
        <f ca="1" t="shared" si="8"/>
        <v>0</v>
      </c>
      <c r="J159">
        <f>_xlfn.XLOOKUP($A159,[1]Sheet1!$B$9:$B$2584,[1]Sheet1!$C$9:$C$2584,"N/A",0)</f>
        <v>98.36</v>
      </c>
      <c r="K159">
        <f>_xlfn.XLOOKUP($A159,[1]Sheet1!$E$9:$E$2584,[1]Sheet1!$F$9:$F$2584,"N/A",0)</f>
        <v>125.45</v>
      </c>
      <c r="L159">
        <f>_xlfn.XLOOKUP($A159,[1]Sheet1!$H$9:$H$2584,[1]Sheet1!$I$9:$I$2584,"N/A",0)</f>
        <v>94.25</v>
      </c>
      <c r="M159">
        <f>_xlfn.XLOOKUP($A159,[1]Sheet1!$K$9:$K$2584,[1]Sheet1!$L$9:$L$2584,"N/A",0)</f>
        <v>110.63</v>
      </c>
      <c r="N159">
        <f>_xlfn.XLOOKUP($A159,[1]Sheet1!$N$9:$N$2584,[1]Sheet1!$O$9:$O$2584,"N/A",0)</f>
        <v>93.31</v>
      </c>
      <c r="O159">
        <v>98.36</v>
      </c>
      <c r="P159">
        <v>125.45</v>
      </c>
      <c r="Q159">
        <v>94.25</v>
      </c>
      <c r="R159">
        <v>93.31</v>
      </c>
      <c r="S159">
        <v>110.63</v>
      </c>
    </row>
    <row r="160" spans="1:19">
      <c r="A160" s="1">
        <v>42599</v>
      </c>
      <c r="B160" t="s">
        <v>82</v>
      </c>
      <c r="C160" t="s">
        <v>96</v>
      </c>
      <c r="D160">
        <v>12.8</v>
      </c>
      <c r="E160">
        <v>14.825</v>
      </c>
      <c r="F160" s="2" t="s">
        <v>115</v>
      </c>
      <c r="G160" t="str">
        <f ca="1" t="shared" si="6"/>
        <v>N/A</v>
      </c>
      <c r="H160" t="str">
        <f ca="1" t="shared" si="7"/>
        <v>N/A</v>
      </c>
      <c r="I160">
        <f ca="1" t="shared" si="8"/>
        <v>0</v>
      </c>
      <c r="J160">
        <f>_xlfn.XLOOKUP($A160,[1]Sheet1!$B$9:$B$2584,[1]Sheet1!$C$9:$C$2584,"N/A",0)</f>
        <v>98.34</v>
      </c>
      <c r="K160">
        <f>_xlfn.XLOOKUP($A160,[1]Sheet1!$E$9:$E$2584,[1]Sheet1!$F$9:$F$2584,"N/A",0)</f>
        <v>125.4</v>
      </c>
      <c r="L160">
        <f>_xlfn.XLOOKUP($A160,[1]Sheet1!$H$9:$H$2584,[1]Sheet1!$I$9:$I$2584,"N/A",0)</f>
        <v>94.26</v>
      </c>
      <c r="M160">
        <f>_xlfn.XLOOKUP($A160,[1]Sheet1!$K$9:$K$2584,[1]Sheet1!$L$9:$L$2584,"N/A",0)</f>
        <v>110.5</v>
      </c>
      <c r="N160">
        <f>_xlfn.XLOOKUP($A160,[1]Sheet1!$N$9:$N$2584,[1]Sheet1!$O$9:$O$2584,"N/A",0)</f>
        <v>93.54</v>
      </c>
      <c r="O160">
        <v>98.34</v>
      </c>
      <c r="P160">
        <v>125.4</v>
      </c>
      <c r="Q160">
        <v>94.26</v>
      </c>
      <c r="R160">
        <v>93.54</v>
      </c>
      <c r="S160">
        <v>110.5</v>
      </c>
    </row>
    <row r="161" spans="1:19">
      <c r="A161" s="1">
        <v>42600</v>
      </c>
      <c r="B161" t="s">
        <v>96</v>
      </c>
      <c r="C161" t="s">
        <v>116</v>
      </c>
      <c r="D161">
        <v>14.575</v>
      </c>
      <c r="E161">
        <v>16.575</v>
      </c>
      <c r="F161">
        <v>0.137221269296741</v>
      </c>
      <c r="G161" t="str">
        <f ca="1" t="shared" si="6"/>
        <v>N/A</v>
      </c>
      <c r="H161" t="str">
        <f ca="1" t="shared" si="7"/>
        <v>N/A</v>
      </c>
      <c r="I161">
        <f ca="1" t="shared" si="8"/>
        <v>0</v>
      </c>
      <c r="J161">
        <f>_xlfn.XLOOKUP($A161,[1]Sheet1!$B$9:$B$2584,[1]Sheet1!$C$9:$C$2584,"N/A",0)</f>
        <v>98.28</v>
      </c>
      <c r="K161">
        <f>_xlfn.XLOOKUP($A161,[1]Sheet1!$E$9:$E$2584,[1]Sheet1!$F$9:$F$2584,"N/A",0)</f>
        <v>125.77</v>
      </c>
      <c r="L161">
        <f>_xlfn.XLOOKUP($A161,[1]Sheet1!$H$9:$H$2584,[1]Sheet1!$I$9:$I$2584,"N/A",0)</f>
        <v>94.39</v>
      </c>
      <c r="M161">
        <f>_xlfn.XLOOKUP($A161,[1]Sheet1!$K$9:$K$2584,[1]Sheet1!$L$9:$L$2584,"N/A",0)</f>
        <v>110.38</v>
      </c>
      <c r="N161">
        <f>_xlfn.XLOOKUP($A161,[1]Sheet1!$N$9:$N$2584,[1]Sheet1!$O$9:$O$2584,"N/A",0)</f>
        <v>93.21</v>
      </c>
      <c r="O161">
        <v>98.28</v>
      </c>
      <c r="P161">
        <v>125.77</v>
      </c>
      <c r="Q161">
        <v>94.39</v>
      </c>
      <c r="R161">
        <v>93.21</v>
      </c>
      <c r="S161">
        <v>110.38</v>
      </c>
    </row>
    <row r="162" spans="1:19">
      <c r="A162" s="1">
        <v>42601</v>
      </c>
      <c r="B162" t="s">
        <v>96</v>
      </c>
      <c r="C162" t="s">
        <v>116</v>
      </c>
      <c r="D162">
        <v>14.675</v>
      </c>
      <c r="E162">
        <v>16.675</v>
      </c>
      <c r="F162" s="2" t="s">
        <v>117</v>
      </c>
      <c r="G162" t="str">
        <f ca="1" t="shared" si="6"/>
        <v>N/A</v>
      </c>
      <c r="H162" t="str">
        <f ca="1" t="shared" si="7"/>
        <v>N/A</v>
      </c>
      <c r="I162">
        <f ca="1" t="shared" si="8"/>
        <v>0</v>
      </c>
      <c r="J162">
        <f>_xlfn.XLOOKUP($A162,[1]Sheet1!$B$9:$B$2584,[1]Sheet1!$C$9:$C$2584,"N/A",0)</f>
        <v>98.15</v>
      </c>
      <c r="K162">
        <f>_xlfn.XLOOKUP($A162,[1]Sheet1!$E$9:$E$2584,[1]Sheet1!$F$9:$F$2584,"N/A",0)</f>
        <v>125.78</v>
      </c>
      <c r="L162">
        <f>_xlfn.XLOOKUP($A162,[1]Sheet1!$H$9:$H$2584,[1]Sheet1!$I$9:$I$2584,"N/A",0)</f>
        <v>94.44</v>
      </c>
      <c r="M162">
        <f>_xlfn.XLOOKUP($A162,[1]Sheet1!$K$9:$K$2584,[1]Sheet1!$L$9:$L$2584,"N/A",0)</f>
        <v>111.18</v>
      </c>
      <c r="N162">
        <f>_xlfn.XLOOKUP($A162,[1]Sheet1!$N$9:$N$2584,[1]Sheet1!$O$9:$O$2584,"N/A",0)</f>
        <v>93.23</v>
      </c>
      <c r="O162">
        <v>98.15</v>
      </c>
      <c r="P162">
        <v>125.78</v>
      </c>
      <c r="Q162">
        <v>94.44</v>
      </c>
      <c r="R162">
        <v>93.23</v>
      </c>
      <c r="S162">
        <v>111.18</v>
      </c>
    </row>
    <row r="163" spans="1:19">
      <c r="A163" s="1">
        <v>42604</v>
      </c>
      <c r="B163" t="s">
        <v>96</v>
      </c>
      <c r="C163" t="s">
        <v>116</v>
      </c>
      <c r="D163">
        <v>14.725</v>
      </c>
      <c r="E163">
        <v>16.775</v>
      </c>
      <c r="F163" s="2" t="s">
        <v>118</v>
      </c>
      <c r="G163" t="str">
        <f ca="1" t="shared" si="6"/>
        <v>N/A</v>
      </c>
      <c r="H163" t="str">
        <f ca="1" t="shared" si="7"/>
        <v>N/A</v>
      </c>
      <c r="I163">
        <f ca="1" t="shared" si="8"/>
        <v>0</v>
      </c>
      <c r="J163">
        <f>_xlfn.XLOOKUP($A163,[1]Sheet1!$B$9:$B$2584,[1]Sheet1!$C$9:$C$2584,"N/A",0)</f>
        <v>98.27</v>
      </c>
      <c r="K163">
        <f>_xlfn.XLOOKUP($A163,[1]Sheet1!$E$9:$E$2584,[1]Sheet1!$F$9:$F$2584,"N/A",0)</f>
        <v>125.05</v>
      </c>
      <c r="L163">
        <f>_xlfn.XLOOKUP($A163,[1]Sheet1!$H$9:$H$2584,[1]Sheet1!$I$9:$I$2584,"N/A",0)</f>
        <v>94.29</v>
      </c>
      <c r="M163">
        <f>_xlfn.XLOOKUP($A163,[1]Sheet1!$K$9:$K$2584,[1]Sheet1!$L$9:$L$2584,"N/A",0)</f>
        <v>110.85</v>
      </c>
      <c r="N163">
        <f>_xlfn.XLOOKUP($A163,[1]Sheet1!$N$9:$N$2584,[1]Sheet1!$O$9:$O$2584,"N/A",0)</f>
        <v>93.07</v>
      </c>
      <c r="O163">
        <v>98.27</v>
      </c>
      <c r="P163">
        <v>125.05</v>
      </c>
      <c r="Q163">
        <v>94.29</v>
      </c>
      <c r="R163">
        <v>93.07</v>
      </c>
      <c r="S163">
        <v>110.85</v>
      </c>
    </row>
    <row r="164" spans="1:19">
      <c r="A164" s="1">
        <v>42605</v>
      </c>
      <c r="B164" t="s">
        <v>96</v>
      </c>
      <c r="C164" t="s">
        <v>116</v>
      </c>
      <c r="D164">
        <v>14.675</v>
      </c>
      <c r="E164">
        <v>16.875</v>
      </c>
      <c r="F164" s="2" t="s">
        <v>119</v>
      </c>
      <c r="G164" t="str">
        <f ca="1" t="shared" si="6"/>
        <v>N/A</v>
      </c>
      <c r="H164" t="str">
        <f ca="1" t="shared" si="7"/>
        <v>N/A</v>
      </c>
      <c r="I164">
        <f ca="1" t="shared" si="8"/>
        <v>0</v>
      </c>
      <c r="J164">
        <f>_xlfn.XLOOKUP($A164,[1]Sheet1!$B$9:$B$2584,[1]Sheet1!$C$9:$C$2584,"N/A",0)</f>
        <v>98.51</v>
      </c>
      <c r="K164">
        <f>_xlfn.XLOOKUP($A164,[1]Sheet1!$E$9:$E$2584,[1]Sheet1!$F$9:$F$2584,"N/A",0)</f>
        <v>124.77</v>
      </c>
      <c r="L164">
        <f>_xlfn.XLOOKUP($A164,[1]Sheet1!$H$9:$H$2584,[1]Sheet1!$I$9:$I$2584,"N/A",0)</f>
        <v>94.75</v>
      </c>
      <c r="M164">
        <f>_xlfn.XLOOKUP($A164,[1]Sheet1!$K$9:$K$2584,[1]Sheet1!$L$9:$L$2584,"N/A",0)</f>
        <v>111.4</v>
      </c>
      <c r="N164">
        <f>_xlfn.XLOOKUP($A164,[1]Sheet1!$N$9:$N$2584,[1]Sheet1!$O$9:$O$2584,"N/A",0)</f>
        <v>92.58</v>
      </c>
      <c r="O164">
        <v>98.51</v>
      </c>
      <c r="P164">
        <v>124.77</v>
      </c>
      <c r="Q164">
        <v>94.75</v>
      </c>
      <c r="R164">
        <v>92.58</v>
      </c>
      <c r="S164">
        <v>111.4</v>
      </c>
    </row>
    <row r="165" spans="1:19">
      <c r="A165" s="1">
        <v>42606</v>
      </c>
      <c r="B165" t="s">
        <v>96</v>
      </c>
      <c r="C165" t="s">
        <v>116</v>
      </c>
      <c r="D165">
        <v>15.125</v>
      </c>
      <c r="E165">
        <v>17.125</v>
      </c>
      <c r="F165" s="2" t="s">
        <v>120</v>
      </c>
      <c r="G165" t="str">
        <f ca="1" t="shared" si="6"/>
        <v>N/A</v>
      </c>
      <c r="H165" t="str">
        <f ca="1" t="shared" si="7"/>
        <v>N/A</v>
      </c>
      <c r="I165">
        <f ca="1" t="shared" si="8"/>
        <v>0</v>
      </c>
      <c r="J165">
        <f>_xlfn.XLOOKUP($A165,[1]Sheet1!$B$9:$B$2584,[1]Sheet1!$C$9:$C$2584,"N/A",0)</f>
        <v>98.48</v>
      </c>
      <c r="K165">
        <f>_xlfn.XLOOKUP($A165,[1]Sheet1!$E$9:$E$2584,[1]Sheet1!$F$9:$F$2584,"N/A",0)</f>
        <v>124.53</v>
      </c>
      <c r="L165">
        <f>_xlfn.XLOOKUP($A165,[1]Sheet1!$H$9:$H$2584,[1]Sheet1!$I$9:$I$2584,"N/A",0)</f>
        <v>94.81</v>
      </c>
      <c r="M165">
        <f>_xlfn.XLOOKUP($A165,[1]Sheet1!$K$9:$K$2584,[1]Sheet1!$L$9:$L$2584,"N/A",0)</f>
        <v>112.94</v>
      </c>
      <c r="N165">
        <f>_xlfn.XLOOKUP($A165,[1]Sheet1!$N$9:$N$2584,[1]Sheet1!$O$9:$O$2584,"N/A",0)</f>
        <v>92.7</v>
      </c>
      <c r="O165">
        <v>98.48</v>
      </c>
      <c r="P165">
        <v>124.53</v>
      </c>
      <c r="Q165">
        <v>94.81</v>
      </c>
      <c r="R165">
        <v>92.7</v>
      </c>
      <c r="S165">
        <v>112.94</v>
      </c>
    </row>
    <row r="166" spans="1:19">
      <c r="A166" s="1">
        <v>42607</v>
      </c>
      <c r="B166" t="s">
        <v>96</v>
      </c>
      <c r="C166" t="s">
        <v>116</v>
      </c>
      <c r="D166">
        <v>14.975</v>
      </c>
      <c r="E166">
        <v>16.925</v>
      </c>
      <c r="F166" s="2" t="s">
        <v>121</v>
      </c>
      <c r="G166" t="str">
        <f ca="1" t="shared" si="6"/>
        <v>N/A</v>
      </c>
      <c r="H166" t="str">
        <f ca="1" t="shared" si="7"/>
        <v>N/A</v>
      </c>
      <c r="I166">
        <f ca="1" t="shared" si="8"/>
        <v>0</v>
      </c>
      <c r="J166">
        <f>_xlfn.XLOOKUP($A166,[1]Sheet1!$B$9:$B$2584,[1]Sheet1!$C$9:$C$2584,"N/A",0)</f>
        <v>98.92</v>
      </c>
      <c r="K166">
        <f>_xlfn.XLOOKUP($A166,[1]Sheet1!$E$9:$E$2584,[1]Sheet1!$F$9:$F$2584,"N/A",0)</f>
        <v>125.12</v>
      </c>
      <c r="L166">
        <f>_xlfn.XLOOKUP($A166,[1]Sheet1!$H$9:$H$2584,[1]Sheet1!$I$9:$I$2584,"N/A",0)</f>
        <v>94.83</v>
      </c>
      <c r="M166">
        <f>_xlfn.XLOOKUP($A166,[1]Sheet1!$K$9:$K$2584,[1]Sheet1!$L$9:$L$2584,"N/A",0)</f>
        <v>112.8</v>
      </c>
      <c r="N166">
        <f>_xlfn.XLOOKUP($A166,[1]Sheet1!$N$9:$N$2584,[1]Sheet1!$O$9:$O$2584,"N/A",0)</f>
        <v>92.43</v>
      </c>
      <c r="O166">
        <v>98.92</v>
      </c>
      <c r="P166">
        <v>125.12</v>
      </c>
      <c r="Q166">
        <v>94.83</v>
      </c>
      <c r="R166">
        <v>92.43</v>
      </c>
      <c r="S166">
        <v>112.8</v>
      </c>
    </row>
    <row r="167" spans="1:19">
      <c r="A167" s="1">
        <v>42608</v>
      </c>
      <c r="B167" t="s">
        <v>96</v>
      </c>
      <c r="C167" t="s">
        <v>116</v>
      </c>
      <c r="D167">
        <v>15.125</v>
      </c>
      <c r="E167">
        <v>17.025</v>
      </c>
      <c r="F167" s="2" t="s">
        <v>122</v>
      </c>
      <c r="G167" t="str">
        <f ca="1" t="shared" si="6"/>
        <v>N/A</v>
      </c>
      <c r="H167" t="str">
        <f ca="1" t="shared" si="7"/>
        <v>N/A</v>
      </c>
      <c r="I167">
        <f ca="1" t="shared" si="8"/>
        <v>0</v>
      </c>
      <c r="J167">
        <f>_xlfn.XLOOKUP($A167,[1]Sheet1!$B$9:$B$2584,[1]Sheet1!$C$9:$C$2584,"N/A",0)</f>
        <v>98.84</v>
      </c>
      <c r="K167">
        <f>_xlfn.XLOOKUP($A167,[1]Sheet1!$E$9:$E$2584,[1]Sheet1!$F$9:$F$2584,"N/A",0)</f>
        <v>125.24</v>
      </c>
      <c r="L167">
        <f>_xlfn.XLOOKUP($A167,[1]Sheet1!$H$9:$H$2584,[1]Sheet1!$I$9:$I$2584,"N/A",0)</f>
        <v>94.75</v>
      </c>
      <c r="M167">
        <f>_xlfn.XLOOKUP($A167,[1]Sheet1!$K$9:$K$2584,[1]Sheet1!$L$9:$L$2584,"N/A",0)</f>
        <v>112.57</v>
      </c>
      <c r="N167">
        <f>_xlfn.XLOOKUP($A167,[1]Sheet1!$N$9:$N$2584,[1]Sheet1!$O$9:$O$2584,"N/A",0)</f>
        <v>92.6</v>
      </c>
      <c r="O167">
        <v>98.84</v>
      </c>
      <c r="P167">
        <v>125.24</v>
      </c>
      <c r="Q167">
        <v>94.75</v>
      </c>
      <c r="R167">
        <v>92.6</v>
      </c>
      <c r="S167">
        <v>112.57</v>
      </c>
    </row>
    <row r="168" spans="1:19">
      <c r="A168" s="1">
        <v>42611</v>
      </c>
      <c r="B168" t="s">
        <v>96</v>
      </c>
      <c r="C168" t="s">
        <v>116</v>
      </c>
      <c r="D168">
        <v>14.675</v>
      </c>
      <c r="E168">
        <v>16.825</v>
      </c>
      <c r="F168" s="2" t="s">
        <v>123</v>
      </c>
      <c r="G168" t="str">
        <f ca="1" t="shared" si="6"/>
        <v>N/A</v>
      </c>
      <c r="H168" t="str">
        <f ca="1" t="shared" si="7"/>
        <v>N/A</v>
      </c>
      <c r="I168">
        <f ca="1" t="shared" si="8"/>
        <v>0</v>
      </c>
      <c r="J168">
        <f>_xlfn.XLOOKUP($A168,[1]Sheet1!$B$9:$B$2584,[1]Sheet1!$C$9:$C$2584,"N/A",0)</f>
        <v>98.83</v>
      </c>
      <c r="K168">
        <f>_xlfn.XLOOKUP($A168,[1]Sheet1!$E$9:$E$2584,[1]Sheet1!$F$9:$F$2584,"N/A",0)</f>
        <v>125.73</v>
      </c>
      <c r="L168">
        <f>_xlfn.XLOOKUP($A168,[1]Sheet1!$H$9:$H$2584,[1]Sheet1!$I$9:$I$2584,"N/A",0)</f>
        <v>94.73</v>
      </c>
      <c r="M168">
        <f>_xlfn.XLOOKUP($A168,[1]Sheet1!$K$9:$K$2584,[1]Sheet1!$L$9:$L$2584,"N/A",0)</f>
        <v>112.51</v>
      </c>
      <c r="N168">
        <f>_xlfn.XLOOKUP($A168,[1]Sheet1!$N$9:$N$2584,[1]Sheet1!$O$9:$O$2584,"N/A",0)</f>
        <v>92.54</v>
      </c>
      <c r="O168">
        <v>98.83</v>
      </c>
      <c r="P168">
        <v>125.73</v>
      </c>
      <c r="Q168">
        <v>94.73</v>
      </c>
      <c r="R168">
        <v>92.54</v>
      </c>
      <c r="S168">
        <v>112.51</v>
      </c>
    </row>
    <row r="169" spans="1:19">
      <c r="A169" s="1">
        <v>42612</v>
      </c>
      <c r="B169" t="s">
        <v>96</v>
      </c>
      <c r="C169" t="s">
        <v>116</v>
      </c>
      <c r="D169">
        <v>14.525</v>
      </c>
      <c r="E169">
        <v>16.775</v>
      </c>
      <c r="F169" s="2" t="s">
        <v>124</v>
      </c>
      <c r="G169" t="str">
        <f ca="1" t="shared" si="6"/>
        <v>N/A</v>
      </c>
      <c r="H169" t="str">
        <f ca="1" t="shared" si="7"/>
        <v>N/A</v>
      </c>
      <c r="I169">
        <f ca="1" t="shared" si="8"/>
        <v>0</v>
      </c>
      <c r="J169">
        <f>_xlfn.XLOOKUP($A169,[1]Sheet1!$B$9:$B$2584,[1]Sheet1!$C$9:$C$2584,"N/A",0)</f>
        <v>98.86</v>
      </c>
      <c r="K169">
        <f>_xlfn.XLOOKUP($A169,[1]Sheet1!$E$9:$E$2584,[1]Sheet1!$F$9:$F$2584,"N/A",0)</f>
        <v>124.95</v>
      </c>
      <c r="L169">
        <f>_xlfn.XLOOKUP($A169,[1]Sheet1!$H$9:$H$2584,[1]Sheet1!$I$9:$I$2584,"N/A",0)</f>
        <v>95.35</v>
      </c>
      <c r="M169">
        <f>_xlfn.XLOOKUP($A169,[1]Sheet1!$K$9:$K$2584,[1]Sheet1!$L$9:$L$2584,"N/A",0)</f>
        <v>113.1</v>
      </c>
      <c r="N169">
        <f>_xlfn.XLOOKUP($A169,[1]Sheet1!$N$9:$N$2584,[1]Sheet1!$O$9:$O$2584,"N/A",0)</f>
        <v>92.26</v>
      </c>
      <c r="O169">
        <v>98.86</v>
      </c>
      <c r="P169">
        <v>124.95</v>
      </c>
      <c r="Q169">
        <v>95.35</v>
      </c>
      <c r="R169">
        <v>92.26</v>
      </c>
      <c r="S169">
        <v>113.1</v>
      </c>
    </row>
    <row r="170" spans="1:19">
      <c r="A170" s="1">
        <v>42613</v>
      </c>
      <c r="B170" t="s">
        <v>96</v>
      </c>
      <c r="C170" t="s">
        <v>116</v>
      </c>
      <c r="D170">
        <v>14.575</v>
      </c>
      <c r="E170">
        <v>16.725</v>
      </c>
      <c r="F170" s="2" t="s">
        <v>125</v>
      </c>
      <c r="G170" t="str">
        <f ca="1" t="shared" si="6"/>
        <v>N/A</v>
      </c>
      <c r="H170" t="str">
        <f ca="1" t="shared" si="7"/>
        <v>N/A</v>
      </c>
      <c r="I170">
        <f ca="1" t="shared" si="8"/>
        <v>0</v>
      </c>
      <c r="J170">
        <f>_xlfn.XLOOKUP($A170,[1]Sheet1!$B$9:$B$2584,[1]Sheet1!$C$9:$C$2584,"N/A",0)</f>
        <v>98.95</v>
      </c>
      <c r="K170">
        <f>_xlfn.XLOOKUP($A170,[1]Sheet1!$E$9:$E$2584,[1]Sheet1!$F$9:$F$2584,"N/A",0)</f>
        <v>124.68</v>
      </c>
      <c r="L170">
        <f>_xlfn.XLOOKUP($A170,[1]Sheet1!$H$9:$H$2584,[1]Sheet1!$I$9:$I$2584,"N/A",0)</f>
        <v>95.64</v>
      </c>
      <c r="M170">
        <f>_xlfn.XLOOKUP($A170,[1]Sheet1!$K$9:$K$2584,[1]Sheet1!$L$9:$L$2584,"N/A",0)</f>
        <v>113.41</v>
      </c>
      <c r="N170">
        <f>_xlfn.XLOOKUP($A170,[1]Sheet1!$N$9:$N$2584,[1]Sheet1!$O$9:$O$2584,"N/A",0)</f>
        <v>92.41</v>
      </c>
      <c r="O170">
        <v>98.95</v>
      </c>
      <c r="P170">
        <v>124.68</v>
      </c>
      <c r="Q170">
        <v>95.64</v>
      </c>
      <c r="R170">
        <v>92.41</v>
      </c>
      <c r="S170">
        <v>113.41</v>
      </c>
    </row>
    <row r="171" spans="1:19">
      <c r="A171" s="1">
        <v>42614</v>
      </c>
      <c r="B171" t="s">
        <v>96</v>
      </c>
      <c r="C171" t="s">
        <v>116</v>
      </c>
      <c r="D171">
        <v>14.575</v>
      </c>
      <c r="E171">
        <v>16.675</v>
      </c>
      <c r="F171" s="2" t="s">
        <v>126</v>
      </c>
      <c r="G171" t="str">
        <f ca="1" t="shared" si="6"/>
        <v>N/A</v>
      </c>
      <c r="H171" t="str">
        <f ca="1" t="shared" si="7"/>
        <v>N/A</v>
      </c>
      <c r="I171">
        <f ca="1" t="shared" si="8"/>
        <v>0</v>
      </c>
      <c r="J171">
        <f>_xlfn.XLOOKUP($A171,[1]Sheet1!$B$9:$B$2584,[1]Sheet1!$C$9:$C$2584,"N/A",0)</f>
        <v>98.93</v>
      </c>
      <c r="K171">
        <f>_xlfn.XLOOKUP($A171,[1]Sheet1!$E$9:$E$2584,[1]Sheet1!$F$9:$F$2584,"N/A",0)</f>
        <v>125.51</v>
      </c>
      <c r="L171">
        <f>_xlfn.XLOOKUP($A171,[1]Sheet1!$H$9:$H$2584,[1]Sheet1!$I$9:$I$2584,"N/A",0)</f>
        <v>95.38</v>
      </c>
      <c r="M171">
        <f>_xlfn.XLOOKUP($A171,[1]Sheet1!$K$9:$K$2584,[1]Sheet1!$L$9:$L$2584,"N/A",0)</f>
        <v>112.88</v>
      </c>
      <c r="N171">
        <f>_xlfn.XLOOKUP($A171,[1]Sheet1!$N$9:$N$2584,[1]Sheet1!$O$9:$O$2584,"N/A",0)</f>
        <v>92.59</v>
      </c>
      <c r="O171">
        <v>98.93</v>
      </c>
      <c r="P171">
        <v>125.51</v>
      </c>
      <c r="Q171">
        <v>95.38</v>
      </c>
      <c r="R171">
        <v>92.59</v>
      </c>
      <c r="S171">
        <v>112.88</v>
      </c>
    </row>
    <row r="172" spans="1:19">
      <c r="A172" s="1">
        <v>42615</v>
      </c>
      <c r="B172" t="s">
        <v>96</v>
      </c>
      <c r="C172" t="s">
        <v>116</v>
      </c>
      <c r="D172">
        <v>13.925</v>
      </c>
      <c r="E172">
        <v>16.375</v>
      </c>
      <c r="F172" s="2" t="s">
        <v>127</v>
      </c>
      <c r="G172" t="str">
        <f ca="1" t="shared" si="6"/>
        <v>N/A</v>
      </c>
      <c r="H172" t="str">
        <f ca="1" t="shared" si="7"/>
        <v>N/A</v>
      </c>
      <c r="I172">
        <f ca="1" t="shared" si="8"/>
        <v>0</v>
      </c>
      <c r="J172">
        <f>_xlfn.XLOOKUP($A172,[1]Sheet1!$B$9:$B$2584,[1]Sheet1!$C$9:$C$2584,"N/A",0)</f>
        <v>98.99</v>
      </c>
      <c r="K172">
        <f>_xlfn.XLOOKUP($A172,[1]Sheet1!$E$9:$E$2584,[1]Sheet1!$F$9:$F$2584,"N/A",0)</f>
        <v>125.61</v>
      </c>
      <c r="L172">
        <f>_xlfn.XLOOKUP($A172,[1]Sheet1!$H$9:$H$2584,[1]Sheet1!$I$9:$I$2584,"N/A",0)</f>
        <v>95.21</v>
      </c>
      <c r="M172">
        <f>_xlfn.XLOOKUP($A172,[1]Sheet1!$K$9:$K$2584,[1]Sheet1!$L$9:$L$2584,"N/A",0)</f>
        <v>112.53</v>
      </c>
      <c r="N172">
        <f>_xlfn.XLOOKUP($A172,[1]Sheet1!$N$9:$N$2584,[1]Sheet1!$O$9:$O$2584,"N/A",0)</f>
        <v>92.06</v>
      </c>
      <c r="O172">
        <v>98.99</v>
      </c>
      <c r="P172">
        <v>125.61</v>
      </c>
      <c r="Q172">
        <v>95.21</v>
      </c>
      <c r="R172">
        <v>92.06</v>
      </c>
      <c r="S172">
        <v>112.53</v>
      </c>
    </row>
    <row r="173" spans="1:19">
      <c r="A173" s="1">
        <v>42619</v>
      </c>
      <c r="B173" t="s">
        <v>96</v>
      </c>
      <c r="C173" t="s">
        <v>116</v>
      </c>
      <c r="D173">
        <v>13.375</v>
      </c>
      <c r="E173">
        <v>15.875</v>
      </c>
      <c r="F173" s="2" t="s">
        <v>128</v>
      </c>
      <c r="G173" t="str">
        <f ca="1" t="shared" si="6"/>
        <v>N/A</v>
      </c>
      <c r="H173" t="str">
        <f ca="1" t="shared" si="7"/>
        <v>N/A</v>
      </c>
      <c r="I173">
        <f ca="1" t="shared" si="8"/>
        <v>0</v>
      </c>
      <c r="J173">
        <f>_xlfn.XLOOKUP($A173,[1]Sheet1!$B$9:$B$2584,[1]Sheet1!$C$9:$C$2584,"N/A",0)</f>
        <v>98.99</v>
      </c>
      <c r="K173">
        <f>_xlfn.XLOOKUP($A173,[1]Sheet1!$E$9:$E$2584,[1]Sheet1!$F$9:$F$2584,"N/A",0)</f>
        <v>125.75</v>
      </c>
      <c r="L173">
        <f>_xlfn.XLOOKUP($A173,[1]Sheet1!$H$9:$H$2584,[1]Sheet1!$I$9:$I$2584,"N/A",0)</f>
        <v>94.92</v>
      </c>
      <c r="M173">
        <f>_xlfn.XLOOKUP($A173,[1]Sheet1!$K$9:$K$2584,[1]Sheet1!$L$9:$L$2584,"N/A",0)</f>
        <v>111.8</v>
      </c>
      <c r="N173">
        <f>_xlfn.XLOOKUP($A173,[1]Sheet1!$N$9:$N$2584,[1]Sheet1!$O$9:$O$2584,"N/A",0)</f>
        <v>92.28</v>
      </c>
      <c r="O173">
        <v>98.99</v>
      </c>
      <c r="P173">
        <v>125.75</v>
      </c>
      <c r="Q173">
        <v>94.92</v>
      </c>
      <c r="R173">
        <v>92.28</v>
      </c>
      <c r="S173">
        <v>111.8</v>
      </c>
    </row>
    <row r="174" spans="1:19">
      <c r="A174" s="1">
        <v>42620</v>
      </c>
      <c r="B174" t="s">
        <v>96</v>
      </c>
      <c r="C174" t="s">
        <v>116</v>
      </c>
      <c r="D174">
        <v>13.225</v>
      </c>
      <c r="E174">
        <v>15.775</v>
      </c>
      <c r="F174" s="2" t="s">
        <v>129</v>
      </c>
      <c r="G174" t="str">
        <f ca="1" t="shared" si="6"/>
        <v>N/A</v>
      </c>
      <c r="H174" t="str">
        <f ca="1" t="shared" si="7"/>
        <v>N/A</v>
      </c>
      <c r="I174">
        <f ca="1" t="shared" si="8"/>
        <v>0</v>
      </c>
      <c r="J174">
        <f>_xlfn.XLOOKUP($A174,[1]Sheet1!$B$9:$B$2584,[1]Sheet1!$C$9:$C$2584,"N/A",0)</f>
        <v>99</v>
      </c>
      <c r="K174">
        <f>_xlfn.XLOOKUP($A174,[1]Sheet1!$E$9:$E$2584,[1]Sheet1!$F$9:$F$2584,"N/A",0)</f>
        <v>125.25</v>
      </c>
      <c r="L174">
        <f>_xlfn.XLOOKUP($A174,[1]Sheet1!$H$9:$H$2584,[1]Sheet1!$I$9:$I$2584,"N/A",0)</f>
        <v>95.23</v>
      </c>
      <c r="M174">
        <f>_xlfn.XLOOKUP($A174,[1]Sheet1!$K$9:$K$2584,[1]Sheet1!$L$9:$L$2584,"N/A",0)</f>
        <v>111.78</v>
      </c>
      <c r="N174">
        <f>_xlfn.XLOOKUP($A174,[1]Sheet1!$N$9:$N$2584,[1]Sheet1!$O$9:$O$2584,"N/A",0)</f>
        <v>91.87</v>
      </c>
      <c r="O174">
        <v>99</v>
      </c>
      <c r="P174">
        <v>125.25</v>
      </c>
      <c r="Q174">
        <v>95.23</v>
      </c>
      <c r="R174">
        <v>91.87</v>
      </c>
      <c r="S174">
        <v>111.78</v>
      </c>
    </row>
    <row r="175" spans="1:19">
      <c r="A175" s="1">
        <v>42621</v>
      </c>
      <c r="B175" t="s">
        <v>96</v>
      </c>
      <c r="C175" t="s">
        <v>116</v>
      </c>
      <c r="D175">
        <v>13.375</v>
      </c>
      <c r="E175">
        <v>15.925</v>
      </c>
      <c r="F175" s="2" t="s">
        <v>130</v>
      </c>
      <c r="G175" t="str">
        <f ca="1" t="shared" si="6"/>
        <v>N/A</v>
      </c>
      <c r="H175" t="str">
        <f ca="1" t="shared" si="7"/>
        <v>N/A</v>
      </c>
      <c r="I175">
        <f ca="1" t="shared" si="8"/>
        <v>0</v>
      </c>
      <c r="J175">
        <f>_xlfn.XLOOKUP($A175,[1]Sheet1!$B$9:$B$2584,[1]Sheet1!$C$9:$C$2584,"N/A",0)</f>
        <v>98.73</v>
      </c>
      <c r="K175">
        <f>_xlfn.XLOOKUP($A175,[1]Sheet1!$E$9:$E$2584,[1]Sheet1!$F$9:$F$2584,"N/A",0)</f>
        <v>125.02</v>
      </c>
      <c r="L175">
        <f>_xlfn.XLOOKUP($A175,[1]Sheet1!$H$9:$H$2584,[1]Sheet1!$I$9:$I$2584,"N/A",0)</f>
        <v>95.04</v>
      </c>
      <c r="M175">
        <f>_xlfn.XLOOKUP($A175,[1]Sheet1!$K$9:$K$2584,[1]Sheet1!$L$9:$L$2584,"N/A",0)</f>
        <v>111.27</v>
      </c>
      <c r="N175">
        <f>_xlfn.XLOOKUP($A175,[1]Sheet1!$N$9:$N$2584,[1]Sheet1!$O$9:$O$2584,"N/A",0)</f>
        <v>91.91</v>
      </c>
      <c r="O175">
        <v>98.73</v>
      </c>
      <c r="P175">
        <v>125.02</v>
      </c>
      <c r="Q175">
        <v>95.04</v>
      </c>
      <c r="R175">
        <v>91.91</v>
      </c>
      <c r="S175">
        <v>111.27</v>
      </c>
    </row>
    <row r="176" spans="1:19">
      <c r="A176" s="1">
        <v>42622</v>
      </c>
      <c r="B176" t="s">
        <v>96</v>
      </c>
      <c r="C176" t="s">
        <v>116</v>
      </c>
      <c r="D176">
        <v>16.475</v>
      </c>
      <c r="E176">
        <v>17.875</v>
      </c>
      <c r="F176">
        <v>0.0849772382397571</v>
      </c>
      <c r="G176" t="str">
        <f ca="1" t="shared" si="6"/>
        <v>N/A</v>
      </c>
      <c r="H176" t="str">
        <f ca="1" t="shared" si="7"/>
        <v>N/A</v>
      </c>
      <c r="I176">
        <f ca="1" t="shared" si="8"/>
        <v>0</v>
      </c>
      <c r="J176">
        <f>_xlfn.XLOOKUP($A176,[1]Sheet1!$B$9:$B$2584,[1]Sheet1!$C$9:$C$2584,"N/A",0)</f>
        <v>98.5</v>
      </c>
      <c r="K176">
        <f>_xlfn.XLOOKUP($A176,[1]Sheet1!$E$9:$E$2584,[1]Sheet1!$F$9:$F$2584,"N/A",0)</f>
        <v>124.09</v>
      </c>
      <c r="L176">
        <f>_xlfn.XLOOKUP($A176,[1]Sheet1!$H$9:$H$2584,[1]Sheet1!$I$9:$I$2584,"N/A",0)</f>
        <v>94.75</v>
      </c>
      <c r="M176">
        <f>_xlfn.XLOOKUP($A176,[1]Sheet1!$K$9:$K$2584,[1]Sheet1!$L$9:$L$2584,"N/A",0)</f>
        <v>111.66</v>
      </c>
      <c r="N176">
        <f>_xlfn.XLOOKUP($A176,[1]Sheet1!$N$9:$N$2584,[1]Sheet1!$O$9:$O$2584,"N/A",0)</f>
        <v>92.48</v>
      </c>
      <c r="O176">
        <v>98.5</v>
      </c>
      <c r="P176">
        <v>124.09</v>
      </c>
      <c r="Q176">
        <v>94.75</v>
      </c>
      <c r="R176">
        <v>92.48</v>
      </c>
      <c r="S176">
        <v>111.66</v>
      </c>
    </row>
    <row r="177" spans="1:19">
      <c r="A177" s="1">
        <v>42625</v>
      </c>
      <c r="B177" t="s">
        <v>96</v>
      </c>
      <c r="C177" t="s">
        <v>116</v>
      </c>
      <c r="D177">
        <v>15.325</v>
      </c>
      <c r="E177">
        <v>16.925</v>
      </c>
      <c r="F177" s="2" t="s">
        <v>131</v>
      </c>
      <c r="G177" t="str">
        <f ca="1" t="shared" si="6"/>
        <v>N/A</v>
      </c>
      <c r="H177" t="str">
        <f ca="1" t="shared" si="7"/>
        <v>N/A</v>
      </c>
      <c r="I177">
        <f ca="1" t="shared" si="8"/>
        <v>0</v>
      </c>
      <c r="J177">
        <f>_xlfn.XLOOKUP($A177,[1]Sheet1!$B$9:$B$2584,[1]Sheet1!$C$9:$C$2584,"N/A",0)</f>
        <v>98.39</v>
      </c>
      <c r="K177">
        <f>_xlfn.XLOOKUP($A177,[1]Sheet1!$E$9:$E$2584,[1]Sheet1!$F$9:$F$2584,"N/A",0)</f>
        <v>124.32</v>
      </c>
      <c r="L177">
        <f>_xlfn.XLOOKUP($A177,[1]Sheet1!$H$9:$H$2584,[1]Sheet1!$I$9:$I$2584,"N/A",0)</f>
        <v>94.55</v>
      </c>
      <c r="M177">
        <f>_xlfn.XLOOKUP($A177,[1]Sheet1!$K$9:$K$2584,[1]Sheet1!$L$9:$L$2584,"N/A",0)</f>
        <v>111.22</v>
      </c>
      <c r="N177">
        <f>_xlfn.XLOOKUP($A177,[1]Sheet1!$N$9:$N$2584,[1]Sheet1!$O$9:$O$2584,"N/A",0)</f>
        <v>92.62</v>
      </c>
      <c r="O177">
        <v>98.39</v>
      </c>
      <c r="P177">
        <v>124.32</v>
      </c>
      <c r="Q177">
        <v>94.55</v>
      </c>
      <c r="R177">
        <v>92.62</v>
      </c>
      <c r="S177">
        <v>111.22</v>
      </c>
    </row>
    <row r="178" spans="1:19">
      <c r="A178" s="1">
        <v>42626</v>
      </c>
      <c r="B178" t="s">
        <v>96</v>
      </c>
      <c r="C178" t="s">
        <v>116</v>
      </c>
      <c r="D178">
        <v>17.775</v>
      </c>
      <c r="E178">
        <v>18.325</v>
      </c>
      <c r="F178" s="2" t="s">
        <v>132</v>
      </c>
      <c r="G178" t="str">
        <f ca="1" t="shared" si="6"/>
        <v>N/A</v>
      </c>
      <c r="H178" t="str">
        <f ca="1" t="shared" si="7"/>
        <v>N/A</v>
      </c>
      <c r="I178">
        <f ca="1" t="shared" si="8"/>
        <v>0</v>
      </c>
      <c r="J178">
        <f>_xlfn.XLOOKUP($A178,[1]Sheet1!$B$9:$B$2584,[1]Sheet1!$C$9:$C$2584,"N/A",0)</f>
        <v>98.35</v>
      </c>
      <c r="K178">
        <f>_xlfn.XLOOKUP($A178,[1]Sheet1!$E$9:$E$2584,[1]Sheet1!$F$9:$F$2584,"N/A",0)</f>
        <v>123.73</v>
      </c>
      <c r="L178">
        <f>_xlfn.XLOOKUP($A178,[1]Sheet1!$H$9:$H$2584,[1]Sheet1!$I$9:$I$2584,"N/A",0)</f>
        <v>94.55</v>
      </c>
      <c r="M178">
        <f>_xlfn.XLOOKUP($A178,[1]Sheet1!$K$9:$K$2584,[1]Sheet1!$L$9:$L$2584,"N/A",0)</f>
        <v>111.81</v>
      </c>
      <c r="N178">
        <f>_xlfn.XLOOKUP($A178,[1]Sheet1!$N$9:$N$2584,[1]Sheet1!$O$9:$O$2584,"N/A",0)</f>
        <v>92.59</v>
      </c>
      <c r="O178">
        <v>98.35</v>
      </c>
      <c r="P178">
        <v>123.73</v>
      </c>
      <c r="Q178">
        <v>94.55</v>
      </c>
      <c r="R178">
        <v>92.59</v>
      </c>
      <c r="S178">
        <v>111.81</v>
      </c>
    </row>
    <row r="179" spans="1:19">
      <c r="A179" s="1">
        <v>42627</v>
      </c>
      <c r="B179" t="s">
        <v>96</v>
      </c>
      <c r="C179" t="s">
        <v>116</v>
      </c>
      <c r="D179">
        <v>18.375</v>
      </c>
      <c r="E179">
        <v>18.875</v>
      </c>
      <c r="F179" s="2" t="s">
        <v>133</v>
      </c>
      <c r="G179" t="str">
        <f ca="1" t="shared" si="6"/>
        <v>N/A</v>
      </c>
      <c r="H179" t="str">
        <f ca="1" t="shared" si="7"/>
        <v>N/A</v>
      </c>
      <c r="I179">
        <f ca="1" t="shared" si="8"/>
        <v>0</v>
      </c>
      <c r="J179">
        <f>_xlfn.XLOOKUP($A179,[1]Sheet1!$B$9:$B$2584,[1]Sheet1!$C$9:$C$2584,"N/A",0)</f>
        <v>98.46</v>
      </c>
      <c r="K179">
        <f>_xlfn.XLOOKUP($A179,[1]Sheet1!$E$9:$E$2584,[1]Sheet1!$F$9:$F$2584,"N/A",0)</f>
        <v>123.86</v>
      </c>
      <c r="L179">
        <f>_xlfn.XLOOKUP($A179,[1]Sheet1!$H$9:$H$2584,[1]Sheet1!$I$9:$I$2584,"N/A",0)</f>
        <v>94.67</v>
      </c>
      <c r="M179">
        <f>_xlfn.XLOOKUP($A179,[1]Sheet1!$K$9:$K$2584,[1]Sheet1!$L$9:$L$2584,"N/A",0)</f>
        <v>111.77</v>
      </c>
      <c r="N179">
        <f>_xlfn.XLOOKUP($A179,[1]Sheet1!$N$9:$N$2584,[1]Sheet1!$O$9:$O$2584,"N/A",0)</f>
        <v>92.63</v>
      </c>
      <c r="O179">
        <v>98.46</v>
      </c>
      <c r="P179">
        <v>123.86</v>
      </c>
      <c r="Q179">
        <v>94.67</v>
      </c>
      <c r="R179">
        <v>92.63</v>
      </c>
      <c r="S179">
        <v>111.77</v>
      </c>
    </row>
    <row r="180" spans="1:19">
      <c r="A180" s="1">
        <v>42628</v>
      </c>
      <c r="B180" t="s">
        <v>96</v>
      </c>
      <c r="C180" t="s">
        <v>116</v>
      </c>
      <c r="D180">
        <v>17.075</v>
      </c>
      <c r="E180">
        <v>18.225</v>
      </c>
      <c r="F180">
        <v>0.0673499267935579</v>
      </c>
      <c r="G180" t="str">
        <f ca="1" t="shared" si="6"/>
        <v>N/A</v>
      </c>
      <c r="H180" t="str">
        <f ca="1" t="shared" si="7"/>
        <v>N/A</v>
      </c>
      <c r="I180">
        <f ca="1" t="shared" si="8"/>
        <v>0</v>
      </c>
      <c r="J180">
        <f>_xlfn.XLOOKUP($A180,[1]Sheet1!$B$9:$B$2584,[1]Sheet1!$C$9:$C$2584,"N/A",0)</f>
        <v>98.49</v>
      </c>
      <c r="K180">
        <f>_xlfn.XLOOKUP($A180,[1]Sheet1!$E$9:$E$2584,[1]Sheet1!$F$9:$F$2584,"N/A",0)</f>
        <v>124.12</v>
      </c>
      <c r="L180">
        <f>_xlfn.XLOOKUP($A180,[1]Sheet1!$H$9:$H$2584,[1]Sheet1!$I$9:$I$2584,"N/A",0)</f>
        <v>94.57</v>
      </c>
      <c r="M180">
        <f>_xlfn.XLOOKUP($A180,[1]Sheet1!$K$9:$K$2584,[1]Sheet1!$L$9:$L$2584,"N/A",0)</f>
        <v>111.56</v>
      </c>
      <c r="N180">
        <f>_xlfn.XLOOKUP($A180,[1]Sheet1!$N$9:$N$2584,[1]Sheet1!$O$9:$O$2584,"N/A",0)</f>
        <v>92.27</v>
      </c>
      <c r="O180">
        <v>98.49</v>
      </c>
      <c r="P180">
        <v>124.12</v>
      </c>
      <c r="Q180">
        <v>94.57</v>
      </c>
      <c r="R180">
        <v>92.27</v>
      </c>
      <c r="S180">
        <v>111.56</v>
      </c>
    </row>
    <row r="181" spans="1:19">
      <c r="A181" s="1">
        <v>42629</v>
      </c>
      <c r="B181" t="s">
        <v>96</v>
      </c>
      <c r="C181" t="s">
        <v>116</v>
      </c>
      <c r="D181">
        <v>16.025</v>
      </c>
      <c r="E181">
        <v>17.525</v>
      </c>
      <c r="F181">
        <v>0.093603744149766</v>
      </c>
      <c r="G181" t="str">
        <f ca="1" t="shared" si="6"/>
        <v>N/A</v>
      </c>
      <c r="H181" t="str">
        <f ca="1" t="shared" si="7"/>
        <v>N/A</v>
      </c>
      <c r="I181">
        <f ca="1" t="shared" si="8"/>
        <v>0</v>
      </c>
      <c r="J181">
        <f>_xlfn.XLOOKUP($A181,[1]Sheet1!$B$9:$B$2584,[1]Sheet1!$C$9:$C$2584,"N/A",0)</f>
        <v>99.07</v>
      </c>
      <c r="K181">
        <f>_xlfn.XLOOKUP($A181,[1]Sheet1!$E$9:$E$2584,[1]Sheet1!$F$9:$F$2584,"N/A",0)</f>
        <v>123.63</v>
      </c>
      <c r="L181">
        <f>_xlfn.XLOOKUP($A181,[1]Sheet1!$H$9:$H$2584,[1]Sheet1!$I$9:$I$2584,"N/A",0)</f>
        <v>94.6</v>
      </c>
      <c r="M181">
        <f>_xlfn.XLOOKUP($A181,[1]Sheet1!$K$9:$K$2584,[1]Sheet1!$L$9:$L$2584,"N/A",0)</f>
        <v>111.41</v>
      </c>
      <c r="N181">
        <f>_xlfn.XLOOKUP($A181,[1]Sheet1!$N$9:$N$2584,[1]Sheet1!$O$9:$O$2584,"N/A",0)</f>
        <v>92.13</v>
      </c>
      <c r="O181">
        <v>99.07</v>
      </c>
      <c r="P181">
        <v>123.63</v>
      </c>
      <c r="Q181">
        <v>94.6</v>
      </c>
      <c r="R181">
        <v>92.13</v>
      </c>
      <c r="S181">
        <v>111.41</v>
      </c>
    </row>
    <row r="182" spans="1:19">
      <c r="A182" s="1">
        <v>42632</v>
      </c>
      <c r="B182" t="s">
        <v>96</v>
      </c>
      <c r="C182" t="s">
        <v>116</v>
      </c>
      <c r="D182">
        <v>15.675</v>
      </c>
      <c r="E182">
        <v>17.125</v>
      </c>
      <c r="F182">
        <v>0.0925039872408293</v>
      </c>
      <c r="G182" t="str">
        <f ca="1" t="shared" si="6"/>
        <v>N/A</v>
      </c>
      <c r="H182" t="str">
        <f ca="1" t="shared" si="7"/>
        <v>N/A</v>
      </c>
      <c r="I182">
        <f ca="1" t="shared" si="8"/>
        <v>0</v>
      </c>
      <c r="J182">
        <f>_xlfn.XLOOKUP($A182,[1]Sheet1!$B$9:$B$2584,[1]Sheet1!$C$9:$C$2584,"N/A",0)</f>
        <v>98.75</v>
      </c>
      <c r="K182">
        <f>_xlfn.XLOOKUP($A182,[1]Sheet1!$E$9:$E$2584,[1]Sheet1!$F$9:$F$2584,"N/A",0)</f>
        <v>124.07</v>
      </c>
      <c r="L182">
        <f>_xlfn.XLOOKUP($A182,[1]Sheet1!$H$9:$H$2584,[1]Sheet1!$I$9:$I$2584,"N/A",0)</f>
        <v>94.9</v>
      </c>
      <c r="M182">
        <f>_xlfn.XLOOKUP($A182,[1]Sheet1!$K$9:$K$2584,[1]Sheet1!$L$9:$L$2584,"N/A",0)</f>
        <v>111.74</v>
      </c>
      <c r="N182">
        <f>_xlfn.XLOOKUP($A182,[1]Sheet1!$N$9:$N$2584,[1]Sheet1!$O$9:$O$2584,"N/A",0)</f>
        <v>91.65</v>
      </c>
      <c r="O182">
        <v>98.75</v>
      </c>
      <c r="P182">
        <v>124.07</v>
      </c>
      <c r="Q182">
        <v>94.9</v>
      </c>
      <c r="R182">
        <v>91.65</v>
      </c>
      <c r="S182">
        <v>111.74</v>
      </c>
    </row>
    <row r="183" spans="1:19">
      <c r="A183" s="1">
        <v>42633</v>
      </c>
      <c r="B183" t="s">
        <v>96</v>
      </c>
      <c r="C183" t="s">
        <v>116</v>
      </c>
      <c r="D183">
        <v>15.875</v>
      </c>
      <c r="E183">
        <v>17.425</v>
      </c>
      <c r="F183">
        <v>0.0976377952755905</v>
      </c>
      <c r="G183" t="str">
        <f ca="1" t="shared" si="6"/>
        <v>N/A</v>
      </c>
      <c r="H183" t="str">
        <f ca="1" t="shared" si="7"/>
        <v>N/A</v>
      </c>
      <c r="I183">
        <f ca="1" t="shared" si="8"/>
        <v>0</v>
      </c>
      <c r="J183">
        <f>_xlfn.XLOOKUP($A183,[1]Sheet1!$B$9:$B$2584,[1]Sheet1!$C$9:$C$2584,"N/A",0)</f>
        <v>98.87</v>
      </c>
      <c r="K183">
        <f>_xlfn.XLOOKUP($A183,[1]Sheet1!$E$9:$E$2584,[1]Sheet1!$F$9:$F$2584,"N/A",0)</f>
        <v>123.95</v>
      </c>
      <c r="L183">
        <f>_xlfn.XLOOKUP($A183,[1]Sheet1!$H$9:$H$2584,[1]Sheet1!$I$9:$I$2584,"N/A",0)</f>
        <v>94.62</v>
      </c>
      <c r="M183">
        <f>_xlfn.XLOOKUP($A183,[1]Sheet1!$K$9:$K$2584,[1]Sheet1!$L$9:$L$2584,"N/A",0)</f>
        <v>111.64</v>
      </c>
      <c r="N183">
        <f>_xlfn.XLOOKUP($A183,[1]Sheet1!$N$9:$N$2584,[1]Sheet1!$O$9:$O$2584,"N/A",0)</f>
        <v>92.08</v>
      </c>
      <c r="O183">
        <v>98.87</v>
      </c>
      <c r="P183">
        <v>123.95</v>
      </c>
      <c r="Q183">
        <v>94.62</v>
      </c>
      <c r="R183">
        <v>92.08</v>
      </c>
      <c r="S183">
        <v>111.64</v>
      </c>
    </row>
    <row r="184" spans="1:19">
      <c r="A184" s="1">
        <v>42634</v>
      </c>
      <c r="B184" t="s">
        <v>96</v>
      </c>
      <c r="C184" t="s">
        <v>116</v>
      </c>
      <c r="D184">
        <v>14.92</v>
      </c>
      <c r="E184">
        <v>16.075</v>
      </c>
      <c r="F184">
        <v>0.0774128686327077</v>
      </c>
      <c r="G184" t="str">
        <f ca="1" t="shared" si="6"/>
        <v>N/A</v>
      </c>
      <c r="H184" t="str">
        <f ca="1" t="shared" si="7"/>
        <v>N/A</v>
      </c>
      <c r="I184">
        <f ca="1" t="shared" si="8"/>
        <v>0</v>
      </c>
      <c r="J184">
        <f>_xlfn.XLOOKUP($A184,[1]Sheet1!$B$9:$B$2584,[1]Sheet1!$C$9:$C$2584,"N/A",0)</f>
        <v>98.87</v>
      </c>
      <c r="K184">
        <f>_xlfn.XLOOKUP($A184,[1]Sheet1!$E$9:$E$2584,[1]Sheet1!$F$9:$F$2584,"N/A",0)</f>
        <v>124.82</v>
      </c>
      <c r="L184">
        <f>_xlfn.XLOOKUP($A184,[1]Sheet1!$H$9:$H$2584,[1]Sheet1!$I$9:$I$2584,"N/A",0)</f>
        <v>94.44</v>
      </c>
      <c r="M184">
        <f>_xlfn.XLOOKUP($A184,[1]Sheet1!$K$9:$K$2584,[1]Sheet1!$L$9:$L$2584,"N/A",0)</f>
        <v>110.81</v>
      </c>
      <c r="N184">
        <f>_xlfn.XLOOKUP($A184,[1]Sheet1!$N$9:$N$2584,[1]Sheet1!$O$9:$O$2584,"N/A",0)</f>
        <v>91.94</v>
      </c>
      <c r="O184">
        <v>98.87</v>
      </c>
      <c r="P184">
        <v>124.82</v>
      </c>
      <c r="Q184">
        <v>94.44</v>
      </c>
      <c r="R184">
        <v>91.94</v>
      </c>
      <c r="S184">
        <v>110.81</v>
      </c>
    </row>
    <row r="185" spans="1:19">
      <c r="A185" s="1">
        <v>42635</v>
      </c>
      <c r="B185" t="s">
        <v>116</v>
      </c>
      <c r="C185" t="s">
        <v>134</v>
      </c>
      <c r="D185">
        <v>15.325</v>
      </c>
      <c r="E185">
        <v>16.875</v>
      </c>
      <c r="F185" s="2" t="s">
        <v>135</v>
      </c>
      <c r="G185" t="str">
        <f ca="1" t="shared" si="6"/>
        <v>N/A</v>
      </c>
      <c r="H185" t="str">
        <f ca="1" t="shared" si="7"/>
        <v>N/A</v>
      </c>
      <c r="I185">
        <f ca="1" t="shared" si="8"/>
        <v>0</v>
      </c>
      <c r="J185">
        <f>_xlfn.XLOOKUP($A185,[1]Sheet1!$B$9:$B$2584,[1]Sheet1!$C$9:$C$2584,"N/A",0)</f>
        <v>98.86</v>
      </c>
      <c r="K185">
        <f>_xlfn.XLOOKUP($A185,[1]Sheet1!$E$9:$E$2584,[1]Sheet1!$F$9:$F$2584,"N/A",0)</f>
        <v>124.63</v>
      </c>
      <c r="L185">
        <f>_xlfn.XLOOKUP($A185,[1]Sheet1!$H$9:$H$2584,[1]Sheet1!$I$9:$I$2584,"N/A",0)</f>
        <v>94.8</v>
      </c>
      <c r="M185">
        <f>_xlfn.XLOOKUP($A185,[1]Sheet1!$K$9:$K$2584,[1]Sheet1!$L$9:$L$2584,"N/A",0)</f>
        <v>110.62</v>
      </c>
      <c r="N185">
        <f>_xlfn.XLOOKUP($A185,[1]Sheet1!$N$9:$N$2584,[1]Sheet1!$O$9:$O$2584,"N/A",0)</f>
        <v>91.27</v>
      </c>
      <c r="O185">
        <v>98.86</v>
      </c>
      <c r="P185">
        <v>124.63</v>
      </c>
      <c r="Q185">
        <v>94.8</v>
      </c>
      <c r="R185">
        <v>91.27</v>
      </c>
      <c r="S185">
        <v>110.62</v>
      </c>
    </row>
    <row r="186" spans="1:19">
      <c r="A186" s="1">
        <v>42636</v>
      </c>
      <c r="B186" t="s">
        <v>116</v>
      </c>
      <c r="C186" t="s">
        <v>134</v>
      </c>
      <c r="D186">
        <v>15.575</v>
      </c>
      <c r="E186">
        <v>17.075</v>
      </c>
      <c r="F186">
        <v>0.0963081861958266</v>
      </c>
      <c r="G186" t="str">
        <f ca="1" t="shared" si="6"/>
        <v>N/A</v>
      </c>
      <c r="H186" t="str">
        <f ca="1" t="shared" si="7"/>
        <v>N/A</v>
      </c>
      <c r="I186">
        <f ca="1" t="shared" si="8"/>
        <v>0</v>
      </c>
      <c r="J186">
        <f>_xlfn.XLOOKUP($A186,[1]Sheet1!$B$9:$B$2584,[1]Sheet1!$C$9:$C$2584,"N/A",0)</f>
        <v>98.72</v>
      </c>
      <c r="K186">
        <f>_xlfn.XLOOKUP($A186,[1]Sheet1!$E$9:$E$2584,[1]Sheet1!$F$9:$F$2584,"N/A",0)</f>
        <v>123.49</v>
      </c>
      <c r="L186">
        <f>_xlfn.XLOOKUP($A186,[1]Sheet1!$H$9:$H$2584,[1]Sheet1!$I$9:$I$2584,"N/A",0)</f>
        <v>95.23</v>
      </c>
      <c r="M186">
        <f>_xlfn.XLOOKUP($A186,[1]Sheet1!$K$9:$K$2584,[1]Sheet1!$L$9:$L$2584,"N/A",0)</f>
        <v>110.94</v>
      </c>
      <c r="N186">
        <f>_xlfn.XLOOKUP($A186,[1]Sheet1!$N$9:$N$2584,[1]Sheet1!$O$9:$O$2584,"N/A",0)</f>
        <v>91.37</v>
      </c>
      <c r="O186">
        <v>98.72</v>
      </c>
      <c r="P186">
        <v>123.49</v>
      </c>
      <c r="Q186">
        <v>95.23</v>
      </c>
      <c r="R186">
        <v>91.37</v>
      </c>
      <c r="S186">
        <v>110.94</v>
      </c>
    </row>
    <row r="187" spans="1:19">
      <c r="A187" s="1">
        <v>42639</v>
      </c>
      <c r="B187" t="s">
        <v>116</v>
      </c>
      <c r="C187" t="s">
        <v>134</v>
      </c>
      <c r="D187">
        <v>16.275</v>
      </c>
      <c r="E187">
        <v>17.375</v>
      </c>
      <c r="F187">
        <v>0.0675883256528418</v>
      </c>
      <c r="G187" t="str">
        <f ca="1" t="shared" si="6"/>
        <v>N/A</v>
      </c>
      <c r="H187" t="str">
        <f ca="1" t="shared" si="7"/>
        <v>N/A</v>
      </c>
      <c r="I187">
        <f ca="1" t="shared" si="8"/>
        <v>0</v>
      </c>
      <c r="J187">
        <f>_xlfn.XLOOKUP($A187,[1]Sheet1!$B$9:$B$2584,[1]Sheet1!$C$9:$C$2584,"N/A",0)</f>
        <v>98.57</v>
      </c>
      <c r="K187">
        <f>_xlfn.XLOOKUP($A187,[1]Sheet1!$E$9:$E$2584,[1]Sheet1!$F$9:$F$2584,"N/A",0)</f>
        <v>124.28</v>
      </c>
      <c r="L187">
        <f>_xlfn.XLOOKUP($A187,[1]Sheet1!$H$9:$H$2584,[1]Sheet1!$I$9:$I$2584,"N/A",0)</f>
        <v>94.86</v>
      </c>
      <c r="M187">
        <f>_xlfn.XLOOKUP($A187,[1]Sheet1!$K$9:$K$2584,[1]Sheet1!$L$9:$L$2584,"N/A",0)</f>
        <v>110.66</v>
      </c>
      <c r="N187">
        <f>_xlfn.XLOOKUP($A187,[1]Sheet1!$N$9:$N$2584,[1]Sheet1!$O$9:$O$2584,"N/A",0)</f>
        <v>91.51</v>
      </c>
      <c r="O187">
        <v>98.57</v>
      </c>
      <c r="P187">
        <v>124.28</v>
      </c>
      <c r="Q187">
        <v>94.86</v>
      </c>
      <c r="R187">
        <v>91.51</v>
      </c>
      <c r="S187">
        <v>110.66</v>
      </c>
    </row>
    <row r="188" spans="1:19">
      <c r="A188" s="1">
        <v>42640</v>
      </c>
      <c r="B188" t="s">
        <v>116</v>
      </c>
      <c r="C188" t="s">
        <v>134</v>
      </c>
      <c r="D188">
        <v>15.525</v>
      </c>
      <c r="E188">
        <v>16.875</v>
      </c>
      <c r="F188">
        <v>0.0869565217391304</v>
      </c>
      <c r="G188" t="str">
        <f ca="1" t="shared" si="6"/>
        <v>N/A</v>
      </c>
      <c r="H188" t="str">
        <f ca="1" t="shared" si="7"/>
        <v>N/A</v>
      </c>
      <c r="I188">
        <f ca="1" t="shared" si="8"/>
        <v>0</v>
      </c>
      <c r="J188">
        <f>_xlfn.XLOOKUP($A188,[1]Sheet1!$B$9:$B$2584,[1]Sheet1!$C$9:$C$2584,"N/A",0)</f>
        <v>98.53</v>
      </c>
      <c r="K188">
        <f>_xlfn.XLOOKUP($A188,[1]Sheet1!$E$9:$E$2584,[1]Sheet1!$F$9:$F$2584,"N/A",0)</f>
        <v>124.2</v>
      </c>
      <c r="L188">
        <f>_xlfn.XLOOKUP($A188,[1]Sheet1!$H$9:$H$2584,[1]Sheet1!$I$9:$I$2584,"N/A",0)</f>
        <v>95.12</v>
      </c>
      <c r="M188">
        <f>_xlfn.XLOOKUP($A188,[1]Sheet1!$K$9:$K$2584,[1]Sheet1!$L$9:$L$2584,"N/A",0)</f>
        <v>111.21</v>
      </c>
      <c r="N188">
        <f>_xlfn.XLOOKUP($A188,[1]Sheet1!$N$9:$N$2584,[1]Sheet1!$O$9:$O$2584,"N/A",0)</f>
        <v>91.94</v>
      </c>
      <c r="O188">
        <v>98.53</v>
      </c>
      <c r="P188">
        <v>124.2</v>
      </c>
      <c r="Q188">
        <v>95.12</v>
      </c>
      <c r="R188">
        <v>91.94</v>
      </c>
      <c r="S188">
        <v>111.21</v>
      </c>
    </row>
    <row r="189" spans="1:19">
      <c r="A189" s="1">
        <v>42641</v>
      </c>
      <c r="B189" t="s">
        <v>116</v>
      </c>
      <c r="C189" t="s">
        <v>134</v>
      </c>
      <c r="D189">
        <v>15.225</v>
      </c>
      <c r="E189">
        <v>16.725</v>
      </c>
      <c r="F189">
        <v>0.0985221674876848</v>
      </c>
      <c r="G189" t="str">
        <f ca="1" t="shared" si="6"/>
        <v>N/A</v>
      </c>
      <c r="H189" t="str">
        <f ca="1" t="shared" si="7"/>
        <v>N/A</v>
      </c>
      <c r="I189">
        <f ca="1" t="shared" si="8"/>
        <v>0</v>
      </c>
      <c r="J189">
        <f>_xlfn.XLOOKUP($A189,[1]Sheet1!$B$9:$B$2584,[1]Sheet1!$C$9:$C$2584,"N/A",0)</f>
        <v>98.58</v>
      </c>
      <c r="K189">
        <f>_xlfn.XLOOKUP($A189,[1]Sheet1!$E$9:$E$2584,[1]Sheet1!$F$9:$F$2584,"N/A",0)</f>
        <v>125.62</v>
      </c>
      <c r="L189">
        <f>_xlfn.XLOOKUP($A189,[1]Sheet1!$H$9:$H$2584,[1]Sheet1!$I$9:$I$2584,"N/A",0)</f>
        <v>94.77</v>
      </c>
      <c r="M189">
        <f>_xlfn.XLOOKUP($A189,[1]Sheet1!$K$9:$K$2584,[1]Sheet1!$L$9:$L$2584,"N/A",0)</f>
        <v>110.64</v>
      </c>
      <c r="N189">
        <f>_xlfn.XLOOKUP($A189,[1]Sheet1!$N$9:$N$2584,[1]Sheet1!$O$9:$O$2584,"N/A",0)</f>
        <v>91.73</v>
      </c>
      <c r="O189">
        <v>98.58</v>
      </c>
      <c r="P189">
        <v>125.62</v>
      </c>
      <c r="Q189">
        <v>94.77</v>
      </c>
      <c r="R189">
        <v>91.73</v>
      </c>
      <c r="S189">
        <v>110.64</v>
      </c>
    </row>
    <row r="190" spans="1:19">
      <c r="A190" s="1">
        <v>42642</v>
      </c>
      <c r="B190" t="s">
        <v>116</v>
      </c>
      <c r="C190" t="s">
        <v>134</v>
      </c>
      <c r="D190">
        <v>15.925</v>
      </c>
      <c r="E190">
        <v>17.025</v>
      </c>
      <c r="F190">
        <v>0.0690737833594975</v>
      </c>
      <c r="G190" t="str">
        <f ca="1" t="shared" si="6"/>
        <v>N/A</v>
      </c>
      <c r="H190" t="str">
        <f ca="1" t="shared" si="7"/>
        <v>N/A</v>
      </c>
      <c r="I190">
        <f ca="1" t="shared" si="8"/>
        <v>0</v>
      </c>
      <c r="J190">
        <f>_xlfn.XLOOKUP($A190,[1]Sheet1!$B$9:$B$2584,[1]Sheet1!$C$9:$C$2584,"N/A",0)</f>
        <v>98.95</v>
      </c>
      <c r="K190">
        <f>_xlfn.XLOOKUP($A190,[1]Sheet1!$E$9:$E$2584,[1]Sheet1!$F$9:$F$2584,"N/A",0)</f>
        <v>126.27</v>
      </c>
      <c r="L190">
        <f>_xlfn.XLOOKUP($A190,[1]Sheet1!$H$9:$H$2584,[1]Sheet1!$I$9:$I$2584,"N/A",0)</f>
        <v>94.61</v>
      </c>
      <c r="M190">
        <f>_xlfn.XLOOKUP($A190,[1]Sheet1!$K$9:$K$2584,[1]Sheet1!$L$9:$L$2584,"N/A",0)</f>
        <v>110.1</v>
      </c>
      <c r="N190">
        <f>_xlfn.XLOOKUP($A190,[1]Sheet1!$N$9:$N$2584,[1]Sheet1!$O$9:$O$2584,"N/A",0)</f>
        <v>92.04</v>
      </c>
      <c r="O190">
        <v>98.95</v>
      </c>
      <c r="P190">
        <v>126.27</v>
      </c>
      <c r="Q190">
        <v>94.61</v>
      </c>
      <c r="R190">
        <v>92.04</v>
      </c>
      <c r="S190">
        <v>110.1</v>
      </c>
    </row>
    <row r="191" spans="1:19">
      <c r="A191" s="1">
        <v>42643</v>
      </c>
      <c r="B191" t="s">
        <v>116</v>
      </c>
      <c r="C191" t="s">
        <v>134</v>
      </c>
      <c r="D191">
        <v>15.775</v>
      </c>
      <c r="E191">
        <v>16.95</v>
      </c>
      <c r="F191">
        <v>0.074484944532488</v>
      </c>
      <c r="G191" t="str">
        <f ca="1" t="shared" si="6"/>
        <v>N/A</v>
      </c>
      <c r="H191" t="str">
        <f ca="1" t="shared" si="7"/>
        <v>N/A</v>
      </c>
      <c r="I191">
        <f ca="1" t="shared" si="8"/>
        <v>0</v>
      </c>
      <c r="J191">
        <f>_xlfn.XLOOKUP($A191,[1]Sheet1!$B$9:$B$2584,[1]Sheet1!$C$9:$C$2584,"N/A",0)</f>
        <v>98.78</v>
      </c>
      <c r="K191">
        <f>_xlfn.XLOOKUP($A191,[1]Sheet1!$E$9:$E$2584,[1]Sheet1!$F$9:$F$2584,"N/A",0)</f>
        <v>125.94</v>
      </c>
      <c r="L191">
        <f>_xlfn.XLOOKUP($A191,[1]Sheet1!$H$9:$H$2584,[1]Sheet1!$I$9:$I$2584,"N/A",0)</f>
        <v>94.74</v>
      </c>
      <c r="M191">
        <f>_xlfn.XLOOKUP($A191,[1]Sheet1!$K$9:$K$2584,[1]Sheet1!$L$9:$L$2584,"N/A",0)</f>
        <v>110.99</v>
      </c>
      <c r="N191">
        <f>_xlfn.XLOOKUP($A191,[1]Sheet1!$N$9:$N$2584,[1]Sheet1!$O$9:$O$2584,"N/A",0)</f>
        <v>91.93</v>
      </c>
      <c r="O191">
        <v>98.78</v>
      </c>
      <c r="P191">
        <v>125.94</v>
      </c>
      <c r="Q191">
        <v>94.74</v>
      </c>
      <c r="R191">
        <v>91.93</v>
      </c>
      <c r="S191">
        <v>110.99</v>
      </c>
    </row>
    <row r="192" spans="1:19">
      <c r="A192" s="1">
        <v>42646</v>
      </c>
      <c r="B192" t="s">
        <v>116</v>
      </c>
      <c r="C192" t="s">
        <v>134</v>
      </c>
      <c r="D192">
        <v>15.475</v>
      </c>
      <c r="E192">
        <v>16.775</v>
      </c>
      <c r="F192">
        <v>0.0840064620355411</v>
      </c>
      <c r="G192" t="str">
        <f ca="1" t="shared" si="6"/>
        <v>N/A</v>
      </c>
      <c r="H192" t="str">
        <f ca="1" t="shared" si="7"/>
        <v>N/A</v>
      </c>
      <c r="I192">
        <f ca="1" t="shared" si="8"/>
        <v>0</v>
      </c>
      <c r="J192">
        <f>_xlfn.XLOOKUP($A192,[1]Sheet1!$B$9:$B$2584,[1]Sheet1!$C$9:$C$2584,"N/A",0)</f>
        <v>98.82</v>
      </c>
      <c r="K192">
        <f>_xlfn.XLOOKUP($A192,[1]Sheet1!$E$9:$E$2584,[1]Sheet1!$F$9:$F$2584,"N/A",0)</f>
        <v>125.71</v>
      </c>
      <c r="L192">
        <f>_xlfn.XLOOKUP($A192,[1]Sheet1!$H$9:$H$2584,[1]Sheet1!$I$9:$I$2584,"N/A",0)</f>
        <v>94.81</v>
      </c>
      <c r="M192">
        <f>_xlfn.XLOOKUP($A192,[1]Sheet1!$K$9:$K$2584,[1]Sheet1!$L$9:$L$2584,"N/A",0)</f>
        <v>110.88</v>
      </c>
      <c r="N192">
        <f>_xlfn.XLOOKUP($A192,[1]Sheet1!$N$9:$N$2584,[1]Sheet1!$O$9:$O$2584,"N/A",0)</f>
        <v>92.11</v>
      </c>
      <c r="O192">
        <v>98.82</v>
      </c>
      <c r="P192">
        <v>125.71</v>
      </c>
      <c r="Q192">
        <v>94.81</v>
      </c>
      <c r="R192">
        <v>92.11</v>
      </c>
      <c r="S192">
        <v>110.88</v>
      </c>
    </row>
    <row r="193" spans="1:19">
      <c r="A193" s="1">
        <v>42647</v>
      </c>
      <c r="B193" t="s">
        <v>116</v>
      </c>
      <c r="C193" t="s">
        <v>134</v>
      </c>
      <c r="D193">
        <v>15.325</v>
      </c>
      <c r="E193">
        <v>16.625</v>
      </c>
      <c r="F193">
        <v>0.0848287112561175</v>
      </c>
      <c r="G193" t="str">
        <f ca="1" t="shared" si="6"/>
        <v>N/A</v>
      </c>
      <c r="H193" t="str">
        <f ca="1" t="shared" si="7"/>
        <v>N/A</v>
      </c>
      <c r="I193">
        <f ca="1" t="shared" si="8"/>
        <v>0</v>
      </c>
      <c r="J193">
        <f>_xlfn.XLOOKUP($A193,[1]Sheet1!$B$9:$B$2584,[1]Sheet1!$C$9:$C$2584,"N/A",0)</f>
        <v>98.92</v>
      </c>
      <c r="K193">
        <f>_xlfn.XLOOKUP($A193,[1]Sheet1!$E$9:$E$2584,[1]Sheet1!$F$9:$F$2584,"N/A",0)</f>
        <v>124.55</v>
      </c>
      <c r="L193">
        <f>_xlfn.XLOOKUP($A193,[1]Sheet1!$H$9:$H$2584,[1]Sheet1!$I$9:$I$2584,"N/A",0)</f>
        <v>95.02</v>
      </c>
      <c r="M193">
        <f>_xlfn.XLOOKUP($A193,[1]Sheet1!$K$9:$K$2584,[1]Sheet1!$L$9:$L$2584,"N/A",0)</f>
        <v>111.8</v>
      </c>
      <c r="N193">
        <f>_xlfn.XLOOKUP($A193,[1]Sheet1!$N$9:$N$2584,[1]Sheet1!$O$9:$O$2584,"N/A",0)</f>
        <v>92.26</v>
      </c>
      <c r="O193">
        <v>98.92</v>
      </c>
      <c r="P193">
        <v>124.55</v>
      </c>
      <c r="Q193">
        <v>95.02</v>
      </c>
      <c r="R193">
        <v>92.26</v>
      </c>
      <c r="S193">
        <v>111.8</v>
      </c>
    </row>
    <row r="194" spans="1:19">
      <c r="A194" s="1">
        <v>42648</v>
      </c>
      <c r="B194" t="s">
        <v>116</v>
      </c>
      <c r="C194" t="s">
        <v>134</v>
      </c>
      <c r="D194">
        <v>15.125</v>
      </c>
      <c r="E194">
        <v>16.675</v>
      </c>
      <c r="F194" s="2" t="s">
        <v>136</v>
      </c>
      <c r="G194" t="str">
        <f ca="1" t="shared" si="6"/>
        <v>N/A</v>
      </c>
      <c r="H194" t="str">
        <f ca="1" t="shared" si="7"/>
        <v>N/A</v>
      </c>
      <c r="I194">
        <f ca="1" t="shared" si="8"/>
        <v>0</v>
      </c>
      <c r="J194">
        <f>_xlfn.XLOOKUP($A194,[1]Sheet1!$B$9:$B$2584,[1]Sheet1!$C$9:$C$2584,"N/A",0)</f>
        <v>98.8</v>
      </c>
      <c r="K194">
        <f>_xlfn.XLOOKUP($A194,[1]Sheet1!$E$9:$E$2584,[1]Sheet1!$F$9:$F$2584,"N/A",0)</f>
        <v>123.78</v>
      </c>
      <c r="L194">
        <f>_xlfn.XLOOKUP($A194,[1]Sheet1!$H$9:$H$2584,[1]Sheet1!$I$9:$I$2584,"N/A",0)</f>
        <v>95.58</v>
      </c>
      <c r="M194">
        <f>_xlfn.XLOOKUP($A194,[1]Sheet1!$K$9:$K$2584,[1]Sheet1!$L$9:$L$2584,"N/A",0)</f>
        <v>111.75</v>
      </c>
      <c r="N194">
        <f>_xlfn.XLOOKUP($A194,[1]Sheet1!$N$9:$N$2584,[1]Sheet1!$O$9:$O$2584,"N/A",0)</f>
        <v>92.27</v>
      </c>
      <c r="O194">
        <v>98.8</v>
      </c>
      <c r="P194">
        <v>123.78</v>
      </c>
      <c r="Q194">
        <v>95.58</v>
      </c>
      <c r="R194">
        <v>92.27</v>
      </c>
      <c r="S194">
        <v>111.75</v>
      </c>
    </row>
    <row r="195" spans="1:19">
      <c r="A195" s="1">
        <v>42649</v>
      </c>
      <c r="B195" t="s">
        <v>116</v>
      </c>
      <c r="C195" t="s">
        <v>134</v>
      </c>
      <c r="D195">
        <v>14.975</v>
      </c>
      <c r="E195">
        <v>16.525</v>
      </c>
      <c r="F195" s="2" t="s">
        <v>137</v>
      </c>
      <c r="G195" t="str">
        <f ca="1" t="shared" ref="G195:G258" si="9">IF(ROW()-ROW($A$3)+1&gt;252,(F195-AVERAGE(OFFSET(F195,-252,0,252,1)))/_xlfn.STDEV.S(OFFSET(F195,-252,0,252,1)),"N/A")</f>
        <v>N/A</v>
      </c>
      <c r="H195" t="str">
        <f ca="1" t="shared" ref="H195:H258" si="10">IF(G195&lt;&gt;"N/A",IF(G445&gt;-0.5,"Risk-On","Risk-Off"),"N/A")</f>
        <v>N/A</v>
      </c>
      <c r="I195">
        <f ca="1" t="shared" si="8"/>
        <v>0</v>
      </c>
      <c r="J195">
        <f>_xlfn.XLOOKUP($A195,[1]Sheet1!$B$9:$B$2584,[1]Sheet1!$C$9:$C$2584,"N/A",0)</f>
        <v>99.14</v>
      </c>
      <c r="K195">
        <f>_xlfn.XLOOKUP($A195,[1]Sheet1!$E$9:$E$2584,[1]Sheet1!$F$9:$F$2584,"N/A",0)</f>
        <v>124.81</v>
      </c>
      <c r="L195">
        <f>_xlfn.XLOOKUP($A195,[1]Sheet1!$H$9:$H$2584,[1]Sheet1!$I$9:$I$2584,"N/A",0)</f>
        <v>96.27</v>
      </c>
      <c r="M195">
        <f>_xlfn.XLOOKUP($A195,[1]Sheet1!$K$9:$K$2584,[1]Sheet1!$L$9:$L$2584,"N/A",0)</f>
        <v>113.23</v>
      </c>
      <c r="N195">
        <f>_xlfn.XLOOKUP($A195,[1]Sheet1!$N$9:$N$2584,[1]Sheet1!$O$9:$O$2584,"N/A",0)</f>
        <v>92.24</v>
      </c>
      <c r="O195">
        <v>99.14</v>
      </c>
      <c r="P195">
        <v>124.81</v>
      </c>
      <c r="Q195">
        <v>96.27</v>
      </c>
      <c r="R195">
        <v>92.24</v>
      </c>
      <c r="S195">
        <v>113.23</v>
      </c>
    </row>
    <row r="196" spans="1:19">
      <c r="A196" s="1">
        <v>42650</v>
      </c>
      <c r="B196" t="s">
        <v>116</v>
      </c>
      <c r="C196" t="s">
        <v>134</v>
      </c>
      <c r="D196">
        <v>15.325</v>
      </c>
      <c r="E196">
        <v>16.725</v>
      </c>
      <c r="F196">
        <v>0.0913539967373574</v>
      </c>
      <c r="G196" t="str">
        <f ca="1" t="shared" si="9"/>
        <v>N/A</v>
      </c>
      <c r="H196" t="str">
        <f ca="1" t="shared" si="10"/>
        <v>N/A</v>
      </c>
      <c r="I196">
        <f ca="1" t="shared" ref="I196:I259" si="11">IF(H196&lt;&gt;"N/A",IF(H446&gt;-0.5,1,0),0)</f>
        <v>0</v>
      </c>
      <c r="J196">
        <f>_xlfn.XLOOKUP($A196,[1]Sheet1!$B$9:$B$2584,[1]Sheet1!$C$9:$C$2584,"N/A",0)</f>
        <v>99.15</v>
      </c>
      <c r="K196">
        <f>_xlfn.XLOOKUP($A196,[1]Sheet1!$E$9:$E$2584,[1]Sheet1!$F$9:$F$2584,"N/A",0)</f>
        <v>124.43</v>
      </c>
      <c r="L196">
        <f>_xlfn.XLOOKUP($A196,[1]Sheet1!$H$9:$H$2584,[1]Sheet1!$I$9:$I$2584,"N/A",0)</f>
        <v>95.99</v>
      </c>
      <c r="M196">
        <f>_xlfn.XLOOKUP($A196,[1]Sheet1!$K$9:$K$2584,[1]Sheet1!$L$9:$L$2584,"N/A",0)</f>
        <v>113.21</v>
      </c>
      <c r="N196">
        <f>_xlfn.XLOOKUP($A196,[1]Sheet1!$N$9:$N$2584,[1]Sheet1!$O$9:$O$2584,"N/A",0)</f>
        <v>92.55</v>
      </c>
      <c r="O196">
        <v>99.15</v>
      </c>
      <c r="P196">
        <v>124.43</v>
      </c>
      <c r="Q196">
        <v>95.99</v>
      </c>
      <c r="R196">
        <v>92.55</v>
      </c>
      <c r="S196">
        <v>113.21</v>
      </c>
    </row>
    <row r="197" spans="1:19">
      <c r="A197" s="1">
        <v>42653</v>
      </c>
      <c r="B197" t="s">
        <v>116</v>
      </c>
      <c r="C197" t="s">
        <v>134</v>
      </c>
      <c r="D197">
        <v>14.675</v>
      </c>
      <c r="E197">
        <v>16.325</v>
      </c>
      <c r="F197" s="2" t="s">
        <v>138</v>
      </c>
      <c r="G197" t="str">
        <f ca="1" t="shared" si="9"/>
        <v>N/A</v>
      </c>
      <c r="H197" t="str">
        <f ca="1" t="shared" si="10"/>
        <v>N/A</v>
      </c>
      <c r="I197">
        <f ca="1" t="shared" si="11"/>
        <v>0</v>
      </c>
      <c r="J197">
        <f>_xlfn.XLOOKUP($A197,[1]Sheet1!$B$9:$B$2584,[1]Sheet1!$C$9:$C$2584,"N/A",0)</f>
        <v>99.23</v>
      </c>
      <c r="K197">
        <f>_xlfn.XLOOKUP($A197,[1]Sheet1!$E$9:$E$2584,[1]Sheet1!$F$9:$F$2584,"N/A",0)</f>
        <v>124.53</v>
      </c>
      <c r="L197">
        <f>_xlfn.XLOOKUP($A197,[1]Sheet1!$H$9:$H$2584,[1]Sheet1!$I$9:$I$2584,"N/A",0)</f>
        <v>95.81</v>
      </c>
      <c r="M197">
        <f>_xlfn.XLOOKUP($A197,[1]Sheet1!$K$9:$K$2584,[1]Sheet1!$L$9:$L$2584,"N/A",0)</f>
        <v>113</v>
      </c>
      <c r="N197">
        <f>_xlfn.XLOOKUP($A197,[1]Sheet1!$N$9:$N$2584,[1]Sheet1!$O$9:$O$2584,"N/A",0)</f>
        <v>91.96</v>
      </c>
      <c r="O197">
        <v>99.23</v>
      </c>
      <c r="P197">
        <v>124.53</v>
      </c>
      <c r="Q197">
        <v>95.81</v>
      </c>
      <c r="R197">
        <v>91.96</v>
      </c>
      <c r="S197">
        <v>113</v>
      </c>
    </row>
    <row r="198" spans="1:19">
      <c r="A198" s="1">
        <v>42654</v>
      </c>
      <c r="B198" t="s">
        <v>116</v>
      </c>
      <c r="C198" t="s">
        <v>134</v>
      </c>
      <c r="D198">
        <v>15.825</v>
      </c>
      <c r="E198">
        <v>16.975</v>
      </c>
      <c r="F198">
        <v>0.0726698262243287</v>
      </c>
      <c r="G198" t="str">
        <f ca="1" t="shared" si="9"/>
        <v>N/A</v>
      </c>
      <c r="H198" t="str">
        <f ca="1" t="shared" si="10"/>
        <v>N/A</v>
      </c>
      <c r="I198">
        <f ca="1" t="shared" si="11"/>
        <v>0</v>
      </c>
      <c r="J198">
        <f>_xlfn.XLOOKUP($A198,[1]Sheet1!$B$9:$B$2584,[1]Sheet1!$C$9:$C$2584,"N/A",0)</f>
        <v>99.18</v>
      </c>
      <c r="K198">
        <f>_xlfn.XLOOKUP($A198,[1]Sheet1!$E$9:$E$2584,[1]Sheet1!$F$9:$F$2584,"N/A",0)</f>
        <v>124.67</v>
      </c>
      <c r="L198">
        <f>_xlfn.XLOOKUP($A198,[1]Sheet1!$H$9:$H$2584,[1]Sheet1!$I$9:$I$2584,"N/A",0)</f>
        <v>96.04</v>
      </c>
      <c r="M198">
        <f>_xlfn.XLOOKUP($A198,[1]Sheet1!$K$9:$K$2584,[1]Sheet1!$L$9:$L$2584,"N/A",0)</f>
        <v>113.07</v>
      </c>
      <c r="N198">
        <f>_xlfn.XLOOKUP($A198,[1]Sheet1!$N$9:$N$2584,[1]Sheet1!$O$9:$O$2584,"N/A",0)</f>
        <v>92.07</v>
      </c>
      <c r="O198">
        <v>99.18</v>
      </c>
      <c r="P198">
        <v>124.67</v>
      </c>
      <c r="Q198">
        <v>96.04</v>
      </c>
      <c r="R198">
        <v>92.07</v>
      </c>
      <c r="S198">
        <v>113.07</v>
      </c>
    </row>
    <row r="199" spans="1:19">
      <c r="A199" s="1">
        <v>42655</v>
      </c>
      <c r="B199" t="s">
        <v>116</v>
      </c>
      <c r="C199" t="s">
        <v>134</v>
      </c>
      <c r="D199">
        <v>16.325</v>
      </c>
      <c r="E199">
        <v>17.225</v>
      </c>
      <c r="F199" s="2" t="s">
        <v>139</v>
      </c>
      <c r="G199" t="str">
        <f ca="1" t="shared" si="9"/>
        <v>N/A</v>
      </c>
      <c r="H199" t="str">
        <f ca="1" t="shared" si="10"/>
        <v>N/A</v>
      </c>
      <c r="I199">
        <f ca="1" t="shared" si="11"/>
        <v>0</v>
      </c>
      <c r="J199">
        <f>_xlfn.XLOOKUP($A199,[1]Sheet1!$B$9:$B$2584,[1]Sheet1!$C$9:$C$2584,"N/A",0)</f>
        <v>99.28</v>
      </c>
      <c r="K199">
        <f>_xlfn.XLOOKUP($A199,[1]Sheet1!$E$9:$E$2584,[1]Sheet1!$F$9:$F$2584,"N/A",0)</f>
        <v>125.52</v>
      </c>
      <c r="L199">
        <f>_xlfn.XLOOKUP($A199,[1]Sheet1!$H$9:$H$2584,[1]Sheet1!$I$9:$I$2584,"N/A",0)</f>
        <v>95.8</v>
      </c>
      <c r="M199">
        <f>_xlfn.XLOOKUP($A199,[1]Sheet1!$K$9:$K$2584,[1]Sheet1!$L$9:$L$2584,"N/A",0)</f>
        <v>113.1</v>
      </c>
      <c r="N199">
        <f>_xlfn.XLOOKUP($A199,[1]Sheet1!$N$9:$N$2584,[1]Sheet1!$O$9:$O$2584,"N/A",0)</f>
        <v>91.93</v>
      </c>
      <c r="O199">
        <v>99.28</v>
      </c>
      <c r="P199">
        <v>125.52</v>
      </c>
      <c r="Q199">
        <v>95.8</v>
      </c>
      <c r="R199">
        <v>91.93</v>
      </c>
      <c r="S199">
        <v>113.1</v>
      </c>
    </row>
    <row r="200" spans="1:19">
      <c r="A200" s="1">
        <v>42656</v>
      </c>
      <c r="B200" t="s">
        <v>116</v>
      </c>
      <c r="C200" t="s">
        <v>134</v>
      </c>
      <c r="D200">
        <v>17.025</v>
      </c>
      <c r="E200">
        <v>17.525</v>
      </c>
      <c r="F200" s="2" t="s">
        <v>140</v>
      </c>
      <c r="G200" t="str">
        <f ca="1" t="shared" si="9"/>
        <v>N/A</v>
      </c>
      <c r="H200" t="str">
        <f ca="1" t="shared" si="10"/>
        <v>N/A</v>
      </c>
      <c r="I200">
        <f ca="1" t="shared" si="11"/>
        <v>0</v>
      </c>
      <c r="J200">
        <f>_xlfn.XLOOKUP($A200,[1]Sheet1!$B$9:$B$2584,[1]Sheet1!$C$9:$C$2584,"N/A",0)</f>
        <v>99.33</v>
      </c>
      <c r="K200">
        <f>_xlfn.XLOOKUP($A200,[1]Sheet1!$E$9:$E$2584,[1]Sheet1!$F$9:$F$2584,"N/A",0)</f>
        <v>125.68</v>
      </c>
      <c r="L200">
        <f>_xlfn.XLOOKUP($A200,[1]Sheet1!$H$9:$H$2584,[1]Sheet1!$I$9:$I$2584,"N/A",0)</f>
        <v>95.66</v>
      </c>
      <c r="M200">
        <f>_xlfn.XLOOKUP($A200,[1]Sheet1!$K$9:$K$2584,[1]Sheet1!$L$9:$L$2584,"N/A",0)</f>
        <v>112.77</v>
      </c>
      <c r="N200">
        <f>_xlfn.XLOOKUP($A200,[1]Sheet1!$N$9:$N$2584,[1]Sheet1!$O$9:$O$2584,"N/A",0)</f>
        <v>92.36</v>
      </c>
      <c r="O200">
        <v>99.33</v>
      </c>
      <c r="P200">
        <v>125.68</v>
      </c>
      <c r="Q200">
        <v>95.66</v>
      </c>
      <c r="R200">
        <v>92.36</v>
      </c>
      <c r="S200">
        <v>112.77</v>
      </c>
    </row>
    <row r="201" spans="1:19">
      <c r="A201" s="1">
        <v>42657</v>
      </c>
      <c r="B201" t="s">
        <v>116</v>
      </c>
      <c r="C201" t="s">
        <v>134</v>
      </c>
      <c r="D201">
        <v>16.625</v>
      </c>
      <c r="E201">
        <v>17.325</v>
      </c>
      <c r="F201" s="2" t="s">
        <v>141</v>
      </c>
      <c r="G201" t="str">
        <f ca="1" t="shared" si="9"/>
        <v>N/A</v>
      </c>
      <c r="H201" t="str">
        <f ca="1" t="shared" si="10"/>
        <v>N/A</v>
      </c>
      <c r="I201">
        <f ca="1" t="shared" si="11"/>
        <v>0</v>
      </c>
      <c r="J201">
        <f>_xlfn.XLOOKUP($A201,[1]Sheet1!$B$9:$B$2584,[1]Sheet1!$C$9:$C$2584,"N/A",0)</f>
        <v>99.34</v>
      </c>
      <c r="K201">
        <f>_xlfn.XLOOKUP($A201,[1]Sheet1!$E$9:$E$2584,[1]Sheet1!$F$9:$F$2584,"N/A",0)</f>
        <v>126.06</v>
      </c>
      <c r="L201">
        <f>_xlfn.XLOOKUP($A201,[1]Sheet1!$H$9:$H$2584,[1]Sheet1!$I$9:$I$2584,"N/A",0)</f>
        <v>95.75</v>
      </c>
      <c r="M201">
        <f>_xlfn.XLOOKUP($A201,[1]Sheet1!$K$9:$K$2584,[1]Sheet1!$L$9:$L$2584,"N/A",0)</f>
        <v>113.09</v>
      </c>
      <c r="N201">
        <f>_xlfn.XLOOKUP($A201,[1]Sheet1!$N$9:$N$2584,[1]Sheet1!$O$9:$O$2584,"N/A",0)</f>
        <v>92.5</v>
      </c>
      <c r="O201">
        <v>99.34</v>
      </c>
      <c r="P201">
        <v>126.06</v>
      </c>
      <c r="Q201">
        <v>95.75</v>
      </c>
      <c r="R201">
        <v>92.5</v>
      </c>
      <c r="S201">
        <v>113.09</v>
      </c>
    </row>
    <row r="202" spans="1:19">
      <c r="A202" s="1">
        <v>42660</v>
      </c>
      <c r="B202" t="s">
        <v>116</v>
      </c>
      <c r="C202" t="s">
        <v>134</v>
      </c>
      <c r="D202">
        <v>16.525</v>
      </c>
      <c r="E202">
        <v>17.125</v>
      </c>
      <c r="F202" s="2" t="s">
        <v>142</v>
      </c>
      <c r="G202" t="str">
        <f ca="1" t="shared" si="9"/>
        <v>N/A</v>
      </c>
      <c r="H202" t="str">
        <f ca="1" t="shared" si="10"/>
        <v>N/A</v>
      </c>
      <c r="I202">
        <f ca="1" t="shared" si="11"/>
        <v>0</v>
      </c>
      <c r="J202">
        <f>_xlfn.XLOOKUP($A202,[1]Sheet1!$B$9:$B$2584,[1]Sheet1!$C$9:$C$2584,"N/A",0)</f>
        <v>99.33</v>
      </c>
      <c r="K202">
        <f>_xlfn.XLOOKUP($A202,[1]Sheet1!$E$9:$E$2584,[1]Sheet1!$F$9:$F$2584,"N/A",0)</f>
        <v>126.71</v>
      </c>
      <c r="L202">
        <f>_xlfn.XLOOKUP($A202,[1]Sheet1!$H$9:$H$2584,[1]Sheet1!$I$9:$I$2584,"N/A",0)</f>
        <v>95.98</v>
      </c>
      <c r="M202">
        <f>_xlfn.XLOOKUP($A202,[1]Sheet1!$K$9:$K$2584,[1]Sheet1!$L$9:$L$2584,"N/A",0)</f>
        <v>112.95</v>
      </c>
      <c r="N202">
        <f>_xlfn.XLOOKUP($A202,[1]Sheet1!$N$9:$N$2584,[1]Sheet1!$O$9:$O$2584,"N/A",0)</f>
        <v>92.49</v>
      </c>
      <c r="O202">
        <v>99.33</v>
      </c>
      <c r="P202">
        <v>126.71</v>
      </c>
      <c r="Q202">
        <v>95.98</v>
      </c>
      <c r="R202">
        <v>92.49</v>
      </c>
      <c r="S202">
        <v>112.95</v>
      </c>
    </row>
    <row r="203" spans="1:19">
      <c r="A203" s="1">
        <v>42661</v>
      </c>
      <c r="B203" t="s">
        <v>116</v>
      </c>
      <c r="C203" t="s">
        <v>134</v>
      </c>
      <c r="D203">
        <v>15.675</v>
      </c>
      <c r="E203">
        <v>16.625</v>
      </c>
      <c r="F203">
        <v>0.0606060606060605</v>
      </c>
      <c r="G203" t="str">
        <f ca="1" t="shared" si="9"/>
        <v>N/A</v>
      </c>
      <c r="H203" t="str">
        <f ca="1" t="shared" si="10"/>
        <v>N/A</v>
      </c>
      <c r="I203">
        <f ca="1" t="shared" si="11"/>
        <v>0</v>
      </c>
      <c r="J203">
        <f>_xlfn.XLOOKUP($A203,[1]Sheet1!$B$9:$B$2584,[1]Sheet1!$C$9:$C$2584,"N/A",0)</f>
        <v>99.37</v>
      </c>
      <c r="K203">
        <f>_xlfn.XLOOKUP($A203,[1]Sheet1!$E$9:$E$2584,[1]Sheet1!$F$9:$F$2584,"N/A",0)</f>
        <v>126.7</v>
      </c>
      <c r="L203">
        <f>_xlfn.XLOOKUP($A203,[1]Sheet1!$H$9:$H$2584,[1]Sheet1!$I$9:$I$2584,"N/A",0)</f>
        <v>95.92</v>
      </c>
      <c r="M203">
        <f>_xlfn.XLOOKUP($A203,[1]Sheet1!$K$9:$K$2584,[1]Sheet1!$L$9:$L$2584,"N/A",0)</f>
        <v>112.69</v>
      </c>
      <c r="N203">
        <f>_xlfn.XLOOKUP($A203,[1]Sheet1!$N$9:$N$2584,[1]Sheet1!$O$9:$O$2584,"N/A",0)</f>
        <v>92.85</v>
      </c>
      <c r="O203">
        <v>99.37</v>
      </c>
      <c r="P203">
        <v>126.7</v>
      </c>
      <c r="Q203">
        <v>95.92</v>
      </c>
      <c r="R203">
        <v>92.85</v>
      </c>
      <c r="S203">
        <v>112.69</v>
      </c>
    </row>
    <row r="204" spans="1:19">
      <c r="A204" s="1">
        <v>42662</v>
      </c>
      <c r="B204" t="s">
        <v>116</v>
      </c>
      <c r="C204" t="s">
        <v>134</v>
      </c>
      <c r="D204">
        <v>14.56</v>
      </c>
      <c r="E204">
        <v>16.075</v>
      </c>
      <c r="F204" s="2" t="s">
        <v>143</v>
      </c>
      <c r="G204" t="str">
        <f ca="1" t="shared" si="9"/>
        <v>N/A</v>
      </c>
      <c r="H204" t="str">
        <f ca="1" t="shared" si="10"/>
        <v>N/A</v>
      </c>
      <c r="I204">
        <f ca="1" t="shared" si="11"/>
        <v>0</v>
      </c>
      <c r="J204">
        <f>_xlfn.XLOOKUP($A204,[1]Sheet1!$B$9:$B$2584,[1]Sheet1!$C$9:$C$2584,"N/A",0)</f>
        <v>99.55</v>
      </c>
      <c r="K204">
        <f>_xlfn.XLOOKUP($A204,[1]Sheet1!$E$9:$E$2584,[1]Sheet1!$F$9:$F$2584,"N/A",0)</f>
        <v>126.58</v>
      </c>
      <c r="L204">
        <f>_xlfn.XLOOKUP($A204,[1]Sheet1!$H$9:$H$2584,[1]Sheet1!$I$9:$I$2584,"N/A",0)</f>
        <v>95.68</v>
      </c>
      <c r="M204">
        <f>_xlfn.XLOOKUP($A204,[1]Sheet1!$K$9:$K$2584,[1]Sheet1!$L$9:$L$2584,"N/A",0)</f>
        <v>112.53</v>
      </c>
      <c r="N204">
        <f>_xlfn.XLOOKUP($A204,[1]Sheet1!$N$9:$N$2584,[1]Sheet1!$O$9:$O$2584,"N/A",0)</f>
        <v>92.95</v>
      </c>
      <c r="O204">
        <v>99.55</v>
      </c>
      <c r="P204">
        <v>126.58</v>
      </c>
      <c r="Q204">
        <v>95.68</v>
      </c>
      <c r="R204">
        <v>92.95</v>
      </c>
      <c r="S204">
        <v>112.53</v>
      </c>
    </row>
    <row r="205" spans="1:19">
      <c r="A205" s="1">
        <v>42663</v>
      </c>
      <c r="B205" t="s">
        <v>134</v>
      </c>
      <c r="C205" t="s">
        <v>144</v>
      </c>
      <c r="D205">
        <v>15.775</v>
      </c>
      <c r="E205">
        <v>16.675</v>
      </c>
      <c r="F205">
        <v>0.0570522979397781</v>
      </c>
      <c r="G205" t="str">
        <f ca="1" t="shared" si="9"/>
        <v>N/A</v>
      </c>
      <c r="H205" t="str">
        <f ca="1" t="shared" si="10"/>
        <v>N/A</v>
      </c>
      <c r="I205">
        <f ca="1" t="shared" si="11"/>
        <v>0</v>
      </c>
      <c r="J205">
        <f>_xlfn.XLOOKUP($A205,[1]Sheet1!$B$9:$B$2584,[1]Sheet1!$C$9:$C$2584,"N/A",0)</f>
        <v>99.3</v>
      </c>
      <c r="K205">
        <f>_xlfn.XLOOKUP($A205,[1]Sheet1!$E$9:$E$2584,[1]Sheet1!$F$9:$F$2584,"N/A",0)</f>
        <v>126.26</v>
      </c>
      <c r="L205">
        <f>_xlfn.XLOOKUP($A205,[1]Sheet1!$H$9:$H$2584,[1]Sheet1!$I$9:$I$2584,"N/A",0)</f>
        <v>95.76</v>
      </c>
      <c r="M205">
        <f>_xlfn.XLOOKUP($A205,[1]Sheet1!$K$9:$K$2584,[1]Sheet1!$L$9:$L$2584,"N/A",0)</f>
        <v>112.57</v>
      </c>
      <c r="N205">
        <f>_xlfn.XLOOKUP($A205,[1]Sheet1!$N$9:$N$2584,[1]Sheet1!$O$9:$O$2584,"N/A",0)</f>
        <v>93.44</v>
      </c>
      <c r="O205">
        <v>99.3</v>
      </c>
      <c r="P205">
        <v>126.26</v>
      </c>
      <c r="Q205">
        <v>95.76</v>
      </c>
      <c r="R205">
        <v>93.44</v>
      </c>
      <c r="S205">
        <v>112.57</v>
      </c>
    </row>
    <row r="206" spans="1:19">
      <c r="A206" s="1">
        <v>42664</v>
      </c>
      <c r="B206" t="s">
        <v>134</v>
      </c>
      <c r="C206" t="s">
        <v>144</v>
      </c>
      <c r="D206">
        <v>15.575</v>
      </c>
      <c r="E206">
        <v>16.525</v>
      </c>
      <c r="F206" s="2" t="s">
        <v>145</v>
      </c>
      <c r="G206" t="str">
        <f ca="1" t="shared" si="9"/>
        <v>N/A</v>
      </c>
      <c r="H206" t="str">
        <f ca="1" t="shared" si="10"/>
        <v>N/A</v>
      </c>
      <c r="I206">
        <f ca="1" t="shared" si="11"/>
        <v>0</v>
      </c>
      <c r="J206">
        <f>_xlfn.XLOOKUP($A206,[1]Sheet1!$B$9:$B$2584,[1]Sheet1!$C$9:$C$2584,"N/A",0)</f>
        <v>99.18</v>
      </c>
      <c r="K206">
        <f>_xlfn.XLOOKUP($A206,[1]Sheet1!$E$9:$E$2584,[1]Sheet1!$F$9:$F$2584,"N/A",0)</f>
        <v>125.39</v>
      </c>
      <c r="L206">
        <f>_xlfn.XLOOKUP($A206,[1]Sheet1!$H$9:$H$2584,[1]Sheet1!$I$9:$I$2584,"N/A",0)</f>
        <v>95.74</v>
      </c>
      <c r="M206">
        <f>_xlfn.XLOOKUP($A206,[1]Sheet1!$K$9:$K$2584,[1]Sheet1!$L$9:$L$2584,"N/A",0)</f>
        <v>112.48</v>
      </c>
      <c r="N206">
        <f>_xlfn.XLOOKUP($A206,[1]Sheet1!$N$9:$N$2584,[1]Sheet1!$O$9:$O$2584,"N/A",0)</f>
        <v>93.39</v>
      </c>
      <c r="O206">
        <v>99.18</v>
      </c>
      <c r="P206">
        <v>125.39</v>
      </c>
      <c r="Q206">
        <v>95.74</v>
      </c>
      <c r="R206">
        <v>93.39</v>
      </c>
      <c r="S206">
        <v>112.48</v>
      </c>
    </row>
    <row r="207" spans="1:19">
      <c r="A207" s="1">
        <v>42667</v>
      </c>
      <c r="B207" t="s">
        <v>134</v>
      </c>
      <c r="C207" t="s">
        <v>144</v>
      </c>
      <c r="D207">
        <v>14.925</v>
      </c>
      <c r="E207">
        <v>16.075</v>
      </c>
      <c r="F207">
        <v>0.0770519262981573</v>
      </c>
      <c r="G207" t="str">
        <f ca="1" t="shared" si="9"/>
        <v>N/A</v>
      </c>
      <c r="H207" t="str">
        <f ca="1" t="shared" si="10"/>
        <v>N/A</v>
      </c>
      <c r="I207">
        <f ca="1" t="shared" si="11"/>
        <v>0</v>
      </c>
      <c r="J207">
        <f>_xlfn.XLOOKUP($A207,[1]Sheet1!$B$9:$B$2584,[1]Sheet1!$C$9:$C$2584,"N/A",0)</f>
        <v>99.15</v>
      </c>
      <c r="K207">
        <f>_xlfn.XLOOKUP($A207,[1]Sheet1!$E$9:$E$2584,[1]Sheet1!$F$9:$F$2584,"N/A",0)</f>
        <v>125.57</v>
      </c>
      <c r="L207">
        <f>_xlfn.XLOOKUP($A207,[1]Sheet1!$H$9:$H$2584,[1]Sheet1!$I$9:$I$2584,"N/A",0)</f>
        <v>95.83</v>
      </c>
      <c r="M207">
        <f>_xlfn.XLOOKUP($A207,[1]Sheet1!$K$9:$K$2584,[1]Sheet1!$L$9:$L$2584,"N/A",0)</f>
        <v>112.87</v>
      </c>
      <c r="N207">
        <f>_xlfn.XLOOKUP($A207,[1]Sheet1!$N$9:$N$2584,[1]Sheet1!$O$9:$O$2584,"N/A",0)</f>
        <v>93.24</v>
      </c>
      <c r="O207">
        <v>99.15</v>
      </c>
      <c r="P207">
        <v>125.57</v>
      </c>
      <c r="Q207">
        <v>95.83</v>
      </c>
      <c r="R207">
        <v>93.24</v>
      </c>
      <c r="S207">
        <v>112.87</v>
      </c>
    </row>
    <row r="208" spans="1:19">
      <c r="A208" s="1">
        <v>42668</v>
      </c>
      <c r="B208" t="s">
        <v>134</v>
      </c>
      <c r="C208" t="s">
        <v>144</v>
      </c>
      <c r="D208">
        <v>15.225</v>
      </c>
      <c r="E208">
        <v>16.225</v>
      </c>
      <c r="F208">
        <v>0.0656814449917899</v>
      </c>
      <c r="G208" t="str">
        <f ca="1" t="shared" si="9"/>
        <v>N/A</v>
      </c>
      <c r="H208" t="str">
        <f ca="1" t="shared" si="10"/>
        <v>N/A</v>
      </c>
      <c r="I208">
        <f ca="1" t="shared" si="11"/>
        <v>0</v>
      </c>
      <c r="J208">
        <f>_xlfn.XLOOKUP($A208,[1]Sheet1!$B$9:$B$2584,[1]Sheet1!$C$9:$C$2584,"N/A",0)</f>
        <v>98.83</v>
      </c>
      <c r="K208">
        <f>_xlfn.XLOOKUP($A208,[1]Sheet1!$E$9:$E$2584,[1]Sheet1!$F$9:$F$2584,"N/A",0)</f>
        <v>125.04</v>
      </c>
      <c r="L208">
        <f>_xlfn.XLOOKUP($A208,[1]Sheet1!$H$9:$H$2584,[1]Sheet1!$I$9:$I$2584,"N/A",0)</f>
        <v>96.55</v>
      </c>
      <c r="M208">
        <f>_xlfn.XLOOKUP($A208,[1]Sheet1!$K$9:$K$2584,[1]Sheet1!$L$9:$L$2584,"N/A",0)</f>
        <v>112.66</v>
      </c>
      <c r="N208">
        <f>_xlfn.XLOOKUP($A208,[1]Sheet1!$N$9:$N$2584,[1]Sheet1!$O$9:$O$2584,"N/A",0)</f>
        <v>93.49</v>
      </c>
      <c r="O208">
        <v>98.83</v>
      </c>
      <c r="P208">
        <v>125.04</v>
      </c>
      <c r="Q208">
        <v>96.55</v>
      </c>
      <c r="R208">
        <v>93.49</v>
      </c>
      <c r="S208">
        <v>112.66</v>
      </c>
    </row>
    <row r="209" spans="1:19">
      <c r="A209" s="1">
        <v>42669</v>
      </c>
      <c r="B209" t="s">
        <v>134</v>
      </c>
      <c r="C209" t="s">
        <v>144</v>
      </c>
      <c r="D209">
        <v>15.625</v>
      </c>
      <c r="E209">
        <v>16.475</v>
      </c>
      <c r="F209" s="2" t="s">
        <v>146</v>
      </c>
      <c r="G209" t="str">
        <f ca="1" t="shared" si="9"/>
        <v>N/A</v>
      </c>
      <c r="H209" t="str">
        <f ca="1" t="shared" si="10"/>
        <v>N/A</v>
      </c>
      <c r="I209">
        <f ca="1" t="shared" si="11"/>
        <v>0</v>
      </c>
      <c r="J209">
        <f>_xlfn.XLOOKUP($A209,[1]Sheet1!$B$9:$B$2584,[1]Sheet1!$C$9:$C$2584,"N/A",0)</f>
        <v>98.25</v>
      </c>
      <c r="K209">
        <f>_xlfn.XLOOKUP($A209,[1]Sheet1!$E$9:$E$2584,[1]Sheet1!$F$9:$F$2584,"N/A",0)</f>
        <v>123.9</v>
      </c>
      <c r="L209">
        <f>_xlfn.XLOOKUP($A209,[1]Sheet1!$H$9:$H$2584,[1]Sheet1!$I$9:$I$2584,"N/A",0)</f>
        <v>97.55</v>
      </c>
      <c r="M209">
        <f>_xlfn.XLOOKUP($A209,[1]Sheet1!$K$9:$K$2584,[1]Sheet1!$L$9:$L$2584,"N/A",0)</f>
        <v>113.44</v>
      </c>
      <c r="N209">
        <f>_xlfn.XLOOKUP($A209,[1]Sheet1!$N$9:$N$2584,[1]Sheet1!$O$9:$O$2584,"N/A",0)</f>
        <v>94.11</v>
      </c>
      <c r="O209">
        <v>98.25</v>
      </c>
      <c r="P209">
        <v>123.9</v>
      </c>
      <c r="Q209">
        <v>97.55</v>
      </c>
      <c r="R209">
        <v>94.11</v>
      </c>
      <c r="S209">
        <v>113.44</v>
      </c>
    </row>
    <row r="210" spans="1:19">
      <c r="A210" s="1">
        <v>42670</v>
      </c>
      <c r="B210" t="s">
        <v>134</v>
      </c>
      <c r="C210" t="s">
        <v>144</v>
      </c>
      <c r="D210">
        <v>16.075</v>
      </c>
      <c r="E210">
        <v>16.875</v>
      </c>
      <c r="F210">
        <v>0.0497667185069984</v>
      </c>
      <c r="G210" t="str">
        <f ca="1" t="shared" si="9"/>
        <v>N/A</v>
      </c>
      <c r="H210" t="str">
        <f ca="1" t="shared" si="10"/>
        <v>N/A</v>
      </c>
      <c r="I210">
        <f ca="1" t="shared" si="11"/>
        <v>0</v>
      </c>
      <c r="J210">
        <f>_xlfn.XLOOKUP($A210,[1]Sheet1!$B$9:$B$2584,[1]Sheet1!$C$9:$C$2584,"N/A",0)</f>
        <v>98.23</v>
      </c>
      <c r="K210">
        <f>_xlfn.XLOOKUP($A210,[1]Sheet1!$E$9:$E$2584,[1]Sheet1!$F$9:$F$2584,"N/A",0)</f>
        <v>123.34</v>
      </c>
      <c r="L210">
        <f>_xlfn.XLOOKUP($A210,[1]Sheet1!$H$9:$H$2584,[1]Sheet1!$I$9:$I$2584,"N/A",0)</f>
        <v>98.05</v>
      </c>
      <c r="M210">
        <f>_xlfn.XLOOKUP($A210,[1]Sheet1!$K$9:$K$2584,[1]Sheet1!$L$9:$L$2584,"N/A",0)</f>
        <v>113.93</v>
      </c>
      <c r="N210">
        <f>_xlfn.XLOOKUP($A210,[1]Sheet1!$N$9:$N$2584,[1]Sheet1!$O$9:$O$2584,"N/A",0)</f>
        <v>95.23</v>
      </c>
      <c r="O210">
        <v>98.23</v>
      </c>
      <c r="P210">
        <v>123.34</v>
      </c>
      <c r="Q210">
        <v>98.05</v>
      </c>
      <c r="R210">
        <v>95.23</v>
      </c>
      <c r="S210">
        <v>113.93</v>
      </c>
    </row>
    <row r="211" spans="1:19">
      <c r="A211" s="1">
        <v>42671</v>
      </c>
      <c r="B211" t="s">
        <v>134</v>
      </c>
      <c r="C211" t="s">
        <v>144</v>
      </c>
      <c r="D211">
        <v>16.625</v>
      </c>
      <c r="E211">
        <v>17.1</v>
      </c>
      <c r="F211" s="2" t="s">
        <v>147</v>
      </c>
      <c r="G211" t="str">
        <f ca="1" t="shared" si="9"/>
        <v>N/A</v>
      </c>
      <c r="H211" t="str">
        <f ca="1" t="shared" si="10"/>
        <v>N/A</v>
      </c>
      <c r="I211">
        <f ca="1" t="shared" si="11"/>
        <v>0</v>
      </c>
      <c r="J211">
        <f>_xlfn.XLOOKUP($A211,[1]Sheet1!$B$9:$B$2584,[1]Sheet1!$C$9:$C$2584,"N/A",0)</f>
        <v>98.02</v>
      </c>
      <c r="K211">
        <f>_xlfn.XLOOKUP($A211,[1]Sheet1!$E$9:$E$2584,[1]Sheet1!$F$9:$F$2584,"N/A",0)</f>
        <v>123.6</v>
      </c>
      <c r="L211">
        <f>_xlfn.XLOOKUP($A211,[1]Sheet1!$H$9:$H$2584,[1]Sheet1!$I$9:$I$2584,"N/A",0)</f>
        <v>98.2</v>
      </c>
      <c r="M211">
        <f>_xlfn.XLOOKUP($A211,[1]Sheet1!$K$9:$K$2584,[1]Sheet1!$L$9:$L$2584,"N/A",0)</f>
        <v>113.67</v>
      </c>
      <c r="N211">
        <f>_xlfn.XLOOKUP($A211,[1]Sheet1!$N$9:$N$2584,[1]Sheet1!$O$9:$O$2584,"N/A",0)</f>
        <v>95.37</v>
      </c>
      <c r="O211">
        <v>98.02</v>
      </c>
      <c r="P211">
        <v>123.6</v>
      </c>
      <c r="Q211">
        <v>98.2</v>
      </c>
      <c r="R211">
        <v>95.37</v>
      </c>
      <c r="S211">
        <v>113.67</v>
      </c>
    </row>
    <row r="212" spans="1:19">
      <c r="A212" s="1">
        <v>42674</v>
      </c>
      <c r="B212" t="s">
        <v>134</v>
      </c>
      <c r="C212" t="s">
        <v>144</v>
      </c>
      <c r="D212">
        <v>17.225</v>
      </c>
      <c r="E212">
        <v>17.425</v>
      </c>
      <c r="F212" s="2" t="s">
        <v>148</v>
      </c>
      <c r="G212" t="str">
        <f ca="1" t="shared" si="9"/>
        <v>N/A</v>
      </c>
      <c r="H212" t="str">
        <f ca="1" t="shared" si="10"/>
        <v>N/A</v>
      </c>
      <c r="I212">
        <f ca="1" t="shared" si="11"/>
        <v>0</v>
      </c>
      <c r="J212">
        <f>_xlfn.XLOOKUP($A212,[1]Sheet1!$B$9:$B$2584,[1]Sheet1!$C$9:$C$2584,"N/A",0)</f>
        <v>98.2</v>
      </c>
      <c r="K212">
        <f>_xlfn.XLOOKUP($A212,[1]Sheet1!$E$9:$E$2584,[1]Sheet1!$F$9:$F$2584,"N/A",0)</f>
        <v>123.86</v>
      </c>
      <c r="L212">
        <f>_xlfn.XLOOKUP($A212,[1]Sheet1!$H$9:$H$2584,[1]Sheet1!$I$9:$I$2584,"N/A",0)</f>
        <v>98.72</v>
      </c>
      <c r="M212">
        <f>_xlfn.XLOOKUP($A212,[1]Sheet1!$K$9:$K$2584,[1]Sheet1!$L$9:$L$2584,"N/A",0)</f>
        <v>113.75</v>
      </c>
      <c r="N212">
        <f>_xlfn.XLOOKUP($A212,[1]Sheet1!$N$9:$N$2584,[1]Sheet1!$O$9:$O$2584,"N/A",0)</f>
        <v>94.98</v>
      </c>
      <c r="O212">
        <v>98.2</v>
      </c>
      <c r="P212">
        <v>123.86</v>
      </c>
      <c r="Q212">
        <v>98.72</v>
      </c>
      <c r="R212">
        <v>94.98</v>
      </c>
      <c r="S212">
        <v>113.75</v>
      </c>
    </row>
    <row r="213" spans="1:19">
      <c r="A213" s="1">
        <v>42675</v>
      </c>
      <c r="B213" t="s">
        <v>134</v>
      </c>
      <c r="C213" t="s">
        <v>144</v>
      </c>
      <c r="D213">
        <v>17.825</v>
      </c>
      <c r="E213">
        <v>17.875</v>
      </c>
      <c r="F213">
        <v>0.00280504908835908</v>
      </c>
      <c r="G213" t="str">
        <f ca="1" t="shared" si="9"/>
        <v>N/A</v>
      </c>
      <c r="H213" t="str">
        <f ca="1" t="shared" si="10"/>
        <v>N/A</v>
      </c>
      <c r="I213">
        <f ca="1" t="shared" si="11"/>
        <v>0</v>
      </c>
      <c r="J213">
        <f>_xlfn.XLOOKUP($A213,[1]Sheet1!$B$9:$B$2584,[1]Sheet1!$C$9:$C$2584,"N/A",0)</f>
        <v>97.9</v>
      </c>
      <c r="K213">
        <f>_xlfn.XLOOKUP($A213,[1]Sheet1!$E$9:$E$2584,[1]Sheet1!$F$9:$F$2584,"N/A",0)</f>
        <v>123.52</v>
      </c>
      <c r="L213">
        <f>_xlfn.XLOOKUP($A213,[1]Sheet1!$H$9:$H$2584,[1]Sheet1!$I$9:$I$2584,"N/A",0)</f>
        <v>98.59</v>
      </c>
      <c r="M213">
        <f>_xlfn.XLOOKUP($A213,[1]Sheet1!$K$9:$K$2584,[1]Sheet1!$L$9:$L$2584,"N/A",0)</f>
        <v>113.35</v>
      </c>
      <c r="N213">
        <f>_xlfn.XLOOKUP($A213,[1]Sheet1!$N$9:$N$2584,[1]Sheet1!$O$9:$O$2584,"N/A",0)</f>
        <v>95.43</v>
      </c>
      <c r="O213">
        <v>97.9</v>
      </c>
      <c r="P213">
        <v>123.52</v>
      </c>
      <c r="Q213">
        <v>98.59</v>
      </c>
      <c r="R213">
        <v>95.43</v>
      </c>
      <c r="S213">
        <v>113.35</v>
      </c>
    </row>
    <row r="214" spans="1:19">
      <c r="A214" s="1">
        <v>42676</v>
      </c>
      <c r="B214" t="s">
        <v>134</v>
      </c>
      <c r="C214" t="s">
        <v>144</v>
      </c>
      <c r="D214">
        <v>18.525</v>
      </c>
      <c r="E214">
        <v>18.225</v>
      </c>
      <c r="F214">
        <v>-0.0161943319838055</v>
      </c>
      <c r="G214" t="str">
        <f ca="1" t="shared" si="9"/>
        <v>N/A</v>
      </c>
      <c r="H214" t="str">
        <f ca="1" t="shared" si="10"/>
        <v>N/A</v>
      </c>
      <c r="I214">
        <f ca="1" t="shared" si="11"/>
        <v>0</v>
      </c>
      <c r="J214">
        <f>_xlfn.XLOOKUP($A214,[1]Sheet1!$B$9:$B$2584,[1]Sheet1!$C$9:$C$2584,"N/A",0)</f>
        <v>98.08</v>
      </c>
      <c r="K214">
        <f>_xlfn.XLOOKUP($A214,[1]Sheet1!$E$9:$E$2584,[1]Sheet1!$F$9:$F$2584,"N/A",0)</f>
        <v>123.35</v>
      </c>
      <c r="L214">
        <f>_xlfn.XLOOKUP($A214,[1]Sheet1!$H$9:$H$2584,[1]Sheet1!$I$9:$I$2584,"N/A",0)</f>
        <v>98.79</v>
      </c>
      <c r="M214">
        <f>_xlfn.XLOOKUP($A214,[1]Sheet1!$K$9:$K$2584,[1]Sheet1!$L$9:$L$2584,"N/A",0)</f>
        <v>113.63</v>
      </c>
      <c r="N214">
        <f>_xlfn.XLOOKUP($A214,[1]Sheet1!$N$9:$N$2584,[1]Sheet1!$O$9:$O$2584,"N/A",0)</f>
        <v>95.48</v>
      </c>
      <c r="O214">
        <v>98.08</v>
      </c>
      <c r="P214">
        <v>123.35</v>
      </c>
      <c r="Q214">
        <v>98.79</v>
      </c>
      <c r="R214">
        <v>95.48</v>
      </c>
      <c r="S214">
        <v>113.63</v>
      </c>
    </row>
    <row r="215" spans="1:19">
      <c r="A215" s="1">
        <v>42677</v>
      </c>
      <c r="B215" t="s">
        <v>134</v>
      </c>
      <c r="C215" t="s">
        <v>144</v>
      </c>
      <c r="D215">
        <v>19.775</v>
      </c>
      <c r="E215">
        <v>19.025</v>
      </c>
      <c r="F215">
        <v>-0.0379266750948166</v>
      </c>
      <c r="G215" t="str">
        <f ca="1" t="shared" si="9"/>
        <v>N/A</v>
      </c>
      <c r="H215" t="str">
        <f ca="1" t="shared" si="10"/>
        <v>N/A</v>
      </c>
      <c r="I215">
        <f ca="1" t="shared" si="11"/>
        <v>0</v>
      </c>
      <c r="J215">
        <f>_xlfn.XLOOKUP($A215,[1]Sheet1!$B$9:$B$2584,[1]Sheet1!$C$9:$C$2584,"N/A",0)</f>
        <v>98.13</v>
      </c>
      <c r="K215">
        <f>_xlfn.XLOOKUP($A215,[1]Sheet1!$E$9:$E$2584,[1]Sheet1!$F$9:$F$2584,"N/A",0)</f>
        <v>124.1</v>
      </c>
      <c r="L215">
        <f>_xlfn.XLOOKUP($A215,[1]Sheet1!$H$9:$H$2584,[1]Sheet1!$I$9:$I$2584,"N/A",0)</f>
        <v>98.24</v>
      </c>
      <c r="M215">
        <f>_xlfn.XLOOKUP($A215,[1]Sheet1!$K$9:$K$2584,[1]Sheet1!$L$9:$L$2584,"N/A",0)</f>
        <v>113.88</v>
      </c>
      <c r="N215">
        <f>_xlfn.XLOOKUP($A215,[1]Sheet1!$N$9:$N$2584,[1]Sheet1!$O$9:$O$2584,"N/A",0)</f>
        <v>95.94</v>
      </c>
      <c r="O215">
        <v>98.13</v>
      </c>
      <c r="P215">
        <v>124.1</v>
      </c>
      <c r="Q215">
        <v>98.24</v>
      </c>
      <c r="R215">
        <v>95.94</v>
      </c>
      <c r="S215">
        <v>113.88</v>
      </c>
    </row>
    <row r="216" spans="1:19">
      <c r="A216" s="1">
        <v>42678</v>
      </c>
      <c r="B216" t="s">
        <v>134</v>
      </c>
      <c r="C216" t="s">
        <v>144</v>
      </c>
      <c r="D216">
        <v>19.325</v>
      </c>
      <c r="E216">
        <v>18.975</v>
      </c>
      <c r="F216">
        <v>-0.0181112548512288</v>
      </c>
      <c r="G216" t="str">
        <f ca="1" t="shared" si="9"/>
        <v>N/A</v>
      </c>
      <c r="H216" t="str">
        <f ca="1" t="shared" si="10"/>
        <v>N/A</v>
      </c>
      <c r="I216">
        <f ca="1" t="shared" si="11"/>
        <v>0</v>
      </c>
      <c r="J216">
        <f>_xlfn.XLOOKUP($A216,[1]Sheet1!$B$9:$B$2584,[1]Sheet1!$C$9:$C$2584,"N/A",0)</f>
        <v>98.06</v>
      </c>
      <c r="K216">
        <f>_xlfn.XLOOKUP($A216,[1]Sheet1!$E$9:$E$2584,[1]Sheet1!$F$9:$F$2584,"N/A",0)</f>
        <v>123.99</v>
      </c>
      <c r="L216">
        <f>_xlfn.XLOOKUP($A216,[1]Sheet1!$H$9:$H$2584,[1]Sheet1!$I$9:$I$2584,"N/A",0)</f>
        <v>98.15</v>
      </c>
      <c r="M216">
        <f>_xlfn.XLOOKUP($A216,[1]Sheet1!$K$9:$K$2584,[1]Sheet1!$L$9:$L$2584,"N/A",0)</f>
        <v>114.55</v>
      </c>
      <c r="N216">
        <f>_xlfn.XLOOKUP($A216,[1]Sheet1!$N$9:$N$2584,[1]Sheet1!$O$9:$O$2584,"N/A",0)</f>
        <v>95.28</v>
      </c>
      <c r="O216">
        <v>98.06</v>
      </c>
      <c r="P216">
        <v>123.99</v>
      </c>
      <c r="Q216">
        <v>98.15</v>
      </c>
      <c r="R216">
        <v>95.28</v>
      </c>
      <c r="S216">
        <v>114.55</v>
      </c>
    </row>
    <row r="217" spans="1:19">
      <c r="A217" s="1">
        <v>42681</v>
      </c>
      <c r="B217" t="s">
        <v>134</v>
      </c>
      <c r="C217" t="s">
        <v>144</v>
      </c>
      <c r="D217">
        <v>16.025</v>
      </c>
      <c r="E217">
        <v>16.575</v>
      </c>
      <c r="F217" s="2" t="s">
        <v>149</v>
      </c>
      <c r="G217" t="str">
        <f ca="1" t="shared" si="9"/>
        <v>N/A</v>
      </c>
      <c r="H217" t="str">
        <f ca="1" t="shared" si="10"/>
        <v>N/A</v>
      </c>
      <c r="I217">
        <f ca="1" t="shared" si="11"/>
        <v>0</v>
      </c>
      <c r="J217">
        <f>_xlfn.XLOOKUP($A217,[1]Sheet1!$B$9:$B$2584,[1]Sheet1!$C$9:$C$2584,"N/A",0)</f>
        <v>97.98</v>
      </c>
      <c r="K217">
        <f>_xlfn.XLOOKUP($A217,[1]Sheet1!$E$9:$E$2584,[1]Sheet1!$F$9:$F$2584,"N/A",0)</f>
        <v>123.95</v>
      </c>
      <c r="L217">
        <f>_xlfn.XLOOKUP($A217,[1]Sheet1!$H$9:$H$2584,[1]Sheet1!$I$9:$I$2584,"N/A",0)</f>
        <v>98.15</v>
      </c>
      <c r="M217">
        <f>_xlfn.XLOOKUP($A217,[1]Sheet1!$K$9:$K$2584,[1]Sheet1!$L$9:$L$2584,"N/A",0)</f>
        <v>114.81</v>
      </c>
      <c r="N217">
        <f>_xlfn.XLOOKUP($A217,[1]Sheet1!$N$9:$N$2584,[1]Sheet1!$O$9:$O$2584,"N/A",0)</f>
        <v>95.52</v>
      </c>
      <c r="O217">
        <v>97.98</v>
      </c>
      <c r="P217">
        <v>123.95</v>
      </c>
      <c r="Q217">
        <v>98.15</v>
      </c>
      <c r="R217">
        <v>95.52</v>
      </c>
      <c r="S217">
        <v>114.81</v>
      </c>
    </row>
    <row r="218" spans="1:19">
      <c r="A218" s="1">
        <v>42682</v>
      </c>
      <c r="B218" t="s">
        <v>134</v>
      </c>
      <c r="C218" t="s">
        <v>144</v>
      </c>
      <c r="D218">
        <v>15.975</v>
      </c>
      <c r="E218">
        <v>16.575</v>
      </c>
      <c r="F218">
        <v>0.0375586854460093</v>
      </c>
      <c r="G218" t="str">
        <f ca="1" t="shared" si="9"/>
        <v>N/A</v>
      </c>
      <c r="H218" t="str">
        <f ca="1" t="shared" si="10"/>
        <v>N/A</v>
      </c>
      <c r="I218">
        <f ca="1" t="shared" si="11"/>
        <v>0</v>
      </c>
      <c r="J218">
        <f>_xlfn.XLOOKUP($A218,[1]Sheet1!$B$9:$B$2584,[1]Sheet1!$C$9:$C$2584,"N/A",0)</f>
        <v>98.07</v>
      </c>
      <c r="K218">
        <f>_xlfn.XLOOKUP($A218,[1]Sheet1!$E$9:$E$2584,[1]Sheet1!$F$9:$F$2584,"N/A",0)</f>
        <v>124.99</v>
      </c>
      <c r="L218">
        <f>_xlfn.XLOOKUP($A218,[1]Sheet1!$H$9:$H$2584,[1]Sheet1!$I$9:$I$2584,"N/A",0)</f>
        <v>98.37</v>
      </c>
      <c r="M218">
        <f>_xlfn.XLOOKUP($A218,[1]Sheet1!$K$9:$K$2584,[1]Sheet1!$L$9:$L$2584,"N/A",0)</f>
        <v>114.54</v>
      </c>
      <c r="N218">
        <f>_xlfn.XLOOKUP($A218,[1]Sheet1!$N$9:$N$2584,[1]Sheet1!$O$9:$O$2584,"N/A",0)</f>
        <v>95.39</v>
      </c>
      <c r="O218">
        <v>98.07</v>
      </c>
      <c r="P218">
        <v>124.99</v>
      </c>
      <c r="Q218">
        <v>98.37</v>
      </c>
      <c r="R218">
        <v>95.39</v>
      </c>
      <c r="S218">
        <v>114.54</v>
      </c>
    </row>
    <row r="219" spans="1:19">
      <c r="A219" s="1">
        <v>42683</v>
      </c>
      <c r="B219" t="s">
        <v>134</v>
      </c>
      <c r="C219" t="s">
        <v>144</v>
      </c>
      <c r="D219">
        <v>14.875</v>
      </c>
      <c r="E219">
        <v>15.725</v>
      </c>
      <c r="F219">
        <v>0.0571428571428571</v>
      </c>
      <c r="G219" t="str">
        <f ca="1" t="shared" si="9"/>
        <v>N/A</v>
      </c>
      <c r="H219" t="str">
        <f ca="1" t="shared" si="10"/>
        <v>N/A</v>
      </c>
      <c r="I219">
        <f ca="1" t="shared" si="11"/>
        <v>0</v>
      </c>
      <c r="J219">
        <f>_xlfn.XLOOKUP($A219,[1]Sheet1!$B$9:$B$2584,[1]Sheet1!$C$9:$C$2584,"N/A",0)</f>
        <v>97.04</v>
      </c>
      <c r="K219">
        <f>_xlfn.XLOOKUP($A219,[1]Sheet1!$E$9:$E$2584,[1]Sheet1!$F$9:$F$2584,"N/A",0)</f>
        <v>123.63</v>
      </c>
      <c r="L219">
        <f>_xlfn.XLOOKUP($A219,[1]Sheet1!$H$9:$H$2584,[1]Sheet1!$I$9:$I$2584,"N/A",0)</f>
        <v>99.1</v>
      </c>
      <c r="M219">
        <f>_xlfn.XLOOKUP($A219,[1]Sheet1!$K$9:$K$2584,[1]Sheet1!$L$9:$L$2584,"N/A",0)</f>
        <v>115.01</v>
      </c>
      <c r="N219">
        <f>_xlfn.XLOOKUP($A219,[1]Sheet1!$N$9:$N$2584,[1]Sheet1!$O$9:$O$2584,"N/A",0)</f>
        <v>94.68</v>
      </c>
      <c r="O219">
        <v>97.04</v>
      </c>
      <c r="P219">
        <v>123.63</v>
      </c>
      <c r="Q219">
        <v>99.1</v>
      </c>
      <c r="R219">
        <v>94.68</v>
      </c>
      <c r="S219">
        <v>115.01</v>
      </c>
    </row>
    <row r="220" spans="1:19">
      <c r="A220" s="1">
        <v>42684</v>
      </c>
      <c r="B220" t="s">
        <v>134</v>
      </c>
      <c r="C220" t="s">
        <v>144</v>
      </c>
      <c r="D220">
        <v>15.325</v>
      </c>
      <c r="E220">
        <v>16.275</v>
      </c>
      <c r="F220">
        <v>0.0619902120717781</v>
      </c>
      <c r="G220" t="str">
        <f ca="1" t="shared" si="9"/>
        <v>N/A</v>
      </c>
      <c r="H220" t="str">
        <f ca="1" t="shared" si="10"/>
        <v>N/A</v>
      </c>
      <c r="I220">
        <f ca="1" t="shared" si="11"/>
        <v>0</v>
      </c>
      <c r="J220">
        <f>_xlfn.XLOOKUP($A220,[1]Sheet1!$B$9:$B$2584,[1]Sheet1!$C$9:$C$2584,"N/A",0)</f>
        <v>96.48</v>
      </c>
      <c r="K220">
        <f>_xlfn.XLOOKUP($A220,[1]Sheet1!$E$9:$E$2584,[1]Sheet1!$F$9:$F$2584,"N/A",0)</f>
        <v>120.97</v>
      </c>
      <c r="L220">
        <f>_xlfn.XLOOKUP($A220,[1]Sheet1!$H$9:$H$2584,[1]Sheet1!$I$9:$I$2584,"N/A",0)</f>
        <v>99.86</v>
      </c>
      <c r="M220">
        <f>_xlfn.XLOOKUP($A220,[1]Sheet1!$K$9:$K$2584,[1]Sheet1!$L$9:$L$2584,"N/A",0)</f>
        <v>116.54</v>
      </c>
      <c r="N220">
        <f>_xlfn.XLOOKUP($A220,[1]Sheet1!$N$9:$N$2584,[1]Sheet1!$O$9:$O$2584,"N/A",0)</f>
        <v>94.3</v>
      </c>
      <c r="O220">
        <v>96.48</v>
      </c>
      <c r="P220">
        <v>120.97</v>
      </c>
      <c r="Q220">
        <v>99.86</v>
      </c>
      <c r="R220">
        <v>94.3</v>
      </c>
      <c r="S220">
        <v>116.54</v>
      </c>
    </row>
    <row r="221" spans="1:19">
      <c r="A221" s="1">
        <v>42685</v>
      </c>
      <c r="B221" t="s">
        <v>134</v>
      </c>
      <c r="C221" t="s">
        <v>144</v>
      </c>
      <c r="D221">
        <v>14.925</v>
      </c>
      <c r="E221">
        <v>16.125</v>
      </c>
      <c r="F221">
        <v>0.0804020100502512</v>
      </c>
      <c r="G221" t="str">
        <f ca="1" t="shared" si="9"/>
        <v>N/A</v>
      </c>
      <c r="H221" t="str">
        <f ca="1" t="shared" si="10"/>
        <v>N/A</v>
      </c>
      <c r="I221">
        <f ca="1" t="shared" si="11"/>
        <v>0</v>
      </c>
      <c r="J221">
        <f>_xlfn.XLOOKUP($A221,[1]Sheet1!$B$9:$B$2584,[1]Sheet1!$C$9:$C$2584,"N/A",0)</f>
        <v>95.79</v>
      </c>
      <c r="K221">
        <f>_xlfn.XLOOKUP($A221,[1]Sheet1!$E$9:$E$2584,[1]Sheet1!$F$9:$F$2584,"N/A",0)</f>
        <v>119.85</v>
      </c>
      <c r="L221">
        <f>_xlfn.XLOOKUP($A221,[1]Sheet1!$H$9:$H$2584,[1]Sheet1!$I$9:$I$2584,"N/A",0)</f>
        <v>100.1</v>
      </c>
      <c r="M221">
        <f>_xlfn.XLOOKUP($A221,[1]Sheet1!$K$9:$K$2584,[1]Sheet1!$L$9:$L$2584,"N/A",0)</f>
        <v>117.4</v>
      </c>
      <c r="N221">
        <f>_xlfn.XLOOKUP($A221,[1]Sheet1!$N$9:$N$2584,[1]Sheet1!$O$9:$O$2584,"N/A",0)</f>
        <v>92.51</v>
      </c>
      <c r="O221">
        <v>95.79</v>
      </c>
      <c r="P221">
        <v>119.85</v>
      </c>
      <c r="Q221">
        <v>100.1</v>
      </c>
      <c r="R221">
        <v>92.51</v>
      </c>
      <c r="S221">
        <v>117.4</v>
      </c>
    </row>
    <row r="222" spans="1:19">
      <c r="A222" s="1">
        <v>42688</v>
      </c>
      <c r="B222" t="s">
        <v>134</v>
      </c>
      <c r="C222" t="s">
        <v>144</v>
      </c>
      <c r="D222">
        <v>14.475</v>
      </c>
      <c r="E222">
        <v>15.975</v>
      </c>
      <c r="F222" s="2" t="s">
        <v>150</v>
      </c>
      <c r="G222" t="str">
        <f ca="1" t="shared" si="9"/>
        <v>N/A</v>
      </c>
      <c r="H222" t="str">
        <f ca="1" t="shared" si="10"/>
        <v>N/A</v>
      </c>
      <c r="I222">
        <f ca="1" t="shared" si="11"/>
        <v>0</v>
      </c>
      <c r="J222">
        <f>_xlfn.XLOOKUP($A222,[1]Sheet1!$B$9:$B$2584,[1]Sheet1!$C$9:$C$2584,"N/A",0)</f>
        <v>96.06</v>
      </c>
      <c r="K222">
        <f>_xlfn.XLOOKUP($A222,[1]Sheet1!$E$9:$E$2584,[1]Sheet1!$F$9:$F$2584,"N/A",0)</f>
        <v>118.12</v>
      </c>
      <c r="L222">
        <f>_xlfn.XLOOKUP($A222,[1]Sheet1!$H$9:$H$2584,[1]Sheet1!$I$9:$I$2584,"N/A",0)</f>
        <v>101.08</v>
      </c>
      <c r="M222">
        <f>_xlfn.XLOOKUP($A222,[1]Sheet1!$K$9:$K$2584,[1]Sheet1!$L$9:$L$2584,"N/A",0)</f>
        <v>117.16</v>
      </c>
      <c r="N222">
        <f>_xlfn.XLOOKUP($A222,[1]Sheet1!$N$9:$N$2584,[1]Sheet1!$O$9:$O$2584,"N/A",0)</f>
        <v>91.89</v>
      </c>
      <c r="O222">
        <v>96.06</v>
      </c>
      <c r="P222">
        <v>118.12</v>
      </c>
      <c r="Q222">
        <v>101.08</v>
      </c>
      <c r="R222">
        <v>91.89</v>
      </c>
      <c r="S222">
        <v>117.16</v>
      </c>
    </row>
    <row r="223" spans="1:19">
      <c r="A223" s="1">
        <v>42689</v>
      </c>
      <c r="B223" t="s">
        <v>134</v>
      </c>
      <c r="C223" t="s">
        <v>144</v>
      </c>
      <c r="D223">
        <v>13.2</v>
      </c>
      <c r="E223">
        <v>15.275</v>
      </c>
      <c r="F223" s="2" t="s">
        <v>151</v>
      </c>
      <c r="G223" t="str">
        <f ca="1" t="shared" si="9"/>
        <v>N/A</v>
      </c>
      <c r="H223" t="str">
        <f ca="1" t="shared" si="10"/>
        <v>N/A</v>
      </c>
      <c r="I223">
        <f ca="1" t="shared" si="11"/>
        <v>0</v>
      </c>
      <c r="J223">
        <f>_xlfn.XLOOKUP($A223,[1]Sheet1!$B$9:$B$2584,[1]Sheet1!$C$9:$C$2584,"N/A",0)</f>
        <v>96.21</v>
      </c>
      <c r="K223">
        <f>_xlfn.XLOOKUP($A223,[1]Sheet1!$E$9:$E$2584,[1]Sheet1!$F$9:$F$2584,"N/A",0)</f>
        <v>119.27</v>
      </c>
      <c r="L223">
        <f>_xlfn.XLOOKUP($A223,[1]Sheet1!$H$9:$H$2584,[1]Sheet1!$I$9:$I$2584,"N/A",0)</f>
        <v>100.72</v>
      </c>
      <c r="M223">
        <f>_xlfn.XLOOKUP($A223,[1]Sheet1!$K$9:$K$2584,[1]Sheet1!$L$9:$L$2584,"N/A",0)</f>
        <v>116.75</v>
      </c>
      <c r="N223">
        <f>_xlfn.XLOOKUP($A223,[1]Sheet1!$N$9:$N$2584,[1]Sheet1!$O$9:$O$2584,"N/A",0)</f>
        <v>92.22</v>
      </c>
      <c r="O223">
        <v>96.21</v>
      </c>
      <c r="P223">
        <v>119.27</v>
      </c>
      <c r="Q223">
        <v>100.72</v>
      </c>
      <c r="R223">
        <v>92.22</v>
      </c>
      <c r="S223">
        <v>116.75</v>
      </c>
    </row>
    <row r="224" spans="1:19">
      <c r="A224" s="1">
        <v>42690</v>
      </c>
      <c r="B224" t="s">
        <v>134</v>
      </c>
      <c r="C224" t="s">
        <v>144</v>
      </c>
      <c r="D224">
        <v>14.76</v>
      </c>
      <c r="E224">
        <v>15.575</v>
      </c>
      <c r="F224">
        <v>0.0552168021680216</v>
      </c>
      <c r="G224" t="str">
        <f ca="1" t="shared" si="9"/>
        <v>N/A</v>
      </c>
      <c r="H224" t="str">
        <f ca="1" t="shared" si="10"/>
        <v>N/A</v>
      </c>
      <c r="I224">
        <f ca="1" t="shared" si="11"/>
        <v>0</v>
      </c>
      <c r="J224">
        <f>_xlfn.XLOOKUP($A224,[1]Sheet1!$B$9:$B$2584,[1]Sheet1!$C$9:$C$2584,"N/A",0)</f>
        <v>96.04</v>
      </c>
      <c r="K224">
        <f>_xlfn.XLOOKUP($A224,[1]Sheet1!$E$9:$E$2584,[1]Sheet1!$F$9:$F$2584,"N/A",0)</f>
        <v>120.01</v>
      </c>
      <c r="L224">
        <f>_xlfn.XLOOKUP($A224,[1]Sheet1!$H$9:$H$2584,[1]Sheet1!$I$9:$I$2584,"N/A",0)</f>
        <v>100.56</v>
      </c>
      <c r="M224">
        <f>_xlfn.XLOOKUP($A224,[1]Sheet1!$K$9:$K$2584,[1]Sheet1!$L$9:$L$2584,"N/A",0)</f>
        <v>116.94</v>
      </c>
      <c r="N224">
        <f>_xlfn.XLOOKUP($A224,[1]Sheet1!$N$9:$N$2584,[1]Sheet1!$O$9:$O$2584,"N/A",0)</f>
        <v>92.01</v>
      </c>
      <c r="O224">
        <v>96.04</v>
      </c>
      <c r="P224">
        <v>120.01</v>
      </c>
      <c r="Q224">
        <v>100.56</v>
      </c>
      <c r="R224">
        <v>92.01</v>
      </c>
      <c r="S224">
        <v>116.94</v>
      </c>
    </row>
    <row r="225" spans="1:19">
      <c r="A225" s="1">
        <v>42691</v>
      </c>
      <c r="B225" t="s">
        <v>144</v>
      </c>
      <c r="C225" t="s">
        <v>152</v>
      </c>
      <c r="D225">
        <v>15.025</v>
      </c>
      <c r="E225">
        <v>16.675</v>
      </c>
      <c r="F225" s="2" t="s">
        <v>153</v>
      </c>
      <c r="G225" t="str">
        <f ca="1" t="shared" si="9"/>
        <v>N/A</v>
      </c>
      <c r="H225" t="str">
        <f ca="1" t="shared" si="10"/>
        <v>N/A</v>
      </c>
      <c r="I225">
        <f ca="1" t="shared" si="11"/>
        <v>0</v>
      </c>
      <c r="J225">
        <f>_xlfn.XLOOKUP($A225,[1]Sheet1!$B$9:$B$2584,[1]Sheet1!$C$9:$C$2584,"N/A",0)</f>
        <v>95.78</v>
      </c>
      <c r="K225">
        <f>_xlfn.XLOOKUP($A225,[1]Sheet1!$E$9:$E$2584,[1]Sheet1!$F$9:$F$2584,"N/A",0)</f>
        <v>119.51</v>
      </c>
      <c r="L225">
        <f>_xlfn.XLOOKUP($A225,[1]Sheet1!$H$9:$H$2584,[1]Sheet1!$I$9:$I$2584,"N/A",0)</f>
        <v>100.69</v>
      </c>
      <c r="M225">
        <f>_xlfn.XLOOKUP($A225,[1]Sheet1!$K$9:$K$2584,[1]Sheet1!$L$9:$L$2584,"N/A",0)</f>
        <v>117.66</v>
      </c>
      <c r="N225">
        <f>_xlfn.XLOOKUP($A225,[1]Sheet1!$N$9:$N$2584,[1]Sheet1!$O$9:$O$2584,"N/A",0)</f>
        <v>92.15</v>
      </c>
      <c r="O225">
        <v>95.78</v>
      </c>
      <c r="P225">
        <v>119.51</v>
      </c>
      <c r="Q225">
        <v>100.69</v>
      </c>
      <c r="R225">
        <v>92.15</v>
      </c>
      <c r="S225">
        <v>117.66</v>
      </c>
    </row>
    <row r="226" spans="1:19">
      <c r="A226" s="1">
        <v>42692</v>
      </c>
      <c r="B226" t="s">
        <v>144</v>
      </c>
      <c r="C226" t="s">
        <v>152</v>
      </c>
      <c r="D226">
        <v>14.975</v>
      </c>
      <c r="E226">
        <v>16.675</v>
      </c>
      <c r="F226" s="2" t="s">
        <v>154</v>
      </c>
      <c r="G226" t="str">
        <f ca="1" t="shared" si="9"/>
        <v>N/A</v>
      </c>
      <c r="H226" t="str">
        <f ca="1" t="shared" si="10"/>
        <v>N/A</v>
      </c>
      <c r="I226">
        <f ca="1" t="shared" si="11"/>
        <v>0</v>
      </c>
      <c r="J226">
        <f>_xlfn.XLOOKUP($A226,[1]Sheet1!$B$9:$B$2584,[1]Sheet1!$C$9:$C$2584,"N/A",0)</f>
        <v>95.65</v>
      </c>
      <c r="K226">
        <f>_xlfn.XLOOKUP($A226,[1]Sheet1!$E$9:$E$2584,[1]Sheet1!$F$9:$F$2584,"N/A",0)</f>
        <v>119.62</v>
      </c>
      <c r="L226">
        <f>_xlfn.XLOOKUP($A226,[1]Sheet1!$H$9:$H$2584,[1]Sheet1!$I$9:$I$2584,"N/A",0)</f>
        <v>100.9</v>
      </c>
      <c r="M226">
        <f>_xlfn.XLOOKUP($A226,[1]Sheet1!$K$9:$K$2584,[1]Sheet1!$L$9:$L$2584,"N/A",0)</f>
        <v>117.2</v>
      </c>
      <c r="N226">
        <f>_xlfn.XLOOKUP($A226,[1]Sheet1!$N$9:$N$2584,[1]Sheet1!$O$9:$O$2584,"N/A",0)</f>
        <v>91.96</v>
      </c>
      <c r="O226">
        <v>95.65</v>
      </c>
      <c r="P226">
        <v>119.62</v>
      </c>
      <c r="Q226">
        <v>100.9</v>
      </c>
      <c r="R226">
        <v>91.96</v>
      </c>
      <c r="S226">
        <v>117.2</v>
      </c>
    </row>
    <row r="227" spans="1:19">
      <c r="A227" s="1">
        <v>42695</v>
      </c>
      <c r="B227" t="s">
        <v>144</v>
      </c>
      <c r="C227" t="s">
        <v>152</v>
      </c>
      <c r="D227">
        <v>14.475</v>
      </c>
      <c r="E227">
        <v>16.275</v>
      </c>
      <c r="F227" s="2" t="s">
        <v>155</v>
      </c>
      <c r="G227" t="str">
        <f ca="1" t="shared" si="9"/>
        <v>N/A</v>
      </c>
      <c r="H227" t="str">
        <f ca="1" t="shared" si="10"/>
        <v>N/A</v>
      </c>
      <c r="I227">
        <f ca="1" t="shared" si="11"/>
        <v>0</v>
      </c>
      <c r="J227">
        <f>_xlfn.XLOOKUP($A227,[1]Sheet1!$B$9:$B$2584,[1]Sheet1!$C$9:$C$2584,"N/A",0)</f>
        <v>95.64</v>
      </c>
      <c r="K227">
        <f>_xlfn.XLOOKUP($A227,[1]Sheet1!$E$9:$E$2584,[1]Sheet1!$F$9:$F$2584,"N/A",0)</f>
        <v>120.1</v>
      </c>
      <c r="L227">
        <f>_xlfn.XLOOKUP($A227,[1]Sheet1!$H$9:$H$2584,[1]Sheet1!$I$9:$I$2584,"N/A",0)</f>
        <v>100.92</v>
      </c>
      <c r="M227">
        <f>_xlfn.XLOOKUP($A227,[1]Sheet1!$K$9:$K$2584,[1]Sheet1!$L$9:$L$2584,"N/A",0)</f>
        <v>117.16</v>
      </c>
      <c r="N227">
        <f>_xlfn.XLOOKUP($A227,[1]Sheet1!$N$9:$N$2584,[1]Sheet1!$O$9:$O$2584,"N/A",0)</f>
        <v>92.12</v>
      </c>
      <c r="O227">
        <v>95.64</v>
      </c>
      <c r="P227">
        <v>120.1</v>
      </c>
      <c r="Q227">
        <v>100.92</v>
      </c>
      <c r="R227">
        <v>92.12</v>
      </c>
      <c r="S227">
        <v>117.16</v>
      </c>
    </row>
    <row r="228" spans="1:19">
      <c r="A228" s="1">
        <v>42696</v>
      </c>
      <c r="B228" t="s">
        <v>144</v>
      </c>
      <c r="C228" t="s">
        <v>152</v>
      </c>
      <c r="D228">
        <v>14.425</v>
      </c>
      <c r="E228">
        <v>16.275</v>
      </c>
      <c r="F228" s="2" t="s">
        <v>156</v>
      </c>
      <c r="G228" t="str">
        <f ca="1" t="shared" si="9"/>
        <v>N/A</v>
      </c>
      <c r="H228" t="str">
        <f ca="1" t="shared" si="10"/>
        <v>N/A</v>
      </c>
      <c r="I228">
        <f ca="1" t="shared" si="11"/>
        <v>0</v>
      </c>
      <c r="J228">
        <f>_xlfn.XLOOKUP($A228,[1]Sheet1!$B$9:$B$2584,[1]Sheet1!$C$9:$C$2584,"N/A",0)</f>
        <v>95.31</v>
      </c>
      <c r="K228">
        <f>_xlfn.XLOOKUP($A228,[1]Sheet1!$E$9:$E$2584,[1]Sheet1!$F$9:$F$2584,"N/A",0)</f>
        <v>120.81</v>
      </c>
      <c r="L228">
        <f>_xlfn.XLOOKUP($A228,[1]Sheet1!$H$9:$H$2584,[1]Sheet1!$I$9:$I$2584,"N/A",0)</f>
        <v>100.89</v>
      </c>
      <c r="M228">
        <f>_xlfn.XLOOKUP($A228,[1]Sheet1!$K$9:$K$2584,[1]Sheet1!$L$9:$L$2584,"N/A",0)</f>
        <v>117.54</v>
      </c>
      <c r="N228">
        <f>_xlfn.XLOOKUP($A228,[1]Sheet1!$N$9:$N$2584,[1]Sheet1!$O$9:$O$2584,"N/A",0)</f>
        <v>91.48</v>
      </c>
      <c r="O228">
        <v>95.31</v>
      </c>
      <c r="P228">
        <v>120.81</v>
      </c>
      <c r="Q228">
        <v>100.89</v>
      </c>
      <c r="R228">
        <v>91.48</v>
      </c>
      <c r="S228">
        <v>117.54</v>
      </c>
    </row>
    <row r="229" spans="1:19">
      <c r="A229" s="1">
        <v>42697</v>
      </c>
      <c r="B229" t="s">
        <v>144</v>
      </c>
      <c r="C229" t="s">
        <v>152</v>
      </c>
      <c r="D229">
        <v>14.425</v>
      </c>
      <c r="E229">
        <v>16.375</v>
      </c>
      <c r="F229" s="2" t="s">
        <v>157</v>
      </c>
      <c r="G229" t="str">
        <f ca="1" t="shared" si="9"/>
        <v>N/A</v>
      </c>
      <c r="H229" t="str">
        <f ca="1" t="shared" si="10"/>
        <v>N/A</v>
      </c>
      <c r="I229">
        <f ca="1" t="shared" si="11"/>
        <v>0</v>
      </c>
      <c r="J229">
        <f>_xlfn.XLOOKUP($A229,[1]Sheet1!$B$9:$B$2584,[1]Sheet1!$C$9:$C$2584,"N/A",0)</f>
        <v>95.05</v>
      </c>
      <c r="K229">
        <f>_xlfn.XLOOKUP($A229,[1]Sheet1!$E$9:$E$2584,[1]Sheet1!$F$9:$F$2584,"N/A",0)</f>
        <v>120.62</v>
      </c>
      <c r="L229">
        <f>_xlfn.XLOOKUP($A229,[1]Sheet1!$H$9:$H$2584,[1]Sheet1!$I$9:$I$2584,"N/A",0)</f>
        <v>100.65</v>
      </c>
      <c r="M229">
        <f>_xlfn.XLOOKUP($A229,[1]Sheet1!$K$9:$K$2584,[1]Sheet1!$L$9:$L$2584,"N/A",0)</f>
        <v>117.75</v>
      </c>
      <c r="N229">
        <f>_xlfn.XLOOKUP($A229,[1]Sheet1!$N$9:$N$2584,[1]Sheet1!$O$9:$O$2584,"N/A",0)</f>
        <v>91.45</v>
      </c>
      <c r="O229">
        <v>95.05</v>
      </c>
      <c r="P229">
        <v>120.62</v>
      </c>
      <c r="Q229">
        <v>100.65</v>
      </c>
      <c r="R229">
        <v>91.45</v>
      </c>
      <c r="S229">
        <v>117.75</v>
      </c>
    </row>
    <row r="230" spans="1:19">
      <c r="A230" s="1">
        <v>42699</v>
      </c>
      <c r="B230" t="s">
        <v>144</v>
      </c>
      <c r="C230" t="s">
        <v>152</v>
      </c>
      <c r="D230">
        <v>14.325</v>
      </c>
      <c r="E230">
        <v>16.175</v>
      </c>
      <c r="F230" s="2" t="s">
        <v>158</v>
      </c>
      <c r="G230" t="str">
        <f ca="1" t="shared" si="9"/>
        <v>N/A</v>
      </c>
      <c r="H230" t="str">
        <f ca="1" t="shared" si="10"/>
        <v>N/A</v>
      </c>
      <c r="I230">
        <f ca="1" t="shared" si="11"/>
        <v>0</v>
      </c>
      <c r="J230">
        <f>_xlfn.XLOOKUP($A230,[1]Sheet1!$B$9:$B$2584,[1]Sheet1!$C$9:$C$2584,"N/A",0)</f>
        <v>95.16</v>
      </c>
      <c r="K230">
        <f>_xlfn.XLOOKUP($A230,[1]Sheet1!$E$9:$E$2584,[1]Sheet1!$F$9:$F$2584,"N/A",0)</f>
        <v>120.41</v>
      </c>
      <c r="L230">
        <f>_xlfn.XLOOKUP($A230,[1]Sheet1!$H$9:$H$2584,[1]Sheet1!$I$9:$I$2584,"N/A",0)</f>
        <v>100.7</v>
      </c>
      <c r="M230">
        <f>_xlfn.XLOOKUP($A230,[1]Sheet1!$K$9:$K$2584,[1]Sheet1!$L$9:$L$2584,"N/A",0)</f>
        <v>117.86</v>
      </c>
      <c r="N230">
        <f>_xlfn.XLOOKUP($A230,[1]Sheet1!$N$9:$N$2584,[1]Sheet1!$O$9:$O$2584,"N/A",0)</f>
        <v>91.4</v>
      </c>
      <c r="O230">
        <v>95.16</v>
      </c>
      <c r="P230">
        <v>120.41</v>
      </c>
      <c r="Q230">
        <v>100.7</v>
      </c>
      <c r="R230">
        <v>91.4</v>
      </c>
      <c r="S230">
        <v>117.86</v>
      </c>
    </row>
    <row r="231" spans="1:19">
      <c r="A231" s="1">
        <v>42702</v>
      </c>
      <c r="B231" t="s">
        <v>144</v>
      </c>
      <c r="C231" t="s">
        <v>152</v>
      </c>
      <c r="D231">
        <v>14.425</v>
      </c>
      <c r="E231">
        <v>16.275</v>
      </c>
      <c r="F231" s="2" t="s">
        <v>156</v>
      </c>
      <c r="G231" t="str">
        <f ca="1" t="shared" si="9"/>
        <v>N/A</v>
      </c>
      <c r="H231" t="str">
        <f ca="1" t="shared" si="10"/>
        <v>N/A</v>
      </c>
      <c r="I231">
        <f ca="1" t="shared" si="11"/>
        <v>0</v>
      </c>
      <c r="J231">
        <f>_xlfn.XLOOKUP($A231,[1]Sheet1!$B$9:$B$2584,[1]Sheet1!$C$9:$C$2584,"N/A",0)</f>
        <v>95.07</v>
      </c>
      <c r="K231">
        <f>_xlfn.XLOOKUP($A231,[1]Sheet1!$E$9:$E$2584,[1]Sheet1!$F$9:$F$2584,"N/A",0)</f>
        <v>120.32</v>
      </c>
      <c r="L231">
        <f>_xlfn.XLOOKUP($A231,[1]Sheet1!$H$9:$H$2584,[1]Sheet1!$I$9:$I$2584,"N/A",0)</f>
        <v>101.1</v>
      </c>
      <c r="M231">
        <f>_xlfn.XLOOKUP($A231,[1]Sheet1!$K$9:$K$2584,[1]Sheet1!$L$9:$L$2584,"N/A",0)</f>
        <v>117.34</v>
      </c>
      <c r="N231">
        <f>_xlfn.XLOOKUP($A231,[1]Sheet1!$N$9:$N$2584,[1]Sheet1!$O$9:$O$2584,"N/A",0)</f>
        <v>91.88</v>
      </c>
      <c r="O231">
        <v>95.07</v>
      </c>
      <c r="P231">
        <v>120.32</v>
      </c>
      <c r="Q231">
        <v>101.1</v>
      </c>
      <c r="R231">
        <v>91.88</v>
      </c>
      <c r="S231">
        <v>117.34</v>
      </c>
    </row>
    <row r="232" spans="1:19">
      <c r="A232" s="1">
        <v>42703</v>
      </c>
      <c r="B232" t="s">
        <v>144</v>
      </c>
      <c r="C232" t="s">
        <v>152</v>
      </c>
      <c r="D232">
        <v>14.275</v>
      </c>
      <c r="E232">
        <v>16.225</v>
      </c>
      <c r="F232" s="2" t="s">
        <v>90</v>
      </c>
      <c r="G232" t="str">
        <f ca="1" t="shared" si="9"/>
        <v>N/A</v>
      </c>
      <c r="H232" t="str">
        <f ca="1" t="shared" si="10"/>
        <v>N/A</v>
      </c>
      <c r="I232">
        <f ca="1" t="shared" si="11"/>
        <v>0</v>
      </c>
      <c r="J232">
        <f>_xlfn.XLOOKUP($A232,[1]Sheet1!$B$9:$B$2584,[1]Sheet1!$C$9:$C$2584,"N/A",0)</f>
        <v>95.12</v>
      </c>
      <c r="K232">
        <f>_xlfn.XLOOKUP($A232,[1]Sheet1!$E$9:$E$2584,[1]Sheet1!$F$9:$F$2584,"N/A",0)</f>
        <v>120.49</v>
      </c>
      <c r="L232">
        <f>_xlfn.XLOOKUP($A232,[1]Sheet1!$H$9:$H$2584,[1]Sheet1!$I$9:$I$2584,"N/A",0)</f>
        <v>101.19</v>
      </c>
      <c r="M232">
        <f>_xlfn.XLOOKUP($A232,[1]Sheet1!$K$9:$K$2584,[1]Sheet1!$L$9:$L$2584,"N/A",0)</f>
        <v>117.56</v>
      </c>
      <c r="N232">
        <f>_xlfn.XLOOKUP($A232,[1]Sheet1!$N$9:$N$2584,[1]Sheet1!$O$9:$O$2584,"N/A",0)</f>
        <v>91.92</v>
      </c>
      <c r="O232">
        <v>95.12</v>
      </c>
      <c r="P232">
        <v>120.49</v>
      </c>
      <c r="Q232">
        <v>101.19</v>
      </c>
      <c r="R232">
        <v>91.92</v>
      </c>
      <c r="S232">
        <v>117.56</v>
      </c>
    </row>
    <row r="233" spans="1:19">
      <c r="A233" s="1">
        <v>42704</v>
      </c>
      <c r="B233" t="s">
        <v>144</v>
      </c>
      <c r="C233" t="s">
        <v>152</v>
      </c>
      <c r="D233">
        <v>14.525</v>
      </c>
      <c r="E233">
        <v>16.275</v>
      </c>
      <c r="F233" s="2" t="s">
        <v>159</v>
      </c>
      <c r="G233" t="str">
        <f ca="1" t="shared" si="9"/>
        <v>N/A</v>
      </c>
      <c r="H233" t="str">
        <f ca="1" t="shared" si="10"/>
        <v>N/A</v>
      </c>
      <c r="I233">
        <f ca="1" t="shared" si="11"/>
        <v>0</v>
      </c>
      <c r="J233">
        <f>_xlfn.XLOOKUP($A233,[1]Sheet1!$B$9:$B$2584,[1]Sheet1!$C$9:$C$2584,"N/A",0)</f>
        <v>95.13</v>
      </c>
      <c r="K233">
        <f>_xlfn.XLOOKUP($A233,[1]Sheet1!$E$9:$E$2584,[1]Sheet1!$F$9:$F$2584,"N/A",0)</f>
        <v>121.48</v>
      </c>
      <c r="L233">
        <f>_xlfn.XLOOKUP($A233,[1]Sheet1!$H$9:$H$2584,[1]Sheet1!$I$9:$I$2584,"N/A",0)</f>
        <v>101.19</v>
      </c>
      <c r="M233">
        <f>_xlfn.XLOOKUP($A233,[1]Sheet1!$K$9:$K$2584,[1]Sheet1!$L$9:$L$2584,"N/A",0)</f>
        <v>117.05</v>
      </c>
      <c r="N233">
        <f>_xlfn.XLOOKUP($A233,[1]Sheet1!$N$9:$N$2584,[1]Sheet1!$O$9:$O$2584,"N/A",0)</f>
        <v>92.66</v>
      </c>
      <c r="O233">
        <v>95.13</v>
      </c>
      <c r="P233">
        <v>121.48</v>
      </c>
      <c r="Q233">
        <v>101.19</v>
      </c>
      <c r="R233">
        <v>92.66</v>
      </c>
      <c r="S233">
        <v>117.05</v>
      </c>
    </row>
    <row r="234" spans="1:19">
      <c r="A234" s="1">
        <v>42705</v>
      </c>
      <c r="B234" t="s">
        <v>144</v>
      </c>
      <c r="C234" t="s">
        <v>152</v>
      </c>
      <c r="D234">
        <v>15.025</v>
      </c>
      <c r="E234">
        <v>16.675</v>
      </c>
      <c r="F234" s="2" t="s">
        <v>153</v>
      </c>
      <c r="G234" t="str">
        <f ca="1" t="shared" si="9"/>
        <v>N/A</v>
      </c>
      <c r="H234" t="str">
        <f ca="1" t="shared" si="10"/>
        <v>N/A</v>
      </c>
      <c r="I234">
        <f ca="1" t="shared" si="11"/>
        <v>0</v>
      </c>
      <c r="J234">
        <f>_xlfn.XLOOKUP($A234,[1]Sheet1!$B$9:$B$2584,[1]Sheet1!$C$9:$C$2584,"N/A",0)</f>
        <v>94.92</v>
      </c>
      <c r="K234">
        <f>_xlfn.XLOOKUP($A234,[1]Sheet1!$E$9:$E$2584,[1]Sheet1!$F$9:$F$2584,"N/A",0)</f>
        <v>119.82</v>
      </c>
      <c r="L234">
        <f>_xlfn.XLOOKUP($A234,[1]Sheet1!$H$9:$H$2584,[1]Sheet1!$I$9:$I$2584,"N/A",0)</f>
        <v>102.32</v>
      </c>
      <c r="M234">
        <f>_xlfn.XLOOKUP($A234,[1]Sheet1!$K$9:$K$2584,[1]Sheet1!$L$9:$L$2584,"N/A",0)</f>
        <v>118.03</v>
      </c>
      <c r="N234">
        <f>_xlfn.XLOOKUP($A234,[1]Sheet1!$N$9:$N$2584,[1]Sheet1!$O$9:$O$2584,"N/A",0)</f>
        <v>92.99</v>
      </c>
      <c r="O234">
        <v>94.92</v>
      </c>
      <c r="P234">
        <v>119.82</v>
      </c>
      <c r="Q234">
        <v>102.32</v>
      </c>
      <c r="R234">
        <v>92.99</v>
      </c>
      <c r="S234">
        <v>118.03</v>
      </c>
    </row>
    <row r="235" spans="1:19">
      <c r="A235" s="1">
        <v>42706</v>
      </c>
      <c r="B235" t="s">
        <v>144</v>
      </c>
      <c r="C235" t="s">
        <v>152</v>
      </c>
      <c r="D235">
        <v>15.075</v>
      </c>
      <c r="E235">
        <v>16.775</v>
      </c>
      <c r="F235" s="2" t="s">
        <v>160</v>
      </c>
      <c r="G235" t="str">
        <f ca="1" t="shared" si="9"/>
        <v>N/A</v>
      </c>
      <c r="H235" t="str">
        <f ca="1" t="shared" si="10"/>
        <v>N/A</v>
      </c>
      <c r="I235">
        <f ca="1" t="shared" si="11"/>
        <v>0</v>
      </c>
      <c r="J235">
        <f>_xlfn.XLOOKUP($A235,[1]Sheet1!$B$9:$B$2584,[1]Sheet1!$C$9:$C$2584,"N/A",0)</f>
        <v>94.82</v>
      </c>
      <c r="K235">
        <f>_xlfn.XLOOKUP($A235,[1]Sheet1!$E$9:$E$2584,[1]Sheet1!$F$9:$F$2584,"N/A",0)</f>
        <v>120.58</v>
      </c>
      <c r="L235">
        <f>_xlfn.XLOOKUP($A235,[1]Sheet1!$H$9:$H$2584,[1]Sheet1!$I$9:$I$2584,"N/A",0)</f>
        <v>102.71</v>
      </c>
      <c r="M235">
        <f>_xlfn.XLOOKUP($A235,[1]Sheet1!$K$9:$K$2584,[1]Sheet1!$L$9:$L$2584,"N/A",0)</f>
        <v>117.74</v>
      </c>
      <c r="N235">
        <f>_xlfn.XLOOKUP($A235,[1]Sheet1!$N$9:$N$2584,[1]Sheet1!$O$9:$O$2584,"N/A",0)</f>
        <v>93.17</v>
      </c>
      <c r="O235">
        <v>94.82</v>
      </c>
      <c r="P235">
        <v>120.58</v>
      </c>
      <c r="Q235">
        <v>102.71</v>
      </c>
      <c r="R235">
        <v>93.17</v>
      </c>
      <c r="S235">
        <v>117.74</v>
      </c>
    </row>
    <row r="236" spans="1:19">
      <c r="A236" s="1">
        <v>42709</v>
      </c>
      <c r="B236" t="s">
        <v>144</v>
      </c>
      <c r="C236" t="s">
        <v>152</v>
      </c>
      <c r="D236">
        <v>13.525</v>
      </c>
      <c r="E236">
        <v>15.675</v>
      </c>
      <c r="F236" s="2" t="s">
        <v>161</v>
      </c>
      <c r="G236" t="str">
        <f ca="1" t="shared" si="9"/>
        <v>N/A</v>
      </c>
      <c r="H236" t="str">
        <f ca="1" t="shared" si="10"/>
        <v>N/A</v>
      </c>
      <c r="I236">
        <f ca="1" t="shared" si="11"/>
        <v>0</v>
      </c>
      <c r="J236">
        <f>_xlfn.XLOOKUP($A236,[1]Sheet1!$B$9:$B$2584,[1]Sheet1!$C$9:$C$2584,"N/A",0)</f>
        <v>94.86</v>
      </c>
      <c r="K236">
        <f>_xlfn.XLOOKUP($A236,[1]Sheet1!$E$9:$E$2584,[1]Sheet1!$F$9:$F$2584,"N/A",0)</f>
        <v>120.49</v>
      </c>
      <c r="L236">
        <f>_xlfn.XLOOKUP($A236,[1]Sheet1!$H$9:$H$2584,[1]Sheet1!$I$9:$I$2584,"N/A",0)</f>
        <v>102.66</v>
      </c>
      <c r="M236">
        <f>_xlfn.XLOOKUP($A236,[1]Sheet1!$K$9:$K$2584,[1]Sheet1!$L$9:$L$2584,"N/A",0)</f>
        <v>118.06</v>
      </c>
      <c r="N236">
        <f>_xlfn.XLOOKUP($A236,[1]Sheet1!$N$9:$N$2584,[1]Sheet1!$O$9:$O$2584,"N/A",0)</f>
        <v>92.36</v>
      </c>
      <c r="O236">
        <v>94.86</v>
      </c>
      <c r="P236">
        <v>120.49</v>
      </c>
      <c r="Q236">
        <v>102.66</v>
      </c>
      <c r="R236">
        <v>92.36</v>
      </c>
      <c r="S236">
        <v>118.06</v>
      </c>
    </row>
    <row r="237" spans="1:19">
      <c r="A237" s="1">
        <v>42710</v>
      </c>
      <c r="B237" t="s">
        <v>144</v>
      </c>
      <c r="C237" t="s">
        <v>152</v>
      </c>
      <c r="D237">
        <v>13.125</v>
      </c>
      <c r="E237">
        <v>15.375</v>
      </c>
      <c r="F237" s="2" t="s">
        <v>162</v>
      </c>
      <c r="G237" t="str">
        <f ca="1" t="shared" si="9"/>
        <v>N/A</v>
      </c>
      <c r="H237" t="str">
        <f ca="1" t="shared" si="10"/>
        <v>N/A</v>
      </c>
      <c r="I237">
        <f ca="1" t="shared" si="11"/>
        <v>0</v>
      </c>
      <c r="J237">
        <f>_xlfn.XLOOKUP($A237,[1]Sheet1!$B$9:$B$2584,[1]Sheet1!$C$9:$C$2584,"N/A",0)</f>
        <v>95.07</v>
      </c>
      <c r="K237">
        <f>_xlfn.XLOOKUP($A237,[1]Sheet1!$E$9:$E$2584,[1]Sheet1!$F$9:$F$2584,"N/A",0)</f>
        <v>119.97</v>
      </c>
      <c r="L237">
        <f>_xlfn.XLOOKUP($A237,[1]Sheet1!$H$9:$H$2584,[1]Sheet1!$I$9:$I$2584,"N/A",0)</f>
        <v>102.8</v>
      </c>
      <c r="M237">
        <f>_xlfn.XLOOKUP($A237,[1]Sheet1!$K$9:$K$2584,[1]Sheet1!$L$9:$L$2584,"N/A",0)</f>
        <v>118.01</v>
      </c>
      <c r="N237">
        <f>_xlfn.XLOOKUP($A237,[1]Sheet1!$N$9:$N$2584,[1]Sheet1!$O$9:$O$2584,"N/A",0)</f>
        <v>92.17</v>
      </c>
      <c r="O237">
        <v>95.07</v>
      </c>
      <c r="P237">
        <v>119.97</v>
      </c>
      <c r="Q237">
        <v>102.8</v>
      </c>
      <c r="R237">
        <v>92.17</v>
      </c>
      <c r="S237">
        <v>118.01</v>
      </c>
    </row>
    <row r="238" spans="1:19">
      <c r="A238" s="1">
        <v>42711</v>
      </c>
      <c r="B238" t="s">
        <v>144</v>
      </c>
      <c r="C238" t="s">
        <v>152</v>
      </c>
      <c r="D238">
        <v>13.325</v>
      </c>
      <c r="E238">
        <v>15.475</v>
      </c>
      <c r="F238" s="2" t="s">
        <v>163</v>
      </c>
      <c r="G238" t="str">
        <f ca="1" t="shared" si="9"/>
        <v>N/A</v>
      </c>
      <c r="H238" t="str">
        <f ca="1" t="shared" si="10"/>
        <v>N/A</v>
      </c>
      <c r="I238">
        <f ca="1" t="shared" si="11"/>
        <v>0</v>
      </c>
      <c r="J238">
        <f>_xlfn.XLOOKUP($A238,[1]Sheet1!$B$9:$B$2584,[1]Sheet1!$C$9:$C$2584,"N/A",0)</f>
        <v>95.35</v>
      </c>
      <c r="K238">
        <f>_xlfn.XLOOKUP($A238,[1]Sheet1!$E$9:$E$2584,[1]Sheet1!$F$9:$F$2584,"N/A",0)</f>
        <v>119.84</v>
      </c>
      <c r="L238">
        <f>_xlfn.XLOOKUP($A238,[1]Sheet1!$H$9:$H$2584,[1]Sheet1!$I$9:$I$2584,"N/A",0)</f>
        <v>103.78</v>
      </c>
      <c r="M238">
        <f>_xlfn.XLOOKUP($A238,[1]Sheet1!$K$9:$K$2584,[1]Sheet1!$L$9:$L$2584,"N/A",0)</f>
        <v>118.75</v>
      </c>
      <c r="N238">
        <f>_xlfn.XLOOKUP($A238,[1]Sheet1!$N$9:$N$2584,[1]Sheet1!$O$9:$O$2584,"N/A",0)</f>
        <v>92.3</v>
      </c>
      <c r="O238">
        <v>95.35</v>
      </c>
      <c r="P238">
        <v>119.84</v>
      </c>
      <c r="Q238">
        <v>103.78</v>
      </c>
      <c r="R238">
        <v>92.3</v>
      </c>
      <c r="S238">
        <v>118.75</v>
      </c>
    </row>
    <row r="239" spans="1:19">
      <c r="A239" s="1">
        <v>42712</v>
      </c>
      <c r="B239" t="s">
        <v>144</v>
      </c>
      <c r="C239" t="s">
        <v>152</v>
      </c>
      <c r="D239">
        <v>13.425</v>
      </c>
      <c r="E239">
        <v>15.525</v>
      </c>
      <c r="F239" s="2" t="s">
        <v>164</v>
      </c>
      <c r="G239" t="str">
        <f ca="1" t="shared" si="9"/>
        <v>N/A</v>
      </c>
      <c r="H239" t="str">
        <f ca="1" t="shared" si="10"/>
        <v>N/A</v>
      </c>
      <c r="I239">
        <f ca="1" t="shared" si="11"/>
        <v>0</v>
      </c>
      <c r="J239">
        <f>_xlfn.XLOOKUP($A239,[1]Sheet1!$B$9:$B$2584,[1]Sheet1!$C$9:$C$2584,"N/A",0)</f>
        <v>95.61</v>
      </c>
      <c r="K239">
        <f>_xlfn.XLOOKUP($A239,[1]Sheet1!$E$9:$E$2584,[1]Sheet1!$F$9:$F$2584,"N/A",0)</f>
        <v>118.39</v>
      </c>
      <c r="L239">
        <f>_xlfn.XLOOKUP($A239,[1]Sheet1!$H$9:$H$2584,[1]Sheet1!$I$9:$I$2584,"N/A",0)</f>
        <v>104.1</v>
      </c>
      <c r="M239">
        <f>_xlfn.XLOOKUP($A239,[1]Sheet1!$K$9:$K$2584,[1]Sheet1!$L$9:$L$2584,"N/A",0)</f>
        <v>118.99</v>
      </c>
      <c r="N239">
        <f>_xlfn.XLOOKUP($A239,[1]Sheet1!$N$9:$N$2584,[1]Sheet1!$O$9:$O$2584,"N/A",0)</f>
        <v>90.85</v>
      </c>
      <c r="O239">
        <v>95.61</v>
      </c>
      <c r="P239">
        <v>118.39</v>
      </c>
      <c r="Q239">
        <v>104.1</v>
      </c>
      <c r="R239">
        <v>90.85</v>
      </c>
      <c r="S239">
        <v>118.99</v>
      </c>
    </row>
    <row r="240" spans="1:19">
      <c r="A240" s="1">
        <v>42713</v>
      </c>
      <c r="B240" t="s">
        <v>144</v>
      </c>
      <c r="C240" t="s">
        <v>152</v>
      </c>
      <c r="D240">
        <v>13.025</v>
      </c>
      <c r="E240">
        <v>15.225</v>
      </c>
      <c r="F240" s="2" t="s">
        <v>165</v>
      </c>
      <c r="G240" t="str">
        <f ca="1" t="shared" si="9"/>
        <v>N/A</v>
      </c>
      <c r="H240" t="str">
        <f ca="1" t="shared" si="10"/>
        <v>N/A</v>
      </c>
      <c r="I240">
        <f ca="1" t="shared" si="11"/>
        <v>0</v>
      </c>
      <c r="J240">
        <f>_xlfn.XLOOKUP($A240,[1]Sheet1!$B$9:$B$2584,[1]Sheet1!$C$9:$C$2584,"N/A",0)</f>
        <v>95.69</v>
      </c>
      <c r="K240">
        <f>_xlfn.XLOOKUP($A240,[1]Sheet1!$E$9:$E$2584,[1]Sheet1!$F$9:$F$2584,"N/A",0)</f>
        <v>117.45</v>
      </c>
      <c r="L240">
        <f>_xlfn.XLOOKUP($A240,[1]Sheet1!$H$9:$H$2584,[1]Sheet1!$I$9:$I$2584,"N/A",0)</f>
        <v>104.11</v>
      </c>
      <c r="M240">
        <f>_xlfn.XLOOKUP($A240,[1]Sheet1!$K$9:$K$2584,[1]Sheet1!$L$9:$L$2584,"N/A",0)</f>
        <v>118.26</v>
      </c>
      <c r="N240">
        <f>_xlfn.XLOOKUP($A240,[1]Sheet1!$N$9:$N$2584,[1]Sheet1!$O$9:$O$2584,"N/A",0)</f>
        <v>91.08</v>
      </c>
      <c r="O240">
        <v>95.69</v>
      </c>
      <c r="P240">
        <v>117.45</v>
      </c>
      <c r="Q240">
        <v>104.11</v>
      </c>
      <c r="R240">
        <v>91.08</v>
      </c>
      <c r="S240">
        <v>118.26</v>
      </c>
    </row>
    <row r="241" spans="1:19">
      <c r="A241" s="1">
        <v>42716</v>
      </c>
      <c r="B241" t="s">
        <v>144</v>
      </c>
      <c r="C241" t="s">
        <v>152</v>
      </c>
      <c r="D241">
        <v>13.425</v>
      </c>
      <c r="E241">
        <v>15.575</v>
      </c>
      <c r="F241" s="2" t="s">
        <v>166</v>
      </c>
      <c r="G241" t="str">
        <f ca="1" t="shared" si="9"/>
        <v>N/A</v>
      </c>
      <c r="H241" t="str">
        <f ca="1" t="shared" si="10"/>
        <v>N/A</v>
      </c>
      <c r="I241">
        <f ca="1" t="shared" si="11"/>
        <v>0</v>
      </c>
      <c r="J241">
        <f>_xlfn.XLOOKUP($A241,[1]Sheet1!$B$9:$B$2584,[1]Sheet1!$C$9:$C$2584,"N/A",0)</f>
        <v>95.63</v>
      </c>
      <c r="K241">
        <f>_xlfn.XLOOKUP($A241,[1]Sheet1!$E$9:$E$2584,[1]Sheet1!$F$9:$F$2584,"N/A",0)</f>
        <v>118.46</v>
      </c>
      <c r="L241">
        <f>_xlfn.XLOOKUP($A241,[1]Sheet1!$H$9:$H$2584,[1]Sheet1!$I$9:$I$2584,"N/A",0)</f>
        <v>103.8</v>
      </c>
      <c r="M241">
        <f>_xlfn.XLOOKUP($A241,[1]Sheet1!$K$9:$K$2584,[1]Sheet1!$L$9:$L$2584,"N/A",0)</f>
        <v>118.53</v>
      </c>
      <c r="N241">
        <f>_xlfn.XLOOKUP($A241,[1]Sheet1!$N$9:$N$2584,[1]Sheet1!$O$9:$O$2584,"N/A",0)</f>
        <v>91.33</v>
      </c>
      <c r="O241">
        <v>95.63</v>
      </c>
      <c r="P241">
        <v>118.46</v>
      </c>
      <c r="Q241">
        <v>103.8</v>
      </c>
      <c r="R241">
        <v>91.33</v>
      </c>
      <c r="S241">
        <v>118.53</v>
      </c>
    </row>
    <row r="242" spans="1:19">
      <c r="A242" s="1">
        <v>42717</v>
      </c>
      <c r="B242" t="s">
        <v>144</v>
      </c>
      <c r="C242" t="s">
        <v>152</v>
      </c>
      <c r="D242">
        <v>13.275</v>
      </c>
      <c r="E242">
        <v>15.475</v>
      </c>
      <c r="F242" s="2" t="s">
        <v>167</v>
      </c>
      <c r="G242" t="str">
        <f ca="1" t="shared" si="9"/>
        <v>N/A</v>
      </c>
      <c r="H242" t="str">
        <f ca="1" t="shared" si="10"/>
        <v>N/A</v>
      </c>
      <c r="I242">
        <f ca="1" t="shared" si="11"/>
        <v>0</v>
      </c>
      <c r="J242">
        <f>_xlfn.XLOOKUP($A242,[1]Sheet1!$B$9:$B$2584,[1]Sheet1!$C$9:$C$2584,"N/A",0)</f>
        <v>95.68</v>
      </c>
      <c r="K242">
        <f>_xlfn.XLOOKUP($A242,[1]Sheet1!$E$9:$E$2584,[1]Sheet1!$F$9:$F$2584,"N/A",0)</f>
        <v>118.54</v>
      </c>
      <c r="L242">
        <f>_xlfn.XLOOKUP($A242,[1]Sheet1!$H$9:$H$2584,[1]Sheet1!$I$9:$I$2584,"N/A",0)</f>
        <v>103.37</v>
      </c>
      <c r="M242">
        <f>_xlfn.XLOOKUP($A242,[1]Sheet1!$K$9:$K$2584,[1]Sheet1!$L$9:$L$2584,"N/A",0)</f>
        <v>118.4</v>
      </c>
      <c r="N242">
        <f>_xlfn.XLOOKUP($A242,[1]Sheet1!$N$9:$N$2584,[1]Sheet1!$O$9:$O$2584,"N/A",0)</f>
        <v>91.93</v>
      </c>
      <c r="O242">
        <v>95.68</v>
      </c>
      <c r="P242">
        <v>118.54</v>
      </c>
      <c r="Q242">
        <v>103.37</v>
      </c>
      <c r="R242">
        <v>91.93</v>
      </c>
      <c r="S242">
        <v>118.4</v>
      </c>
    </row>
    <row r="243" spans="1:19">
      <c r="A243" s="1">
        <v>42718</v>
      </c>
      <c r="B243" t="s">
        <v>144</v>
      </c>
      <c r="C243" t="s">
        <v>152</v>
      </c>
      <c r="D243">
        <v>13.425</v>
      </c>
      <c r="E243">
        <v>15.325</v>
      </c>
      <c r="F243" s="2" t="s">
        <v>168</v>
      </c>
      <c r="G243" t="str">
        <f ca="1" t="shared" si="9"/>
        <v>N/A</v>
      </c>
      <c r="H243" t="str">
        <f ca="1" t="shared" si="10"/>
        <v>N/A</v>
      </c>
      <c r="I243">
        <f ca="1" t="shared" si="11"/>
        <v>0</v>
      </c>
      <c r="J243">
        <f>_xlfn.XLOOKUP($A243,[1]Sheet1!$B$9:$B$2584,[1]Sheet1!$C$9:$C$2584,"N/A",0)</f>
        <v>95.61</v>
      </c>
      <c r="K243">
        <f>_xlfn.XLOOKUP($A243,[1]Sheet1!$E$9:$E$2584,[1]Sheet1!$F$9:$F$2584,"N/A",0)</f>
        <v>118.42</v>
      </c>
      <c r="L243">
        <f>_xlfn.XLOOKUP($A243,[1]Sheet1!$H$9:$H$2584,[1]Sheet1!$I$9:$I$2584,"N/A",0)</f>
        <v>103.61</v>
      </c>
      <c r="M243">
        <f>_xlfn.XLOOKUP($A243,[1]Sheet1!$K$9:$K$2584,[1]Sheet1!$L$9:$L$2584,"N/A",0)</f>
        <v>118.49</v>
      </c>
      <c r="N243">
        <f>_xlfn.XLOOKUP($A243,[1]Sheet1!$N$9:$N$2584,[1]Sheet1!$O$9:$O$2584,"N/A",0)</f>
        <v>92.59</v>
      </c>
      <c r="O243">
        <v>95.61</v>
      </c>
      <c r="P243">
        <v>118.42</v>
      </c>
      <c r="Q243">
        <v>103.61</v>
      </c>
      <c r="R243">
        <v>92.59</v>
      </c>
      <c r="S243">
        <v>118.49</v>
      </c>
    </row>
    <row r="244" spans="1:19">
      <c r="A244" s="1">
        <v>42719</v>
      </c>
      <c r="B244" t="s">
        <v>144</v>
      </c>
      <c r="C244" t="s">
        <v>152</v>
      </c>
      <c r="D244">
        <v>13.025</v>
      </c>
      <c r="E244">
        <v>15.075</v>
      </c>
      <c r="F244" s="2" t="s">
        <v>169</v>
      </c>
      <c r="G244" t="str">
        <f ca="1" t="shared" si="9"/>
        <v>N/A</v>
      </c>
      <c r="H244" t="str">
        <f ca="1" t="shared" si="10"/>
        <v>N/A</v>
      </c>
      <c r="I244">
        <f ca="1" t="shared" si="11"/>
        <v>0</v>
      </c>
      <c r="J244">
        <f>_xlfn.XLOOKUP($A244,[1]Sheet1!$B$9:$B$2584,[1]Sheet1!$C$9:$C$2584,"N/A",0)</f>
        <v>95.51</v>
      </c>
      <c r="K244">
        <f>_xlfn.XLOOKUP($A244,[1]Sheet1!$E$9:$E$2584,[1]Sheet1!$F$9:$F$2584,"N/A",0)</f>
        <v>117.7</v>
      </c>
      <c r="L244">
        <f>_xlfn.XLOOKUP($A244,[1]Sheet1!$H$9:$H$2584,[1]Sheet1!$I$9:$I$2584,"N/A",0)</f>
        <v>103.83</v>
      </c>
      <c r="M244">
        <f>_xlfn.XLOOKUP($A244,[1]Sheet1!$K$9:$K$2584,[1]Sheet1!$L$9:$L$2584,"N/A",0)</f>
        <v>119.69</v>
      </c>
      <c r="N244">
        <f>_xlfn.XLOOKUP($A244,[1]Sheet1!$N$9:$N$2584,[1]Sheet1!$O$9:$O$2584,"N/A",0)</f>
        <v>92.19</v>
      </c>
      <c r="O244">
        <v>95.51</v>
      </c>
      <c r="P244">
        <v>117.7</v>
      </c>
      <c r="Q244">
        <v>103.83</v>
      </c>
      <c r="R244">
        <v>92.19</v>
      </c>
      <c r="S244">
        <v>119.69</v>
      </c>
    </row>
    <row r="245" spans="1:19">
      <c r="A245" s="1">
        <v>42720</v>
      </c>
      <c r="B245" t="s">
        <v>144</v>
      </c>
      <c r="C245" t="s">
        <v>152</v>
      </c>
      <c r="D245">
        <v>12.725</v>
      </c>
      <c r="E245">
        <v>14.975</v>
      </c>
      <c r="F245" s="2" t="s">
        <v>170</v>
      </c>
      <c r="G245" t="str">
        <f ca="1" t="shared" si="9"/>
        <v>N/A</v>
      </c>
      <c r="H245" t="str">
        <f ca="1" t="shared" si="10"/>
        <v>N/A</v>
      </c>
      <c r="I245">
        <f ca="1" t="shared" si="11"/>
        <v>0</v>
      </c>
      <c r="J245">
        <f>_xlfn.XLOOKUP($A245,[1]Sheet1!$B$9:$B$2584,[1]Sheet1!$C$9:$C$2584,"N/A",0)</f>
        <v>95.7</v>
      </c>
      <c r="K245">
        <f>_xlfn.XLOOKUP($A245,[1]Sheet1!$E$9:$E$2584,[1]Sheet1!$F$9:$F$2584,"N/A",0)</f>
        <v>117.04</v>
      </c>
      <c r="L245">
        <f>_xlfn.XLOOKUP($A245,[1]Sheet1!$H$9:$H$2584,[1]Sheet1!$I$9:$I$2584,"N/A",0)</f>
        <v>103.79</v>
      </c>
      <c r="M245">
        <f>_xlfn.XLOOKUP($A245,[1]Sheet1!$K$9:$K$2584,[1]Sheet1!$L$9:$L$2584,"N/A",0)</f>
        <v>119.5</v>
      </c>
      <c r="N245">
        <f>_xlfn.XLOOKUP($A245,[1]Sheet1!$N$9:$N$2584,[1]Sheet1!$O$9:$O$2584,"N/A",0)</f>
        <v>91.82</v>
      </c>
      <c r="O245">
        <v>95.7</v>
      </c>
      <c r="P245">
        <v>117.04</v>
      </c>
      <c r="Q245">
        <v>103.79</v>
      </c>
      <c r="R245">
        <v>91.82</v>
      </c>
      <c r="S245">
        <v>119.5</v>
      </c>
    </row>
    <row r="246" spans="1:19">
      <c r="A246" s="1">
        <v>42723</v>
      </c>
      <c r="B246" t="s">
        <v>144</v>
      </c>
      <c r="C246" t="s">
        <v>152</v>
      </c>
      <c r="D246">
        <v>12.125</v>
      </c>
      <c r="E246">
        <v>14.475</v>
      </c>
      <c r="F246" s="2" t="s">
        <v>171</v>
      </c>
      <c r="G246" t="str">
        <f ca="1" t="shared" si="9"/>
        <v>N/A</v>
      </c>
      <c r="H246" t="str">
        <f ca="1" t="shared" si="10"/>
        <v>N/A</v>
      </c>
      <c r="I246">
        <f ca="1" t="shared" si="11"/>
        <v>0</v>
      </c>
      <c r="J246">
        <f>_xlfn.XLOOKUP($A246,[1]Sheet1!$B$9:$B$2584,[1]Sheet1!$C$9:$C$2584,"N/A",0)</f>
        <v>95.63</v>
      </c>
      <c r="K246">
        <f>_xlfn.XLOOKUP($A246,[1]Sheet1!$E$9:$E$2584,[1]Sheet1!$F$9:$F$2584,"N/A",0)</f>
        <v>117.26</v>
      </c>
      <c r="L246">
        <f>_xlfn.XLOOKUP($A246,[1]Sheet1!$H$9:$H$2584,[1]Sheet1!$I$9:$I$2584,"N/A",0)</f>
        <v>103.78</v>
      </c>
      <c r="M246">
        <f>_xlfn.XLOOKUP($A246,[1]Sheet1!$K$9:$K$2584,[1]Sheet1!$L$9:$L$2584,"N/A",0)</f>
        <v>119.68</v>
      </c>
      <c r="N246">
        <f>_xlfn.XLOOKUP($A246,[1]Sheet1!$N$9:$N$2584,[1]Sheet1!$O$9:$O$2584,"N/A",0)</f>
        <v>91.53</v>
      </c>
      <c r="O246">
        <v>95.63</v>
      </c>
      <c r="P246">
        <v>117.26</v>
      </c>
      <c r="Q246">
        <v>103.78</v>
      </c>
      <c r="R246">
        <v>91.53</v>
      </c>
      <c r="S246">
        <v>119.68</v>
      </c>
    </row>
    <row r="247" spans="1:19">
      <c r="A247" s="1">
        <v>42724</v>
      </c>
      <c r="B247" t="s">
        <v>144</v>
      </c>
      <c r="C247" t="s">
        <v>152</v>
      </c>
      <c r="D247">
        <v>11.575</v>
      </c>
      <c r="E247">
        <v>14.225</v>
      </c>
      <c r="F247" s="2" t="s">
        <v>172</v>
      </c>
      <c r="G247" t="str">
        <f ca="1" t="shared" si="9"/>
        <v>N/A</v>
      </c>
      <c r="H247" t="str">
        <f ca="1" t="shared" si="10"/>
        <v>N/A</v>
      </c>
      <c r="I247">
        <f ca="1" t="shared" si="11"/>
        <v>0</v>
      </c>
      <c r="J247">
        <f>_xlfn.XLOOKUP($A247,[1]Sheet1!$B$9:$B$2584,[1]Sheet1!$C$9:$C$2584,"N/A",0)</f>
        <v>95.61</v>
      </c>
      <c r="K247">
        <f>_xlfn.XLOOKUP($A247,[1]Sheet1!$E$9:$E$2584,[1]Sheet1!$F$9:$F$2584,"N/A",0)</f>
        <v>117.29</v>
      </c>
      <c r="L247">
        <f>_xlfn.XLOOKUP($A247,[1]Sheet1!$H$9:$H$2584,[1]Sheet1!$I$9:$I$2584,"N/A",0)</f>
        <v>104.03</v>
      </c>
      <c r="M247">
        <f>_xlfn.XLOOKUP($A247,[1]Sheet1!$K$9:$K$2584,[1]Sheet1!$L$9:$L$2584,"N/A",0)</f>
        <v>119.93</v>
      </c>
      <c r="N247">
        <f>_xlfn.XLOOKUP($A247,[1]Sheet1!$N$9:$N$2584,[1]Sheet1!$O$9:$O$2584,"N/A",0)</f>
        <v>91.41</v>
      </c>
      <c r="O247">
        <v>95.61</v>
      </c>
      <c r="P247">
        <v>117.29</v>
      </c>
      <c r="Q247">
        <v>104.03</v>
      </c>
      <c r="R247">
        <v>91.41</v>
      </c>
      <c r="S247">
        <v>119.93</v>
      </c>
    </row>
    <row r="248" spans="1:19">
      <c r="A248" s="1">
        <v>42725</v>
      </c>
      <c r="B248" t="s">
        <v>144</v>
      </c>
      <c r="C248" t="s">
        <v>152</v>
      </c>
      <c r="D248">
        <v>11.15</v>
      </c>
      <c r="E248">
        <v>14.025</v>
      </c>
      <c r="F248" s="2" t="s">
        <v>173</v>
      </c>
      <c r="G248" t="str">
        <f ca="1" t="shared" si="9"/>
        <v>N/A</v>
      </c>
      <c r="H248" t="str">
        <f ca="1" t="shared" si="10"/>
        <v>N/A</v>
      </c>
      <c r="I248">
        <f ca="1" t="shared" si="11"/>
        <v>0</v>
      </c>
      <c r="J248">
        <f>_xlfn.XLOOKUP($A248,[1]Sheet1!$B$9:$B$2584,[1]Sheet1!$C$9:$C$2584,"N/A",0)</f>
        <v>95.91</v>
      </c>
      <c r="K248">
        <f>_xlfn.XLOOKUP($A248,[1]Sheet1!$E$9:$E$2584,[1]Sheet1!$F$9:$F$2584,"N/A",0)</f>
        <v>117.84</v>
      </c>
      <c r="L248">
        <f>_xlfn.XLOOKUP($A248,[1]Sheet1!$H$9:$H$2584,[1]Sheet1!$I$9:$I$2584,"N/A",0)</f>
        <v>103.99</v>
      </c>
      <c r="M248">
        <f>_xlfn.XLOOKUP($A248,[1]Sheet1!$K$9:$K$2584,[1]Sheet1!$L$9:$L$2584,"N/A",0)</f>
        <v>119.84</v>
      </c>
      <c r="N248">
        <f>_xlfn.XLOOKUP($A248,[1]Sheet1!$N$9:$N$2584,[1]Sheet1!$O$9:$O$2584,"N/A",0)</f>
        <v>91.52</v>
      </c>
      <c r="O248">
        <v>95.91</v>
      </c>
      <c r="P248">
        <v>117.84</v>
      </c>
      <c r="Q248">
        <v>103.99</v>
      </c>
      <c r="R248">
        <v>91.52</v>
      </c>
      <c r="S248">
        <v>119.84</v>
      </c>
    </row>
    <row r="249" spans="1:19">
      <c r="A249" s="1">
        <v>42726</v>
      </c>
      <c r="B249" t="s">
        <v>152</v>
      </c>
      <c r="C249" t="s">
        <v>174</v>
      </c>
      <c r="D249">
        <v>14.275</v>
      </c>
      <c r="E249">
        <v>15.975</v>
      </c>
      <c r="F249" s="2" t="s">
        <v>175</v>
      </c>
      <c r="G249" t="str">
        <f ca="1" t="shared" si="9"/>
        <v>N/A</v>
      </c>
      <c r="H249" t="str">
        <f ca="1" t="shared" si="10"/>
        <v>N/A</v>
      </c>
      <c r="I249">
        <f ca="1" t="shared" si="11"/>
        <v>0</v>
      </c>
      <c r="J249">
        <f>_xlfn.XLOOKUP($A249,[1]Sheet1!$B$9:$B$2584,[1]Sheet1!$C$9:$C$2584,"N/A",0)</f>
        <v>95.89</v>
      </c>
      <c r="K249">
        <f>_xlfn.XLOOKUP($A249,[1]Sheet1!$E$9:$E$2584,[1]Sheet1!$F$9:$F$2584,"N/A",0)</f>
        <v>117.7</v>
      </c>
      <c r="L249">
        <f>_xlfn.XLOOKUP($A249,[1]Sheet1!$H$9:$H$2584,[1]Sheet1!$I$9:$I$2584,"N/A",0)</f>
        <v>104.09</v>
      </c>
      <c r="M249">
        <f>_xlfn.XLOOKUP($A249,[1]Sheet1!$K$9:$K$2584,[1]Sheet1!$L$9:$L$2584,"N/A",0)</f>
        <v>119.48</v>
      </c>
      <c r="N249">
        <f>_xlfn.XLOOKUP($A249,[1]Sheet1!$N$9:$N$2584,[1]Sheet1!$O$9:$O$2584,"N/A",0)</f>
        <v>91.99</v>
      </c>
      <c r="O249">
        <v>95.89</v>
      </c>
      <c r="P249">
        <v>117.7</v>
      </c>
      <c r="Q249">
        <v>104.09</v>
      </c>
      <c r="R249">
        <v>91.99</v>
      </c>
      <c r="S249">
        <v>119.48</v>
      </c>
    </row>
    <row r="250" spans="1:19">
      <c r="A250" s="1">
        <v>42727</v>
      </c>
      <c r="B250" t="s">
        <v>152</v>
      </c>
      <c r="C250" t="s">
        <v>174</v>
      </c>
      <c r="D250">
        <v>14.275</v>
      </c>
      <c r="E250">
        <v>16.025</v>
      </c>
      <c r="F250" s="2" t="s">
        <v>176</v>
      </c>
      <c r="G250" t="str">
        <f ca="1" t="shared" si="9"/>
        <v>N/A</v>
      </c>
      <c r="H250" t="str">
        <f ca="1" t="shared" si="10"/>
        <v>N/A</v>
      </c>
      <c r="I250">
        <f ca="1" t="shared" si="11"/>
        <v>0</v>
      </c>
      <c r="J250">
        <f>_xlfn.XLOOKUP($A250,[1]Sheet1!$B$9:$B$2584,[1]Sheet1!$C$9:$C$2584,"N/A",0)</f>
        <v>95.61</v>
      </c>
      <c r="K250">
        <f>_xlfn.XLOOKUP($A250,[1]Sheet1!$E$9:$E$2584,[1]Sheet1!$F$9:$F$2584,"N/A",0)</f>
        <v>117.53</v>
      </c>
      <c r="L250">
        <f>_xlfn.XLOOKUP($A250,[1]Sheet1!$H$9:$H$2584,[1]Sheet1!$I$9:$I$2584,"N/A",0)</f>
        <v>104.01</v>
      </c>
      <c r="M250">
        <f>_xlfn.XLOOKUP($A250,[1]Sheet1!$K$9:$K$2584,[1]Sheet1!$L$9:$L$2584,"N/A",0)</f>
        <v>119.23</v>
      </c>
      <c r="N250">
        <f>_xlfn.XLOOKUP($A250,[1]Sheet1!$N$9:$N$2584,[1]Sheet1!$O$9:$O$2584,"N/A",0)</f>
        <v>91.77</v>
      </c>
      <c r="O250">
        <v>95.61</v>
      </c>
      <c r="P250">
        <v>117.53</v>
      </c>
      <c r="Q250">
        <v>104.01</v>
      </c>
      <c r="R250">
        <v>91.77</v>
      </c>
      <c r="S250">
        <v>119.23</v>
      </c>
    </row>
    <row r="251" spans="1:19">
      <c r="A251" s="1">
        <v>42731</v>
      </c>
      <c r="B251" t="s">
        <v>152</v>
      </c>
      <c r="C251" t="s">
        <v>174</v>
      </c>
      <c r="D251">
        <v>13.975</v>
      </c>
      <c r="E251">
        <v>15.8</v>
      </c>
      <c r="F251" s="2" t="s">
        <v>177</v>
      </c>
      <c r="G251" t="str">
        <f ca="1" t="shared" si="9"/>
        <v>N/A</v>
      </c>
      <c r="H251" t="str">
        <f ca="1" t="shared" si="10"/>
        <v>N/A</v>
      </c>
      <c r="I251">
        <f ca="1" t="shared" si="11"/>
        <v>0</v>
      </c>
      <c r="J251">
        <f>_xlfn.XLOOKUP($A251,[1]Sheet1!$B$9:$B$2584,[1]Sheet1!$C$9:$C$2584,"N/A",0)</f>
        <v>95.66</v>
      </c>
      <c r="K251">
        <f>_xlfn.XLOOKUP($A251,[1]Sheet1!$E$9:$E$2584,[1]Sheet1!$F$9:$F$2584,"N/A",0)</f>
        <v>117.31</v>
      </c>
      <c r="L251">
        <f>_xlfn.XLOOKUP($A251,[1]Sheet1!$H$9:$H$2584,[1]Sheet1!$I$9:$I$2584,"N/A",0)</f>
        <v>104.01</v>
      </c>
      <c r="M251">
        <f>_xlfn.XLOOKUP($A251,[1]Sheet1!$K$9:$K$2584,[1]Sheet1!$L$9:$L$2584,"N/A",0)</f>
        <v>119.38</v>
      </c>
      <c r="N251">
        <f>_xlfn.XLOOKUP($A251,[1]Sheet1!$N$9:$N$2584,[1]Sheet1!$O$9:$O$2584,"N/A",0)</f>
        <v>91.75</v>
      </c>
      <c r="O251">
        <v>95.66</v>
      </c>
      <c r="P251">
        <v>117.31</v>
      </c>
      <c r="Q251">
        <v>104.01</v>
      </c>
      <c r="R251">
        <v>91.75</v>
      </c>
      <c r="S251">
        <v>119.38</v>
      </c>
    </row>
    <row r="252" spans="1:19">
      <c r="A252" s="1">
        <v>42732</v>
      </c>
      <c r="B252" t="s">
        <v>152</v>
      </c>
      <c r="C252" t="s">
        <v>174</v>
      </c>
      <c r="D252">
        <v>14.625</v>
      </c>
      <c r="E252">
        <v>16.225</v>
      </c>
      <c r="F252" s="2" t="s">
        <v>178</v>
      </c>
      <c r="G252" t="str">
        <f ca="1" t="shared" si="9"/>
        <v>N/A</v>
      </c>
      <c r="H252" t="str">
        <f ca="1" t="shared" si="10"/>
        <v>N/A</v>
      </c>
      <c r="I252">
        <f ca="1" t="shared" si="11"/>
        <v>0</v>
      </c>
      <c r="J252">
        <f>_xlfn.XLOOKUP($A252,[1]Sheet1!$B$9:$B$2584,[1]Sheet1!$C$9:$C$2584,"N/A",0)</f>
        <v>95.45</v>
      </c>
      <c r="K252">
        <f>_xlfn.XLOOKUP($A252,[1]Sheet1!$E$9:$E$2584,[1]Sheet1!$F$9:$F$2584,"N/A",0)</f>
        <v>117.79</v>
      </c>
      <c r="L252">
        <f>_xlfn.XLOOKUP($A252,[1]Sheet1!$H$9:$H$2584,[1]Sheet1!$I$9:$I$2584,"N/A",0)</f>
        <v>103.84</v>
      </c>
      <c r="M252">
        <f>_xlfn.XLOOKUP($A252,[1]Sheet1!$K$9:$K$2584,[1]Sheet1!$L$9:$L$2584,"N/A",0)</f>
        <v>118.76</v>
      </c>
      <c r="N252">
        <f>_xlfn.XLOOKUP($A252,[1]Sheet1!$N$9:$N$2584,[1]Sheet1!$O$9:$O$2584,"N/A",0)</f>
        <v>91.96</v>
      </c>
      <c r="O252">
        <v>95.45</v>
      </c>
      <c r="P252">
        <v>117.79</v>
      </c>
      <c r="Q252">
        <v>103.84</v>
      </c>
      <c r="R252">
        <v>91.96</v>
      </c>
      <c r="S252">
        <v>118.76</v>
      </c>
    </row>
    <row r="253" spans="1:19">
      <c r="A253" s="1">
        <v>42733</v>
      </c>
      <c r="B253" t="s">
        <v>152</v>
      </c>
      <c r="C253" t="s">
        <v>174</v>
      </c>
      <c r="D253">
        <v>14.825</v>
      </c>
      <c r="E253">
        <v>16.375</v>
      </c>
      <c r="F253" s="2" t="s">
        <v>179</v>
      </c>
      <c r="G253" t="str">
        <f ca="1" t="shared" si="9"/>
        <v>N/A</v>
      </c>
      <c r="H253" t="str">
        <f ca="1" t="shared" si="10"/>
        <v>N/A</v>
      </c>
      <c r="I253">
        <f ca="1" t="shared" si="11"/>
        <v>0</v>
      </c>
      <c r="J253">
        <f>_xlfn.XLOOKUP($A253,[1]Sheet1!$B$9:$B$2584,[1]Sheet1!$C$9:$C$2584,"N/A",0)</f>
        <v>95.41</v>
      </c>
      <c r="K253">
        <f>_xlfn.XLOOKUP($A253,[1]Sheet1!$E$9:$E$2584,[1]Sheet1!$F$9:$F$2584,"N/A",0)</f>
        <v>118.3</v>
      </c>
      <c r="L253">
        <f>_xlfn.XLOOKUP($A253,[1]Sheet1!$H$9:$H$2584,[1]Sheet1!$I$9:$I$2584,"N/A",0)</f>
        <v>104.04</v>
      </c>
      <c r="M253">
        <f>_xlfn.XLOOKUP($A253,[1]Sheet1!$K$9:$K$2584,[1]Sheet1!$L$9:$L$2584,"N/A",0)</f>
        <v>118.32</v>
      </c>
      <c r="N253">
        <f>_xlfn.XLOOKUP($A253,[1]Sheet1!$N$9:$N$2584,[1]Sheet1!$O$9:$O$2584,"N/A",0)</f>
        <v>91.62</v>
      </c>
      <c r="O253">
        <v>95.41</v>
      </c>
      <c r="P253">
        <v>118.3</v>
      </c>
      <c r="Q253">
        <v>104.04</v>
      </c>
      <c r="R253">
        <v>91.62</v>
      </c>
      <c r="S253">
        <v>118.32</v>
      </c>
    </row>
    <row r="254" spans="1:19">
      <c r="A254" s="1">
        <v>42734</v>
      </c>
      <c r="B254" t="s">
        <v>152</v>
      </c>
      <c r="C254" t="s">
        <v>174</v>
      </c>
      <c r="D254">
        <v>15.125</v>
      </c>
      <c r="E254">
        <v>16.575</v>
      </c>
      <c r="F254">
        <v>0.0958677685950412</v>
      </c>
      <c r="G254" t="str">
        <f ca="1" t="shared" si="9"/>
        <v>N/A</v>
      </c>
      <c r="H254" t="str">
        <f ca="1" t="shared" si="10"/>
        <v>N/A</v>
      </c>
      <c r="I254">
        <f ca="1" t="shared" si="11"/>
        <v>0</v>
      </c>
      <c r="J254">
        <f>_xlfn.XLOOKUP($A254,[1]Sheet1!$B$9:$B$2584,[1]Sheet1!$C$9:$C$2584,"N/A",0)</f>
        <v>95.41</v>
      </c>
      <c r="K254">
        <f>_xlfn.XLOOKUP($A254,[1]Sheet1!$E$9:$E$2584,[1]Sheet1!$F$9:$F$2584,"N/A",0)</f>
        <v>117.54</v>
      </c>
      <c r="L254">
        <f>_xlfn.XLOOKUP($A254,[1]Sheet1!$H$9:$H$2584,[1]Sheet1!$I$9:$I$2584,"N/A",0)</f>
        <v>104.25</v>
      </c>
      <c r="M254">
        <f>_xlfn.XLOOKUP($A254,[1]Sheet1!$K$9:$K$2584,[1]Sheet1!$L$9:$L$2584,"N/A",0)</f>
        <v>118.45</v>
      </c>
      <c r="N254">
        <f>_xlfn.XLOOKUP($A254,[1]Sheet1!$N$9:$N$2584,[1]Sheet1!$O$9:$O$2584,"N/A",0)</f>
        <v>91.43</v>
      </c>
      <c r="O254">
        <v>95.41</v>
      </c>
      <c r="P254">
        <v>117.54</v>
      </c>
      <c r="Q254">
        <v>104.25</v>
      </c>
      <c r="R254">
        <v>91.43</v>
      </c>
      <c r="S254">
        <v>118.45</v>
      </c>
    </row>
    <row r="255" spans="1:19">
      <c r="A255" s="1">
        <v>42738</v>
      </c>
      <c r="B255" t="s">
        <v>152</v>
      </c>
      <c r="C255" t="s">
        <v>174</v>
      </c>
      <c r="D255">
        <v>13.775</v>
      </c>
      <c r="E255">
        <v>15.575</v>
      </c>
      <c r="F255" s="2" t="s">
        <v>180</v>
      </c>
      <c r="G255">
        <f ca="1" t="shared" si="9"/>
        <v>1.6143229901773</v>
      </c>
      <c r="H255" t="str">
        <f ca="1" t="shared" si="10"/>
        <v>Risk-On</v>
      </c>
      <c r="I255">
        <f ca="1" t="shared" si="11"/>
        <v>1</v>
      </c>
      <c r="J255">
        <f>_xlfn.XLOOKUP($A255,[1]Sheet1!$B$9:$B$2584,[1]Sheet1!$C$9:$C$2584,"N/A",0)</f>
        <v>95.55</v>
      </c>
      <c r="K255">
        <f>_xlfn.XLOOKUP($A255,[1]Sheet1!$E$9:$E$2584,[1]Sheet1!$F$9:$F$2584,"N/A",0)</f>
        <v>116.98</v>
      </c>
      <c r="L255">
        <f>_xlfn.XLOOKUP($A255,[1]Sheet1!$H$9:$H$2584,[1]Sheet1!$I$9:$I$2584,"N/A",0)</f>
        <v>104.41</v>
      </c>
      <c r="M255">
        <f>_xlfn.XLOOKUP($A255,[1]Sheet1!$K$9:$K$2584,[1]Sheet1!$L$9:$L$2584,"N/A",0)</f>
        <v>118.1</v>
      </c>
      <c r="N255">
        <f>_xlfn.XLOOKUP($A255,[1]Sheet1!$N$9:$N$2584,[1]Sheet1!$O$9:$O$2584,"N/A",0)</f>
        <v>91.73</v>
      </c>
      <c r="O255">
        <v>95.55</v>
      </c>
      <c r="P255">
        <v>116.98</v>
      </c>
      <c r="Q255">
        <v>104.41</v>
      </c>
      <c r="R255">
        <v>91.73</v>
      </c>
      <c r="S255">
        <v>118.1</v>
      </c>
    </row>
    <row r="256" spans="1:19">
      <c r="A256" s="1">
        <v>42739</v>
      </c>
      <c r="B256" t="s">
        <v>152</v>
      </c>
      <c r="C256" t="s">
        <v>174</v>
      </c>
      <c r="D256">
        <v>13.175</v>
      </c>
      <c r="E256">
        <v>14.975</v>
      </c>
      <c r="F256" s="2" t="s">
        <v>181</v>
      </c>
      <c r="G256">
        <f ca="1" t="shared" si="9"/>
        <v>1.69805185588105</v>
      </c>
      <c r="H256" t="str">
        <f ca="1" t="shared" si="10"/>
        <v>Risk-On</v>
      </c>
      <c r="I256">
        <f ca="1" t="shared" si="11"/>
        <v>1</v>
      </c>
      <c r="J256">
        <f>_xlfn.XLOOKUP($A256,[1]Sheet1!$B$9:$B$2584,[1]Sheet1!$C$9:$C$2584,"N/A",0)</f>
        <v>95.5</v>
      </c>
      <c r="K256">
        <f>_xlfn.XLOOKUP($A256,[1]Sheet1!$E$9:$E$2584,[1]Sheet1!$F$9:$F$2584,"N/A",0)</f>
        <v>116.85</v>
      </c>
      <c r="L256">
        <f>_xlfn.XLOOKUP($A256,[1]Sheet1!$H$9:$H$2584,[1]Sheet1!$I$9:$I$2584,"N/A",0)</f>
        <v>104.06</v>
      </c>
      <c r="M256">
        <f>_xlfn.XLOOKUP($A256,[1]Sheet1!$K$9:$K$2584,[1]Sheet1!$L$9:$L$2584,"N/A",0)</f>
        <v>117.69</v>
      </c>
      <c r="N256">
        <f>_xlfn.XLOOKUP($A256,[1]Sheet1!$N$9:$N$2584,[1]Sheet1!$O$9:$O$2584,"N/A",0)</f>
        <v>91.34</v>
      </c>
      <c r="O256">
        <v>95.5</v>
      </c>
      <c r="P256">
        <v>116.85</v>
      </c>
      <c r="Q256">
        <v>104.06</v>
      </c>
      <c r="R256">
        <v>91.34</v>
      </c>
      <c r="S256">
        <v>117.69</v>
      </c>
    </row>
    <row r="257" spans="1:19">
      <c r="A257" s="1">
        <v>42740</v>
      </c>
      <c r="B257" t="s">
        <v>152</v>
      </c>
      <c r="C257" t="s">
        <v>174</v>
      </c>
      <c r="D257">
        <v>13.025</v>
      </c>
      <c r="E257">
        <v>14.825</v>
      </c>
      <c r="F257" s="2" t="s">
        <v>182</v>
      </c>
      <c r="G257">
        <f ca="1" t="shared" si="9"/>
        <v>1.7115066090366</v>
      </c>
      <c r="H257" t="str">
        <f ca="1" t="shared" si="10"/>
        <v>Risk-On</v>
      </c>
      <c r="I257">
        <f ca="1" t="shared" si="11"/>
        <v>1</v>
      </c>
      <c r="J257">
        <f>_xlfn.XLOOKUP($A257,[1]Sheet1!$B$9:$B$2584,[1]Sheet1!$C$9:$C$2584,"N/A",0)</f>
        <v>95.69</v>
      </c>
      <c r="K257">
        <f>_xlfn.XLOOKUP($A257,[1]Sheet1!$E$9:$E$2584,[1]Sheet1!$F$9:$F$2584,"N/A",0)</f>
        <v>117.3</v>
      </c>
      <c r="L257">
        <f>_xlfn.XLOOKUP($A257,[1]Sheet1!$H$9:$H$2584,[1]Sheet1!$I$9:$I$2584,"N/A",0)</f>
        <v>103.35</v>
      </c>
      <c r="M257">
        <f>_xlfn.XLOOKUP($A257,[1]Sheet1!$K$9:$K$2584,[1]Sheet1!$L$9:$L$2584,"N/A",0)</f>
        <v>116.67</v>
      </c>
      <c r="N257">
        <f>_xlfn.XLOOKUP($A257,[1]Sheet1!$N$9:$N$2584,[1]Sheet1!$O$9:$O$2584,"N/A",0)</f>
        <v>92.31</v>
      </c>
      <c r="O257">
        <v>95.69</v>
      </c>
      <c r="P257">
        <v>117.3</v>
      </c>
      <c r="Q257">
        <v>103.35</v>
      </c>
      <c r="R257">
        <v>92.31</v>
      </c>
      <c r="S257">
        <v>116.67</v>
      </c>
    </row>
    <row r="258" spans="1:19">
      <c r="A258" s="1">
        <v>42741</v>
      </c>
      <c r="B258" t="s">
        <v>152</v>
      </c>
      <c r="C258" t="s">
        <v>174</v>
      </c>
      <c r="D258">
        <v>12.875</v>
      </c>
      <c r="E258">
        <v>14.675</v>
      </c>
      <c r="F258" s="2" t="s">
        <v>183</v>
      </c>
      <c r="G258">
        <f ca="1" t="shared" si="9"/>
        <v>1.72611815140581</v>
      </c>
      <c r="H258" t="str">
        <f ca="1" t="shared" si="10"/>
        <v>Risk-On</v>
      </c>
      <c r="I258">
        <f ca="1" t="shared" si="11"/>
        <v>1</v>
      </c>
      <c r="J258">
        <f>_xlfn.XLOOKUP($A258,[1]Sheet1!$B$9:$B$2584,[1]Sheet1!$C$9:$C$2584,"N/A",0)</f>
        <v>95.76</v>
      </c>
      <c r="K258">
        <f>_xlfn.XLOOKUP($A258,[1]Sheet1!$E$9:$E$2584,[1]Sheet1!$F$9:$F$2584,"N/A",0)</f>
        <v>117.23</v>
      </c>
      <c r="L258">
        <f>_xlfn.XLOOKUP($A258,[1]Sheet1!$H$9:$H$2584,[1]Sheet1!$I$9:$I$2584,"N/A",0)</f>
        <v>102.54</v>
      </c>
      <c r="M258">
        <f>_xlfn.XLOOKUP($A258,[1]Sheet1!$K$9:$K$2584,[1]Sheet1!$L$9:$L$2584,"N/A",0)</f>
        <v>116.79</v>
      </c>
      <c r="N258">
        <f>_xlfn.XLOOKUP($A258,[1]Sheet1!$N$9:$N$2584,[1]Sheet1!$O$9:$O$2584,"N/A",0)</f>
        <v>93.1</v>
      </c>
      <c r="O258">
        <v>95.76</v>
      </c>
      <c r="P258">
        <v>117.23</v>
      </c>
      <c r="Q258">
        <v>102.54</v>
      </c>
      <c r="R258">
        <v>93.1</v>
      </c>
      <c r="S258">
        <v>116.79</v>
      </c>
    </row>
    <row r="259" spans="1:19">
      <c r="A259" s="1">
        <v>42744</v>
      </c>
      <c r="B259" t="s">
        <v>152</v>
      </c>
      <c r="C259" t="s">
        <v>174</v>
      </c>
      <c r="D259">
        <v>12.925</v>
      </c>
      <c r="E259">
        <v>14.525</v>
      </c>
      <c r="F259" s="2" t="s">
        <v>184</v>
      </c>
      <c r="G259">
        <f ca="1" t="shared" ref="G259:G322" si="12">IF(ROW()-ROW($A$3)+1&gt;252,(F259-AVERAGE(OFFSET(F259,-252,0,252,1)))/_xlfn.STDEV.S(OFFSET(F259,-252,0,252,1)),"N/A")</f>
        <v>1.46890912707183</v>
      </c>
      <c r="H259" t="str">
        <f ca="1" t="shared" ref="H259:H322" si="13">IF(G259&lt;&gt;"N/A",IF(G509&gt;-0.5,"Risk-On","Risk-Off"),"N/A")</f>
        <v>Risk-On</v>
      </c>
      <c r="I259">
        <f ca="1" t="shared" si="11"/>
        <v>1</v>
      </c>
      <c r="J259">
        <f>_xlfn.XLOOKUP($A259,[1]Sheet1!$B$9:$B$2584,[1]Sheet1!$C$9:$C$2584,"N/A",0)</f>
        <v>95.95</v>
      </c>
      <c r="K259">
        <f>_xlfn.XLOOKUP($A259,[1]Sheet1!$E$9:$E$2584,[1]Sheet1!$F$9:$F$2584,"N/A",0)</f>
        <v>117.12</v>
      </c>
      <c r="L259">
        <f>_xlfn.XLOOKUP($A259,[1]Sheet1!$H$9:$H$2584,[1]Sheet1!$I$9:$I$2584,"N/A",0)</f>
        <v>102.44</v>
      </c>
      <c r="M259">
        <f>_xlfn.XLOOKUP($A259,[1]Sheet1!$K$9:$K$2584,[1]Sheet1!$L$9:$L$2584,"N/A",0)</f>
        <v>116.5</v>
      </c>
      <c r="N259">
        <f>_xlfn.XLOOKUP($A259,[1]Sheet1!$N$9:$N$2584,[1]Sheet1!$O$9:$O$2584,"N/A",0)</f>
        <v>93.54</v>
      </c>
      <c r="O259">
        <v>95.95</v>
      </c>
      <c r="P259">
        <v>117.12</v>
      </c>
      <c r="Q259">
        <v>102.44</v>
      </c>
      <c r="R259">
        <v>93.54</v>
      </c>
      <c r="S259">
        <v>116.5</v>
      </c>
    </row>
    <row r="260" spans="1:19">
      <c r="A260" s="1">
        <v>42745</v>
      </c>
      <c r="B260" t="s">
        <v>152</v>
      </c>
      <c r="C260" t="s">
        <v>174</v>
      </c>
      <c r="D260">
        <v>12.875</v>
      </c>
      <c r="E260">
        <v>14.475</v>
      </c>
      <c r="F260" s="2" t="s">
        <v>185</v>
      </c>
      <c r="G260">
        <f ca="1" t="shared" si="12"/>
        <v>1.47768835959631</v>
      </c>
      <c r="H260" t="str">
        <f ca="1" t="shared" si="13"/>
        <v>Risk-On</v>
      </c>
      <c r="I260">
        <f ca="1" t="shared" ref="I260:I323" si="14">IF(H260&lt;&gt;"N/A",IF(H510&gt;-0.5,1,0),0)</f>
        <v>1</v>
      </c>
      <c r="J260">
        <f>_xlfn.XLOOKUP($A260,[1]Sheet1!$B$9:$B$2584,[1]Sheet1!$C$9:$C$2584,"N/A",0)</f>
        <v>95.59</v>
      </c>
      <c r="K260">
        <f>_xlfn.XLOOKUP($A260,[1]Sheet1!$E$9:$E$2584,[1]Sheet1!$F$9:$F$2584,"N/A",0)</f>
        <v>117.64</v>
      </c>
      <c r="L260">
        <f>_xlfn.XLOOKUP($A260,[1]Sheet1!$H$9:$H$2584,[1]Sheet1!$I$9:$I$2584,"N/A",0)</f>
        <v>102.6</v>
      </c>
      <c r="M260">
        <f>_xlfn.XLOOKUP($A260,[1]Sheet1!$K$9:$K$2584,[1]Sheet1!$L$9:$L$2584,"N/A",0)</f>
        <v>116.23</v>
      </c>
      <c r="N260">
        <f>_xlfn.XLOOKUP($A260,[1]Sheet1!$N$9:$N$2584,[1]Sheet1!$O$9:$O$2584,"N/A",0)</f>
        <v>93.13</v>
      </c>
      <c r="O260">
        <v>95.59</v>
      </c>
      <c r="P260">
        <v>117.64</v>
      </c>
      <c r="Q260">
        <v>102.6</v>
      </c>
      <c r="R260">
        <v>93.13</v>
      </c>
      <c r="S260">
        <v>116.23</v>
      </c>
    </row>
    <row r="261" spans="1:19">
      <c r="A261" s="1">
        <v>42746</v>
      </c>
      <c r="B261" t="s">
        <v>152</v>
      </c>
      <c r="C261" t="s">
        <v>174</v>
      </c>
      <c r="D261">
        <v>12.525</v>
      </c>
      <c r="E261">
        <v>14.225</v>
      </c>
      <c r="F261" s="2" t="s">
        <v>186</v>
      </c>
      <c r="G261">
        <f ca="1" t="shared" si="12"/>
        <v>1.66061189031603</v>
      </c>
      <c r="H261" t="str">
        <f ca="1" t="shared" si="13"/>
        <v>Risk-On</v>
      </c>
      <c r="I261">
        <f ca="1" t="shared" si="14"/>
        <v>1</v>
      </c>
      <c r="J261">
        <f>_xlfn.XLOOKUP($A261,[1]Sheet1!$B$9:$B$2584,[1]Sheet1!$C$9:$C$2584,"N/A",0)</f>
        <v>95.96</v>
      </c>
      <c r="K261">
        <f>_xlfn.XLOOKUP($A261,[1]Sheet1!$E$9:$E$2584,[1]Sheet1!$F$9:$F$2584,"N/A",0)</f>
        <v>118.06</v>
      </c>
      <c r="L261">
        <f>_xlfn.XLOOKUP($A261,[1]Sheet1!$H$9:$H$2584,[1]Sheet1!$I$9:$I$2584,"N/A",0)</f>
        <v>101.85</v>
      </c>
      <c r="M261">
        <f>_xlfn.XLOOKUP($A261,[1]Sheet1!$K$9:$K$2584,[1]Sheet1!$L$9:$L$2584,"N/A",0)</f>
        <v>116.54</v>
      </c>
      <c r="N261">
        <f>_xlfn.XLOOKUP($A261,[1]Sheet1!$N$9:$N$2584,[1]Sheet1!$O$9:$O$2584,"N/A",0)</f>
        <v>93.25</v>
      </c>
      <c r="O261">
        <v>95.96</v>
      </c>
      <c r="P261">
        <v>118.06</v>
      </c>
      <c r="Q261">
        <v>101.85</v>
      </c>
      <c r="R261">
        <v>93.25</v>
      </c>
      <c r="S261">
        <v>116.54</v>
      </c>
    </row>
    <row r="262" spans="1:19">
      <c r="A262" s="1">
        <v>42747</v>
      </c>
      <c r="B262" t="s">
        <v>152</v>
      </c>
      <c r="C262" t="s">
        <v>174</v>
      </c>
      <c r="D262">
        <v>12.475</v>
      </c>
      <c r="E262">
        <v>14.325</v>
      </c>
      <c r="F262" s="2" t="s">
        <v>187</v>
      </c>
      <c r="G262">
        <f ca="1" t="shared" si="12"/>
        <v>1.85972739585926</v>
      </c>
      <c r="H262" t="str">
        <f ca="1" t="shared" si="13"/>
        <v>Risk-On</v>
      </c>
      <c r="I262">
        <f ca="1" t="shared" si="14"/>
        <v>1</v>
      </c>
      <c r="J262">
        <f>_xlfn.XLOOKUP($A262,[1]Sheet1!$B$9:$B$2584,[1]Sheet1!$C$9:$C$2584,"N/A",0)</f>
        <v>95.9</v>
      </c>
      <c r="K262">
        <f>_xlfn.XLOOKUP($A262,[1]Sheet1!$E$9:$E$2584,[1]Sheet1!$F$9:$F$2584,"N/A",0)</f>
        <v>117.95</v>
      </c>
      <c r="L262">
        <f>_xlfn.XLOOKUP($A262,[1]Sheet1!$H$9:$H$2584,[1]Sheet1!$I$9:$I$2584,"N/A",0)</f>
        <v>102.26</v>
      </c>
      <c r="M262">
        <f>_xlfn.XLOOKUP($A262,[1]Sheet1!$K$9:$K$2584,[1]Sheet1!$L$9:$L$2584,"N/A",0)</f>
        <v>116.88</v>
      </c>
      <c r="N262">
        <f>_xlfn.XLOOKUP($A262,[1]Sheet1!$N$9:$N$2584,[1]Sheet1!$O$9:$O$2584,"N/A",0)</f>
        <v>93.51</v>
      </c>
      <c r="O262">
        <v>95.9</v>
      </c>
      <c r="P262">
        <v>117.95</v>
      </c>
      <c r="Q262">
        <v>102.26</v>
      </c>
      <c r="R262">
        <v>93.51</v>
      </c>
      <c r="S262">
        <v>116.88</v>
      </c>
    </row>
    <row r="263" spans="1:19">
      <c r="A263" s="1">
        <v>42748</v>
      </c>
      <c r="B263" t="s">
        <v>152</v>
      </c>
      <c r="C263" t="s">
        <v>174</v>
      </c>
      <c r="D263">
        <v>12.175</v>
      </c>
      <c r="E263">
        <v>14.225</v>
      </c>
      <c r="F263" s="2" t="s">
        <v>188</v>
      </c>
      <c r="G263">
        <f ca="1" t="shared" si="12"/>
        <v>2.19281601169172</v>
      </c>
      <c r="H263" t="str">
        <f ca="1" t="shared" si="13"/>
        <v>Risk-On</v>
      </c>
      <c r="I263">
        <f ca="1" t="shared" si="14"/>
        <v>1</v>
      </c>
      <c r="J263">
        <f>_xlfn.XLOOKUP($A263,[1]Sheet1!$B$9:$B$2584,[1]Sheet1!$C$9:$C$2584,"N/A",0)</f>
        <v>96.11</v>
      </c>
      <c r="K263">
        <f>_xlfn.XLOOKUP($A263,[1]Sheet1!$E$9:$E$2584,[1]Sheet1!$F$9:$F$2584,"N/A",0)</f>
        <v>118.21</v>
      </c>
      <c r="L263">
        <f>_xlfn.XLOOKUP($A263,[1]Sheet1!$H$9:$H$2584,[1]Sheet1!$I$9:$I$2584,"N/A",0)</f>
        <v>101.99</v>
      </c>
      <c r="M263">
        <f>_xlfn.XLOOKUP($A263,[1]Sheet1!$K$9:$K$2584,[1]Sheet1!$L$9:$L$2584,"N/A",0)</f>
        <v>116.87</v>
      </c>
      <c r="N263">
        <f>_xlfn.XLOOKUP($A263,[1]Sheet1!$N$9:$N$2584,[1]Sheet1!$O$9:$O$2584,"N/A",0)</f>
        <v>93</v>
      </c>
      <c r="O263">
        <v>96.11</v>
      </c>
      <c r="P263">
        <v>118.21</v>
      </c>
      <c r="Q263">
        <v>101.99</v>
      </c>
      <c r="R263">
        <v>93</v>
      </c>
      <c r="S263">
        <v>116.87</v>
      </c>
    </row>
    <row r="264" spans="1:19">
      <c r="A264" s="1">
        <v>42752</v>
      </c>
      <c r="B264" t="s">
        <v>152</v>
      </c>
      <c r="C264" t="s">
        <v>174</v>
      </c>
      <c r="D264">
        <v>12.175</v>
      </c>
      <c r="E264">
        <v>14.175</v>
      </c>
      <c r="F264" s="2" t="s">
        <v>189</v>
      </c>
      <c r="G264">
        <f ca="1" t="shared" si="12"/>
        <v>2.12369458652295</v>
      </c>
      <c r="H264" t="str">
        <f ca="1" t="shared" si="13"/>
        <v>Risk-On</v>
      </c>
      <c r="I264">
        <f ca="1" t="shared" si="14"/>
        <v>1</v>
      </c>
      <c r="J264">
        <f>_xlfn.XLOOKUP($A264,[1]Sheet1!$B$9:$B$2584,[1]Sheet1!$C$9:$C$2584,"N/A",0)</f>
        <v>96.05</v>
      </c>
      <c r="K264">
        <f>_xlfn.XLOOKUP($A264,[1]Sheet1!$E$9:$E$2584,[1]Sheet1!$F$9:$F$2584,"N/A",0)</f>
        <v>118.06</v>
      </c>
      <c r="L264">
        <f>_xlfn.XLOOKUP($A264,[1]Sheet1!$H$9:$H$2584,[1]Sheet1!$I$9:$I$2584,"N/A",0)</f>
        <v>102</v>
      </c>
      <c r="M264">
        <f>_xlfn.XLOOKUP($A264,[1]Sheet1!$K$9:$K$2584,[1]Sheet1!$L$9:$L$2584,"N/A",0)</f>
        <v>116.45</v>
      </c>
      <c r="N264">
        <f>_xlfn.XLOOKUP($A264,[1]Sheet1!$N$9:$N$2584,[1]Sheet1!$O$9:$O$2584,"N/A",0)</f>
        <v>93.2</v>
      </c>
      <c r="O264">
        <v>96.05</v>
      </c>
      <c r="P264">
        <v>118.06</v>
      </c>
      <c r="Q264">
        <v>102</v>
      </c>
      <c r="R264">
        <v>93.2</v>
      </c>
      <c r="S264">
        <v>116.45</v>
      </c>
    </row>
    <row r="265" spans="1:19">
      <c r="A265" s="1">
        <v>42753</v>
      </c>
      <c r="B265" t="s">
        <v>152</v>
      </c>
      <c r="C265" t="s">
        <v>174</v>
      </c>
      <c r="D265">
        <v>12.52</v>
      </c>
      <c r="E265">
        <v>14.175</v>
      </c>
      <c r="F265">
        <v>0.132188498402556</v>
      </c>
      <c r="G265">
        <f ca="1" t="shared" si="12"/>
        <v>1.59166051240616</v>
      </c>
      <c r="H265" t="str">
        <f ca="1" t="shared" si="13"/>
        <v>Risk-Off</v>
      </c>
      <c r="I265">
        <f ca="1" t="shared" si="14"/>
        <v>1</v>
      </c>
      <c r="J265">
        <f>_xlfn.XLOOKUP($A265,[1]Sheet1!$B$9:$B$2584,[1]Sheet1!$C$9:$C$2584,"N/A",0)</f>
        <v>96.2</v>
      </c>
      <c r="K265">
        <f>_xlfn.XLOOKUP($A265,[1]Sheet1!$E$9:$E$2584,[1]Sheet1!$F$9:$F$2584,"N/A",0)</f>
        <v>118.7</v>
      </c>
      <c r="L265">
        <f>_xlfn.XLOOKUP($A265,[1]Sheet1!$H$9:$H$2584,[1]Sheet1!$I$9:$I$2584,"N/A",0)</f>
        <v>101.65</v>
      </c>
      <c r="M265">
        <f>_xlfn.XLOOKUP($A265,[1]Sheet1!$K$9:$K$2584,[1]Sheet1!$L$9:$L$2584,"N/A",0)</f>
        <v>116.63</v>
      </c>
      <c r="N265">
        <f>_xlfn.XLOOKUP($A265,[1]Sheet1!$N$9:$N$2584,[1]Sheet1!$O$9:$O$2584,"N/A",0)</f>
        <v>93.18</v>
      </c>
      <c r="O265">
        <v>96.2</v>
      </c>
      <c r="P265">
        <v>118.7</v>
      </c>
      <c r="Q265">
        <v>101.65</v>
      </c>
      <c r="R265">
        <v>93.18</v>
      </c>
      <c r="S265">
        <v>116.63</v>
      </c>
    </row>
    <row r="266" spans="1:19">
      <c r="A266" s="1">
        <v>42754</v>
      </c>
      <c r="B266" t="s">
        <v>174</v>
      </c>
      <c r="C266" t="s">
        <v>190</v>
      </c>
      <c r="D266">
        <v>14.225</v>
      </c>
      <c r="E266">
        <v>15.575</v>
      </c>
      <c r="F266">
        <v>0.0949033391915641</v>
      </c>
      <c r="G266">
        <f ca="1" t="shared" si="12"/>
        <v>0.925569430934465</v>
      </c>
      <c r="H266" t="str">
        <f ca="1" t="shared" si="13"/>
        <v>Risk-Off</v>
      </c>
      <c r="I266">
        <f ca="1" t="shared" si="14"/>
        <v>1</v>
      </c>
      <c r="J266">
        <f>_xlfn.XLOOKUP($A266,[1]Sheet1!$B$9:$B$2584,[1]Sheet1!$C$9:$C$2584,"N/A",0)</f>
        <v>96.59</v>
      </c>
      <c r="K266">
        <f>_xlfn.XLOOKUP($A266,[1]Sheet1!$E$9:$E$2584,[1]Sheet1!$F$9:$F$2584,"N/A",0)</f>
        <v>119.04</v>
      </c>
      <c r="L266">
        <f>_xlfn.XLOOKUP($A266,[1]Sheet1!$H$9:$H$2584,[1]Sheet1!$I$9:$I$2584,"N/A",0)</f>
        <v>101.34</v>
      </c>
      <c r="M266">
        <f>_xlfn.XLOOKUP($A266,[1]Sheet1!$K$9:$K$2584,[1]Sheet1!$L$9:$L$2584,"N/A",0)</f>
        <v>116.29</v>
      </c>
      <c r="N266">
        <f>_xlfn.XLOOKUP($A266,[1]Sheet1!$N$9:$N$2584,[1]Sheet1!$O$9:$O$2584,"N/A",0)</f>
        <v>93.89</v>
      </c>
      <c r="O266">
        <v>96.59</v>
      </c>
      <c r="P266">
        <v>119.04</v>
      </c>
      <c r="Q266">
        <v>101.34</v>
      </c>
      <c r="R266">
        <v>93.89</v>
      </c>
      <c r="S266">
        <v>116.29</v>
      </c>
    </row>
    <row r="267" spans="1:19">
      <c r="A267" s="1">
        <v>42755</v>
      </c>
      <c r="B267" t="s">
        <v>174</v>
      </c>
      <c r="C267" t="s">
        <v>190</v>
      </c>
      <c r="D267">
        <v>13.825</v>
      </c>
      <c r="E267">
        <v>15.225</v>
      </c>
      <c r="F267" s="2" t="s">
        <v>191</v>
      </c>
      <c r="G267">
        <f ca="1" t="shared" si="12"/>
        <v>1.0262155575301</v>
      </c>
      <c r="H267" t="str">
        <f ca="1" t="shared" si="13"/>
        <v>Risk-On</v>
      </c>
      <c r="I267">
        <f ca="1" t="shared" si="14"/>
        <v>1</v>
      </c>
      <c r="J267">
        <f>_xlfn.XLOOKUP($A267,[1]Sheet1!$B$9:$B$2584,[1]Sheet1!$C$9:$C$2584,"N/A",0)</f>
        <v>96.65</v>
      </c>
      <c r="K267">
        <f>_xlfn.XLOOKUP($A267,[1]Sheet1!$E$9:$E$2584,[1]Sheet1!$F$9:$F$2584,"N/A",0)</f>
        <v>119.2</v>
      </c>
      <c r="L267">
        <f>_xlfn.XLOOKUP($A267,[1]Sheet1!$H$9:$H$2584,[1]Sheet1!$I$9:$I$2584,"N/A",0)</f>
        <v>101.45</v>
      </c>
      <c r="M267">
        <f>_xlfn.XLOOKUP($A267,[1]Sheet1!$K$9:$K$2584,[1]Sheet1!$L$9:$L$2584,"N/A",0)</f>
        <v>116.32</v>
      </c>
      <c r="N267">
        <f>_xlfn.XLOOKUP($A267,[1]Sheet1!$N$9:$N$2584,[1]Sheet1!$O$9:$O$2584,"N/A",0)</f>
        <v>93.91</v>
      </c>
      <c r="O267">
        <v>96.65</v>
      </c>
      <c r="P267">
        <v>119.2</v>
      </c>
      <c r="Q267">
        <v>101.45</v>
      </c>
      <c r="R267">
        <v>93.91</v>
      </c>
      <c r="S267">
        <v>116.32</v>
      </c>
    </row>
    <row r="268" spans="1:19">
      <c r="A268" s="1">
        <v>42758</v>
      </c>
      <c r="B268" t="s">
        <v>174</v>
      </c>
      <c r="C268" t="s">
        <v>190</v>
      </c>
      <c r="D268">
        <v>13.575</v>
      </c>
      <c r="E268">
        <v>14.975</v>
      </c>
      <c r="F268" s="2" t="s">
        <v>192</v>
      </c>
      <c r="G268">
        <f ca="1" t="shared" si="12"/>
        <v>1.049558506749</v>
      </c>
      <c r="H268" t="str">
        <f ca="1" t="shared" si="13"/>
        <v>Risk-On</v>
      </c>
      <c r="I268">
        <f ca="1" t="shared" si="14"/>
        <v>1</v>
      </c>
      <c r="J268">
        <f>_xlfn.XLOOKUP($A268,[1]Sheet1!$B$9:$B$2584,[1]Sheet1!$C$9:$C$2584,"N/A",0)</f>
        <v>96.88</v>
      </c>
      <c r="K268">
        <f>_xlfn.XLOOKUP($A268,[1]Sheet1!$E$9:$E$2584,[1]Sheet1!$F$9:$F$2584,"N/A",0)</f>
        <v>119.33</v>
      </c>
      <c r="L268">
        <f>_xlfn.XLOOKUP($A268,[1]Sheet1!$H$9:$H$2584,[1]Sheet1!$I$9:$I$2584,"N/A",0)</f>
        <v>101.44</v>
      </c>
      <c r="M268">
        <f>_xlfn.XLOOKUP($A268,[1]Sheet1!$K$9:$K$2584,[1]Sheet1!$L$9:$L$2584,"N/A",0)</f>
        <v>115.86</v>
      </c>
      <c r="N268">
        <f>_xlfn.XLOOKUP($A268,[1]Sheet1!$N$9:$N$2584,[1]Sheet1!$O$9:$O$2584,"N/A",0)</f>
        <v>93.87</v>
      </c>
      <c r="O268">
        <v>96.88</v>
      </c>
      <c r="P268">
        <v>119.33</v>
      </c>
      <c r="Q268">
        <v>101.44</v>
      </c>
      <c r="R268">
        <v>93.87</v>
      </c>
      <c r="S268">
        <v>115.86</v>
      </c>
    </row>
    <row r="269" spans="1:19">
      <c r="A269" s="1">
        <v>42759</v>
      </c>
      <c r="B269" t="s">
        <v>174</v>
      </c>
      <c r="C269" t="s">
        <v>190</v>
      </c>
      <c r="D269">
        <v>13.025</v>
      </c>
      <c r="E269">
        <v>14.375</v>
      </c>
      <c r="F269" s="2" t="s">
        <v>193</v>
      </c>
      <c r="G269">
        <f ca="1" t="shared" si="12"/>
        <v>1.04792934166689</v>
      </c>
      <c r="H269" t="str">
        <f ca="1" t="shared" si="13"/>
        <v>Risk-On</v>
      </c>
      <c r="I269">
        <f ca="1" t="shared" si="14"/>
        <v>1</v>
      </c>
      <c r="J269">
        <f>_xlfn.XLOOKUP($A269,[1]Sheet1!$B$9:$B$2584,[1]Sheet1!$C$9:$C$2584,"N/A",0)</f>
        <v>96.9</v>
      </c>
      <c r="K269">
        <f>_xlfn.XLOOKUP($A269,[1]Sheet1!$E$9:$E$2584,[1]Sheet1!$F$9:$F$2584,"N/A",0)</f>
        <v>119.88</v>
      </c>
      <c r="L269">
        <f>_xlfn.XLOOKUP($A269,[1]Sheet1!$H$9:$H$2584,[1]Sheet1!$I$9:$I$2584,"N/A",0)</f>
        <v>101.97</v>
      </c>
      <c r="M269">
        <f>_xlfn.XLOOKUP($A269,[1]Sheet1!$K$9:$K$2584,[1]Sheet1!$L$9:$L$2584,"N/A",0)</f>
        <v>115.98</v>
      </c>
      <c r="N269">
        <f>_xlfn.XLOOKUP($A269,[1]Sheet1!$N$9:$N$2584,[1]Sheet1!$O$9:$O$2584,"N/A",0)</f>
        <v>93.38</v>
      </c>
      <c r="O269">
        <v>96.9</v>
      </c>
      <c r="P269">
        <v>119.88</v>
      </c>
      <c r="Q269">
        <v>101.97</v>
      </c>
      <c r="R269">
        <v>93.38</v>
      </c>
      <c r="S269">
        <v>115.98</v>
      </c>
    </row>
    <row r="270" spans="1:19">
      <c r="A270" s="1">
        <v>42760</v>
      </c>
      <c r="B270" t="s">
        <v>174</v>
      </c>
      <c r="C270" t="s">
        <v>190</v>
      </c>
      <c r="D270">
        <v>12.725</v>
      </c>
      <c r="E270">
        <v>14.175</v>
      </c>
      <c r="F270" s="2" t="s">
        <v>194</v>
      </c>
      <c r="G270">
        <f ca="1" t="shared" si="12"/>
        <v>1.22175833210245</v>
      </c>
      <c r="H270" t="str">
        <f ca="1" t="shared" si="13"/>
        <v>Risk-On</v>
      </c>
      <c r="I270">
        <f ca="1" t="shared" si="14"/>
        <v>1</v>
      </c>
      <c r="J270">
        <f>_xlfn.XLOOKUP($A270,[1]Sheet1!$B$9:$B$2584,[1]Sheet1!$C$9:$C$2584,"N/A",0)</f>
        <v>97.1</v>
      </c>
      <c r="K270">
        <f>_xlfn.XLOOKUP($A270,[1]Sheet1!$E$9:$E$2584,[1]Sheet1!$F$9:$F$2584,"N/A",0)</f>
        <v>119.85</v>
      </c>
      <c r="L270">
        <f>_xlfn.XLOOKUP($A270,[1]Sheet1!$H$9:$H$2584,[1]Sheet1!$I$9:$I$2584,"N/A",0)</f>
        <v>101.96</v>
      </c>
      <c r="M270">
        <f>_xlfn.XLOOKUP($A270,[1]Sheet1!$K$9:$K$2584,[1]Sheet1!$L$9:$L$2584,"N/A",0)</f>
        <v>115.95</v>
      </c>
      <c r="N270">
        <f>_xlfn.XLOOKUP($A270,[1]Sheet1!$N$9:$N$2584,[1]Sheet1!$O$9:$O$2584,"N/A",0)</f>
        <v>93.14</v>
      </c>
      <c r="O270">
        <v>97.1</v>
      </c>
      <c r="P270">
        <v>119.85</v>
      </c>
      <c r="Q270">
        <v>101.96</v>
      </c>
      <c r="R270">
        <v>93.14</v>
      </c>
      <c r="S270">
        <v>115.95</v>
      </c>
    </row>
    <row r="271" spans="1:19">
      <c r="A271" s="1">
        <v>42761</v>
      </c>
      <c r="B271" t="s">
        <v>174</v>
      </c>
      <c r="C271" t="s">
        <v>190</v>
      </c>
      <c r="D271">
        <v>12.675</v>
      </c>
      <c r="E271">
        <v>14.125</v>
      </c>
      <c r="F271" s="2" t="s">
        <v>195</v>
      </c>
      <c r="G271">
        <f ca="1" t="shared" si="12"/>
        <v>1.22030164383394</v>
      </c>
      <c r="H271" t="str">
        <f ca="1" t="shared" si="13"/>
        <v>Risk-On</v>
      </c>
      <c r="I271">
        <f ca="1" t="shared" si="14"/>
        <v>1</v>
      </c>
      <c r="J271">
        <f>_xlfn.XLOOKUP($A271,[1]Sheet1!$B$9:$B$2584,[1]Sheet1!$C$9:$C$2584,"N/A",0)</f>
        <v>97.29</v>
      </c>
      <c r="K271">
        <f>_xlfn.XLOOKUP($A271,[1]Sheet1!$E$9:$E$2584,[1]Sheet1!$F$9:$F$2584,"N/A",0)</f>
        <v>119.99</v>
      </c>
      <c r="L271">
        <f>_xlfn.XLOOKUP($A271,[1]Sheet1!$H$9:$H$2584,[1]Sheet1!$I$9:$I$2584,"N/A",0)</f>
        <v>101.78</v>
      </c>
      <c r="M271">
        <f>_xlfn.XLOOKUP($A271,[1]Sheet1!$K$9:$K$2584,[1]Sheet1!$L$9:$L$2584,"N/A",0)</f>
        <v>115.55</v>
      </c>
      <c r="N271">
        <f>_xlfn.XLOOKUP($A271,[1]Sheet1!$N$9:$N$2584,[1]Sheet1!$O$9:$O$2584,"N/A",0)</f>
        <v>93.68</v>
      </c>
      <c r="O271">
        <v>97.29</v>
      </c>
      <c r="P271">
        <v>119.99</v>
      </c>
      <c r="Q271">
        <v>101.78</v>
      </c>
      <c r="R271">
        <v>93.68</v>
      </c>
      <c r="S271">
        <v>115.55</v>
      </c>
    </row>
    <row r="272" spans="1:19">
      <c r="A272" s="1">
        <v>42762</v>
      </c>
      <c r="B272" t="s">
        <v>174</v>
      </c>
      <c r="C272" t="s">
        <v>190</v>
      </c>
      <c r="D272">
        <v>12.525</v>
      </c>
      <c r="E272">
        <v>14.125</v>
      </c>
      <c r="F272" s="2" t="s">
        <v>196</v>
      </c>
      <c r="G272">
        <f ca="1" t="shared" si="12"/>
        <v>1.45265668724915</v>
      </c>
      <c r="H272" t="str">
        <f ca="1" t="shared" si="13"/>
        <v>Risk-On</v>
      </c>
      <c r="I272">
        <f ca="1" t="shared" si="14"/>
        <v>1</v>
      </c>
      <c r="J272">
        <f>_xlfn.XLOOKUP($A272,[1]Sheet1!$B$9:$B$2584,[1]Sheet1!$C$9:$C$2584,"N/A",0)</f>
        <v>97.16</v>
      </c>
      <c r="K272">
        <f>_xlfn.XLOOKUP($A272,[1]Sheet1!$E$9:$E$2584,[1]Sheet1!$F$9:$F$2584,"N/A",0)</f>
        <v>120.35</v>
      </c>
      <c r="L272">
        <f>_xlfn.XLOOKUP($A272,[1]Sheet1!$H$9:$H$2584,[1]Sheet1!$I$9:$I$2584,"N/A",0)</f>
        <v>101.33</v>
      </c>
      <c r="M272">
        <f>_xlfn.XLOOKUP($A272,[1]Sheet1!$K$9:$K$2584,[1]Sheet1!$L$9:$L$2584,"N/A",0)</f>
        <v>115.45</v>
      </c>
      <c r="N272">
        <f>_xlfn.XLOOKUP($A272,[1]Sheet1!$N$9:$N$2584,[1]Sheet1!$O$9:$O$2584,"N/A",0)</f>
        <v>93.88</v>
      </c>
      <c r="O272">
        <v>97.16</v>
      </c>
      <c r="P272">
        <v>120.35</v>
      </c>
      <c r="Q272">
        <v>101.33</v>
      </c>
      <c r="R272">
        <v>93.88</v>
      </c>
      <c r="S272">
        <v>115.45</v>
      </c>
    </row>
    <row r="273" spans="1:19">
      <c r="A273" s="1">
        <v>42765</v>
      </c>
      <c r="B273" t="s">
        <v>174</v>
      </c>
      <c r="C273" t="s">
        <v>190</v>
      </c>
      <c r="D273">
        <v>12.875</v>
      </c>
      <c r="E273">
        <v>14.325</v>
      </c>
      <c r="F273" s="2" t="s">
        <v>197</v>
      </c>
      <c r="G273">
        <f ca="1" t="shared" si="12"/>
        <v>1.17066323259028</v>
      </c>
      <c r="H273" t="str">
        <f ca="1" t="shared" si="13"/>
        <v>Risk-On</v>
      </c>
      <c r="I273">
        <f ca="1" t="shared" si="14"/>
        <v>1</v>
      </c>
      <c r="J273">
        <f>_xlfn.XLOOKUP($A273,[1]Sheet1!$B$9:$B$2584,[1]Sheet1!$C$9:$C$2584,"N/A",0)</f>
        <v>97.02</v>
      </c>
      <c r="K273">
        <f>_xlfn.XLOOKUP($A273,[1]Sheet1!$E$9:$E$2584,[1]Sheet1!$F$9:$F$2584,"N/A",0)</f>
        <v>119.9</v>
      </c>
      <c r="L273">
        <f>_xlfn.XLOOKUP($A273,[1]Sheet1!$H$9:$H$2584,[1]Sheet1!$I$9:$I$2584,"N/A",0)</f>
        <v>101.74</v>
      </c>
      <c r="M273">
        <f>_xlfn.XLOOKUP($A273,[1]Sheet1!$K$9:$K$2584,[1]Sheet1!$L$9:$L$2584,"N/A",0)</f>
        <v>115.47</v>
      </c>
      <c r="N273">
        <f>_xlfn.XLOOKUP($A273,[1]Sheet1!$N$9:$N$2584,[1]Sheet1!$O$9:$O$2584,"N/A",0)</f>
        <v>94.09</v>
      </c>
      <c r="O273">
        <v>97.02</v>
      </c>
      <c r="P273">
        <v>119.9</v>
      </c>
      <c r="Q273">
        <v>101.74</v>
      </c>
      <c r="R273">
        <v>94.09</v>
      </c>
      <c r="S273">
        <v>115.47</v>
      </c>
    </row>
    <row r="274" spans="1:19">
      <c r="A274" s="1">
        <v>42766</v>
      </c>
      <c r="B274" t="s">
        <v>174</v>
      </c>
      <c r="C274" t="s">
        <v>190</v>
      </c>
      <c r="D274">
        <v>12.925</v>
      </c>
      <c r="E274">
        <v>14.325</v>
      </c>
      <c r="F274" s="2" t="s">
        <v>198</v>
      </c>
      <c r="G274">
        <f ca="1" t="shared" si="12"/>
        <v>1.08084544522504</v>
      </c>
      <c r="H274" t="str">
        <f ca="1" t="shared" si="13"/>
        <v>Risk-Off</v>
      </c>
      <c r="I274">
        <f ca="1" t="shared" si="14"/>
        <v>1</v>
      </c>
      <c r="J274">
        <f>_xlfn.XLOOKUP($A274,[1]Sheet1!$B$9:$B$2584,[1]Sheet1!$C$9:$C$2584,"N/A",0)</f>
        <v>96.67</v>
      </c>
      <c r="K274">
        <f>_xlfn.XLOOKUP($A274,[1]Sheet1!$E$9:$E$2584,[1]Sheet1!$F$9:$F$2584,"N/A",0)</f>
        <v>120.08</v>
      </c>
      <c r="L274">
        <f>_xlfn.XLOOKUP($A274,[1]Sheet1!$H$9:$H$2584,[1]Sheet1!$I$9:$I$2584,"N/A",0)</f>
        <v>101.79</v>
      </c>
      <c r="M274">
        <f>_xlfn.XLOOKUP($A274,[1]Sheet1!$K$9:$K$2584,[1]Sheet1!$L$9:$L$2584,"N/A",0)</f>
        <v>114.69</v>
      </c>
      <c r="N274">
        <f>_xlfn.XLOOKUP($A274,[1]Sheet1!$N$9:$N$2584,[1]Sheet1!$O$9:$O$2584,"N/A",0)</f>
        <v>93.39</v>
      </c>
      <c r="O274">
        <v>96.67</v>
      </c>
      <c r="P274">
        <v>120.08</v>
      </c>
      <c r="Q274">
        <v>101.79</v>
      </c>
      <c r="R274">
        <v>93.39</v>
      </c>
      <c r="S274">
        <v>114.69</v>
      </c>
    </row>
    <row r="275" spans="1:19">
      <c r="A275" s="1">
        <v>42767</v>
      </c>
      <c r="B275" t="s">
        <v>174</v>
      </c>
      <c r="C275" t="s">
        <v>190</v>
      </c>
      <c r="D275">
        <v>12.675</v>
      </c>
      <c r="E275">
        <v>13.975</v>
      </c>
      <c r="F275" s="2" t="s">
        <v>199</v>
      </c>
      <c r="G275">
        <f ca="1" t="shared" si="12"/>
        <v>0.964175606065518</v>
      </c>
      <c r="H275" t="str">
        <f ca="1" t="shared" si="13"/>
        <v>Risk-Off</v>
      </c>
      <c r="I275">
        <f ca="1" t="shared" si="14"/>
        <v>1</v>
      </c>
      <c r="J275">
        <f>_xlfn.XLOOKUP($A275,[1]Sheet1!$B$9:$B$2584,[1]Sheet1!$C$9:$C$2584,"N/A",0)</f>
        <v>96.97</v>
      </c>
      <c r="K275">
        <f>_xlfn.XLOOKUP($A275,[1]Sheet1!$E$9:$E$2584,[1]Sheet1!$F$9:$F$2584,"N/A",0)</f>
        <v>120.36</v>
      </c>
      <c r="L275">
        <f>_xlfn.XLOOKUP($A275,[1]Sheet1!$H$9:$H$2584,[1]Sheet1!$I$9:$I$2584,"N/A",0)</f>
        <v>102.37</v>
      </c>
      <c r="M275">
        <f>_xlfn.XLOOKUP($A275,[1]Sheet1!$K$9:$K$2584,[1]Sheet1!$L$9:$L$2584,"N/A",0)</f>
        <v>114.7</v>
      </c>
      <c r="N275">
        <f>_xlfn.XLOOKUP($A275,[1]Sheet1!$N$9:$N$2584,[1]Sheet1!$O$9:$O$2584,"N/A",0)</f>
        <v>93.77</v>
      </c>
      <c r="O275">
        <v>96.97</v>
      </c>
      <c r="P275">
        <v>120.36</v>
      </c>
      <c r="Q275">
        <v>102.37</v>
      </c>
      <c r="R275">
        <v>93.77</v>
      </c>
      <c r="S275">
        <v>114.7</v>
      </c>
    </row>
    <row r="276" spans="1:19">
      <c r="A276" s="1">
        <v>42768</v>
      </c>
      <c r="B276" t="s">
        <v>174</v>
      </c>
      <c r="C276" t="s">
        <v>190</v>
      </c>
      <c r="D276">
        <v>12.925</v>
      </c>
      <c r="E276">
        <v>14.175</v>
      </c>
      <c r="F276">
        <v>0.0967117988394584</v>
      </c>
      <c r="G276">
        <f ca="1" t="shared" si="12"/>
        <v>0.845751733537931</v>
      </c>
      <c r="H276" t="str">
        <f ca="1" t="shared" si="13"/>
        <v>Risk-Off</v>
      </c>
      <c r="I276">
        <f ca="1" t="shared" si="14"/>
        <v>1</v>
      </c>
      <c r="J276">
        <f>_xlfn.XLOOKUP($A276,[1]Sheet1!$B$9:$B$2584,[1]Sheet1!$C$9:$C$2584,"N/A",0)</f>
        <v>96.65</v>
      </c>
      <c r="K276">
        <f>_xlfn.XLOOKUP($A276,[1]Sheet1!$E$9:$E$2584,[1]Sheet1!$F$9:$F$2584,"N/A",0)</f>
        <v>120.31</v>
      </c>
      <c r="L276">
        <f>_xlfn.XLOOKUP($A276,[1]Sheet1!$H$9:$H$2584,[1]Sheet1!$I$9:$I$2584,"N/A",0)</f>
        <v>101.82</v>
      </c>
      <c r="M276">
        <f>_xlfn.XLOOKUP($A276,[1]Sheet1!$K$9:$K$2584,[1]Sheet1!$L$9:$L$2584,"N/A",0)</f>
        <v>114.98</v>
      </c>
      <c r="N276">
        <f>_xlfn.XLOOKUP($A276,[1]Sheet1!$N$9:$N$2584,[1]Sheet1!$O$9:$O$2584,"N/A",0)</f>
        <v>93.9</v>
      </c>
      <c r="O276">
        <v>96.65</v>
      </c>
      <c r="P276">
        <v>120.31</v>
      </c>
      <c r="Q276">
        <v>101.82</v>
      </c>
      <c r="R276">
        <v>93.9</v>
      </c>
      <c r="S276">
        <v>114.98</v>
      </c>
    </row>
    <row r="277" spans="1:19">
      <c r="A277" s="1">
        <v>42769</v>
      </c>
      <c r="B277" t="s">
        <v>174</v>
      </c>
      <c r="C277" t="s">
        <v>190</v>
      </c>
      <c r="D277">
        <v>12.475</v>
      </c>
      <c r="E277">
        <v>13.925</v>
      </c>
      <c r="F277" s="2" t="s">
        <v>200</v>
      </c>
      <c r="G277">
        <f ca="1" t="shared" si="12"/>
        <v>1.18728457038901</v>
      </c>
      <c r="H277" t="str">
        <f ca="1" t="shared" si="13"/>
        <v>Risk-Off</v>
      </c>
      <c r="I277">
        <f ca="1" t="shared" si="14"/>
        <v>1</v>
      </c>
      <c r="J277">
        <f>_xlfn.XLOOKUP($A277,[1]Sheet1!$B$9:$B$2584,[1]Sheet1!$C$9:$C$2584,"N/A",0)</f>
        <v>96.38</v>
      </c>
      <c r="K277">
        <f>_xlfn.XLOOKUP($A277,[1]Sheet1!$E$9:$E$2584,[1]Sheet1!$F$9:$F$2584,"N/A",0)</f>
        <v>120.8</v>
      </c>
      <c r="L277">
        <f>_xlfn.XLOOKUP($A277,[1]Sheet1!$H$9:$H$2584,[1]Sheet1!$I$9:$I$2584,"N/A",0)</f>
        <v>101.76</v>
      </c>
      <c r="M277">
        <f>_xlfn.XLOOKUP($A277,[1]Sheet1!$K$9:$K$2584,[1]Sheet1!$L$9:$L$2584,"N/A",0)</f>
        <v>115.11</v>
      </c>
      <c r="N277">
        <f>_xlfn.XLOOKUP($A277,[1]Sheet1!$N$9:$N$2584,[1]Sheet1!$O$9:$O$2584,"N/A",0)</f>
        <v>93.4</v>
      </c>
      <c r="O277">
        <v>96.38</v>
      </c>
      <c r="P277">
        <v>120.8</v>
      </c>
      <c r="Q277">
        <v>101.76</v>
      </c>
      <c r="R277">
        <v>93.4</v>
      </c>
      <c r="S277">
        <v>115.11</v>
      </c>
    </row>
    <row r="278" spans="1:19">
      <c r="A278" s="1">
        <v>42772</v>
      </c>
      <c r="B278" t="s">
        <v>174</v>
      </c>
      <c r="C278" t="s">
        <v>190</v>
      </c>
      <c r="D278">
        <v>12.475</v>
      </c>
      <c r="E278">
        <v>13.975</v>
      </c>
      <c r="F278" s="2" t="s">
        <v>201</v>
      </c>
      <c r="G278">
        <f ca="1" t="shared" si="12"/>
        <v>1.25263490189214</v>
      </c>
      <c r="H278" t="str">
        <f ca="1" t="shared" si="13"/>
        <v>Risk-Off</v>
      </c>
      <c r="I278">
        <f ca="1" t="shared" si="14"/>
        <v>1</v>
      </c>
      <c r="J278">
        <f>_xlfn.XLOOKUP($A278,[1]Sheet1!$B$9:$B$2584,[1]Sheet1!$C$9:$C$2584,"N/A",0)</f>
        <v>96.34</v>
      </c>
      <c r="K278">
        <f>_xlfn.XLOOKUP($A278,[1]Sheet1!$E$9:$E$2584,[1]Sheet1!$F$9:$F$2584,"N/A",0)</f>
        <v>120.86</v>
      </c>
      <c r="L278">
        <f>_xlfn.XLOOKUP($A278,[1]Sheet1!$H$9:$H$2584,[1]Sheet1!$I$9:$I$2584,"N/A",0)</f>
        <v>101.52</v>
      </c>
      <c r="M278">
        <f>_xlfn.XLOOKUP($A278,[1]Sheet1!$K$9:$K$2584,[1]Sheet1!$L$9:$L$2584,"N/A",0)</f>
        <v>114.99</v>
      </c>
      <c r="N278">
        <f>_xlfn.XLOOKUP($A278,[1]Sheet1!$N$9:$N$2584,[1]Sheet1!$O$9:$O$2584,"N/A",0)</f>
        <v>93.92</v>
      </c>
      <c r="O278">
        <v>96.34</v>
      </c>
      <c r="P278">
        <v>120.86</v>
      </c>
      <c r="Q278">
        <v>101.52</v>
      </c>
      <c r="R278">
        <v>93.92</v>
      </c>
      <c r="S278">
        <v>114.99</v>
      </c>
    </row>
    <row r="279" spans="1:19">
      <c r="A279" s="1">
        <v>42773</v>
      </c>
      <c r="B279" t="s">
        <v>174</v>
      </c>
      <c r="C279" t="s">
        <v>190</v>
      </c>
      <c r="D279">
        <v>12.575</v>
      </c>
      <c r="E279">
        <v>13.975</v>
      </c>
      <c r="F279" s="2" t="s">
        <v>202</v>
      </c>
      <c r="G279">
        <f ca="1" t="shared" si="12"/>
        <v>1.07970881422832</v>
      </c>
      <c r="H279" t="str">
        <f ca="1" t="shared" si="13"/>
        <v>Risk-Off</v>
      </c>
      <c r="I279">
        <f ca="1" t="shared" si="14"/>
        <v>1</v>
      </c>
      <c r="J279">
        <f>_xlfn.XLOOKUP($A279,[1]Sheet1!$B$9:$B$2584,[1]Sheet1!$C$9:$C$2584,"N/A",0)</f>
        <v>96.49</v>
      </c>
      <c r="K279">
        <f>_xlfn.XLOOKUP($A279,[1]Sheet1!$E$9:$E$2584,[1]Sheet1!$F$9:$F$2584,"N/A",0)</f>
        <v>120.69</v>
      </c>
      <c r="L279">
        <f>_xlfn.XLOOKUP($A279,[1]Sheet1!$H$9:$H$2584,[1]Sheet1!$I$9:$I$2584,"N/A",0)</f>
        <v>101.16</v>
      </c>
      <c r="M279">
        <f>_xlfn.XLOOKUP($A279,[1]Sheet1!$K$9:$K$2584,[1]Sheet1!$L$9:$L$2584,"N/A",0)</f>
        <v>114.96</v>
      </c>
      <c r="N279">
        <f>_xlfn.XLOOKUP($A279,[1]Sheet1!$N$9:$N$2584,[1]Sheet1!$O$9:$O$2584,"N/A",0)</f>
        <v>94.18</v>
      </c>
      <c r="O279">
        <v>96.49</v>
      </c>
      <c r="P279">
        <v>120.69</v>
      </c>
      <c r="Q279">
        <v>101.16</v>
      </c>
      <c r="R279">
        <v>94.18</v>
      </c>
      <c r="S279">
        <v>114.96</v>
      </c>
    </row>
    <row r="280" spans="1:19">
      <c r="A280" s="1">
        <v>42774</v>
      </c>
      <c r="B280" t="s">
        <v>174</v>
      </c>
      <c r="C280" t="s">
        <v>190</v>
      </c>
      <c r="D280">
        <v>12.575</v>
      </c>
      <c r="E280">
        <v>13.975</v>
      </c>
      <c r="F280" s="2" t="s">
        <v>202</v>
      </c>
      <c r="G280">
        <f ca="1" t="shared" si="12"/>
        <v>1.07760225707142</v>
      </c>
      <c r="H280" t="str">
        <f ca="1" t="shared" si="13"/>
        <v>Risk-Off</v>
      </c>
      <c r="I280">
        <f ca="1" t="shared" si="14"/>
        <v>1</v>
      </c>
      <c r="J280">
        <f>_xlfn.XLOOKUP($A280,[1]Sheet1!$B$9:$B$2584,[1]Sheet1!$C$9:$C$2584,"N/A",0)</f>
        <v>96.01</v>
      </c>
      <c r="K280">
        <f>_xlfn.XLOOKUP($A280,[1]Sheet1!$E$9:$E$2584,[1]Sheet1!$F$9:$F$2584,"N/A",0)</f>
        <v>119.81</v>
      </c>
      <c r="L280">
        <f>_xlfn.XLOOKUP($A280,[1]Sheet1!$H$9:$H$2584,[1]Sheet1!$I$9:$I$2584,"N/A",0)</f>
        <v>101.18</v>
      </c>
      <c r="M280">
        <f>_xlfn.XLOOKUP($A280,[1]Sheet1!$K$9:$K$2584,[1]Sheet1!$L$9:$L$2584,"N/A",0)</f>
        <v>114.74</v>
      </c>
      <c r="N280">
        <f>_xlfn.XLOOKUP($A280,[1]Sheet1!$N$9:$N$2584,[1]Sheet1!$O$9:$O$2584,"N/A",0)</f>
        <v>94.07</v>
      </c>
      <c r="O280">
        <v>96.01</v>
      </c>
      <c r="P280">
        <v>119.81</v>
      </c>
      <c r="Q280">
        <v>101.18</v>
      </c>
      <c r="R280">
        <v>94.07</v>
      </c>
      <c r="S280">
        <v>114.74</v>
      </c>
    </row>
    <row r="281" spans="1:19">
      <c r="A281" s="1">
        <v>42775</v>
      </c>
      <c r="B281" t="s">
        <v>174</v>
      </c>
      <c r="C281" t="s">
        <v>190</v>
      </c>
      <c r="D281">
        <v>12.025</v>
      </c>
      <c r="E281">
        <v>13.675</v>
      </c>
      <c r="F281" s="2" t="s">
        <v>203</v>
      </c>
      <c r="G281">
        <f ca="1" t="shared" si="12"/>
        <v>1.59699399622766</v>
      </c>
      <c r="H281" t="str">
        <f ca="1" t="shared" si="13"/>
        <v>Risk-Off</v>
      </c>
      <c r="I281">
        <f ca="1" t="shared" si="14"/>
        <v>1</v>
      </c>
      <c r="J281">
        <f>_xlfn.XLOOKUP($A281,[1]Sheet1!$B$9:$B$2584,[1]Sheet1!$C$9:$C$2584,"N/A",0)</f>
        <v>95.91</v>
      </c>
      <c r="K281">
        <f>_xlfn.XLOOKUP($A281,[1]Sheet1!$E$9:$E$2584,[1]Sheet1!$F$9:$F$2584,"N/A",0)</f>
        <v>119.66</v>
      </c>
      <c r="L281">
        <f>_xlfn.XLOOKUP($A281,[1]Sheet1!$H$9:$H$2584,[1]Sheet1!$I$9:$I$2584,"N/A",0)</f>
        <v>101.32</v>
      </c>
      <c r="M281">
        <f>_xlfn.XLOOKUP($A281,[1]Sheet1!$K$9:$K$2584,[1]Sheet1!$L$9:$L$2584,"N/A",0)</f>
        <v>114.77</v>
      </c>
      <c r="N281">
        <f>_xlfn.XLOOKUP($A281,[1]Sheet1!$N$9:$N$2584,[1]Sheet1!$O$9:$O$2584,"N/A",0)</f>
        <v>93.51</v>
      </c>
      <c r="O281">
        <v>95.91</v>
      </c>
      <c r="P281">
        <v>119.66</v>
      </c>
      <c r="Q281">
        <v>101.32</v>
      </c>
      <c r="R281">
        <v>93.51</v>
      </c>
      <c r="S281">
        <v>114.77</v>
      </c>
    </row>
    <row r="282" spans="1:19">
      <c r="A282" s="1">
        <v>42776</v>
      </c>
      <c r="B282" t="s">
        <v>174</v>
      </c>
      <c r="C282" t="s">
        <v>190</v>
      </c>
      <c r="D282">
        <v>11.725</v>
      </c>
      <c r="E282">
        <v>13.375</v>
      </c>
      <c r="F282" s="2" t="s">
        <v>204</v>
      </c>
      <c r="G282">
        <f ca="1" t="shared" si="12"/>
        <v>1.69085624729651</v>
      </c>
      <c r="H282" t="str">
        <f ca="1" t="shared" si="13"/>
        <v>Risk-Off</v>
      </c>
      <c r="I282">
        <f ca="1" t="shared" si="14"/>
        <v>1</v>
      </c>
      <c r="J282">
        <f>_xlfn.XLOOKUP($A282,[1]Sheet1!$B$9:$B$2584,[1]Sheet1!$C$9:$C$2584,"N/A",0)</f>
        <v>95.68</v>
      </c>
      <c r="K282">
        <f>_xlfn.XLOOKUP($A282,[1]Sheet1!$E$9:$E$2584,[1]Sheet1!$F$9:$F$2584,"N/A",0)</f>
        <v>119.53</v>
      </c>
      <c r="L282">
        <f>_xlfn.XLOOKUP($A282,[1]Sheet1!$H$9:$H$2584,[1]Sheet1!$I$9:$I$2584,"N/A",0)</f>
        <v>101.55</v>
      </c>
      <c r="M282">
        <f>_xlfn.XLOOKUP($A282,[1]Sheet1!$K$9:$K$2584,[1]Sheet1!$L$9:$L$2584,"N/A",0)</f>
        <v>114.66</v>
      </c>
      <c r="N282">
        <f>_xlfn.XLOOKUP($A282,[1]Sheet1!$N$9:$N$2584,[1]Sheet1!$O$9:$O$2584,"N/A",0)</f>
        <v>93.37</v>
      </c>
      <c r="O282">
        <v>95.68</v>
      </c>
      <c r="P282">
        <v>119.53</v>
      </c>
      <c r="Q282">
        <v>101.55</v>
      </c>
      <c r="R282">
        <v>93.37</v>
      </c>
      <c r="S282">
        <v>114.66</v>
      </c>
    </row>
    <row r="283" spans="1:19">
      <c r="A283" s="1">
        <v>42779</v>
      </c>
      <c r="B283" t="s">
        <v>174</v>
      </c>
      <c r="C283" t="s">
        <v>190</v>
      </c>
      <c r="D283">
        <v>11.425</v>
      </c>
      <c r="E283">
        <v>13.075</v>
      </c>
      <c r="F283" s="2" t="s">
        <v>205</v>
      </c>
      <c r="G283">
        <f ca="1" t="shared" si="12"/>
        <v>1.82590030252894</v>
      </c>
      <c r="H283" t="str">
        <f ca="1" t="shared" si="13"/>
        <v>Risk-Off</v>
      </c>
      <c r="I283">
        <f ca="1" t="shared" si="14"/>
        <v>1</v>
      </c>
      <c r="J283">
        <f>_xlfn.XLOOKUP($A283,[1]Sheet1!$B$9:$B$2584,[1]Sheet1!$C$9:$C$2584,"N/A",0)</f>
        <v>95.62</v>
      </c>
      <c r="K283">
        <f>_xlfn.XLOOKUP($A283,[1]Sheet1!$E$9:$E$2584,[1]Sheet1!$F$9:$F$2584,"N/A",0)</f>
        <v>119.6</v>
      </c>
      <c r="L283">
        <f>_xlfn.XLOOKUP($A283,[1]Sheet1!$H$9:$H$2584,[1]Sheet1!$I$9:$I$2584,"N/A",0)</f>
        <v>101.62</v>
      </c>
      <c r="M283">
        <f>_xlfn.XLOOKUP($A283,[1]Sheet1!$K$9:$K$2584,[1]Sheet1!$L$9:$L$2584,"N/A",0)</f>
        <v>114.65</v>
      </c>
      <c r="N283">
        <f>_xlfn.XLOOKUP($A283,[1]Sheet1!$N$9:$N$2584,[1]Sheet1!$O$9:$O$2584,"N/A",0)</f>
        <v>93.95</v>
      </c>
      <c r="O283">
        <v>95.62</v>
      </c>
      <c r="P283">
        <v>119.6</v>
      </c>
      <c r="Q283">
        <v>101.62</v>
      </c>
      <c r="R283">
        <v>93.95</v>
      </c>
      <c r="S283">
        <v>114.65</v>
      </c>
    </row>
    <row r="284" spans="1:19">
      <c r="A284" s="1">
        <v>42780</v>
      </c>
      <c r="B284" t="s">
        <v>174</v>
      </c>
      <c r="C284" t="s">
        <v>190</v>
      </c>
      <c r="D284">
        <v>11.175</v>
      </c>
      <c r="E284">
        <v>12.3</v>
      </c>
      <c r="F284" s="2" t="s">
        <v>206</v>
      </c>
      <c r="G284">
        <f ca="1" t="shared" si="12"/>
        <v>0.874190502095355</v>
      </c>
      <c r="H284" t="str">
        <f ca="1" t="shared" si="13"/>
        <v>Risk-Off</v>
      </c>
      <c r="I284">
        <f ca="1" t="shared" si="14"/>
        <v>1</v>
      </c>
      <c r="J284">
        <f>_xlfn.XLOOKUP($A284,[1]Sheet1!$B$9:$B$2584,[1]Sheet1!$C$9:$C$2584,"N/A",0)</f>
        <v>95.49</v>
      </c>
      <c r="K284">
        <f>_xlfn.XLOOKUP($A284,[1]Sheet1!$E$9:$E$2584,[1]Sheet1!$F$9:$F$2584,"N/A",0)</f>
        <v>119.1</v>
      </c>
      <c r="L284">
        <f>_xlfn.XLOOKUP($A284,[1]Sheet1!$H$9:$H$2584,[1]Sheet1!$I$9:$I$2584,"N/A",0)</f>
        <v>101.89</v>
      </c>
      <c r="M284">
        <f>_xlfn.XLOOKUP($A284,[1]Sheet1!$K$9:$K$2584,[1]Sheet1!$L$9:$L$2584,"N/A",0)</f>
        <v>114.91</v>
      </c>
      <c r="N284">
        <f>_xlfn.XLOOKUP($A284,[1]Sheet1!$N$9:$N$2584,[1]Sheet1!$O$9:$O$2584,"N/A",0)</f>
        <v>94.26</v>
      </c>
      <c r="O284">
        <v>95.49</v>
      </c>
      <c r="P284">
        <v>119.1</v>
      </c>
      <c r="Q284">
        <v>101.89</v>
      </c>
      <c r="R284">
        <v>94.26</v>
      </c>
      <c r="S284">
        <v>114.91</v>
      </c>
    </row>
    <row r="285" spans="1:19">
      <c r="A285" s="1">
        <v>42781</v>
      </c>
      <c r="B285" t="s">
        <v>174</v>
      </c>
      <c r="C285" t="s">
        <v>190</v>
      </c>
      <c r="D285">
        <v>12.26</v>
      </c>
      <c r="E285">
        <v>12.875</v>
      </c>
      <c r="F285">
        <v>0.050163132137031</v>
      </c>
      <c r="G285">
        <f ca="1" t="shared" si="12"/>
        <v>-0.321959551636135</v>
      </c>
      <c r="H285" t="str">
        <f ca="1" t="shared" si="13"/>
        <v>Risk-Off</v>
      </c>
      <c r="I285">
        <f ca="1" t="shared" si="14"/>
        <v>1</v>
      </c>
      <c r="J285">
        <f>_xlfn.XLOOKUP($A285,[1]Sheet1!$B$9:$B$2584,[1]Sheet1!$C$9:$C$2584,"N/A",0)</f>
        <v>95.83</v>
      </c>
      <c r="K285">
        <f>_xlfn.XLOOKUP($A285,[1]Sheet1!$E$9:$E$2584,[1]Sheet1!$F$9:$F$2584,"N/A",0)</f>
        <v>118.43</v>
      </c>
      <c r="L285">
        <f>_xlfn.XLOOKUP($A285,[1]Sheet1!$H$9:$H$2584,[1]Sheet1!$I$9:$I$2584,"N/A",0)</f>
        <v>102.03</v>
      </c>
      <c r="M285">
        <f>_xlfn.XLOOKUP($A285,[1]Sheet1!$K$9:$K$2584,[1]Sheet1!$L$9:$L$2584,"N/A",0)</f>
        <v>115.17</v>
      </c>
      <c r="N285">
        <f>_xlfn.XLOOKUP($A285,[1]Sheet1!$N$9:$N$2584,[1]Sheet1!$O$9:$O$2584,"N/A",0)</f>
        <v>94.37</v>
      </c>
      <c r="O285">
        <v>95.83</v>
      </c>
      <c r="P285">
        <v>118.43</v>
      </c>
      <c r="Q285">
        <v>102.03</v>
      </c>
      <c r="R285">
        <v>94.37</v>
      </c>
      <c r="S285">
        <v>115.17</v>
      </c>
    </row>
    <row r="286" spans="1:19">
      <c r="A286" s="1">
        <v>42782</v>
      </c>
      <c r="B286" t="s">
        <v>190</v>
      </c>
      <c r="C286" t="s">
        <v>207</v>
      </c>
      <c r="D286">
        <v>12.975</v>
      </c>
      <c r="E286">
        <v>14.175</v>
      </c>
      <c r="F286">
        <v>0.092485549132948</v>
      </c>
      <c r="G286">
        <f ca="1" t="shared" si="12"/>
        <v>0.674133824921869</v>
      </c>
      <c r="H286" t="str">
        <f ca="1" t="shared" si="13"/>
        <v>Risk-Off</v>
      </c>
      <c r="I286">
        <f ca="1" t="shared" si="14"/>
        <v>1</v>
      </c>
      <c r="J286">
        <f>_xlfn.XLOOKUP($A286,[1]Sheet1!$B$9:$B$2584,[1]Sheet1!$C$9:$C$2584,"N/A",0)</f>
        <v>95.46</v>
      </c>
      <c r="K286">
        <f>_xlfn.XLOOKUP($A286,[1]Sheet1!$E$9:$E$2584,[1]Sheet1!$F$9:$F$2584,"N/A",0)</f>
        <v>118.52</v>
      </c>
      <c r="L286">
        <f>_xlfn.XLOOKUP($A286,[1]Sheet1!$H$9:$H$2584,[1]Sheet1!$I$9:$I$2584,"N/A",0)</f>
        <v>102.14</v>
      </c>
      <c r="M286">
        <f>_xlfn.XLOOKUP($A286,[1]Sheet1!$K$9:$K$2584,[1]Sheet1!$L$9:$L$2584,"N/A",0)</f>
        <v>115.03</v>
      </c>
      <c r="N286">
        <f>_xlfn.XLOOKUP($A286,[1]Sheet1!$N$9:$N$2584,[1]Sheet1!$O$9:$O$2584,"N/A",0)</f>
        <v>94.06</v>
      </c>
      <c r="O286">
        <v>95.46</v>
      </c>
      <c r="P286">
        <v>118.52</v>
      </c>
      <c r="Q286">
        <v>102.14</v>
      </c>
      <c r="R286">
        <v>94.06</v>
      </c>
      <c r="S286">
        <v>115.03</v>
      </c>
    </row>
    <row r="287" spans="1:19">
      <c r="A287" s="1">
        <v>42783</v>
      </c>
      <c r="B287" t="s">
        <v>190</v>
      </c>
      <c r="C287" t="s">
        <v>207</v>
      </c>
      <c r="D287">
        <v>13.125</v>
      </c>
      <c r="E287">
        <v>14.35</v>
      </c>
      <c r="F287">
        <v>0.0933333333333333</v>
      </c>
      <c r="G287">
        <f ca="1" t="shared" si="12"/>
        <v>0.68848770248608</v>
      </c>
      <c r="H287" t="str">
        <f ca="1" t="shared" si="13"/>
        <v>Risk-Off</v>
      </c>
      <c r="I287">
        <f ca="1" t="shared" si="14"/>
        <v>1</v>
      </c>
      <c r="J287">
        <f>_xlfn.XLOOKUP($A287,[1]Sheet1!$B$9:$B$2584,[1]Sheet1!$C$9:$C$2584,"N/A",0)</f>
        <v>95.28</v>
      </c>
      <c r="K287">
        <f>_xlfn.XLOOKUP($A287,[1]Sheet1!$E$9:$E$2584,[1]Sheet1!$F$9:$F$2584,"N/A",0)</f>
        <v>117.9</v>
      </c>
      <c r="L287">
        <f>_xlfn.XLOOKUP($A287,[1]Sheet1!$H$9:$H$2584,[1]Sheet1!$I$9:$I$2584,"N/A",0)</f>
        <v>102.09</v>
      </c>
      <c r="M287">
        <f>_xlfn.XLOOKUP($A287,[1]Sheet1!$K$9:$K$2584,[1]Sheet1!$L$9:$L$2584,"N/A",0)</f>
        <v>115.29</v>
      </c>
      <c r="N287">
        <f>_xlfn.XLOOKUP($A287,[1]Sheet1!$N$9:$N$2584,[1]Sheet1!$O$9:$O$2584,"N/A",0)</f>
        <v>94.33</v>
      </c>
      <c r="O287">
        <v>95.28</v>
      </c>
      <c r="P287">
        <v>117.9</v>
      </c>
      <c r="Q287">
        <v>102.09</v>
      </c>
      <c r="R287">
        <v>94.33</v>
      </c>
      <c r="S287">
        <v>115.29</v>
      </c>
    </row>
    <row r="288" spans="1:19">
      <c r="A288" s="1">
        <v>42787</v>
      </c>
      <c r="B288" t="s">
        <v>190</v>
      </c>
      <c r="C288" t="s">
        <v>207</v>
      </c>
      <c r="D288">
        <v>13.175</v>
      </c>
      <c r="E288">
        <v>14.525</v>
      </c>
      <c r="F288" s="2" t="s">
        <v>208</v>
      </c>
      <c r="G288">
        <f ca="1" t="shared" si="12"/>
        <v>0.894060494159875</v>
      </c>
      <c r="H288" t="str">
        <f ca="1" t="shared" si="13"/>
        <v>Risk-Off</v>
      </c>
      <c r="I288">
        <f ca="1" t="shared" si="14"/>
        <v>1</v>
      </c>
      <c r="J288">
        <f>_xlfn.XLOOKUP($A288,[1]Sheet1!$B$9:$B$2584,[1]Sheet1!$C$9:$C$2584,"N/A",0)</f>
        <v>95.42</v>
      </c>
      <c r="K288">
        <f>_xlfn.XLOOKUP($A288,[1]Sheet1!$E$9:$E$2584,[1]Sheet1!$F$9:$F$2584,"N/A",0)</f>
        <v>118.17</v>
      </c>
      <c r="L288">
        <f>_xlfn.XLOOKUP($A288,[1]Sheet1!$H$9:$H$2584,[1]Sheet1!$I$9:$I$2584,"N/A",0)</f>
        <v>102.32</v>
      </c>
      <c r="M288">
        <f>_xlfn.XLOOKUP($A288,[1]Sheet1!$K$9:$K$2584,[1]Sheet1!$L$9:$L$2584,"N/A",0)</f>
        <v>115.32</v>
      </c>
      <c r="N288">
        <f>_xlfn.XLOOKUP($A288,[1]Sheet1!$N$9:$N$2584,[1]Sheet1!$O$9:$O$2584,"N/A",0)</f>
        <v>94.1</v>
      </c>
      <c r="O288">
        <v>95.42</v>
      </c>
      <c r="P288">
        <v>118.17</v>
      </c>
      <c r="Q288">
        <v>102.32</v>
      </c>
      <c r="R288">
        <v>94.1</v>
      </c>
      <c r="S288">
        <v>115.32</v>
      </c>
    </row>
    <row r="289" spans="1:19">
      <c r="A289" s="1">
        <v>42788</v>
      </c>
      <c r="B289" t="s">
        <v>190</v>
      </c>
      <c r="C289" t="s">
        <v>207</v>
      </c>
      <c r="D289">
        <v>13.225</v>
      </c>
      <c r="E289">
        <v>14.625</v>
      </c>
      <c r="F289" s="2" t="s">
        <v>209</v>
      </c>
      <c r="G289">
        <f ca="1" t="shared" si="12"/>
        <v>0.978081534815394</v>
      </c>
      <c r="H289" t="str">
        <f ca="1" t="shared" si="13"/>
        <v>Risk-Off</v>
      </c>
      <c r="I289">
        <f ca="1" t="shared" si="14"/>
        <v>1</v>
      </c>
      <c r="J289">
        <f>_xlfn.XLOOKUP($A289,[1]Sheet1!$B$9:$B$2584,[1]Sheet1!$C$9:$C$2584,"N/A",0)</f>
        <v>95.47</v>
      </c>
      <c r="K289">
        <f>_xlfn.XLOOKUP($A289,[1]Sheet1!$E$9:$E$2584,[1]Sheet1!$F$9:$F$2584,"N/A",0)</f>
        <v>117.91</v>
      </c>
      <c r="L289">
        <f>_xlfn.XLOOKUP($A289,[1]Sheet1!$H$9:$H$2584,[1]Sheet1!$I$9:$I$2584,"N/A",0)</f>
        <v>102.25</v>
      </c>
      <c r="M289">
        <f>_xlfn.XLOOKUP($A289,[1]Sheet1!$K$9:$K$2584,[1]Sheet1!$L$9:$L$2584,"N/A",0)</f>
        <v>115.56</v>
      </c>
      <c r="N289">
        <f>_xlfn.XLOOKUP($A289,[1]Sheet1!$N$9:$N$2584,[1]Sheet1!$O$9:$O$2584,"N/A",0)</f>
        <v>94.1</v>
      </c>
      <c r="O289">
        <v>95.47</v>
      </c>
      <c r="P289">
        <v>117.91</v>
      </c>
      <c r="Q289">
        <v>102.25</v>
      </c>
      <c r="R289">
        <v>94.1</v>
      </c>
      <c r="S289">
        <v>115.56</v>
      </c>
    </row>
    <row r="290" spans="1:19">
      <c r="A290" s="1">
        <v>42789</v>
      </c>
      <c r="B290" t="s">
        <v>190</v>
      </c>
      <c r="C290" t="s">
        <v>207</v>
      </c>
      <c r="D290">
        <v>13.525</v>
      </c>
      <c r="E290">
        <v>15.225</v>
      </c>
      <c r="F290" s="2" t="s">
        <v>210</v>
      </c>
      <c r="G290">
        <f ca="1" t="shared" si="12"/>
        <v>1.46916199794425</v>
      </c>
      <c r="H290" t="str">
        <f ca="1" t="shared" si="13"/>
        <v>Risk-Off</v>
      </c>
      <c r="I290">
        <f ca="1" t="shared" si="14"/>
        <v>1</v>
      </c>
      <c r="J290">
        <f>_xlfn.XLOOKUP($A290,[1]Sheet1!$B$9:$B$2584,[1]Sheet1!$C$9:$C$2584,"N/A",0)</f>
        <v>95.05</v>
      </c>
      <c r="K290">
        <f>_xlfn.XLOOKUP($A290,[1]Sheet1!$E$9:$E$2584,[1]Sheet1!$F$9:$F$2584,"N/A",0)</f>
        <v>117.66</v>
      </c>
      <c r="L290">
        <f>_xlfn.XLOOKUP($A290,[1]Sheet1!$H$9:$H$2584,[1]Sheet1!$I$9:$I$2584,"N/A",0)</f>
        <v>102.58</v>
      </c>
      <c r="M290">
        <f>_xlfn.XLOOKUP($A290,[1]Sheet1!$K$9:$K$2584,[1]Sheet1!$L$9:$L$2584,"N/A",0)</f>
        <v>115.84</v>
      </c>
      <c r="N290">
        <f>_xlfn.XLOOKUP($A290,[1]Sheet1!$N$9:$N$2584,[1]Sheet1!$O$9:$O$2584,"N/A",0)</f>
        <v>94.36</v>
      </c>
      <c r="O290">
        <v>95.05</v>
      </c>
      <c r="P290">
        <v>117.66</v>
      </c>
      <c r="Q290">
        <v>102.58</v>
      </c>
      <c r="R290">
        <v>94.36</v>
      </c>
      <c r="S290">
        <v>115.84</v>
      </c>
    </row>
    <row r="291" spans="1:19">
      <c r="A291" s="1">
        <v>42790</v>
      </c>
      <c r="B291" t="s">
        <v>190</v>
      </c>
      <c r="C291" t="s">
        <v>207</v>
      </c>
      <c r="D291">
        <v>13.325</v>
      </c>
      <c r="E291">
        <v>15.25</v>
      </c>
      <c r="F291" s="2" t="s">
        <v>211</v>
      </c>
      <c r="G291">
        <f ca="1" t="shared" si="12"/>
        <v>1.9246928400621</v>
      </c>
      <c r="H291" t="str">
        <f ca="1" t="shared" si="13"/>
        <v>Risk-Off</v>
      </c>
      <c r="I291">
        <f ca="1" t="shared" si="14"/>
        <v>1</v>
      </c>
      <c r="J291">
        <f>_xlfn.XLOOKUP($A291,[1]Sheet1!$B$9:$B$2584,[1]Sheet1!$C$9:$C$2584,"N/A",0)</f>
        <v>94.7</v>
      </c>
      <c r="K291">
        <f>_xlfn.XLOOKUP($A291,[1]Sheet1!$E$9:$E$2584,[1]Sheet1!$F$9:$F$2584,"N/A",0)</f>
        <v>118.13</v>
      </c>
      <c r="L291">
        <f>_xlfn.XLOOKUP($A291,[1]Sheet1!$H$9:$H$2584,[1]Sheet1!$I$9:$I$2584,"N/A",0)</f>
        <v>102.67</v>
      </c>
      <c r="M291">
        <f>_xlfn.XLOOKUP($A291,[1]Sheet1!$K$9:$K$2584,[1]Sheet1!$L$9:$L$2584,"N/A",0)</f>
        <v>116.45</v>
      </c>
      <c r="N291">
        <f>_xlfn.XLOOKUP($A291,[1]Sheet1!$N$9:$N$2584,[1]Sheet1!$O$9:$O$2584,"N/A",0)</f>
        <v>94.25</v>
      </c>
      <c r="O291">
        <v>94.7</v>
      </c>
      <c r="P291">
        <v>118.13</v>
      </c>
      <c r="Q291">
        <v>102.67</v>
      </c>
      <c r="R291">
        <v>94.25</v>
      </c>
      <c r="S291">
        <v>116.45</v>
      </c>
    </row>
    <row r="292" spans="1:19">
      <c r="A292" s="1">
        <v>42793</v>
      </c>
      <c r="B292" t="s">
        <v>190</v>
      </c>
      <c r="C292" t="s">
        <v>207</v>
      </c>
      <c r="D292">
        <v>13.275</v>
      </c>
      <c r="E292">
        <v>15.125</v>
      </c>
      <c r="F292" s="2" t="s">
        <v>212</v>
      </c>
      <c r="G292">
        <f ca="1" t="shared" si="12"/>
        <v>1.79777718983093</v>
      </c>
      <c r="H292" t="str">
        <f ca="1" t="shared" si="13"/>
        <v>Risk-On</v>
      </c>
      <c r="I292">
        <f ca="1" t="shared" si="14"/>
        <v>1</v>
      </c>
      <c r="J292">
        <f>_xlfn.XLOOKUP($A292,[1]Sheet1!$B$9:$B$2584,[1]Sheet1!$C$9:$C$2584,"N/A",0)</f>
        <v>94.48</v>
      </c>
      <c r="K292">
        <f>_xlfn.XLOOKUP($A292,[1]Sheet1!$E$9:$E$2584,[1]Sheet1!$F$9:$F$2584,"N/A",0)</f>
        <v>117.97</v>
      </c>
      <c r="L292">
        <f>_xlfn.XLOOKUP($A292,[1]Sheet1!$H$9:$H$2584,[1]Sheet1!$I$9:$I$2584,"N/A",0)</f>
        <v>102.76</v>
      </c>
      <c r="M292">
        <f>_xlfn.XLOOKUP($A292,[1]Sheet1!$K$9:$K$2584,[1]Sheet1!$L$9:$L$2584,"N/A",0)</f>
        <v>116.92</v>
      </c>
      <c r="N292">
        <f>_xlfn.XLOOKUP($A292,[1]Sheet1!$N$9:$N$2584,[1]Sheet1!$O$9:$O$2584,"N/A",0)</f>
        <v>93.95</v>
      </c>
      <c r="O292">
        <v>94.48</v>
      </c>
      <c r="P292">
        <v>117.97</v>
      </c>
      <c r="Q292">
        <v>102.76</v>
      </c>
      <c r="R292">
        <v>93.95</v>
      </c>
      <c r="S292">
        <v>116.92</v>
      </c>
    </row>
    <row r="293" spans="1:19">
      <c r="A293" s="1">
        <v>42794</v>
      </c>
      <c r="B293" t="s">
        <v>190</v>
      </c>
      <c r="C293" t="s">
        <v>207</v>
      </c>
      <c r="D293">
        <v>13.525</v>
      </c>
      <c r="E293">
        <v>15.325</v>
      </c>
      <c r="F293" s="2" t="s">
        <v>213</v>
      </c>
      <c r="G293">
        <f ca="1" t="shared" si="12"/>
        <v>1.63152481776509</v>
      </c>
      <c r="H293" t="str">
        <f ca="1" t="shared" si="13"/>
        <v>Risk-Off</v>
      </c>
      <c r="I293">
        <f ca="1" t="shared" si="14"/>
        <v>1</v>
      </c>
      <c r="J293">
        <f>_xlfn.XLOOKUP($A293,[1]Sheet1!$B$9:$B$2584,[1]Sheet1!$C$9:$C$2584,"N/A",0)</f>
        <v>94.39</v>
      </c>
      <c r="K293">
        <f>_xlfn.XLOOKUP($A293,[1]Sheet1!$E$9:$E$2584,[1]Sheet1!$F$9:$F$2584,"N/A",0)</f>
        <v>119.4</v>
      </c>
      <c r="L293">
        <f>_xlfn.XLOOKUP($A293,[1]Sheet1!$H$9:$H$2584,[1]Sheet1!$I$9:$I$2584,"N/A",0)</f>
        <v>102.38</v>
      </c>
      <c r="M293">
        <f>_xlfn.XLOOKUP($A293,[1]Sheet1!$K$9:$K$2584,[1]Sheet1!$L$9:$L$2584,"N/A",0)</f>
        <v>117.23</v>
      </c>
      <c r="N293">
        <f>_xlfn.XLOOKUP($A293,[1]Sheet1!$N$9:$N$2584,[1]Sheet1!$O$9:$O$2584,"N/A",0)</f>
        <v>94.74</v>
      </c>
      <c r="O293">
        <v>94.39</v>
      </c>
      <c r="P293">
        <v>119.4</v>
      </c>
      <c r="Q293">
        <v>102.38</v>
      </c>
      <c r="R293">
        <v>94.74</v>
      </c>
      <c r="S293">
        <v>117.23</v>
      </c>
    </row>
    <row r="294" spans="1:19">
      <c r="A294" s="1">
        <v>42795</v>
      </c>
      <c r="B294" t="s">
        <v>190</v>
      </c>
      <c r="C294" t="s">
        <v>207</v>
      </c>
      <c r="D294">
        <v>13.275</v>
      </c>
      <c r="E294">
        <v>15.075</v>
      </c>
      <c r="F294" s="2" t="s">
        <v>214</v>
      </c>
      <c r="G294">
        <f ca="1" t="shared" si="12"/>
        <v>1.69409472810609</v>
      </c>
      <c r="H294" t="str">
        <f ca="1" t="shared" si="13"/>
        <v>Risk-Off</v>
      </c>
      <c r="I294">
        <f ca="1" t="shared" si="14"/>
        <v>1</v>
      </c>
      <c r="J294">
        <f>_xlfn.XLOOKUP($A294,[1]Sheet1!$B$9:$B$2584,[1]Sheet1!$C$9:$C$2584,"N/A",0)</f>
        <v>94.48</v>
      </c>
      <c r="K294">
        <f>_xlfn.XLOOKUP($A294,[1]Sheet1!$E$9:$E$2584,[1]Sheet1!$F$9:$F$2584,"N/A",0)</f>
        <v>120.84</v>
      </c>
      <c r="L294">
        <f>_xlfn.XLOOKUP($A294,[1]Sheet1!$H$9:$H$2584,[1]Sheet1!$I$9:$I$2584,"N/A",0)</f>
        <v>101.97</v>
      </c>
      <c r="M294">
        <f>_xlfn.XLOOKUP($A294,[1]Sheet1!$K$9:$K$2584,[1]Sheet1!$L$9:$L$2584,"N/A",0)</f>
        <v>117.1</v>
      </c>
      <c r="N294">
        <f>_xlfn.XLOOKUP($A294,[1]Sheet1!$N$9:$N$2584,[1]Sheet1!$O$9:$O$2584,"N/A",0)</f>
        <v>94.85</v>
      </c>
      <c r="O294">
        <v>94.48</v>
      </c>
      <c r="P294">
        <v>120.84</v>
      </c>
      <c r="Q294">
        <v>101.97</v>
      </c>
      <c r="R294">
        <v>94.85</v>
      </c>
      <c r="S294">
        <v>117.1</v>
      </c>
    </row>
    <row r="295" spans="1:19">
      <c r="A295" s="1">
        <v>42796</v>
      </c>
      <c r="B295" t="s">
        <v>190</v>
      </c>
      <c r="C295" t="s">
        <v>207</v>
      </c>
      <c r="D295">
        <v>13.275</v>
      </c>
      <c r="E295">
        <v>15.025</v>
      </c>
      <c r="F295" s="2" t="s">
        <v>215</v>
      </c>
      <c r="G295">
        <f ca="1" t="shared" si="12"/>
        <v>1.58473510143375</v>
      </c>
      <c r="H295" t="str">
        <f ca="1" t="shared" si="13"/>
        <v>Risk-Off</v>
      </c>
      <c r="I295">
        <f ca="1" t="shared" si="14"/>
        <v>1</v>
      </c>
      <c r="J295">
        <f>_xlfn.XLOOKUP($A295,[1]Sheet1!$B$9:$B$2584,[1]Sheet1!$C$9:$C$2584,"N/A",0)</f>
        <v>94.76</v>
      </c>
      <c r="K295">
        <f>_xlfn.XLOOKUP($A295,[1]Sheet1!$E$9:$E$2584,[1]Sheet1!$F$9:$F$2584,"N/A",0)</f>
        <v>120.58</v>
      </c>
      <c r="L295">
        <f>_xlfn.XLOOKUP($A295,[1]Sheet1!$H$9:$H$2584,[1]Sheet1!$I$9:$I$2584,"N/A",0)</f>
        <v>102.12</v>
      </c>
      <c r="M295">
        <f>_xlfn.XLOOKUP($A295,[1]Sheet1!$K$9:$K$2584,[1]Sheet1!$L$9:$L$2584,"N/A",0)</f>
        <v>117.78</v>
      </c>
      <c r="N295">
        <f>_xlfn.XLOOKUP($A295,[1]Sheet1!$N$9:$N$2584,[1]Sheet1!$O$9:$O$2584,"N/A",0)</f>
        <v>94.89</v>
      </c>
      <c r="O295">
        <v>94.76</v>
      </c>
      <c r="P295">
        <v>120.58</v>
      </c>
      <c r="Q295">
        <v>102.12</v>
      </c>
      <c r="R295">
        <v>94.89</v>
      </c>
      <c r="S295">
        <v>117.78</v>
      </c>
    </row>
    <row r="296" spans="1:19">
      <c r="A296" s="1">
        <v>42797</v>
      </c>
      <c r="B296" t="s">
        <v>190</v>
      </c>
      <c r="C296" t="s">
        <v>207</v>
      </c>
      <c r="D296">
        <v>12.825</v>
      </c>
      <c r="E296">
        <v>14.575</v>
      </c>
      <c r="F296" s="2" t="s">
        <v>216</v>
      </c>
      <c r="G296">
        <f ca="1" t="shared" si="12"/>
        <v>1.68394980602933</v>
      </c>
      <c r="H296" t="str">
        <f ca="1" t="shared" si="13"/>
        <v>Risk-Off</v>
      </c>
      <c r="I296">
        <f ca="1" t="shared" si="14"/>
        <v>1</v>
      </c>
      <c r="J296">
        <f>_xlfn.XLOOKUP($A296,[1]Sheet1!$B$9:$B$2584,[1]Sheet1!$C$9:$C$2584,"N/A",0)</f>
        <v>94.58</v>
      </c>
      <c r="K296">
        <f>_xlfn.XLOOKUP($A296,[1]Sheet1!$E$9:$E$2584,[1]Sheet1!$F$9:$F$2584,"N/A",0)</f>
        <v>121.47</v>
      </c>
      <c r="L296">
        <f>_xlfn.XLOOKUP($A296,[1]Sheet1!$H$9:$H$2584,[1]Sheet1!$I$9:$I$2584,"N/A",0)</f>
        <v>101.81</v>
      </c>
      <c r="M296">
        <f>_xlfn.XLOOKUP($A296,[1]Sheet1!$K$9:$K$2584,[1]Sheet1!$L$9:$L$2584,"N/A",0)</f>
        <v>117.51</v>
      </c>
      <c r="N296">
        <f>_xlfn.XLOOKUP($A296,[1]Sheet1!$N$9:$N$2584,[1]Sheet1!$O$9:$O$2584,"N/A",0)</f>
        <v>95.36</v>
      </c>
      <c r="O296">
        <v>94.58</v>
      </c>
      <c r="P296">
        <v>121.47</v>
      </c>
      <c r="Q296">
        <v>101.81</v>
      </c>
      <c r="R296">
        <v>95.36</v>
      </c>
      <c r="S296">
        <v>117.51</v>
      </c>
    </row>
    <row r="297" spans="1:19">
      <c r="A297" s="1">
        <v>42800</v>
      </c>
      <c r="B297" t="s">
        <v>190</v>
      </c>
      <c r="C297" t="s">
        <v>207</v>
      </c>
      <c r="D297">
        <v>12.675</v>
      </c>
      <c r="E297">
        <v>14.425</v>
      </c>
      <c r="F297" s="2" t="s">
        <v>217</v>
      </c>
      <c r="G297">
        <f ca="1" t="shared" si="12"/>
        <v>1.71055462507326</v>
      </c>
      <c r="H297" t="str">
        <f ca="1" t="shared" si="13"/>
        <v>Risk-Off</v>
      </c>
      <c r="I297">
        <f ca="1" t="shared" si="14"/>
        <v>1</v>
      </c>
      <c r="J297">
        <f>_xlfn.XLOOKUP($A297,[1]Sheet1!$B$9:$B$2584,[1]Sheet1!$C$9:$C$2584,"N/A",0)</f>
        <v>94.48</v>
      </c>
      <c r="K297">
        <f>_xlfn.XLOOKUP($A297,[1]Sheet1!$E$9:$E$2584,[1]Sheet1!$F$9:$F$2584,"N/A",0)</f>
        <v>121.47</v>
      </c>
      <c r="L297">
        <f>_xlfn.XLOOKUP($A297,[1]Sheet1!$H$9:$H$2584,[1]Sheet1!$I$9:$I$2584,"N/A",0)</f>
        <v>101.67</v>
      </c>
      <c r="M297">
        <f>_xlfn.XLOOKUP($A297,[1]Sheet1!$K$9:$K$2584,[1]Sheet1!$L$9:$L$2584,"N/A",0)</f>
        <v>117.62</v>
      </c>
      <c r="N297">
        <f>_xlfn.XLOOKUP($A297,[1]Sheet1!$N$9:$N$2584,[1]Sheet1!$O$9:$O$2584,"N/A",0)</f>
        <v>95.75</v>
      </c>
      <c r="O297">
        <v>94.48</v>
      </c>
      <c r="P297">
        <v>121.47</v>
      </c>
      <c r="Q297">
        <v>101.67</v>
      </c>
      <c r="R297">
        <v>95.75</v>
      </c>
      <c r="S297">
        <v>117.62</v>
      </c>
    </row>
    <row r="298" spans="1:19">
      <c r="A298" s="1">
        <v>42801</v>
      </c>
      <c r="B298" t="s">
        <v>190</v>
      </c>
      <c r="C298" t="s">
        <v>207</v>
      </c>
      <c r="D298">
        <v>12.625</v>
      </c>
      <c r="E298">
        <v>14.475</v>
      </c>
      <c r="F298" s="2" t="s">
        <v>218</v>
      </c>
      <c r="G298">
        <f ca="1" t="shared" si="12"/>
        <v>1.91815692908694</v>
      </c>
      <c r="H298" t="str">
        <f ca="1" t="shared" si="13"/>
        <v>Risk-Off</v>
      </c>
      <c r="I298">
        <f ca="1" t="shared" si="14"/>
        <v>1</v>
      </c>
      <c r="J298">
        <f>_xlfn.XLOOKUP($A298,[1]Sheet1!$B$9:$B$2584,[1]Sheet1!$C$9:$C$2584,"N/A",0)</f>
        <v>94.5</v>
      </c>
      <c r="K298">
        <f>_xlfn.XLOOKUP($A298,[1]Sheet1!$E$9:$E$2584,[1]Sheet1!$F$9:$F$2584,"N/A",0)</f>
        <v>121.67</v>
      </c>
      <c r="L298">
        <f>_xlfn.XLOOKUP($A298,[1]Sheet1!$H$9:$H$2584,[1]Sheet1!$I$9:$I$2584,"N/A",0)</f>
        <v>101.48</v>
      </c>
      <c r="M298">
        <f>_xlfn.XLOOKUP($A298,[1]Sheet1!$K$9:$K$2584,[1]Sheet1!$L$9:$L$2584,"N/A",0)</f>
        <v>117.74</v>
      </c>
      <c r="N298">
        <f>_xlfn.XLOOKUP($A298,[1]Sheet1!$N$9:$N$2584,[1]Sheet1!$O$9:$O$2584,"N/A",0)</f>
        <v>95.91</v>
      </c>
      <c r="O298">
        <v>94.5</v>
      </c>
      <c r="P298">
        <v>121.67</v>
      </c>
      <c r="Q298">
        <v>101.48</v>
      </c>
      <c r="R298">
        <v>95.91</v>
      </c>
      <c r="S298">
        <v>117.74</v>
      </c>
    </row>
    <row r="299" spans="1:19">
      <c r="A299" s="1">
        <v>42802</v>
      </c>
      <c r="B299" t="s">
        <v>190</v>
      </c>
      <c r="C299" t="s">
        <v>207</v>
      </c>
      <c r="D299">
        <v>12.675</v>
      </c>
      <c r="E299">
        <v>14.425</v>
      </c>
      <c r="F299" s="2" t="s">
        <v>217</v>
      </c>
      <c r="G299">
        <f ca="1" t="shared" si="12"/>
        <v>1.69776782893225</v>
      </c>
      <c r="H299" t="str">
        <f ca="1" t="shared" si="13"/>
        <v>Risk-Off</v>
      </c>
      <c r="I299">
        <f ca="1" t="shared" si="14"/>
        <v>1</v>
      </c>
      <c r="J299">
        <f>_xlfn.XLOOKUP($A299,[1]Sheet1!$B$9:$B$2584,[1]Sheet1!$C$9:$C$2584,"N/A",0)</f>
        <v>94.45</v>
      </c>
      <c r="K299">
        <f>_xlfn.XLOOKUP($A299,[1]Sheet1!$E$9:$E$2584,[1]Sheet1!$F$9:$F$2584,"N/A",0)</f>
        <v>120.48</v>
      </c>
      <c r="L299">
        <f>_xlfn.XLOOKUP($A299,[1]Sheet1!$H$9:$H$2584,[1]Sheet1!$I$9:$I$2584,"N/A",0)</f>
        <v>101.69</v>
      </c>
      <c r="M299">
        <f>_xlfn.XLOOKUP($A299,[1]Sheet1!$K$9:$K$2584,[1]Sheet1!$L$9:$L$2584,"N/A",0)</f>
        <v>118.31</v>
      </c>
      <c r="N299">
        <f>_xlfn.XLOOKUP($A299,[1]Sheet1!$N$9:$N$2584,[1]Sheet1!$O$9:$O$2584,"N/A",0)</f>
        <v>96.11</v>
      </c>
      <c r="O299">
        <v>94.45</v>
      </c>
      <c r="P299">
        <v>120.48</v>
      </c>
      <c r="Q299">
        <v>101.69</v>
      </c>
      <c r="R299">
        <v>96.11</v>
      </c>
      <c r="S299">
        <v>118.31</v>
      </c>
    </row>
    <row r="300" spans="1:19">
      <c r="A300" s="1">
        <v>42803</v>
      </c>
      <c r="B300" t="s">
        <v>190</v>
      </c>
      <c r="C300" t="s">
        <v>207</v>
      </c>
      <c r="D300">
        <v>12.775</v>
      </c>
      <c r="E300">
        <v>14.425</v>
      </c>
      <c r="F300" s="2" t="s">
        <v>219</v>
      </c>
      <c r="G300">
        <f ca="1" t="shared" si="12"/>
        <v>1.46617280946866</v>
      </c>
      <c r="H300" t="str">
        <f ca="1" t="shared" si="13"/>
        <v>Risk-Off</v>
      </c>
      <c r="I300">
        <f ca="1" t="shared" si="14"/>
        <v>1</v>
      </c>
      <c r="J300">
        <f>_xlfn.XLOOKUP($A300,[1]Sheet1!$B$9:$B$2584,[1]Sheet1!$C$9:$C$2584,"N/A",0)</f>
        <v>94.53</v>
      </c>
      <c r="K300">
        <f>_xlfn.XLOOKUP($A300,[1]Sheet1!$E$9:$E$2584,[1]Sheet1!$F$9:$F$2584,"N/A",0)</f>
        <v>120.77</v>
      </c>
      <c r="L300">
        <f>_xlfn.XLOOKUP($A300,[1]Sheet1!$H$9:$H$2584,[1]Sheet1!$I$9:$I$2584,"N/A",0)</f>
        <v>101.36</v>
      </c>
      <c r="M300">
        <f>_xlfn.XLOOKUP($A300,[1]Sheet1!$K$9:$K$2584,[1]Sheet1!$L$9:$L$2584,"N/A",0)</f>
        <v>117.9</v>
      </c>
      <c r="N300">
        <f>_xlfn.XLOOKUP($A300,[1]Sheet1!$N$9:$N$2584,[1]Sheet1!$O$9:$O$2584,"N/A",0)</f>
        <v>96.36</v>
      </c>
      <c r="O300">
        <v>94.53</v>
      </c>
      <c r="P300">
        <v>120.77</v>
      </c>
      <c r="Q300">
        <v>101.36</v>
      </c>
      <c r="R300">
        <v>96.36</v>
      </c>
      <c r="S300">
        <v>117.9</v>
      </c>
    </row>
    <row r="301" spans="1:19">
      <c r="A301" s="1">
        <v>42804</v>
      </c>
      <c r="B301" t="s">
        <v>190</v>
      </c>
      <c r="C301" t="s">
        <v>207</v>
      </c>
      <c r="D301">
        <v>12.525</v>
      </c>
      <c r="E301">
        <v>14.2</v>
      </c>
      <c r="F301" s="2" t="s">
        <v>220</v>
      </c>
      <c r="G301">
        <f ca="1" t="shared" si="12"/>
        <v>1.57678593398903</v>
      </c>
      <c r="H301" t="str">
        <f ca="1" t="shared" si="13"/>
        <v>Risk-On</v>
      </c>
      <c r="I301">
        <f ca="1" t="shared" si="14"/>
        <v>1</v>
      </c>
      <c r="J301">
        <f>_xlfn.XLOOKUP($A301,[1]Sheet1!$B$9:$B$2584,[1]Sheet1!$C$9:$C$2584,"N/A",0)</f>
        <v>94.64</v>
      </c>
      <c r="K301">
        <f>_xlfn.XLOOKUP($A301,[1]Sheet1!$E$9:$E$2584,[1]Sheet1!$F$9:$F$2584,"N/A",0)</f>
        <v>120.63</v>
      </c>
      <c r="L301">
        <f>_xlfn.XLOOKUP($A301,[1]Sheet1!$H$9:$H$2584,[1]Sheet1!$I$9:$I$2584,"N/A",0)</f>
        <v>101.59</v>
      </c>
      <c r="M301">
        <f>_xlfn.XLOOKUP($A301,[1]Sheet1!$K$9:$K$2584,[1]Sheet1!$L$9:$L$2584,"N/A",0)</f>
        <v>117.81</v>
      </c>
      <c r="N301">
        <f>_xlfn.XLOOKUP($A301,[1]Sheet1!$N$9:$N$2584,[1]Sheet1!$O$9:$O$2584,"N/A",0)</f>
        <v>96.1</v>
      </c>
      <c r="O301">
        <v>94.64</v>
      </c>
      <c r="P301">
        <v>120.63</v>
      </c>
      <c r="Q301">
        <v>101.59</v>
      </c>
      <c r="R301">
        <v>96.1</v>
      </c>
      <c r="S301">
        <v>117.81</v>
      </c>
    </row>
    <row r="302" spans="1:19">
      <c r="A302" s="1">
        <v>42807</v>
      </c>
      <c r="B302" t="s">
        <v>190</v>
      </c>
      <c r="C302" t="s">
        <v>207</v>
      </c>
      <c r="D302">
        <v>12.125</v>
      </c>
      <c r="E302">
        <v>13.875</v>
      </c>
      <c r="F302" s="2" t="s">
        <v>221</v>
      </c>
      <c r="G302">
        <f ca="1" t="shared" si="12"/>
        <v>1.81555888045043</v>
      </c>
      <c r="H302" t="str">
        <f ca="1" t="shared" si="13"/>
        <v>Risk-On</v>
      </c>
      <c r="I302">
        <f ca="1" t="shared" si="14"/>
        <v>1</v>
      </c>
      <c r="J302">
        <f>_xlfn.XLOOKUP($A302,[1]Sheet1!$B$9:$B$2584,[1]Sheet1!$C$9:$C$2584,"N/A",0)</f>
        <v>94.6</v>
      </c>
      <c r="K302">
        <f>_xlfn.XLOOKUP($A302,[1]Sheet1!$E$9:$E$2584,[1]Sheet1!$F$9:$F$2584,"N/A",0)</f>
        <v>121.18</v>
      </c>
      <c r="L302">
        <f>_xlfn.XLOOKUP($A302,[1]Sheet1!$H$9:$H$2584,[1]Sheet1!$I$9:$I$2584,"N/A",0)</f>
        <v>101.13</v>
      </c>
      <c r="M302">
        <f>_xlfn.XLOOKUP($A302,[1]Sheet1!$K$9:$K$2584,[1]Sheet1!$L$9:$L$2584,"N/A",0)</f>
        <v>117.71</v>
      </c>
      <c r="N302">
        <f>_xlfn.XLOOKUP($A302,[1]Sheet1!$N$9:$N$2584,[1]Sheet1!$O$9:$O$2584,"N/A",0)</f>
        <v>96.02</v>
      </c>
      <c r="O302">
        <v>94.6</v>
      </c>
      <c r="P302">
        <v>121.18</v>
      </c>
      <c r="Q302">
        <v>101.13</v>
      </c>
      <c r="R302">
        <v>96.02</v>
      </c>
      <c r="S302">
        <v>117.71</v>
      </c>
    </row>
    <row r="303" spans="1:19">
      <c r="A303" s="1">
        <v>42808</v>
      </c>
      <c r="B303" t="s">
        <v>190</v>
      </c>
      <c r="C303" t="s">
        <v>207</v>
      </c>
      <c r="D303">
        <v>12.625</v>
      </c>
      <c r="E303">
        <v>14.075</v>
      </c>
      <c r="F303" s="2" t="s">
        <v>222</v>
      </c>
      <c r="G303">
        <f ca="1" t="shared" si="12"/>
        <v>1.10516646741418</v>
      </c>
      <c r="H303" t="str">
        <f ca="1" t="shared" si="13"/>
        <v>Risk-On</v>
      </c>
      <c r="I303">
        <f ca="1" t="shared" si="14"/>
        <v>1</v>
      </c>
      <c r="J303">
        <f>_xlfn.XLOOKUP($A303,[1]Sheet1!$B$9:$B$2584,[1]Sheet1!$C$9:$C$2584,"N/A",0)</f>
        <v>94.72</v>
      </c>
      <c r="K303">
        <f>_xlfn.XLOOKUP($A303,[1]Sheet1!$E$9:$E$2584,[1]Sheet1!$F$9:$F$2584,"N/A",0)</f>
        <v>121.25</v>
      </c>
      <c r="L303">
        <f>_xlfn.XLOOKUP($A303,[1]Sheet1!$H$9:$H$2584,[1]Sheet1!$I$9:$I$2584,"N/A",0)</f>
        <v>100.98</v>
      </c>
      <c r="M303">
        <f>_xlfn.XLOOKUP($A303,[1]Sheet1!$K$9:$K$2584,[1]Sheet1!$L$9:$L$2584,"N/A",0)</f>
        <v>118.09</v>
      </c>
      <c r="N303">
        <f>_xlfn.XLOOKUP($A303,[1]Sheet1!$N$9:$N$2584,[1]Sheet1!$O$9:$O$2584,"N/A",0)</f>
        <v>95.94</v>
      </c>
      <c r="O303">
        <v>94.72</v>
      </c>
      <c r="P303">
        <v>121.25</v>
      </c>
      <c r="Q303">
        <v>100.98</v>
      </c>
      <c r="R303">
        <v>95.94</v>
      </c>
      <c r="S303">
        <v>118.09</v>
      </c>
    </row>
    <row r="304" spans="1:19">
      <c r="A304" s="1">
        <v>42809</v>
      </c>
      <c r="B304" t="s">
        <v>190</v>
      </c>
      <c r="C304" t="s">
        <v>207</v>
      </c>
      <c r="D304">
        <v>12.275</v>
      </c>
      <c r="E304">
        <v>13.725</v>
      </c>
      <c r="F304" s="2" t="s">
        <v>223</v>
      </c>
      <c r="G304">
        <f ca="1" t="shared" si="12"/>
        <v>1.17923403563785</v>
      </c>
      <c r="H304" t="str">
        <f ca="1" t="shared" si="13"/>
        <v>Risk-On</v>
      </c>
      <c r="I304">
        <f ca="1" t="shared" si="14"/>
        <v>1</v>
      </c>
      <c r="J304">
        <f>_xlfn.XLOOKUP($A304,[1]Sheet1!$B$9:$B$2584,[1]Sheet1!$C$9:$C$2584,"N/A",0)</f>
        <v>94.65</v>
      </c>
      <c r="K304">
        <f>_xlfn.XLOOKUP($A304,[1]Sheet1!$E$9:$E$2584,[1]Sheet1!$F$9:$F$2584,"N/A",0)</f>
        <v>121.59</v>
      </c>
      <c r="L304">
        <f>_xlfn.XLOOKUP($A304,[1]Sheet1!$H$9:$H$2584,[1]Sheet1!$I$9:$I$2584,"N/A",0)</f>
        <v>101.01</v>
      </c>
      <c r="M304">
        <f>_xlfn.XLOOKUP($A304,[1]Sheet1!$K$9:$K$2584,[1]Sheet1!$L$9:$L$2584,"N/A",0)</f>
        <v>117.34</v>
      </c>
      <c r="N304">
        <f>_xlfn.XLOOKUP($A304,[1]Sheet1!$N$9:$N$2584,[1]Sheet1!$O$9:$O$2584,"N/A",0)</f>
        <v>95.4</v>
      </c>
      <c r="O304">
        <v>94.65</v>
      </c>
      <c r="P304">
        <v>121.59</v>
      </c>
      <c r="Q304">
        <v>101.01</v>
      </c>
      <c r="R304">
        <v>95.4</v>
      </c>
      <c r="S304">
        <v>117.34</v>
      </c>
    </row>
    <row r="305" spans="1:19">
      <c r="A305" s="1">
        <v>42810</v>
      </c>
      <c r="B305" t="s">
        <v>190</v>
      </c>
      <c r="C305" t="s">
        <v>207</v>
      </c>
      <c r="D305">
        <v>11.925</v>
      </c>
      <c r="E305">
        <v>13.275</v>
      </c>
      <c r="F305" s="2" t="s">
        <v>224</v>
      </c>
      <c r="G305">
        <f ca="1" t="shared" si="12"/>
        <v>1.06264090023236</v>
      </c>
      <c r="H305" t="str">
        <f ca="1" t="shared" si="13"/>
        <v>Risk-Off</v>
      </c>
      <c r="I305">
        <f ca="1" t="shared" si="14"/>
        <v>1</v>
      </c>
      <c r="J305">
        <f>_xlfn.XLOOKUP($A305,[1]Sheet1!$B$9:$B$2584,[1]Sheet1!$C$9:$C$2584,"N/A",0)</f>
        <v>95.24</v>
      </c>
      <c r="K305">
        <f>_xlfn.XLOOKUP($A305,[1]Sheet1!$E$9:$E$2584,[1]Sheet1!$F$9:$F$2584,"N/A",0)</f>
        <v>121.13</v>
      </c>
      <c r="L305">
        <f>_xlfn.XLOOKUP($A305,[1]Sheet1!$H$9:$H$2584,[1]Sheet1!$I$9:$I$2584,"N/A",0)</f>
        <v>101.07</v>
      </c>
      <c r="M305">
        <f>_xlfn.XLOOKUP($A305,[1]Sheet1!$K$9:$K$2584,[1]Sheet1!$L$9:$L$2584,"N/A",0)</f>
        <v>117.09</v>
      </c>
      <c r="N305">
        <f>_xlfn.XLOOKUP($A305,[1]Sheet1!$N$9:$N$2584,[1]Sheet1!$O$9:$O$2584,"N/A",0)</f>
        <v>95.24</v>
      </c>
      <c r="O305">
        <v>95.24</v>
      </c>
      <c r="P305">
        <v>121.13</v>
      </c>
      <c r="Q305">
        <v>101.07</v>
      </c>
      <c r="R305">
        <v>95.24</v>
      </c>
      <c r="S305">
        <v>117.09</v>
      </c>
    </row>
    <row r="306" spans="1:19">
      <c r="A306" s="1">
        <v>42811</v>
      </c>
      <c r="B306" t="s">
        <v>190</v>
      </c>
      <c r="C306" t="s">
        <v>207</v>
      </c>
      <c r="D306">
        <v>11.775</v>
      </c>
      <c r="E306">
        <v>13.275</v>
      </c>
      <c r="F306" s="2" t="s">
        <v>225</v>
      </c>
      <c r="G306">
        <f ca="1" t="shared" si="12"/>
        <v>1.39878605743398</v>
      </c>
      <c r="H306" t="str">
        <f ca="1" t="shared" si="13"/>
        <v>Risk-On</v>
      </c>
      <c r="I306">
        <f ca="1" t="shared" si="14"/>
        <v>1</v>
      </c>
      <c r="J306">
        <f>_xlfn.XLOOKUP($A306,[1]Sheet1!$B$9:$B$2584,[1]Sheet1!$C$9:$C$2584,"N/A",0)</f>
        <v>95.08</v>
      </c>
      <c r="K306">
        <f>_xlfn.XLOOKUP($A306,[1]Sheet1!$E$9:$E$2584,[1]Sheet1!$F$9:$F$2584,"N/A",0)</f>
        <v>121.61</v>
      </c>
      <c r="L306">
        <f>_xlfn.XLOOKUP($A306,[1]Sheet1!$H$9:$H$2584,[1]Sheet1!$I$9:$I$2584,"N/A",0)</f>
        <v>100.88</v>
      </c>
      <c r="M306">
        <f>_xlfn.XLOOKUP($A306,[1]Sheet1!$K$9:$K$2584,[1]Sheet1!$L$9:$L$2584,"N/A",0)</f>
        <v>117.45</v>
      </c>
      <c r="N306">
        <f>_xlfn.XLOOKUP($A306,[1]Sheet1!$N$9:$N$2584,[1]Sheet1!$O$9:$O$2584,"N/A",0)</f>
        <v>94.72</v>
      </c>
      <c r="O306">
        <v>95.08</v>
      </c>
      <c r="P306">
        <v>121.61</v>
      </c>
      <c r="Q306">
        <v>100.88</v>
      </c>
      <c r="R306">
        <v>94.72</v>
      </c>
      <c r="S306">
        <v>117.45</v>
      </c>
    </row>
    <row r="307" spans="1:19">
      <c r="A307" s="1">
        <v>42814</v>
      </c>
      <c r="B307" t="s">
        <v>190</v>
      </c>
      <c r="C307" t="s">
        <v>207</v>
      </c>
      <c r="D307">
        <v>11.625</v>
      </c>
      <c r="E307">
        <v>13.175</v>
      </c>
      <c r="F307" s="2" t="s">
        <v>226</v>
      </c>
      <c r="G307">
        <f ca="1" t="shared" si="12"/>
        <v>1.52479400918521</v>
      </c>
      <c r="H307" t="str">
        <f ca="1" t="shared" si="13"/>
        <v>Risk-On</v>
      </c>
      <c r="I307">
        <f ca="1" t="shared" si="14"/>
        <v>1</v>
      </c>
      <c r="J307">
        <f>_xlfn.XLOOKUP($A307,[1]Sheet1!$B$9:$B$2584,[1]Sheet1!$C$9:$C$2584,"N/A",0)</f>
        <v>95.32</v>
      </c>
      <c r="K307">
        <f>_xlfn.XLOOKUP($A307,[1]Sheet1!$E$9:$E$2584,[1]Sheet1!$F$9:$F$2584,"N/A",0)</f>
        <v>122.16</v>
      </c>
      <c r="L307">
        <f>_xlfn.XLOOKUP($A307,[1]Sheet1!$H$9:$H$2584,[1]Sheet1!$I$9:$I$2584,"N/A",0)</f>
        <v>100.65</v>
      </c>
      <c r="M307">
        <f>_xlfn.XLOOKUP($A307,[1]Sheet1!$K$9:$K$2584,[1]Sheet1!$L$9:$L$2584,"N/A",0)</f>
        <v>117.14</v>
      </c>
      <c r="N307">
        <f>_xlfn.XLOOKUP($A307,[1]Sheet1!$N$9:$N$2584,[1]Sheet1!$O$9:$O$2584,"N/A",0)</f>
        <v>94.87</v>
      </c>
      <c r="O307">
        <v>95.32</v>
      </c>
      <c r="P307">
        <v>122.16</v>
      </c>
      <c r="Q307">
        <v>100.65</v>
      </c>
      <c r="R307">
        <v>94.87</v>
      </c>
      <c r="S307">
        <v>117.14</v>
      </c>
    </row>
    <row r="308" spans="1:19">
      <c r="A308" s="1">
        <v>42815</v>
      </c>
      <c r="B308" t="s">
        <v>190</v>
      </c>
      <c r="C308" t="s">
        <v>207</v>
      </c>
      <c r="D308">
        <v>12.175</v>
      </c>
      <c r="E308">
        <v>13.775</v>
      </c>
      <c r="F308" s="2" t="s">
        <v>227</v>
      </c>
      <c r="G308">
        <f ca="1" t="shared" si="12"/>
        <v>1.46665097473981</v>
      </c>
      <c r="H308" t="str">
        <f ca="1" t="shared" si="13"/>
        <v>Risk-Off</v>
      </c>
      <c r="I308">
        <f ca="1" t="shared" si="14"/>
        <v>1</v>
      </c>
      <c r="J308">
        <f>_xlfn.XLOOKUP($A308,[1]Sheet1!$B$9:$B$2584,[1]Sheet1!$C$9:$C$2584,"N/A",0)</f>
        <v>95.37</v>
      </c>
      <c r="K308">
        <f>_xlfn.XLOOKUP($A308,[1]Sheet1!$E$9:$E$2584,[1]Sheet1!$F$9:$F$2584,"N/A",0)</f>
        <v>121.11</v>
      </c>
      <c r="L308">
        <f>_xlfn.XLOOKUP($A308,[1]Sheet1!$H$9:$H$2584,[1]Sheet1!$I$9:$I$2584,"N/A",0)</f>
        <v>100.48</v>
      </c>
      <c r="M308">
        <f>_xlfn.XLOOKUP($A308,[1]Sheet1!$K$9:$K$2584,[1]Sheet1!$L$9:$L$2584,"N/A",0)</f>
        <v>116.89</v>
      </c>
      <c r="N308">
        <f>_xlfn.XLOOKUP($A308,[1]Sheet1!$N$9:$N$2584,[1]Sheet1!$O$9:$O$2584,"N/A",0)</f>
        <v>95.08</v>
      </c>
      <c r="O308">
        <v>95.37</v>
      </c>
      <c r="P308">
        <v>121.11</v>
      </c>
      <c r="Q308">
        <v>100.48</v>
      </c>
      <c r="R308">
        <v>95.08</v>
      </c>
      <c r="S308">
        <v>116.89</v>
      </c>
    </row>
    <row r="309" spans="1:19">
      <c r="A309" s="1">
        <v>42816</v>
      </c>
      <c r="B309" t="s">
        <v>190</v>
      </c>
      <c r="C309" t="s">
        <v>207</v>
      </c>
      <c r="D309">
        <v>12.74</v>
      </c>
      <c r="E309">
        <v>13.925</v>
      </c>
      <c r="F309">
        <v>0.0930141287284144</v>
      </c>
      <c r="G309">
        <f ca="1" t="shared" si="12"/>
        <v>0.571355558728565</v>
      </c>
      <c r="H309" t="str">
        <f ca="1" t="shared" si="13"/>
        <v>Risk-Off</v>
      </c>
      <c r="I309">
        <f ca="1" t="shared" si="14"/>
        <v>1</v>
      </c>
      <c r="J309">
        <f>_xlfn.XLOOKUP($A309,[1]Sheet1!$B$9:$B$2584,[1]Sheet1!$C$9:$C$2584,"N/A",0)</f>
        <v>95.37</v>
      </c>
      <c r="K309">
        <f>_xlfn.XLOOKUP($A309,[1]Sheet1!$E$9:$E$2584,[1]Sheet1!$F$9:$F$2584,"N/A",0)</f>
        <v>122.09</v>
      </c>
      <c r="L309">
        <f>_xlfn.XLOOKUP($A309,[1]Sheet1!$H$9:$H$2584,[1]Sheet1!$I$9:$I$2584,"N/A",0)</f>
        <v>100.48</v>
      </c>
      <c r="M309">
        <f>_xlfn.XLOOKUP($A309,[1]Sheet1!$K$9:$K$2584,[1]Sheet1!$L$9:$L$2584,"N/A",0)</f>
        <v>117.06</v>
      </c>
      <c r="N309">
        <f>_xlfn.XLOOKUP($A309,[1]Sheet1!$N$9:$N$2584,[1]Sheet1!$O$9:$O$2584,"N/A",0)</f>
        <v>95.45</v>
      </c>
      <c r="O309">
        <v>95.37</v>
      </c>
      <c r="P309">
        <v>122.09</v>
      </c>
      <c r="Q309">
        <v>100.48</v>
      </c>
      <c r="R309">
        <v>95.45</v>
      </c>
      <c r="S309">
        <v>117.06</v>
      </c>
    </row>
    <row r="310" spans="1:19">
      <c r="A310" s="1">
        <v>42817</v>
      </c>
      <c r="B310" t="s">
        <v>207</v>
      </c>
      <c r="C310" t="s">
        <v>228</v>
      </c>
      <c r="D310">
        <v>14.275</v>
      </c>
      <c r="E310">
        <v>14.775</v>
      </c>
      <c r="F310">
        <v>0.0350262697022767</v>
      </c>
      <c r="G310">
        <f ca="1" t="shared" si="12"/>
        <v>-0.772524566452174</v>
      </c>
      <c r="H310" t="str">
        <f ca="1" t="shared" si="13"/>
        <v>Risk-Off</v>
      </c>
      <c r="I310">
        <f ca="1" t="shared" si="14"/>
        <v>1</v>
      </c>
      <c r="J310">
        <f>_xlfn.XLOOKUP($A310,[1]Sheet1!$B$9:$B$2584,[1]Sheet1!$C$9:$C$2584,"N/A",0)</f>
        <v>95.24</v>
      </c>
      <c r="K310">
        <f>_xlfn.XLOOKUP($A310,[1]Sheet1!$E$9:$E$2584,[1]Sheet1!$F$9:$F$2584,"N/A",0)</f>
        <v>121.98</v>
      </c>
      <c r="L310">
        <f>_xlfn.XLOOKUP($A310,[1]Sheet1!$H$9:$H$2584,[1]Sheet1!$I$9:$I$2584,"N/A",0)</f>
        <v>100.84</v>
      </c>
      <c r="M310">
        <f>_xlfn.XLOOKUP($A310,[1]Sheet1!$K$9:$K$2584,[1]Sheet1!$L$9:$L$2584,"N/A",0)</f>
        <v>117.04</v>
      </c>
      <c r="N310">
        <f>_xlfn.XLOOKUP($A310,[1]Sheet1!$N$9:$N$2584,[1]Sheet1!$O$9:$O$2584,"N/A",0)</f>
        <v>94.89</v>
      </c>
      <c r="O310">
        <v>95.24</v>
      </c>
      <c r="P310">
        <v>121.98</v>
      </c>
      <c r="Q310">
        <v>100.84</v>
      </c>
      <c r="R310">
        <v>94.89</v>
      </c>
      <c r="S310">
        <v>117.04</v>
      </c>
    </row>
    <row r="311" spans="1:19">
      <c r="A311" s="1">
        <v>42818</v>
      </c>
      <c r="B311" t="s">
        <v>207</v>
      </c>
      <c r="C311" t="s">
        <v>228</v>
      </c>
      <c r="D311">
        <v>13.925</v>
      </c>
      <c r="E311">
        <v>14.4</v>
      </c>
      <c r="F311">
        <v>0.0341113105924595</v>
      </c>
      <c r="G311">
        <f ca="1" t="shared" si="12"/>
        <v>-0.772446921900533</v>
      </c>
      <c r="H311" t="str">
        <f ca="1" t="shared" si="13"/>
        <v>Risk-Off</v>
      </c>
      <c r="I311">
        <f ca="1" t="shared" si="14"/>
        <v>1</v>
      </c>
      <c r="J311">
        <f>_xlfn.XLOOKUP($A311,[1]Sheet1!$B$9:$B$2584,[1]Sheet1!$C$9:$C$2584,"N/A",0)</f>
        <v>95.45</v>
      </c>
      <c r="K311">
        <f>_xlfn.XLOOKUP($A311,[1]Sheet1!$E$9:$E$2584,[1]Sheet1!$F$9:$F$2584,"N/A",0)</f>
        <v>122.15</v>
      </c>
      <c r="L311">
        <f>_xlfn.XLOOKUP($A311,[1]Sheet1!$H$9:$H$2584,[1]Sheet1!$I$9:$I$2584,"N/A",0)</f>
        <v>100.54</v>
      </c>
      <c r="M311">
        <f>_xlfn.XLOOKUP($A311,[1]Sheet1!$K$9:$K$2584,[1]Sheet1!$L$9:$L$2584,"N/A",0)</f>
        <v>116.74</v>
      </c>
      <c r="N311">
        <f>_xlfn.XLOOKUP($A311,[1]Sheet1!$N$9:$N$2584,[1]Sheet1!$O$9:$O$2584,"N/A",0)</f>
        <v>94.76</v>
      </c>
      <c r="O311">
        <v>95.45</v>
      </c>
      <c r="P311">
        <v>122.15</v>
      </c>
      <c r="Q311">
        <v>100.54</v>
      </c>
      <c r="R311">
        <v>94.76</v>
      </c>
      <c r="S311">
        <v>116.74</v>
      </c>
    </row>
    <row r="312" spans="1:19">
      <c r="A312" s="1">
        <v>42821</v>
      </c>
      <c r="B312" t="s">
        <v>207</v>
      </c>
      <c r="C312" t="s">
        <v>228</v>
      </c>
      <c r="D312">
        <v>13.575</v>
      </c>
      <c r="E312">
        <v>14.075</v>
      </c>
      <c r="F312">
        <v>0.0368324125230202</v>
      </c>
      <c r="G312">
        <f ca="1" t="shared" si="12"/>
        <v>-0.685486012209937</v>
      </c>
      <c r="H312" t="str">
        <f ca="1" t="shared" si="13"/>
        <v>Risk-Off</v>
      </c>
      <c r="I312">
        <f ca="1" t="shared" si="14"/>
        <v>1</v>
      </c>
      <c r="J312">
        <f>_xlfn.XLOOKUP($A312,[1]Sheet1!$B$9:$B$2584,[1]Sheet1!$C$9:$C$2584,"N/A",0)</f>
        <v>95.44</v>
      </c>
      <c r="K312">
        <f>_xlfn.XLOOKUP($A312,[1]Sheet1!$E$9:$E$2584,[1]Sheet1!$F$9:$F$2584,"N/A",0)</f>
        <v>121.9</v>
      </c>
      <c r="L312">
        <f>_xlfn.XLOOKUP($A312,[1]Sheet1!$H$9:$H$2584,[1]Sheet1!$I$9:$I$2584,"N/A",0)</f>
        <v>100.46</v>
      </c>
      <c r="M312">
        <f>_xlfn.XLOOKUP($A312,[1]Sheet1!$K$9:$K$2584,[1]Sheet1!$L$9:$L$2584,"N/A",0)</f>
        <v>116.09</v>
      </c>
      <c r="N312">
        <f>_xlfn.XLOOKUP($A312,[1]Sheet1!$N$9:$N$2584,[1]Sheet1!$O$9:$O$2584,"N/A",0)</f>
        <v>94.6</v>
      </c>
      <c r="O312">
        <v>95.44</v>
      </c>
      <c r="P312">
        <v>121.9</v>
      </c>
      <c r="Q312">
        <v>100.46</v>
      </c>
      <c r="R312">
        <v>94.6</v>
      </c>
      <c r="S312">
        <v>116.09</v>
      </c>
    </row>
    <row r="313" spans="1:19">
      <c r="A313" s="1">
        <v>42822</v>
      </c>
      <c r="B313" t="s">
        <v>207</v>
      </c>
      <c r="C313" t="s">
        <v>228</v>
      </c>
      <c r="D313">
        <v>12.925</v>
      </c>
      <c r="E313">
        <v>13.55</v>
      </c>
      <c r="F313" s="2" t="s">
        <v>229</v>
      </c>
      <c r="G313">
        <f ca="1" t="shared" si="12"/>
        <v>-0.397579272981802</v>
      </c>
      <c r="H313" t="str">
        <f ca="1" t="shared" si="13"/>
        <v>Risk-Off</v>
      </c>
      <c r="I313">
        <f ca="1" t="shared" si="14"/>
        <v>1</v>
      </c>
      <c r="J313">
        <f>_xlfn.XLOOKUP($A313,[1]Sheet1!$B$9:$B$2584,[1]Sheet1!$C$9:$C$2584,"N/A",0)</f>
        <v>95.74</v>
      </c>
      <c r="K313">
        <f>_xlfn.XLOOKUP($A313,[1]Sheet1!$E$9:$E$2584,[1]Sheet1!$F$9:$F$2584,"N/A",0)</f>
        <v>121.81</v>
      </c>
      <c r="L313">
        <f>_xlfn.XLOOKUP($A313,[1]Sheet1!$H$9:$H$2584,[1]Sheet1!$I$9:$I$2584,"N/A",0)</f>
        <v>100.76</v>
      </c>
      <c r="M313">
        <f>_xlfn.XLOOKUP($A313,[1]Sheet1!$K$9:$K$2584,[1]Sheet1!$L$9:$L$2584,"N/A",0)</f>
        <v>116.29</v>
      </c>
      <c r="N313">
        <f>_xlfn.XLOOKUP($A313,[1]Sheet1!$N$9:$N$2584,[1]Sheet1!$O$9:$O$2584,"N/A",0)</f>
        <v>94.7</v>
      </c>
      <c r="O313">
        <v>95.74</v>
      </c>
      <c r="P313">
        <v>121.81</v>
      </c>
      <c r="Q313">
        <v>100.76</v>
      </c>
      <c r="R313">
        <v>94.7</v>
      </c>
      <c r="S313">
        <v>116.29</v>
      </c>
    </row>
    <row r="314" spans="1:19">
      <c r="A314" s="1">
        <v>42823</v>
      </c>
      <c r="B314" t="s">
        <v>207</v>
      </c>
      <c r="C314" t="s">
        <v>228</v>
      </c>
      <c r="D314">
        <v>12.925</v>
      </c>
      <c r="E314">
        <v>13.525</v>
      </c>
      <c r="F314" s="2" t="s">
        <v>230</v>
      </c>
      <c r="G314">
        <f ca="1" t="shared" si="12"/>
        <v>-0.442217824851878</v>
      </c>
      <c r="H314" t="str">
        <f ca="1" t="shared" si="13"/>
        <v>Risk-Off</v>
      </c>
      <c r="I314">
        <f ca="1" t="shared" si="14"/>
        <v>1</v>
      </c>
      <c r="J314">
        <f>_xlfn.XLOOKUP($A314,[1]Sheet1!$B$9:$B$2584,[1]Sheet1!$C$9:$C$2584,"N/A",0)</f>
        <v>95.6</v>
      </c>
      <c r="K314">
        <f>_xlfn.XLOOKUP($A314,[1]Sheet1!$E$9:$E$2584,[1]Sheet1!$F$9:$F$2584,"N/A",0)</f>
        <v>121.66</v>
      </c>
      <c r="L314">
        <f>_xlfn.XLOOKUP($A314,[1]Sheet1!$H$9:$H$2584,[1]Sheet1!$I$9:$I$2584,"N/A",0)</f>
        <v>100.37</v>
      </c>
      <c r="M314">
        <f>_xlfn.XLOOKUP($A314,[1]Sheet1!$K$9:$K$2584,[1]Sheet1!$L$9:$L$2584,"N/A",0)</f>
        <v>116.19</v>
      </c>
      <c r="N314">
        <f>_xlfn.XLOOKUP($A314,[1]Sheet1!$N$9:$N$2584,[1]Sheet1!$O$9:$O$2584,"N/A",0)</f>
        <v>94.52</v>
      </c>
      <c r="O314">
        <v>95.6</v>
      </c>
      <c r="P314">
        <v>121.66</v>
      </c>
      <c r="Q314">
        <v>100.37</v>
      </c>
      <c r="R314">
        <v>94.52</v>
      </c>
      <c r="S314">
        <v>116.19</v>
      </c>
    </row>
    <row r="315" spans="1:19">
      <c r="A315" s="1">
        <v>42824</v>
      </c>
      <c r="B315" t="s">
        <v>207</v>
      </c>
      <c r="C315" t="s">
        <v>228</v>
      </c>
      <c r="D315">
        <v>12.825</v>
      </c>
      <c r="E315">
        <v>13.375</v>
      </c>
      <c r="F315" s="2" t="s">
        <v>231</v>
      </c>
      <c r="G315">
        <f ca="1" t="shared" si="12"/>
        <v>-0.523837633144531</v>
      </c>
      <c r="H315" t="str">
        <f ca="1" t="shared" si="13"/>
        <v>Risk-Off</v>
      </c>
      <c r="I315">
        <f ca="1" t="shared" si="14"/>
        <v>1</v>
      </c>
      <c r="J315">
        <f>_xlfn.XLOOKUP($A315,[1]Sheet1!$B$9:$B$2584,[1]Sheet1!$C$9:$C$2584,"N/A",0)</f>
        <v>95.67</v>
      </c>
      <c r="K315">
        <f>_xlfn.XLOOKUP($A315,[1]Sheet1!$E$9:$E$2584,[1]Sheet1!$F$9:$F$2584,"N/A",0)</f>
        <v>122.25</v>
      </c>
      <c r="L315">
        <f>_xlfn.XLOOKUP($A315,[1]Sheet1!$H$9:$H$2584,[1]Sheet1!$I$9:$I$2584,"N/A",0)</f>
        <v>100.6</v>
      </c>
      <c r="M315">
        <f>_xlfn.XLOOKUP($A315,[1]Sheet1!$K$9:$K$2584,[1]Sheet1!$L$9:$L$2584,"N/A",0)</f>
        <v>115.91</v>
      </c>
      <c r="N315">
        <f>_xlfn.XLOOKUP($A315,[1]Sheet1!$N$9:$N$2584,[1]Sheet1!$O$9:$O$2584,"N/A",0)</f>
        <v>94.4</v>
      </c>
      <c r="O315">
        <v>95.67</v>
      </c>
      <c r="P315">
        <v>122.25</v>
      </c>
      <c r="Q315">
        <v>100.6</v>
      </c>
      <c r="R315">
        <v>94.4</v>
      </c>
      <c r="S315">
        <v>115.91</v>
      </c>
    </row>
    <row r="316" spans="1:19">
      <c r="A316" s="1">
        <v>42825</v>
      </c>
      <c r="B316" t="s">
        <v>207</v>
      </c>
      <c r="C316" t="s">
        <v>228</v>
      </c>
      <c r="D316">
        <v>13.275</v>
      </c>
      <c r="E316">
        <v>13.575</v>
      </c>
      <c r="F316" s="2" t="s">
        <v>232</v>
      </c>
      <c r="G316">
        <f ca="1" t="shared" si="12"/>
        <v>-0.992003378957899</v>
      </c>
      <c r="H316" t="str">
        <f ca="1" t="shared" si="13"/>
        <v>Risk-Off</v>
      </c>
      <c r="I316">
        <f ca="1" t="shared" si="14"/>
        <v>1</v>
      </c>
      <c r="J316">
        <f>_xlfn.XLOOKUP($A316,[1]Sheet1!$B$9:$B$2584,[1]Sheet1!$C$9:$C$2584,"N/A",0)</f>
        <v>95.58</v>
      </c>
      <c r="K316">
        <f>_xlfn.XLOOKUP($A316,[1]Sheet1!$E$9:$E$2584,[1]Sheet1!$F$9:$F$2584,"N/A",0)</f>
        <v>122.17</v>
      </c>
      <c r="L316">
        <f>_xlfn.XLOOKUP($A316,[1]Sheet1!$H$9:$H$2584,[1]Sheet1!$I$9:$I$2584,"N/A",0)</f>
        <v>100.03</v>
      </c>
      <c r="M316">
        <f>_xlfn.XLOOKUP($A316,[1]Sheet1!$K$9:$K$2584,[1]Sheet1!$L$9:$L$2584,"N/A",0)</f>
        <v>115.94</v>
      </c>
      <c r="N316">
        <f>_xlfn.XLOOKUP($A316,[1]Sheet1!$N$9:$N$2584,[1]Sheet1!$O$9:$O$2584,"N/A",0)</f>
        <v>94</v>
      </c>
      <c r="O316">
        <v>95.58</v>
      </c>
      <c r="P316">
        <v>122.17</v>
      </c>
      <c r="Q316">
        <v>100.03</v>
      </c>
      <c r="R316">
        <v>94</v>
      </c>
      <c r="S316">
        <v>115.94</v>
      </c>
    </row>
    <row r="317" spans="1:19">
      <c r="A317" s="1">
        <v>42828</v>
      </c>
      <c r="B317" t="s">
        <v>207</v>
      </c>
      <c r="C317" t="s">
        <v>228</v>
      </c>
      <c r="D317">
        <v>13.475</v>
      </c>
      <c r="E317">
        <v>13.575</v>
      </c>
      <c r="F317">
        <v>0.0074211502782931</v>
      </c>
      <c r="G317">
        <f ca="1" t="shared" si="12"/>
        <v>-1.34227678908932</v>
      </c>
      <c r="H317" t="str">
        <f ca="1" t="shared" si="13"/>
        <v>Risk-Off</v>
      </c>
      <c r="I317">
        <f ca="1" t="shared" si="14"/>
        <v>1</v>
      </c>
      <c r="J317">
        <f>_xlfn.XLOOKUP($A317,[1]Sheet1!$B$9:$B$2584,[1]Sheet1!$C$9:$C$2584,"N/A",0)</f>
        <v>95.68</v>
      </c>
      <c r="K317">
        <f>_xlfn.XLOOKUP($A317,[1]Sheet1!$E$9:$E$2584,[1]Sheet1!$F$9:$F$2584,"N/A",0)</f>
        <v>122.99</v>
      </c>
      <c r="L317">
        <f>_xlfn.XLOOKUP($A317,[1]Sheet1!$H$9:$H$2584,[1]Sheet1!$I$9:$I$2584,"N/A",0)</f>
        <v>99.87</v>
      </c>
      <c r="M317">
        <f>_xlfn.XLOOKUP($A317,[1]Sheet1!$K$9:$K$2584,[1]Sheet1!$L$9:$L$2584,"N/A",0)</f>
        <v>115.41</v>
      </c>
      <c r="N317">
        <f>_xlfn.XLOOKUP($A317,[1]Sheet1!$N$9:$N$2584,[1]Sheet1!$O$9:$O$2584,"N/A",0)</f>
        <v>94.92</v>
      </c>
      <c r="O317">
        <v>95.68</v>
      </c>
      <c r="P317">
        <v>122.99</v>
      </c>
      <c r="Q317">
        <v>99.87</v>
      </c>
      <c r="R317">
        <v>94.92</v>
      </c>
      <c r="S317">
        <v>115.41</v>
      </c>
    </row>
    <row r="318" spans="1:19">
      <c r="A318" s="1">
        <v>42829</v>
      </c>
      <c r="B318" t="s">
        <v>207</v>
      </c>
      <c r="C318" t="s">
        <v>228</v>
      </c>
      <c r="D318">
        <v>13.225</v>
      </c>
      <c r="E318">
        <v>13.375</v>
      </c>
      <c r="F318" s="2" t="s">
        <v>233</v>
      </c>
      <c r="G318">
        <f ca="1" t="shared" si="12"/>
        <v>-1.22288061757209</v>
      </c>
      <c r="H318" t="str">
        <f ca="1" t="shared" si="13"/>
        <v>Risk-Off</v>
      </c>
      <c r="I318">
        <f ca="1" t="shared" si="14"/>
        <v>1</v>
      </c>
      <c r="J318">
        <f>_xlfn.XLOOKUP($A318,[1]Sheet1!$B$9:$B$2584,[1]Sheet1!$C$9:$C$2584,"N/A",0)</f>
        <v>95.74</v>
      </c>
      <c r="K318">
        <f>_xlfn.XLOOKUP($A318,[1]Sheet1!$E$9:$E$2584,[1]Sheet1!$F$9:$F$2584,"N/A",0)</f>
        <v>123.94</v>
      </c>
      <c r="L318">
        <f>_xlfn.XLOOKUP($A318,[1]Sheet1!$H$9:$H$2584,[1]Sheet1!$I$9:$I$2584,"N/A",0)</f>
        <v>99.26</v>
      </c>
      <c r="M318">
        <f>_xlfn.XLOOKUP($A318,[1]Sheet1!$K$9:$K$2584,[1]Sheet1!$L$9:$L$2584,"N/A",0)</f>
        <v>114.83</v>
      </c>
      <c r="N318">
        <f>_xlfn.XLOOKUP($A318,[1]Sheet1!$N$9:$N$2584,[1]Sheet1!$O$9:$O$2584,"N/A",0)</f>
        <v>95</v>
      </c>
      <c r="O318">
        <v>95.74</v>
      </c>
      <c r="P318">
        <v>123.94</v>
      </c>
      <c r="Q318">
        <v>99.26</v>
      </c>
      <c r="R318">
        <v>95</v>
      </c>
      <c r="S318">
        <v>114.83</v>
      </c>
    </row>
    <row r="319" spans="1:19">
      <c r="A319" s="1">
        <v>42830</v>
      </c>
      <c r="B319" t="s">
        <v>207</v>
      </c>
      <c r="C319" t="s">
        <v>228</v>
      </c>
      <c r="D319">
        <v>13.875</v>
      </c>
      <c r="E319">
        <v>13.875</v>
      </c>
      <c r="F319">
        <v>0</v>
      </c>
      <c r="G319">
        <f ca="1" t="shared" si="12"/>
        <v>-1.46583923056395</v>
      </c>
      <c r="H319" t="str">
        <f ca="1" t="shared" si="13"/>
        <v>Risk-Off</v>
      </c>
      <c r="I319">
        <f ca="1" t="shared" si="14"/>
        <v>1</v>
      </c>
      <c r="J319">
        <f>_xlfn.XLOOKUP($A319,[1]Sheet1!$B$9:$B$2584,[1]Sheet1!$C$9:$C$2584,"N/A",0)</f>
        <v>95.87</v>
      </c>
      <c r="K319">
        <f>_xlfn.XLOOKUP($A319,[1]Sheet1!$E$9:$E$2584,[1]Sheet1!$F$9:$F$2584,"N/A",0)</f>
        <v>123.76</v>
      </c>
      <c r="L319">
        <f>_xlfn.XLOOKUP($A319,[1]Sheet1!$H$9:$H$2584,[1]Sheet1!$I$9:$I$2584,"N/A",0)</f>
        <v>98.97</v>
      </c>
      <c r="M319">
        <f>_xlfn.XLOOKUP($A319,[1]Sheet1!$K$9:$K$2584,[1]Sheet1!$L$9:$L$2584,"N/A",0)</f>
        <v>114.79</v>
      </c>
      <c r="N319">
        <f>_xlfn.XLOOKUP($A319,[1]Sheet1!$N$9:$N$2584,[1]Sheet1!$O$9:$O$2584,"N/A",0)</f>
        <v>95.63</v>
      </c>
      <c r="O319">
        <v>95.87</v>
      </c>
      <c r="P319">
        <v>123.76</v>
      </c>
      <c r="Q319">
        <v>98.97</v>
      </c>
      <c r="R319">
        <v>95.63</v>
      </c>
      <c r="S319">
        <v>114.79</v>
      </c>
    </row>
    <row r="320" spans="1:19">
      <c r="A320" s="1">
        <v>42831</v>
      </c>
      <c r="B320" t="s">
        <v>207</v>
      </c>
      <c r="C320" t="s">
        <v>228</v>
      </c>
      <c r="D320">
        <v>13.575</v>
      </c>
      <c r="E320">
        <v>13.525</v>
      </c>
      <c r="F320">
        <v>-0.00368324125230194</v>
      </c>
      <c r="G320">
        <f ca="1" t="shared" si="12"/>
        <v>-1.51323723110331</v>
      </c>
      <c r="H320" t="str">
        <f ca="1" t="shared" si="13"/>
        <v>Risk-Off</v>
      </c>
      <c r="I320">
        <f ca="1" t="shared" si="14"/>
        <v>1</v>
      </c>
      <c r="J320">
        <f>_xlfn.XLOOKUP($A320,[1]Sheet1!$B$9:$B$2584,[1]Sheet1!$C$9:$C$2584,"N/A",0)</f>
        <v>95.93</v>
      </c>
      <c r="K320">
        <f>_xlfn.XLOOKUP($A320,[1]Sheet1!$E$9:$E$2584,[1]Sheet1!$F$9:$F$2584,"N/A",0)</f>
        <v>123.48</v>
      </c>
      <c r="L320">
        <f>_xlfn.XLOOKUP($A320,[1]Sheet1!$H$9:$H$2584,[1]Sheet1!$I$9:$I$2584,"N/A",0)</f>
        <v>99.2</v>
      </c>
      <c r="M320">
        <f>_xlfn.XLOOKUP($A320,[1]Sheet1!$K$9:$K$2584,[1]Sheet1!$L$9:$L$2584,"N/A",0)</f>
        <v>114.72</v>
      </c>
      <c r="N320">
        <f>_xlfn.XLOOKUP($A320,[1]Sheet1!$N$9:$N$2584,[1]Sheet1!$O$9:$O$2584,"N/A",0)</f>
        <v>95.1</v>
      </c>
      <c r="O320">
        <v>95.93</v>
      </c>
      <c r="P320">
        <v>123.48</v>
      </c>
      <c r="Q320">
        <v>99.2</v>
      </c>
      <c r="R320">
        <v>95.1</v>
      </c>
      <c r="S320">
        <v>114.72</v>
      </c>
    </row>
    <row r="321" spans="1:19">
      <c r="A321" s="1">
        <v>42832</v>
      </c>
      <c r="B321" t="s">
        <v>207</v>
      </c>
      <c r="C321" t="s">
        <v>228</v>
      </c>
      <c r="D321">
        <v>14.025</v>
      </c>
      <c r="E321">
        <v>13.875</v>
      </c>
      <c r="F321">
        <v>-0.0106951871657754</v>
      </c>
      <c r="G321">
        <f ca="1" t="shared" si="12"/>
        <v>-1.61464051187399</v>
      </c>
      <c r="H321" t="str">
        <f ca="1" t="shared" si="13"/>
        <v>Risk-Off</v>
      </c>
      <c r="I321">
        <f ca="1" t="shared" si="14"/>
        <v>1</v>
      </c>
      <c r="J321">
        <f>_xlfn.XLOOKUP($A321,[1]Sheet1!$B$9:$B$2584,[1]Sheet1!$C$9:$C$2584,"N/A",0)</f>
        <v>95.83</v>
      </c>
      <c r="K321">
        <f>_xlfn.XLOOKUP($A321,[1]Sheet1!$E$9:$E$2584,[1]Sheet1!$F$9:$F$2584,"N/A",0)</f>
        <v>123.64</v>
      </c>
      <c r="L321">
        <f>_xlfn.XLOOKUP($A321,[1]Sheet1!$H$9:$H$2584,[1]Sheet1!$I$9:$I$2584,"N/A",0)</f>
        <v>99.19</v>
      </c>
      <c r="M321">
        <f>_xlfn.XLOOKUP($A321,[1]Sheet1!$K$9:$K$2584,[1]Sheet1!$L$9:$L$2584,"N/A",0)</f>
        <v>115.05</v>
      </c>
      <c r="N321">
        <f>_xlfn.XLOOKUP($A321,[1]Sheet1!$N$9:$N$2584,[1]Sheet1!$O$9:$O$2584,"N/A",0)</f>
        <v>95.18</v>
      </c>
      <c r="O321">
        <v>95.83</v>
      </c>
      <c r="P321">
        <v>123.64</v>
      </c>
      <c r="Q321">
        <v>99.19</v>
      </c>
      <c r="R321">
        <v>95.18</v>
      </c>
      <c r="S321">
        <v>115.05</v>
      </c>
    </row>
    <row r="322" spans="1:19">
      <c r="A322" s="1">
        <v>42835</v>
      </c>
      <c r="B322" t="s">
        <v>207</v>
      </c>
      <c r="C322" t="s">
        <v>228</v>
      </c>
      <c r="D322">
        <v>15.025</v>
      </c>
      <c r="E322">
        <v>14.325</v>
      </c>
      <c r="F322">
        <v>-0.0465890183028286</v>
      </c>
      <c r="G322">
        <f ca="1" t="shared" si="12"/>
        <v>-2.36220887734972</v>
      </c>
      <c r="H322" t="str">
        <f ca="1" t="shared" si="13"/>
        <v>Risk-Off</v>
      </c>
      <c r="I322">
        <f ca="1" t="shared" si="14"/>
        <v>1</v>
      </c>
      <c r="J322">
        <f>_xlfn.XLOOKUP($A322,[1]Sheet1!$B$9:$B$2584,[1]Sheet1!$C$9:$C$2584,"N/A",0)</f>
        <v>95.78</v>
      </c>
      <c r="K322">
        <f>_xlfn.XLOOKUP($A322,[1]Sheet1!$E$9:$E$2584,[1]Sheet1!$F$9:$F$2584,"N/A",0)</f>
        <v>122.71</v>
      </c>
      <c r="L322">
        <f>_xlfn.XLOOKUP($A322,[1]Sheet1!$H$9:$H$2584,[1]Sheet1!$I$9:$I$2584,"N/A",0)</f>
        <v>99.33</v>
      </c>
      <c r="M322">
        <f>_xlfn.XLOOKUP($A322,[1]Sheet1!$K$9:$K$2584,[1]Sheet1!$L$9:$L$2584,"N/A",0)</f>
        <v>115.13</v>
      </c>
      <c r="N322">
        <f>_xlfn.XLOOKUP($A322,[1]Sheet1!$N$9:$N$2584,[1]Sheet1!$O$9:$O$2584,"N/A",0)</f>
        <v>94.85</v>
      </c>
      <c r="O322">
        <v>95.78</v>
      </c>
      <c r="P322">
        <v>122.71</v>
      </c>
      <c r="Q322">
        <v>99.33</v>
      </c>
      <c r="R322">
        <v>94.85</v>
      </c>
      <c r="S322">
        <v>115.13</v>
      </c>
    </row>
    <row r="323" spans="1:19">
      <c r="A323" s="1">
        <v>42836</v>
      </c>
      <c r="B323" t="s">
        <v>207</v>
      </c>
      <c r="C323" t="s">
        <v>228</v>
      </c>
      <c r="D323">
        <v>15.975</v>
      </c>
      <c r="E323">
        <v>14.525</v>
      </c>
      <c r="F323">
        <v>-0.0907668231611893</v>
      </c>
      <c r="G323">
        <f ca="1" t="shared" ref="G323:G386" si="15">IF(ROW()-ROW($A$3)+1&gt;252,(F323-AVERAGE(OFFSET(F323,-252,0,252,1)))/_xlfn.STDEV.S(OFFSET(F323,-252,0,252,1)),"N/A")</f>
        <v>-3.19076326624716</v>
      </c>
      <c r="H323" t="str">
        <f ca="1" t="shared" ref="H323:H386" si="16">IF(G323&lt;&gt;"N/A",IF(G573&gt;-0.5,"Risk-On","Risk-Off"),"N/A")</f>
        <v>Risk-Off</v>
      </c>
      <c r="I323">
        <f ca="1" t="shared" si="14"/>
        <v>1</v>
      </c>
      <c r="J323">
        <f>_xlfn.XLOOKUP($A323,[1]Sheet1!$B$9:$B$2584,[1]Sheet1!$C$9:$C$2584,"N/A",0)</f>
        <v>95.67</v>
      </c>
      <c r="K323">
        <f>_xlfn.XLOOKUP($A323,[1]Sheet1!$E$9:$E$2584,[1]Sheet1!$F$9:$F$2584,"N/A",0)</f>
        <v>122.62</v>
      </c>
      <c r="L323">
        <f>_xlfn.XLOOKUP($A323,[1]Sheet1!$H$9:$H$2584,[1]Sheet1!$I$9:$I$2584,"N/A",0)</f>
        <v>99.34</v>
      </c>
      <c r="M323">
        <f>_xlfn.XLOOKUP($A323,[1]Sheet1!$K$9:$K$2584,[1]Sheet1!$L$9:$L$2584,"N/A",0)</f>
        <v>115.32</v>
      </c>
      <c r="N323">
        <f>_xlfn.XLOOKUP($A323,[1]Sheet1!$N$9:$N$2584,[1]Sheet1!$O$9:$O$2584,"N/A",0)</f>
        <v>94.24</v>
      </c>
      <c r="O323">
        <v>95.67</v>
      </c>
      <c r="P323">
        <v>122.62</v>
      </c>
      <c r="Q323">
        <v>99.34</v>
      </c>
      <c r="R323">
        <v>94.24</v>
      </c>
      <c r="S323">
        <v>115.32</v>
      </c>
    </row>
    <row r="324" spans="1:19">
      <c r="A324" s="1">
        <v>42837</v>
      </c>
      <c r="B324" t="s">
        <v>207</v>
      </c>
      <c r="C324" t="s">
        <v>228</v>
      </c>
      <c r="D324">
        <v>16.275</v>
      </c>
      <c r="E324">
        <v>14.925</v>
      </c>
      <c r="F324">
        <v>-0.0829493087557602</v>
      </c>
      <c r="G324">
        <f ca="1" t="shared" si="15"/>
        <v>-2.78831994101358</v>
      </c>
      <c r="H324" t="str">
        <f ca="1" t="shared" si="16"/>
        <v>Risk-Off</v>
      </c>
      <c r="I324">
        <f ca="1" t="shared" ref="I324:I387" si="17">IF(H324&lt;&gt;"N/A",IF(H574&gt;-0.5,1,0),0)</f>
        <v>1</v>
      </c>
      <c r="J324">
        <f>_xlfn.XLOOKUP($A324,[1]Sheet1!$B$9:$B$2584,[1]Sheet1!$C$9:$C$2584,"N/A",0)</f>
        <v>95.64</v>
      </c>
      <c r="K324">
        <f>_xlfn.XLOOKUP($A324,[1]Sheet1!$E$9:$E$2584,[1]Sheet1!$F$9:$F$2584,"N/A",0)</f>
        <v>122.3</v>
      </c>
      <c r="L324">
        <f>_xlfn.XLOOKUP($A324,[1]Sheet1!$H$9:$H$2584,[1]Sheet1!$I$9:$I$2584,"N/A",0)</f>
        <v>99.12</v>
      </c>
      <c r="M324">
        <f>_xlfn.XLOOKUP($A324,[1]Sheet1!$K$9:$K$2584,[1]Sheet1!$L$9:$L$2584,"N/A",0)</f>
        <v>114.68</v>
      </c>
      <c r="N324">
        <f>_xlfn.XLOOKUP($A324,[1]Sheet1!$N$9:$N$2584,[1]Sheet1!$O$9:$O$2584,"N/A",0)</f>
        <v>94.25</v>
      </c>
      <c r="O324">
        <v>95.64</v>
      </c>
      <c r="P324">
        <v>122.3</v>
      </c>
      <c r="Q324">
        <v>99.12</v>
      </c>
      <c r="R324">
        <v>94.25</v>
      </c>
      <c r="S324">
        <v>114.68</v>
      </c>
    </row>
    <row r="325" spans="1:19">
      <c r="A325" s="1">
        <v>42838</v>
      </c>
      <c r="B325" t="s">
        <v>207</v>
      </c>
      <c r="C325" t="s">
        <v>228</v>
      </c>
      <c r="D325">
        <v>16.325</v>
      </c>
      <c r="E325">
        <v>15.225</v>
      </c>
      <c r="F325">
        <v>-0.0673813169984685</v>
      </c>
      <c r="G325">
        <f ca="1" t="shared" si="15"/>
        <v>-2.32120233260328</v>
      </c>
      <c r="H325" t="str">
        <f ca="1" t="shared" si="16"/>
        <v>Risk-On</v>
      </c>
      <c r="I325">
        <f ca="1" t="shared" si="17"/>
        <v>1</v>
      </c>
      <c r="J325">
        <f>_xlfn.XLOOKUP($A325,[1]Sheet1!$B$9:$B$2584,[1]Sheet1!$C$9:$C$2584,"N/A",0)</f>
        <v>95.44</v>
      </c>
      <c r="K325">
        <f>_xlfn.XLOOKUP($A325,[1]Sheet1!$E$9:$E$2584,[1]Sheet1!$F$9:$F$2584,"N/A",0)</f>
        <v>122.41</v>
      </c>
      <c r="L325">
        <f>_xlfn.XLOOKUP($A325,[1]Sheet1!$H$9:$H$2584,[1]Sheet1!$I$9:$I$2584,"N/A",0)</f>
        <v>99.06</v>
      </c>
      <c r="M325">
        <f>_xlfn.XLOOKUP($A325,[1]Sheet1!$K$9:$K$2584,[1]Sheet1!$L$9:$L$2584,"N/A",0)</f>
        <v>114.6</v>
      </c>
      <c r="N325">
        <f>_xlfn.XLOOKUP($A325,[1]Sheet1!$N$9:$N$2584,[1]Sheet1!$O$9:$O$2584,"N/A",0)</f>
        <v>94.35</v>
      </c>
      <c r="O325">
        <v>95.44</v>
      </c>
      <c r="P325">
        <v>122.41</v>
      </c>
      <c r="Q325">
        <v>99.06</v>
      </c>
      <c r="R325">
        <v>94.35</v>
      </c>
      <c r="S325">
        <v>114.6</v>
      </c>
    </row>
    <row r="326" spans="1:19">
      <c r="A326" s="1">
        <v>42842</v>
      </c>
      <c r="B326" t="s">
        <v>207</v>
      </c>
      <c r="C326" t="s">
        <v>228</v>
      </c>
      <c r="D326">
        <v>15.075</v>
      </c>
      <c r="E326">
        <v>14.325</v>
      </c>
      <c r="F326">
        <v>-0.0497512437810945</v>
      </c>
      <c r="G326">
        <f ca="1" t="shared" si="15"/>
        <v>-1.89129271583138</v>
      </c>
      <c r="H326" t="str">
        <f ca="1" t="shared" si="16"/>
        <v>Risk-On</v>
      </c>
      <c r="I326">
        <f ca="1" t="shared" si="17"/>
        <v>1</v>
      </c>
      <c r="J326">
        <f>_xlfn.XLOOKUP($A326,[1]Sheet1!$B$9:$B$2584,[1]Sheet1!$C$9:$C$2584,"N/A",0)</f>
        <v>95.47</v>
      </c>
      <c r="K326">
        <f>_xlfn.XLOOKUP($A326,[1]Sheet1!$E$9:$E$2584,[1]Sheet1!$F$9:$F$2584,"N/A",0)</f>
        <v>122.54</v>
      </c>
      <c r="L326">
        <f>_xlfn.XLOOKUP($A326,[1]Sheet1!$H$9:$H$2584,[1]Sheet1!$I$9:$I$2584,"N/A",0)</f>
        <v>98.72</v>
      </c>
      <c r="M326">
        <f>_xlfn.XLOOKUP($A326,[1]Sheet1!$K$9:$K$2584,[1]Sheet1!$L$9:$L$2584,"N/A",0)</f>
        <v>114.75</v>
      </c>
      <c r="N326">
        <f>_xlfn.XLOOKUP($A326,[1]Sheet1!$N$9:$N$2584,[1]Sheet1!$O$9:$O$2584,"N/A",0)</f>
        <v>94.22</v>
      </c>
      <c r="O326">
        <v>95.47</v>
      </c>
      <c r="P326">
        <v>122.54</v>
      </c>
      <c r="Q326">
        <v>98.72</v>
      </c>
      <c r="R326">
        <v>94.22</v>
      </c>
      <c r="S326">
        <v>114.75</v>
      </c>
    </row>
    <row r="327" spans="1:19">
      <c r="A327" s="1">
        <v>42843</v>
      </c>
      <c r="B327" t="s">
        <v>207</v>
      </c>
      <c r="C327" t="s">
        <v>228</v>
      </c>
      <c r="D327">
        <v>14.725</v>
      </c>
      <c r="E327">
        <v>14.325</v>
      </c>
      <c r="F327">
        <v>-0.0271646859083192</v>
      </c>
      <c r="G327">
        <f ca="1" t="shared" si="15"/>
        <v>-1.42060636777899</v>
      </c>
      <c r="H327" t="str">
        <f ca="1" t="shared" si="16"/>
        <v>Risk-On</v>
      </c>
      <c r="I327">
        <f ca="1" t="shared" si="17"/>
        <v>1</v>
      </c>
      <c r="J327">
        <f>_xlfn.XLOOKUP($A327,[1]Sheet1!$B$9:$B$2584,[1]Sheet1!$C$9:$C$2584,"N/A",0)</f>
        <v>95.67</v>
      </c>
      <c r="K327">
        <f>_xlfn.XLOOKUP($A327,[1]Sheet1!$E$9:$E$2584,[1]Sheet1!$F$9:$F$2584,"N/A",0)</f>
        <v>122.71</v>
      </c>
      <c r="L327">
        <f>_xlfn.XLOOKUP($A327,[1]Sheet1!$H$9:$H$2584,[1]Sheet1!$I$9:$I$2584,"N/A",0)</f>
        <v>98.42</v>
      </c>
      <c r="M327">
        <f>_xlfn.XLOOKUP($A327,[1]Sheet1!$K$9:$K$2584,[1]Sheet1!$L$9:$L$2584,"N/A",0)</f>
        <v>114.82</v>
      </c>
      <c r="N327">
        <f>_xlfn.XLOOKUP($A327,[1]Sheet1!$N$9:$N$2584,[1]Sheet1!$O$9:$O$2584,"N/A",0)</f>
        <v>93.81</v>
      </c>
      <c r="O327">
        <v>95.67</v>
      </c>
      <c r="P327">
        <v>122.71</v>
      </c>
      <c r="Q327">
        <v>98.42</v>
      </c>
      <c r="R327">
        <v>93.81</v>
      </c>
      <c r="S327">
        <v>114.82</v>
      </c>
    </row>
    <row r="328" spans="1:19">
      <c r="A328" s="1">
        <v>42844</v>
      </c>
      <c r="B328" t="s">
        <v>207</v>
      </c>
      <c r="C328" t="s">
        <v>228</v>
      </c>
      <c r="D328">
        <v>14.37</v>
      </c>
      <c r="E328">
        <v>14.575</v>
      </c>
      <c r="F328" s="2" t="s">
        <v>234</v>
      </c>
      <c r="G328">
        <f ca="1" t="shared" si="15"/>
        <v>-0.644372435005269</v>
      </c>
      <c r="H328" t="str">
        <f ca="1" t="shared" si="16"/>
        <v>Risk-On</v>
      </c>
      <c r="I328">
        <f ca="1" t="shared" si="17"/>
        <v>1</v>
      </c>
      <c r="J328">
        <f>_xlfn.XLOOKUP($A328,[1]Sheet1!$B$9:$B$2584,[1]Sheet1!$C$9:$C$2584,"N/A",0)</f>
        <v>95.71</v>
      </c>
      <c r="K328">
        <f>_xlfn.XLOOKUP($A328,[1]Sheet1!$E$9:$E$2584,[1]Sheet1!$F$9:$F$2584,"N/A",0)</f>
        <v>122.92</v>
      </c>
      <c r="L328">
        <f>_xlfn.XLOOKUP($A328,[1]Sheet1!$H$9:$H$2584,[1]Sheet1!$I$9:$I$2584,"N/A",0)</f>
        <v>98.78</v>
      </c>
      <c r="M328">
        <f>_xlfn.XLOOKUP($A328,[1]Sheet1!$K$9:$K$2584,[1]Sheet1!$L$9:$L$2584,"N/A",0)</f>
        <v>115.43</v>
      </c>
      <c r="N328">
        <f>_xlfn.XLOOKUP($A328,[1]Sheet1!$N$9:$N$2584,[1]Sheet1!$O$9:$O$2584,"N/A",0)</f>
        <v>93.42</v>
      </c>
      <c r="O328">
        <v>95.71</v>
      </c>
      <c r="P328">
        <v>122.92</v>
      </c>
      <c r="Q328">
        <v>98.78</v>
      </c>
      <c r="R328">
        <v>93.42</v>
      </c>
      <c r="S328">
        <v>115.43</v>
      </c>
    </row>
    <row r="329" spans="1:19">
      <c r="A329" s="1">
        <v>42845</v>
      </c>
      <c r="B329" t="s">
        <v>228</v>
      </c>
      <c r="C329" t="s">
        <v>235</v>
      </c>
      <c r="D329">
        <v>14.325</v>
      </c>
      <c r="E329">
        <v>14.325</v>
      </c>
      <c r="F329">
        <v>0</v>
      </c>
      <c r="G329">
        <f ca="1" t="shared" si="15"/>
        <v>-0.901246371998126</v>
      </c>
      <c r="H329" t="str">
        <f ca="1" t="shared" si="16"/>
        <v>Risk-Off</v>
      </c>
      <c r="I329">
        <f ca="1" t="shared" si="17"/>
        <v>1</v>
      </c>
      <c r="J329">
        <f>_xlfn.XLOOKUP($A329,[1]Sheet1!$B$9:$B$2584,[1]Sheet1!$C$9:$C$2584,"N/A",0)</f>
        <v>95.26</v>
      </c>
      <c r="K329">
        <f>_xlfn.XLOOKUP($A329,[1]Sheet1!$E$9:$E$2584,[1]Sheet1!$F$9:$F$2584,"N/A",0)</f>
        <v>123.04</v>
      </c>
      <c r="L329">
        <f>_xlfn.XLOOKUP($A329,[1]Sheet1!$H$9:$H$2584,[1]Sheet1!$I$9:$I$2584,"N/A",0)</f>
        <v>99.01</v>
      </c>
      <c r="M329">
        <f>_xlfn.XLOOKUP($A329,[1]Sheet1!$K$9:$K$2584,[1]Sheet1!$L$9:$L$2584,"N/A",0)</f>
        <v>115.74</v>
      </c>
      <c r="N329">
        <f>_xlfn.XLOOKUP($A329,[1]Sheet1!$N$9:$N$2584,[1]Sheet1!$O$9:$O$2584,"N/A",0)</f>
        <v>93.44</v>
      </c>
      <c r="O329">
        <v>95.26</v>
      </c>
      <c r="P329">
        <v>123.04</v>
      </c>
      <c r="Q329">
        <v>99.01</v>
      </c>
      <c r="R329">
        <v>93.44</v>
      </c>
      <c r="S329">
        <v>115.74</v>
      </c>
    </row>
    <row r="330" spans="1:19">
      <c r="A330" s="1">
        <v>42846</v>
      </c>
      <c r="B330" t="s">
        <v>228</v>
      </c>
      <c r="C330" t="s">
        <v>235</v>
      </c>
      <c r="D330">
        <v>14.325</v>
      </c>
      <c r="E330">
        <v>14.225</v>
      </c>
      <c r="F330">
        <v>-0.00698080279232109</v>
      </c>
      <c r="G330">
        <f ca="1" t="shared" si="15"/>
        <v>-1.0156969321649</v>
      </c>
      <c r="H330" t="str">
        <f ca="1" t="shared" si="16"/>
        <v>Risk-On</v>
      </c>
      <c r="I330">
        <f ca="1" t="shared" si="17"/>
        <v>1</v>
      </c>
      <c r="J330">
        <f>_xlfn.XLOOKUP($A330,[1]Sheet1!$B$9:$B$2584,[1]Sheet1!$C$9:$C$2584,"N/A",0)</f>
        <v>95.26</v>
      </c>
      <c r="K330">
        <f>_xlfn.XLOOKUP($A330,[1]Sheet1!$E$9:$E$2584,[1]Sheet1!$F$9:$F$2584,"N/A",0)</f>
        <v>123.46</v>
      </c>
      <c r="L330">
        <f>_xlfn.XLOOKUP($A330,[1]Sheet1!$H$9:$H$2584,[1]Sheet1!$I$9:$I$2584,"N/A",0)</f>
        <v>98.97</v>
      </c>
      <c r="M330">
        <f>_xlfn.XLOOKUP($A330,[1]Sheet1!$K$9:$K$2584,[1]Sheet1!$L$9:$L$2584,"N/A",0)</f>
        <v>115.84</v>
      </c>
      <c r="N330">
        <f>_xlfn.XLOOKUP($A330,[1]Sheet1!$N$9:$N$2584,[1]Sheet1!$O$9:$O$2584,"N/A",0)</f>
        <v>93.25</v>
      </c>
      <c r="O330">
        <v>95.26</v>
      </c>
      <c r="P330">
        <v>123.46</v>
      </c>
      <c r="Q330">
        <v>98.97</v>
      </c>
      <c r="R330">
        <v>93.25</v>
      </c>
      <c r="S330">
        <v>115.84</v>
      </c>
    </row>
    <row r="331" spans="1:19">
      <c r="A331" s="1">
        <v>42849</v>
      </c>
      <c r="B331" t="s">
        <v>228</v>
      </c>
      <c r="C331" t="s">
        <v>235</v>
      </c>
      <c r="D331">
        <v>12.675</v>
      </c>
      <c r="E331">
        <v>13.325</v>
      </c>
      <c r="F331">
        <v>0.0512820512820511</v>
      </c>
      <c r="G331">
        <f ca="1" t="shared" si="15"/>
        <v>0.0489945923463419</v>
      </c>
      <c r="H331" t="str">
        <f ca="1" t="shared" si="16"/>
        <v>Risk-On</v>
      </c>
      <c r="I331">
        <f ca="1" t="shared" si="17"/>
        <v>1</v>
      </c>
      <c r="J331">
        <f>_xlfn.XLOOKUP($A331,[1]Sheet1!$B$9:$B$2584,[1]Sheet1!$C$9:$C$2584,"N/A",0)</f>
        <v>95.07</v>
      </c>
      <c r="K331">
        <f>_xlfn.XLOOKUP($A331,[1]Sheet1!$E$9:$E$2584,[1]Sheet1!$F$9:$F$2584,"N/A",0)</f>
        <v>124.04</v>
      </c>
      <c r="L331">
        <f>_xlfn.XLOOKUP($A331,[1]Sheet1!$H$9:$H$2584,[1]Sheet1!$I$9:$I$2584,"N/A",0)</f>
        <v>99.07</v>
      </c>
      <c r="M331">
        <f>_xlfn.XLOOKUP($A331,[1]Sheet1!$K$9:$K$2584,[1]Sheet1!$L$9:$L$2584,"N/A",0)</f>
        <v>116.41</v>
      </c>
      <c r="N331">
        <f>_xlfn.XLOOKUP($A331,[1]Sheet1!$N$9:$N$2584,[1]Sheet1!$O$9:$O$2584,"N/A",0)</f>
        <v>93.36</v>
      </c>
      <c r="O331">
        <v>95.07</v>
      </c>
      <c r="P331">
        <v>124.04</v>
      </c>
      <c r="Q331">
        <v>99.07</v>
      </c>
      <c r="R331">
        <v>93.36</v>
      </c>
      <c r="S331">
        <v>116.41</v>
      </c>
    </row>
    <row r="332" spans="1:19">
      <c r="A332" s="1">
        <v>42850</v>
      </c>
      <c r="B332" t="s">
        <v>228</v>
      </c>
      <c r="C332" t="s">
        <v>235</v>
      </c>
      <c r="D332">
        <v>12.475</v>
      </c>
      <c r="E332">
        <v>13.125</v>
      </c>
      <c r="F332">
        <v>0.0521042084168337</v>
      </c>
      <c r="G332">
        <f ca="1" t="shared" si="15"/>
        <v>0.0635887706019216</v>
      </c>
      <c r="H332" t="str">
        <f ca="1" t="shared" si="16"/>
        <v>Risk-On</v>
      </c>
      <c r="I332">
        <f ca="1" t="shared" si="17"/>
        <v>1</v>
      </c>
      <c r="J332">
        <f>_xlfn.XLOOKUP($A332,[1]Sheet1!$B$9:$B$2584,[1]Sheet1!$C$9:$C$2584,"N/A",0)</f>
        <v>95.11</v>
      </c>
      <c r="K332">
        <f>_xlfn.XLOOKUP($A332,[1]Sheet1!$E$9:$E$2584,[1]Sheet1!$F$9:$F$2584,"N/A",0)</f>
        <v>124.23</v>
      </c>
      <c r="L332">
        <f>_xlfn.XLOOKUP($A332,[1]Sheet1!$H$9:$H$2584,[1]Sheet1!$I$9:$I$2584,"N/A",0)</f>
        <v>98.82</v>
      </c>
      <c r="M332">
        <f>_xlfn.XLOOKUP($A332,[1]Sheet1!$K$9:$K$2584,[1]Sheet1!$L$9:$L$2584,"N/A",0)</f>
        <v>116.37</v>
      </c>
      <c r="N332">
        <f>_xlfn.XLOOKUP($A332,[1]Sheet1!$N$9:$N$2584,[1]Sheet1!$O$9:$O$2584,"N/A",0)</f>
        <v>93.37</v>
      </c>
      <c r="O332">
        <v>95.11</v>
      </c>
      <c r="P332">
        <v>124.23</v>
      </c>
      <c r="Q332">
        <v>98.82</v>
      </c>
      <c r="R332">
        <v>93.37</v>
      </c>
      <c r="S332">
        <v>116.37</v>
      </c>
    </row>
    <row r="333" spans="1:19">
      <c r="A333" s="1">
        <v>42851</v>
      </c>
      <c r="B333" t="s">
        <v>228</v>
      </c>
      <c r="C333" t="s">
        <v>235</v>
      </c>
      <c r="D333">
        <v>12.375</v>
      </c>
      <c r="E333">
        <v>13.175</v>
      </c>
      <c r="F333">
        <v>0.0646464646464647</v>
      </c>
      <c r="G333">
        <f ca="1" t="shared" si="15"/>
        <v>0.29244779486587</v>
      </c>
      <c r="H333" t="str">
        <f ca="1" t="shared" si="16"/>
        <v>Risk-Off</v>
      </c>
      <c r="I333">
        <f ca="1" t="shared" si="17"/>
        <v>1</v>
      </c>
      <c r="J333">
        <f>_xlfn.XLOOKUP($A333,[1]Sheet1!$B$9:$B$2584,[1]Sheet1!$C$9:$C$2584,"N/A",0)</f>
        <v>95.29</v>
      </c>
      <c r="K333">
        <f>_xlfn.XLOOKUP($A333,[1]Sheet1!$E$9:$E$2584,[1]Sheet1!$F$9:$F$2584,"N/A",0)</f>
        <v>123.66</v>
      </c>
      <c r="L333">
        <f>_xlfn.XLOOKUP($A333,[1]Sheet1!$H$9:$H$2584,[1]Sheet1!$I$9:$I$2584,"N/A",0)</f>
        <v>98.73</v>
      </c>
      <c r="M333">
        <f>_xlfn.XLOOKUP($A333,[1]Sheet1!$K$9:$K$2584,[1]Sheet1!$L$9:$L$2584,"N/A",0)</f>
        <v>115.76</v>
      </c>
      <c r="N333">
        <f>_xlfn.XLOOKUP($A333,[1]Sheet1!$N$9:$N$2584,[1]Sheet1!$O$9:$O$2584,"N/A",0)</f>
        <v>92.84</v>
      </c>
      <c r="O333">
        <v>95.29</v>
      </c>
      <c r="P333">
        <v>123.66</v>
      </c>
      <c r="Q333">
        <v>98.73</v>
      </c>
      <c r="R333">
        <v>92.84</v>
      </c>
      <c r="S333">
        <v>115.76</v>
      </c>
    </row>
    <row r="334" spans="1:19">
      <c r="A334" s="1">
        <v>42852</v>
      </c>
      <c r="B334" t="s">
        <v>228</v>
      </c>
      <c r="C334" t="s">
        <v>235</v>
      </c>
      <c r="D334">
        <v>12.375</v>
      </c>
      <c r="E334">
        <v>13.125</v>
      </c>
      <c r="F334">
        <v>0.0606060606060606</v>
      </c>
      <c r="G334">
        <f ca="1" t="shared" si="15"/>
        <v>0.216026174367756</v>
      </c>
      <c r="H334" t="str">
        <f ca="1" t="shared" si="16"/>
        <v>Risk-On</v>
      </c>
      <c r="I334">
        <f ca="1" t="shared" si="17"/>
        <v>1</v>
      </c>
      <c r="J334">
        <f>_xlfn.XLOOKUP($A334,[1]Sheet1!$B$9:$B$2584,[1]Sheet1!$C$9:$C$2584,"N/A",0)</f>
        <v>95.92</v>
      </c>
      <c r="K334">
        <f>_xlfn.XLOOKUP($A334,[1]Sheet1!$E$9:$E$2584,[1]Sheet1!$F$9:$F$2584,"N/A",0)</f>
        <v>123.94</v>
      </c>
      <c r="L334">
        <f>_xlfn.XLOOKUP($A334,[1]Sheet1!$H$9:$H$2584,[1]Sheet1!$I$9:$I$2584,"N/A",0)</f>
        <v>98.99</v>
      </c>
      <c r="M334">
        <f>_xlfn.XLOOKUP($A334,[1]Sheet1!$K$9:$K$2584,[1]Sheet1!$L$9:$L$2584,"N/A",0)</f>
        <v>116.35</v>
      </c>
      <c r="N334">
        <f>_xlfn.XLOOKUP($A334,[1]Sheet1!$N$9:$N$2584,[1]Sheet1!$O$9:$O$2584,"N/A",0)</f>
        <v>93.26</v>
      </c>
      <c r="O334">
        <v>95.92</v>
      </c>
      <c r="P334">
        <v>123.94</v>
      </c>
      <c r="Q334">
        <v>98.99</v>
      </c>
      <c r="R334">
        <v>93.26</v>
      </c>
      <c r="S334">
        <v>116.35</v>
      </c>
    </row>
    <row r="335" spans="1:19">
      <c r="A335" s="1">
        <v>42853</v>
      </c>
      <c r="B335" t="s">
        <v>228</v>
      </c>
      <c r="C335" t="s">
        <v>235</v>
      </c>
      <c r="D335">
        <v>12.275</v>
      </c>
      <c r="E335">
        <v>13.125</v>
      </c>
      <c r="F335">
        <v>0.0692464358452138</v>
      </c>
      <c r="G335">
        <f ca="1" t="shared" si="15"/>
        <v>0.374514868067855</v>
      </c>
      <c r="H335" t="str">
        <f ca="1" t="shared" si="16"/>
        <v>Risk-On</v>
      </c>
      <c r="I335">
        <f ca="1" t="shared" si="17"/>
        <v>1</v>
      </c>
      <c r="J335">
        <f>_xlfn.XLOOKUP($A335,[1]Sheet1!$B$9:$B$2584,[1]Sheet1!$C$9:$C$2584,"N/A",0)</f>
        <v>96.08</v>
      </c>
      <c r="K335">
        <f>_xlfn.XLOOKUP($A335,[1]Sheet1!$E$9:$E$2584,[1]Sheet1!$F$9:$F$2584,"N/A",0)</f>
        <v>124.32</v>
      </c>
      <c r="L335">
        <f>_xlfn.XLOOKUP($A335,[1]Sheet1!$H$9:$H$2584,[1]Sheet1!$I$9:$I$2584,"N/A",0)</f>
        <v>98.67</v>
      </c>
      <c r="M335">
        <f>_xlfn.XLOOKUP($A335,[1]Sheet1!$K$9:$K$2584,[1]Sheet1!$L$9:$L$2584,"N/A",0)</f>
        <v>115.75</v>
      </c>
      <c r="N335">
        <f>_xlfn.XLOOKUP($A335,[1]Sheet1!$N$9:$N$2584,[1]Sheet1!$O$9:$O$2584,"N/A",0)</f>
        <v>93.58</v>
      </c>
      <c r="O335">
        <v>96.08</v>
      </c>
      <c r="P335">
        <v>124.32</v>
      </c>
      <c r="Q335">
        <v>98.67</v>
      </c>
      <c r="R335">
        <v>93.58</v>
      </c>
      <c r="S335">
        <v>115.75</v>
      </c>
    </row>
    <row r="336" spans="1:19">
      <c r="A336" s="1">
        <v>42856</v>
      </c>
      <c r="B336" t="s">
        <v>228</v>
      </c>
      <c r="C336" t="s">
        <v>235</v>
      </c>
      <c r="D336">
        <v>11.825</v>
      </c>
      <c r="E336">
        <v>12.625</v>
      </c>
      <c r="F336">
        <v>0.0676532769556026</v>
      </c>
      <c r="G336">
        <f ca="1" t="shared" si="15"/>
        <v>0.342100938520208</v>
      </c>
      <c r="H336" t="str">
        <f ca="1" t="shared" si="16"/>
        <v>Risk-On</v>
      </c>
      <c r="I336">
        <f ca="1" t="shared" si="17"/>
        <v>1</v>
      </c>
      <c r="J336">
        <f>_xlfn.XLOOKUP($A336,[1]Sheet1!$B$9:$B$2584,[1]Sheet1!$C$9:$C$2584,"N/A",0)</f>
        <v>96.47</v>
      </c>
      <c r="K336">
        <f>_xlfn.XLOOKUP($A336,[1]Sheet1!$E$9:$E$2584,[1]Sheet1!$F$9:$F$2584,"N/A",0)</f>
        <v>125.04</v>
      </c>
      <c r="L336">
        <f>_xlfn.XLOOKUP($A336,[1]Sheet1!$H$9:$H$2584,[1]Sheet1!$I$9:$I$2584,"N/A",0)</f>
        <v>98.7</v>
      </c>
      <c r="M336">
        <f>_xlfn.XLOOKUP($A336,[1]Sheet1!$K$9:$K$2584,[1]Sheet1!$L$9:$L$2584,"N/A",0)</f>
        <v>115.73</v>
      </c>
      <c r="N336">
        <f>_xlfn.XLOOKUP($A336,[1]Sheet1!$N$9:$N$2584,[1]Sheet1!$O$9:$O$2584,"N/A",0)</f>
        <v>93.31</v>
      </c>
      <c r="O336">
        <v>96.47</v>
      </c>
      <c r="P336">
        <v>125.04</v>
      </c>
      <c r="Q336">
        <v>98.7</v>
      </c>
      <c r="R336">
        <v>93.31</v>
      </c>
      <c r="S336">
        <v>115.73</v>
      </c>
    </row>
    <row r="337" spans="1:19">
      <c r="A337" s="1">
        <v>42857</v>
      </c>
      <c r="B337" t="s">
        <v>228</v>
      </c>
      <c r="C337" t="s">
        <v>235</v>
      </c>
      <c r="D337">
        <v>11.825</v>
      </c>
      <c r="E337">
        <v>12.825</v>
      </c>
      <c r="F337">
        <v>0.0845665961945031</v>
      </c>
      <c r="G337">
        <f ca="1" t="shared" si="15"/>
        <v>0.656408137204698</v>
      </c>
      <c r="H337" t="str">
        <f ca="1" t="shared" si="16"/>
        <v>Risk-On</v>
      </c>
      <c r="I337">
        <f ca="1" t="shared" si="17"/>
        <v>1</v>
      </c>
      <c r="J337">
        <f>_xlfn.XLOOKUP($A337,[1]Sheet1!$B$9:$B$2584,[1]Sheet1!$C$9:$C$2584,"N/A",0)</f>
        <v>96.71</v>
      </c>
      <c r="K337">
        <f>_xlfn.XLOOKUP($A337,[1]Sheet1!$E$9:$E$2584,[1]Sheet1!$F$9:$F$2584,"N/A",0)</f>
        <v>123.58</v>
      </c>
      <c r="L337">
        <f>_xlfn.XLOOKUP($A337,[1]Sheet1!$H$9:$H$2584,[1]Sheet1!$I$9:$I$2584,"N/A",0)</f>
        <v>98.99</v>
      </c>
      <c r="M337">
        <f>_xlfn.XLOOKUP($A337,[1]Sheet1!$K$9:$K$2584,[1]Sheet1!$L$9:$L$2584,"N/A",0)</f>
        <v>116.46</v>
      </c>
      <c r="N337">
        <f>_xlfn.XLOOKUP($A337,[1]Sheet1!$N$9:$N$2584,[1]Sheet1!$O$9:$O$2584,"N/A",0)</f>
        <v>93.8</v>
      </c>
      <c r="O337">
        <v>96.71</v>
      </c>
      <c r="P337">
        <v>123.58</v>
      </c>
      <c r="Q337">
        <v>98.99</v>
      </c>
      <c r="R337">
        <v>93.8</v>
      </c>
      <c r="S337">
        <v>116.46</v>
      </c>
    </row>
    <row r="338" spans="1:19">
      <c r="A338" s="1">
        <v>42858</v>
      </c>
      <c r="B338" t="s">
        <v>228</v>
      </c>
      <c r="C338" t="s">
        <v>235</v>
      </c>
      <c r="D338">
        <v>12.075</v>
      </c>
      <c r="E338">
        <v>12.975</v>
      </c>
      <c r="F338">
        <v>0.0745341614906832</v>
      </c>
      <c r="G338">
        <f ca="1" t="shared" si="15"/>
        <v>0.46192574784234</v>
      </c>
      <c r="H338" t="str">
        <f ca="1" t="shared" si="16"/>
        <v>Risk-On</v>
      </c>
      <c r="I338">
        <f ca="1" t="shared" si="17"/>
        <v>1</v>
      </c>
      <c r="J338">
        <f>_xlfn.XLOOKUP($A338,[1]Sheet1!$B$9:$B$2584,[1]Sheet1!$C$9:$C$2584,"N/A",0)</f>
        <v>96.49</v>
      </c>
      <c r="K338">
        <f>_xlfn.XLOOKUP($A338,[1]Sheet1!$E$9:$E$2584,[1]Sheet1!$F$9:$F$2584,"N/A",0)</f>
        <v>123.9</v>
      </c>
      <c r="L338">
        <f>_xlfn.XLOOKUP($A338,[1]Sheet1!$H$9:$H$2584,[1]Sheet1!$I$9:$I$2584,"N/A",0)</f>
        <v>98.6</v>
      </c>
      <c r="M338">
        <f>_xlfn.XLOOKUP($A338,[1]Sheet1!$K$9:$K$2584,[1]Sheet1!$L$9:$L$2584,"N/A",0)</f>
        <v>117.13</v>
      </c>
      <c r="N338">
        <f>_xlfn.XLOOKUP($A338,[1]Sheet1!$N$9:$N$2584,[1]Sheet1!$O$9:$O$2584,"N/A",0)</f>
        <v>94.11</v>
      </c>
      <c r="O338">
        <v>96.49</v>
      </c>
      <c r="P338">
        <v>123.9</v>
      </c>
      <c r="Q338">
        <v>98.6</v>
      </c>
      <c r="R338">
        <v>94.11</v>
      </c>
      <c r="S338">
        <v>117.13</v>
      </c>
    </row>
    <row r="339" spans="1:19">
      <c r="A339" s="1">
        <v>42859</v>
      </c>
      <c r="B339" t="s">
        <v>228</v>
      </c>
      <c r="C339" t="s">
        <v>235</v>
      </c>
      <c r="D339">
        <v>11.725</v>
      </c>
      <c r="E339">
        <v>12.675</v>
      </c>
      <c r="F339">
        <v>0.0810234541577826</v>
      </c>
      <c r="G339">
        <f ca="1" t="shared" si="15"/>
        <v>0.581036968907888</v>
      </c>
      <c r="H339" t="str">
        <f ca="1" t="shared" si="16"/>
        <v>Risk-On</v>
      </c>
      <c r="I339">
        <f ca="1" t="shared" si="17"/>
        <v>1</v>
      </c>
      <c r="J339">
        <f>_xlfn.XLOOKUP($A339,[1]Sheet1!$B$9:$B$2584,[1]Sheet1!$C$9:$C$2584,"N/A",0)</f>
        <v>96.44</v>
      </c>
      <c r="K339">
        <f>_xlfn.XLOOKUP($A339,[1]Sheet1!$E$9:$E$2584,[1]Sheet1!$F$9:$F$2584,"N/A",0)</f>
        <v>124.3</v>
      </c>
      <c r="L339">
        <f>_xlfn.XLOOKUP($A339,[1]Sheet1!$H$9:$H$2584,[1]Sheet1!$I$9:$I$2584,"N/A",0)</f>
        <v>98.52</v>
      </c>
      <c r="M339">
        <f>_xlfn.XLOOKUP($A339,[1]Sheet1!$K$9:$K$2584,[1]Sheet1!$L$9:$L$2584,"N/A",0)</f>
        <v>118.07</v>
      </c>
      <c r="N339">
        <f>_xlfn.XLOOKUP($A339,[1]Sheet1!$N$9:$N$2584,[1]Sheet1!$O$9:$O$2584,"N/A",0)</f>
        <v>94.49</v>
      </c>
      <c r="O339">
        <v>96.44</v>
      </c>
      <c r="P339">
        <v>124.3</v>
      </c>
      <c r="Q339">
        <v>98.52</v>
      </c>
      <c r="R339">
        <v>94.49</v>
      </c>
      <c r="S339">
        <v>118.07</v>
      </c>
    </row>
    <row r="340" spans="1:19">
      <c r="A340" s="1">
        <v>42860</v>
      </c>
      <c r="B340" t="s">
        <v>228</v>
      </c>
      <c r="C340" t="s">
        <v>235</v>
      </c>
      <c r="D340">
        <v>11.775</v>
      </c>
      <c r="E340">
        <v>12.675</v>
      </c>
      <c r="F340">
        <v>0.0764331210191083</v>
      </c>
      <c r="G340">
        <f ca="1" t="shared" si="15"/>
        <v>0.489189835616347</v>
      </c>
      <c r="H340" t="str">
        <f ca="1" t="shared" si="16"/>
        <v>Risk-On</v>
      </c>
      <c r="I340">
        <f ca="1" t="shared" si="17"/>
        <v>1</v>
      </c>
      <c r="J340">
        <f>_xlfn.XLOOKUP($A340,[1]Sheet1!$B$9:$B$2584,[1]Sheet1!$C$9:$C$2584,"N/A",0)</f>
        <v>96.64</v>
      </c>
      <c r="K340">
        <f>_xlfn.XLOOKUP($A340,[1]Sheet1!$E$9:$E$2584,[1]Sheet1!$F$9:$F$2584,"N/A",0)</f>
        <v>124.44</v>
      </c>
      <c r="L340">
        <f>_xlfn.XLOOKUP($A340,[1]Sheet1!$H$9:$H$2584,[1]Sheet1!$I$9:$I$2584,"N/A",0)</f>
        <v>98.51</v>
      </c>
      <c r="M340">
        <f>_xlfn.XLOOKUP($A340,[1]Sheet1!$K$9:$K$2584,[1]Sheet1!$L$9:$L$2584,"N/A",0)</f>
        <v>118.33</v>
      </c>
      <c r="N340">
        <f>_xlfn.XLOOKUP($A340,[1]Sheet1!$N$9:$N$2584,[1]Sheet1!$O$9:$O$2584,"N/A",0)</f>
        <v>94.24</v>
      </c>
      <c r="O340">
        <v>96.64</v>
      </c>
      <c r="P340">
        <v>124.44</v>
      </c>
      <c r="Q340">
        <v>98.51</v>
      </c>
      <c r="R340">
        <v>94.24</v>
      </c>
      <c r="S340">
        <v>118.33</v>
      </c>
    </row>
    <row r="341" spans="1:19">
      <c r="A341" s="1">
        <v>42863</v>
      </c>
      <c r="B341" t="s">
        <v>228</v>
      </c>
      <c r="C341" t="s">
        <v>235</v>
      </c>
      <c r="D341">
        <v>11.425</v>
      </c>
      <c r="E341">
        <v>12.475</v>
      </c>
      <c r="F341">
        <v>0.0919037199124725</v>
      </c>
      <c r="G341">
        <f ca="1" t="shared" si="15"/>
        <v>0.780391918344318</v>
      </c>
      <c r="H341" t="str">
        <f ca="1" t="shared" si="16"/>
        <v>Risk-On</v>
      </c>
      <c r="I341">
        <f ca="1" t="shared" si="17"/>
        <v>1</v>
      </c>
      <c r="J341">
        <f>_xlfn.XLOOKUP($A341,[1]Sheet1!$B$9:$B$2584,[1]Sheet1!$C$9:$C$2584,"N/A",0)</f>
        <v>96.77</v>
      </c>
      <c r="K341">
        <f>_xlfn.XLOOKUP($A341,[1]Sheet1!$E$9:$E$2584,[1]Sheet1!$F$9:$F$2584,"N/A",0)</f>
        <v>124.17</v>
      </c>
      <c r="L341">
        <f>_xlfn.XLOOKUP($A341,[1]Sheet1!$H$9:$H$2584,[1]Sheet1!$I$9:$I$2584,"N/A",0)</f>
        <v>98.61</v>
      </c>
      <c r="M341">
        <f>_xlfn.XLOOKUP($A341,[1]Sheet1!$K$9:$K$2584,[1]Sheet1!$L$9:$L$2584,"N/A",0)</f>
        <v>118.24</v>
      </c>
      <c r="N341">
        <f>_xlfn.XLOOKUP($A341,[1]Sheet1!$N$9:$N$2584,[1]Sheet1!$O$9:$O$2584,"N/A",0)</f>
        <v>94.38</v>
      </c>
      <c r="O341">
        <v>96.77</v>
      </c>
      <c r="P341">
        <v>124.17</v>
      </c>
      <c r="Q341">
        <v>98.61</v>
      </c>
      <c r="R341">
        <v>94.38</v>
      </c>
      <c r="S341">
        <v>118.24</v>
      </c>
    </row>
    <row r="342" spans="1:19">
      <c r="A342" s="1">
        <v>42864</v>
      </c>
      <c r="B342" t="s">
        <v>228</v>
      </c>
      <c r="C342" t="s">
        <v>235</v>
      </c>
      <c r="D342">
        <v>11.425</v>
      </c>
      <c r="E342">
        <v>12.475</v>
      </c>
      <c r="F342">
        <v>0.0919037199124725</v>
      </c>
      <c r="G342">
        <f ca="1" t="shared" si="15"/>
        <v>0.772869048532718</v>
      </c>
      <c r="H342" t="str">
        <f ca="1" t="shared" si="16"/>
        <v>Risk-On</v>
      </c>
      <c r="I342">
        <f ca="1" t="shared" si="17"/>
        <v>1</v>
      </c>
      <c r="J342">
        <f>_xlfn.XLOOKUP($A342,[1]Sheet1!$B$9:$B$2584,[1]Sheet1!$C$9:$C$2584,"N/A",0)</f>
        <v>96.57</v>
      </c>
      <c r="K342">
        <f>_xlfn.XLOOKUP($A342,[1]Sheet1!$E$9:$E$2584,[1]Sheet1!$F$9:$F$2584,"N/A",0)</f>
        <v>123.64</v>
      </c>
      <c r="L342">
        <f>_xlfn.XLOOKUP($A342,[1]Sheet1!$H$9:$H$2584,[1]Sheet1!$I$9:$I$2584,"N/A",0)</f>
        <v>98.87</v>
      </c>
      <c r="M342">
        <f>_xlfn.XLOOKUP($A342,[1]Sheet1!$K$9:$K$2584,[1]Sheet1!$L$9:$L$2584,"N/A",0)</f>
        <v>118.44</v>
      </c>
      <c r="N342">
        <f>_xlfn.XLOOKUP($A342,[1]Sheet1!$N$9:$N$2584,[1]Sheet1!$O$9:$O$2584,"N/A",0)</f>
        <v>94.38</v>
      </c>
      <c r="O342">
        <v>96.57</v>
      </c>
      <c r="P342">
        <v>123.64</v>
      </c>
      <c r="Q342">
        <v>98.87</v>
      </c>
      <c r="R342">
        <v>94.38</v>
      </c>
      <c r="S342">
        <v>118.44</v>
      </c>
    </row>
    <row r="343" spans="1:19">
      <c r="A343" s="1">
        <v>42865</v>
      </c>
      <c r="B343" t="s">
        <v>228</v>
      </c>
      <c r="C343" t="s">
        <v>235</v>
      </c>
      <c r="D343">
        <v>11.525</v>
      </c>
      <c r="E343">
        <v>12.475</v>
      </c>
      <c r="F343">
        <v>0.0824295010845986</v>
      </c>
      <c r="G343">
        <f ca="1" t="shared" si="15"/>
        <v>0.584090490384513</v>
      </c>
      <c r="H343" t="str">
        <f ca="1" t="shared" si="16"/>
        <v>Risk-On</v>
      </c>
      <c r="I343">
        <f ca="1" t="shared" si="17"/>
        <v>1</v>
      </c>
      <c r="J343">
        <f>_xlfn.XLOOKUP($A343,[1]Sheet1!$B$9:$B$2584,[1]Sheet1!$C$9:$C$2584,"N/A",0)</f>
        <v>96.53</v>
      </c>
      <c r="K343">
        <f>_xlfn.XLOOKUP($A343,[1]Sheet1!$E$9:$E$2584,[1]Sheet1!$F$9:$F$2584,"N/A",0)</f>
        <v>123.4</v>
      </c>
      <c r="L343">
        <f>_xlfn.XLOOKUP($A343,[1]Sheet1!$H$9:$H$2584,[1]Sheet1!$I$9:$I$2584,"N/A",0)</f>
        <v>98.57</v>
      </c>
      <c r="M343">
        <f>_xlfn.XLOOKUP($A343,[1]Sheet1!$K$9:$K$2584,[1]Sheet1!$L$9:$L$2584,"N/A",0)</f>
        <v>118.76</v>
      </c>
      <c r="N343">
        <f>_xlfn.XLOOKUP($A343,[1]Sheet1!$N$9:$N$2584,[1]Sheet1!$O$9:$O$2584,"N/A",0)</f>
        <v>93.78</v>
      </c>
      <c r="O343">
        <v>96.53</v>
      </c>
      <c r="P343">
        <v>123.4</v>
      </c>
      <c r="Q343">
        <v>98.57</v>
      </c>
      <c r="R343">
        <v>93.78</v>
      </c>
      <c r="S343">
        <v>118.76</v>
      </c>
    </row>
    <row r="344" spans="1:19">
      <c r="A344" s="1">
        <v>42866</v>
      </c>
      <c r="B344" t="s">
        <v>228</v>
      </c>
      <c r="C344" t="s">
        <v>235</v>
      </c>
      <c r="D344">
        <v>11.425</v>
      </c>
      <c r="E344">
        <v>12.625</v>
      </c>
      <c r="F344" s="2" t="s">
        <v>236</v>
      </c>
      <c r="G344">
        <f ca="1" t="shared" si="15"/>
        <v>1.01417401156671</v>
      </c>
      <c r="H344" t="str">
        <f ca="1" t="shared" si="16"/>
        <v>Risk-On</v>
      </c>
      <c r="I344">
        <f ca="1" t="shared" si="17"/>
        <v>1</v>
      </c>
      <c r="J344">
        <f>_xlfn.XLOOKUP($A344,[1]Sheet1!$B$9:$B$2584,[1]Sheet1!$C$9:$C$2584,"N/A",0)</f>
        <v>96.85</v>
      </c>
      <c r="K344">
        <f>_xlfn.XLOOKUP($A344,[1]Sheet1!$E$9:$E$2584,[1]Sheet1!$F$9:$F$2584,"N/A",0)</f>
        <v>124.32</v>
      </c>
      <c r="L344">
        <f>_xlfn.XLOOKUP($A344,[1]Sheet1!$H$9:$H$2584,[1]Sheet1!$I$9:$I$2584,"N/A",0)</f>
        <v>98.42</v>
      </c>
      <c r="M344">
        <f>_xlfn.XLOOKUP($A344,[1]Sheet1!$K$9:$K$2584,[1]Sheet1!$L$9:$L$2584,"N/A",0)</f>
        <v>118.28</v>
      </c>
      <c r="N344">
        <f>_xlfn.XLOOKUP($A344,[1]Sheet1!$N$9:$N$2584,[1]Sheet1!$O$9:$O$2584,"N/A",0)</f>
        <v>94.12</v>
      </c>
      <c r="O344">
        <v>96.85</v>
      </c>
      <c r="P344">
        <v>124.32</v>
      </c>
      <c r="Q344">
        <v>98.42</v>
      </c>
      <c r="R344">
        <v>94.12</v>
      </c>
      <c r="S344">
        <v>118.28</v>
      </c>
    </row>
    <row r="345" spans="1:19">
      <c r="A345" s="1">
        <v>42867</v>
      </c>
      <c r="B345" t="s">
        <v>228</v>
      </c>
      <c r="C345" t="s">
        <v>235</v>
      </c>
      <c r="D345">
        <v>11.225</v>
      </c>
      <c r="E345">
        <v>12.425</v>
      </c>
      <c r="F345" s="2" t="s">
        <v>237</v>
      </c>
      <c r="G345">
        <f ca="1" t="shared" si="15"/>
        <v>1.05016139338298</v>
      </c>
      <c r="H345" t="str">
        <f ca="1" t="shared" si="16"/>
        <v>Risk-On</v>
      </c>
      <c r="I345">
        <f ca="1" t="shared" si="17"/>
        <v>1</v>
      </c>
      <c r="J345">
        <f>_xlfn.XLOOKUP($A345,[1]Sheet1!$B$9:$B$2584,[1]Sheet1!$C$9:$C$2584,"N/A",0)</f>
        <v>97.1</v>
      </c>
      <c r="K345">
        <f>_xlfn.XLOOKUP($A345,[1]Sheet1!$E$9:$E$2584,[1]Sheet1!$F$9:$F$2584,"N/A",0)</f>
        <v>125.14</v>
      </c>
      <c r="L345">
        <f>_xlfn.XLOOKUP($A345,[1]Sheet1!$H$9:$H$2584,[1]Sheet1!$I$9:$I$2584,"N/A",0)</f>
        <v>97.84</v>
      </c>
      <c r="M345">
        <f>_xlfn.XLOOKUP($A345,[1]Sheet1!$K$9:$K$2584,[1]Sheet1!$L$9:$L$2584,"N/A",0)</f>
        <v>117.72</v>
      </c>
      <c r="N345">
        <f>_xlfn.XLOOKUP($A345,[1]Sheet1!$N$9:$N$2584,[1]Sheet1!$O$9:$O$2584,"N/A",0)</f>
        <v>94.45</v>
      </c>
      <c r="O345">
        <v>97.1</v>
      </c>
      <c r="P345">
        <v>125.14</v>
      </c>
      <c r="Q345">
        <v>97.84</v>
      </c>
      <c r="R345">
        <v>94.45</v>
      </c>
      <c r="S345">
        <v>117.72</v>
      </c>
    </row>
    <row r="346" spans="1:19">
      <c r="A346" s="1">
        <v>42870</v>
      </c>
      <c r="B346" t="s">
        <v>228</v>
      </c>
      <c r="C346" t="s">
        <v>235</v>
      </c>
      <c r="D346">
        <v>10.825</v>
      </c>
      <c r="E346">
        <v>12.175</v>
      </c>
      <c r="F346" s="2" t="s">
        <v>238</v>
      </c>
      <c r="G346">
        <f ca="1" t="shared" si="15"/>
        <v>1.39259343451129</v>
      </c>
      <c r="H346" t="str">
        <f ca="1" t="shared" si="16"/>
        <v>Risk-On</v>
      </c>
      <c r="I346">
        <f ca="1" t="shared" si="17"/>
        <v>1</v>
      </c>
      <c r="J346">
        <f>_xlfn.XLOOKUP($A346,[1]Sheet1!$B$9:$B$2584,[1]Sheet1!$C$9:$C$2584,"N/A",0)</f>
        <v>97.34</v>
      </c>
      <c r="K346">
        <f>_xlfn.XLOOKUP($A346,[1]Sheet1!$E$9:$E$2584,[1]Sheet1!$F$9:$F$2584,"N/A",0)</f>
        <v>125.34</v>
      </c>
      <c r="L346">
        <f>_xlfn.XLOOKUP($A346,[1]Sheet1!$H$9:$H$2584,[1]Sheet1!$I$9:$I$2584,"N/A",0)</f>
        <v>97.8</v>
      </c>
      <c r="M346">
        <f>_xlfn.XLOOKUP($A346,[1]Sheet1!$K$9:$K$2584,[1]Sheet1!$L$9:$L$2584,"N/A",0)</f>
        <v>117.53</v>
      </c>
      <c r="N346">
        <f>_xlfn.XLOOKUP($A346,[1]Sheet1!$N$9:$N$2584,[1]Sheet1!$O$9:$O$2584,"N/A",0)</f>
        <v>94.67</v>
      </c>
      <c r="O346">
        <v>97.34</v>
      </c>
      <c r="P346">
        <v>125.34</v>
      </c>
      <c r="Q346">
        <v>97.8</v>
      </c>
      <c r="R346">
        <v>94.67</v>
      </c>
      <c r="S346">
        <v>117.53</v>
      </c>
    </row>
    <row r="347" spans="1:19">
      <c r="A347" s="1">
        <v>42871</v>
      </c>
      <c r="B347" t="s">
        <v>228</v>
      </c>
      <c r="C347" t="s">
        <v>235</v>
      </c>
      <c r="D347">
        <v>11.075</v>
      </c>
      <c r="E347">
        <v>12.075</v>
      </c>
      <c r="F347">
        <v>0.0902934537246049</v>
      </c>
      <c r="G347">
        <f ca="1" t="shared" si="15"/>
        <v>0.730734454360086</v>
      </c>
      <c r="H347" t="str">
        <f ca="1" t="shared" si="16"/>
        <v>Risk-On</v>
      </c>
      <c r="I347">
        <f ca="1" t="shared" si="17"/>
        <v>1</v>
      </c>
      <c r="J347">
        <f>_xlfn.XLOOKUP($A347,[1]Sheet1!$B$9:$B$2584,[1]Sheet1!$C$9:$C$2584,"N/A",0)</f>
        <v>97.35</v>
      </c>
      <c r="K347">
        <f>_xlfn.XLOOKUP($A347,[1]Sheet1!$E$9:$E$2584,[1]Sheet1!$F$9:$F$2584,"N/A",0)</f>
        <v>126.64</v>
      </c>
      <c r="L347">
        <f>_xlfn.XLOOKUP($A347,[1]Sheet1!$H$9:$H$2584,[1]Sheet1!$I$9:$I$2584,"N/A",0)</f>
        <v>97.58</v>
      </c>
      <c r="M347">
        <f>_xlfn.XLOOKUP($A347,[1]Sheet1!$K$9:$K$2584,[1]Sheet1!$L$9:$L$2584,"N/A",0)</f>
        <v>116.74</v>
      </c>
      <c r="N347">
        <f>_xlfn.XLOOKUP($A347,[1]Sheet1!$N$9:$N$2584,[1]Sheet1!$O$9:$O$2584,"N/A",0)</f>
        <v>95.14</v>
      </c>
      <c r="O347">
        <v>97.35</v>
      </c>
      <c r="P347">
        <v>126.64</v>
      </c>
      <c r="Q347">
        <v>97.58</v>
      </c>
      <c r="R347">
        <v>95.14</v>
      </c>
      <c r="S347">
        <v>116.74</v>
      </c>
    </row>
    <row r="348" spans="1:19">
      <c r="A348" s="1">
        <v>42872</v>
      </c>
      <c r="B348" t="s">
        <v>228</v>
      </c>
      <c r="C348" t="s">
        <v>235</v>
      </c>
      <c r="D348">
        <v>12.98</v>
      </c>
      <c r="E348">
        <v>14.225</v>
      </c>
      <c r="F348">
        <v>0.0959167950693373</v>
      </c>
      <c r="G348">
        <f ca="1" t="shared" si="15"/>
        <v>0.832691286122418</v>
      </c>
      <c r="H348" t="str">
        <f ca="1" t="shared" si="16"/>
        <v>Risk-On</v>
      </c>
      <c r="I348">
        <f ca="1" t="shared" si="17"/>
        <v>1</v>
      </c>
      <c r="J348">
        <f>_xlfn.XLOOKUP($A348,[1]Sheet1!$B$9:$B$2584,[1]Sheet1!$C$9:$C$2584,"N/A",0)</f>
        <v>97.06</v>
      </c>
      <c r="K348">
        <f>_xlfn.XLOOKUP($A348,[1]Sheet1!$E$9:$E$2584,[1]Sheet1!$F$9:$F$2584,"N/A",0)</f>
        <v>125.25</v>
      </c>
      <c r="L348">
        <f>_xlfn.XLOOKUP($A348,[1]Sheet1!$H$9:$H$2584,[1]Sheet1!$I$9:$I$2584,"N/A",0)</f>
        <v>97.32</v>
      </c>
      <c r="M348">
        <f>_xlfn.XLOOKUP($A348,[1]Sheet1!$K$9:$K$2584,[1]Sheet1!$L$9:$L$2584,"N/A",0)</f>
        <v>116.63</v>
      </c>
      <c r="N348">
        <f>_xlfn.XLOOKUP($A348,[1]Sheet1!$N$9:$N$2584,[1]Sheet1!$O$9:$O$2584,"N/A",0)</f>
        <v>95.18</v>
      </c>
      <c r="O348">
        <v>97.06</v>
      </c>
      <c r="P348">
        <v>125.25</v>
      </c>
      <c r="Q348">
        <v>97.32</v>
      </c>
      <c r="R348">
        <v>95.18</v>
      </c>
      <c r="S348">
        <v>116.63</v>
      </c>
    </row>
    <row r="349" spans="1:19">
      <c r="A349" s="1">
        <v>42873</v>
      </c>
      <c r="B349" t="s">
        <v>235</v>
      </c>
      <c r="C349" t="s">
        <v>239</v>
      </c>
      <c r="D349">
        <v>14.275</v>
      </c>
      <c r="E349">
        <v>14.575</v>
      </c>
      <c r="F349">
        <v>0.0210157618213659</v>
      </c>
      <c r="G349">
        <f ca="1" t="shared" si="15"/>
        <v>-0.622391597339745</v>
      </c>
      <c r="H349" t="str">
        <f ca="1" t="shared" si="16"/>
        <v>Risk-On</v>
      </c>
      <c r="I349">
        <f ca="1" t="shared" si="17"/>
        <v>1</v>
      </c>
      <c r="J349">
        <f>_xlfn.XLOOKUP($A349,[1]Sheet1!$B$9:$B$2584,[1]Sheet1!$C$9:$C$2584,"N/A",0)</f>
        <v>97.35</v>
      </c>
      <c r="K349">
        <f>_xlfn.XLOOKUP($A349,[1]Sheet1!$E$9:$E$2584,[1]Sheet1!$F$9:$F$2584,"N/A",0)</f>
        <v>125.96</v>
      </c>
      <c r="L349">
        <f>_xlfn.XLOOKUP($A349,[1]Sheet1!$H$9:$H$2584,[1]Sheet1!$I$9:$I$2584,"N/A",0)</f>
        <v>96.98</v>
      </c>
      <c r="M349">
        <f>_xlfn.XLOOKUP($A349,[1]Sheet1!$K$9:$K$2584,[1]Sheet1!$L$9:$L$2584,"N/A",0)</f>
        <v>116.65</v>
      </c>
      <c r="N349">
        <f>_xlfn.XLOOKUP($A349,[1]Sheet1!$N$9:$N$2584,[1]Sheet1!$O$9:$O$2584,"N/A",0)</f>
        <v>95.23</v>
      </c>
      <c r="O349">
        <v>97.35</v>
      </c>
      <c r="P349">
        <v>125.96</v>
      </c>
      <c r="Q349">
        <v>96.98</v>
      </c>
      <c r="R349">
        <v>95.23</v>
      </c>
      <c r="S349">
        <v>116.65</v>
      </c>
    </row>
    <row r="350" spans="1:19">
      <c r="A350" s="1">
        <v>42874</v>
      </c>
      <c r="B350" t="s">
        <v>235</v>
      </c>
      <c r="C350" t="s">
        <v>239</v>
      </c>
      <c r="D350">
        <v>12.725</v>
      </c>
      <c r="E350">
        <v>13.475</v>
      </c>
      <c r="F350">
        <v>0.0589390962671905</v>
      </c>
      <c r="G350">
        <f ca="1" t="shared" si="15"/>
        <v>0.117744428620738</v>
      </c>
      <c r="H350" t="str">
        <f ca="1" t="shared" si="16"/>
        <v>Risk-On</v>
      </c>
      <c r="I350">
        <f ca="1" t="shared" si="17"/>
        <v>1</v>
      </c>
      <c r="J350">
        <f>_xlfn.XLOOKUP($A350,[1]Sheet1!$B$9:$B$2584,[1]Sheet1!$C$9:$C$2584,"N/A",0)</f>
        <v>97.43</v>
      </c>
      <c r="K350">
        <f>_xlfn.XLOOKUP($A350,[1]Sheet1!$E$9:$E$2584,[1]Sheet1!$F$9:$F$2584,"N/A",0)</f>
        <v>125.67</v>
      </c>
      <c r="L350">
        <f>_xlfn.XLOOKUP($A350,[1]Sheet1!$H$9:$H$2584,[1]Sheet1!$I$9:$I$2584,"N/A",0)</f>
        <v>96.95</v>
      </c>
      <c r="M350">
        <f>_xlfn.XLOOKUP($A350,[1]Sheet1!$K$9:$K$2584,[1]Sheet1!$L$9:$L$2584,"N/A",0)</f>
        <v>116.02</v>
      </c>
      <c r="N350">
        <f>_xlfn.XLOOKUP($A350,[1]Sheet1!$N$9:$N$2584,[1]Sheet1!$O$9:$O$2584,"N/A",0)</f>
        <v>95.39</v>
      </c>
      <c r="O350">
        <v>97.43</v>
      </c>
      <c r="P350">
        <v>125.67</v>
      </c>
      <c r="Q350">
        <v>96.95</v>
      </c>
      <c r="R350">
        <v>95.39</v>
      </c>
      <c r="S350">
        <v>116.02</v>
      </c>
    </row>
    <row r="351" spans="1:19">
      <c r="A351" s="1">
        <v>42877</v>
      </c>
      <c r="B351" t="s">
        <v>235</v>
      </c>
      <c r="C351" t="s">
        <v>239</v>
      </c>
      <c r="D351">
        <v>12.225</v>
      </c>
      <c r="E351">
        <v>13.175</v>
      </c>
      <c r="F351">
        <v>0.0777096114519428</v>
      </c>
      <c r="G351">
        <f ca="1" t="shared" si="15"/>
        <v>0.485711979223272</v>
      </c>
      <c r="H351" t="str">
        <f ca="1" t="shared" si="16"/>
        <v>Risk-On</v>
      </c>
      <c r="I351">
        <f ca="1" t="shared" si="17"/>
        <v>1</v>
      </c>
      <c r="J351">
        <f>_xlfn.XLOOKUP($A351,[1]Sheet1!$B$9:$B$2584,[1]Sheet1!$C$9:$C$2584,"N/A",0)</f>
        <v>96.93</v>
      </c>
      <c r="K351">
        <f>_xlfn.XLOOKUP($A351,[1]Sheet1!$E$9:$E$2584,[1]Sheet1!$F$9:$F$2584,"N/A",0)</f>
        <v>126.04</v>
      </c>
      <c r="L351">
        <f>_xlfn.XLOOKUP($A351,[1]Sheet1!$H$9:$H$2584,[1]Sheet1!$I$9:$I$2584,"N/A",0)</f>
        <v>97.04</v>
      </c>
      <c r="M351">
        <f>_xlfn.XLOOKUP($A351,[1]Sheet1!$K$9:$K$2584,[1]Sheet1!$L$9:$L$2584,"N/A",0)</f>
        <v>116.03</v>
      </c>
      <c r="N351">
        <f>_xlfn.XLOOKUP($A351,[1]Sheet1!$N$9:$N$2584,[1]Sheet1!$O$9:$O$2584,"N/A",0)</f>
        <v>95.2</v>
      </c>
      <c r="O351">
        <v>96.93</v>
      </c>
      <c r="P351">
        <v>126.04</v>
      </c>
      <c r="Q351">
        <v>97.04</v>
      </c>
      <c r="R351">
        <v>95.2</v>
      </c>
      <c r="S351">
        <v>116.03</v>
      </c>
    </row>
    <row r="352" spans="1:19">
      <c r="A352" s="1">
        <v>42878</v>
      </c>
      <c r="B352" t="s">
        <v>235</v>
      </c>
      <c r="C352" t="s">
        <v>239</v>
      </c>
      <c r="D352">
        <v>12.325</v>
      </c>
      <c r="E352">
        <v>13.325</v>
      </c>
      <c r="F352">
        <v>0.0811359026369168</v>
      </c>
      <c r="G352">
        <f ca="1" t="shared" si="15"/>
        <v>0.557042382133978</v>
      </c>
      <c r="H352" t="str">
        <f ca="1" t="shared" si="16"/>
        <v>Risk-On</v>
      </c>
      <c r="I352">
        <f ca="1" t="shared" si="17"/>
        <v>1</v>
      </c>
      <c r="J352">
        <f>_xlfn.XLOOKUP($A352,[1]Sheet1!$B$9:$B$2584,[1]Sheet1!$C$9:$C$2584,"N/A",0)</f>
        <v>96.88</v>
      </c>
      <c r="K352">
        <f>_xlfn.XLOOKUP($A352,[1]Sheet1!$E$9:$E$2584,[1]Sheet1!$F$9:$F$2584,"N/A",0)</f>
        <v>127.17</v>
      </c>
      <c r="L352">
        <f>_xlfn.XLOOKUP($A352,[1]Sheet1!$H$9:$H$2584,[1]Sheet1!$I$9:$I$2584,"N/A",0)</f>
        <v>97.26</v>
      </c>
      <c r="M352">
        <f>_xlfn.XLOOKUP($A352,[1]Sheet1!$K$9:$K$2584,[1]Sheet1!$L$9:$L$2584,"N/A",0)</f>
        <v>115.93</v>
      </c>
      <c r="N352">
        <f>_xlfn.XLOOKUP($A352,[1]Sheet1!$N$9:$N$2584,[1]Sheet1!$O$9:$O$2584,"N/A",0)</f>
        <v>95.38</v>
      </c>
      <c r="O352">
        <v>96.88</v>
      </c>
      <c r="P352">
        <v>127.17</v>
      </c>
      <c r="Q352">
        <v>97.26</v>
      </c>
      <c r="R352">
        <v>95.38</v>
      </c>
      <c r="S352">
        <v>115.93</v>
      </c>
    </row>
    <row r="353" spans="1:19">
      <c r="A353" s="1">
        <v>42879</v>
      </c>
      <c r="B353" t="s">
        <v>235</v>
      </c>
      <c r="C353" t="s">
        <v>239</v>
      </c>
      <c r="D353">
        <v>11.975</v>
      </c>
      <c r="E353">
        <v>12.975</v>
      </c>
      <c r="F353">
        <v>0.0835073068893528</v>
      </c>
      <c r="G353">
        <f ca="1" t="shared" si="15"/>
        <v>0.604443618234215</v>
      </c>
      <c r="H353" t="str">
        <f ca="1" t="shared" si="16"/>
        <v>Risk-On</v>
      </c>
      <c r="I353">
        <f ca="1" t="shared" si="17"/>
        <v>1</v>
      </c>
      <c r="J353">
        <f>_xlfn.XLOOKUP($A353,[1]Sheet1!$B$9:$B$2584,[1]Sheet1!$C$9:$C$2584,"N/A",0)</f>
        <v>96.62</v>
      </c>
      <c r="K353">
        <f>_xlfn.XLOOKUP($A353,[1]Sheet1!$E$9:$E$2584,[1]Sheet1!$F$9:$F$2584,"N/A",0)</f>
        <v>127.74</v>
      </c>
      <c r="L353">
        <f>_xlfn.XLOOKUP($A353,[1]Sheet1!$H$9:$H$2584,[1]Sheet1!$I$9:$I$2584,"N/A",0)</f>
        <v>96.91</v>
      </c>
      <c r="M353">
        <f>_xlfn.XLOOKUP($A353,[1]Sheet1!$K$9:$K$2584,[1]Sheet1!$L$9:$L$2584,"N/A",0)</f>
        <v>116.06</v>
      </c>
      <c r="N353">
        <f>_xlfn.XLOOKUP($A353,[1]Sheet1!$N$9:$N$2584,[1]Sheet1!$O$9:$O$2584,"N/A",0)</f>
        <v>95.43</v>
      </c>
      <c r="O353">
        <v>96.62</v>
      </c>
      <c r="P353">
        <v>127.74</v>
      </c>
      <c r="Q353">
        <v>96.91</v>
      </c>
      <c r="R353">
        <v>95.43</v>
      </c>
      <c r="S353">
        <v>116.06</v>
      </c>
    </row>
    <row r="354" spans="1:19">
      <c r="A354" s="1">
        <v>42880</v>
      </c>
      <c r="B354" t="s">
        <v>235</v>
      </c>
      <c r="C354" t="s">
        <v>239</v>
      </c>
      <c r="D354">
        <v>12.025</v>
      </c>
      <c r="E354">
        <v>13.025</v>
      </c>
      <c r="F354">
        <v>0.0831600831600831</v>
      </c>
      <c r="G354">
        <f ca="1" t="shared" si="15"/>
        <v>0.593050277218998</v>
      </c>
      <c r="H354" t="str">
        <f ca="1" t="shared" si="16"/>
        <v>Risk-On</v>
      </c>
      <c r="I354">
        <f ca="1" t="shared" si="17"/>
        <v>1</v>
      </c>
      <c r="J354">
        <f>_xlfn.XLOOKUP($A354,[1]Sheet1!$B$9:$B$2584,[1]Sheet1!$C$9:$C$2584,"N/A",0)</f>
        <v>96.43</v>
      </c>
      <c r="K354">
        <f>_xlfn.XLOOKUP($A354,[1]Sheet1!$E$9:$E$2584,[1]Sheet1!$F$9:$F$2584,"N/A",0)</f>
        <v>128.92</v>
      </c>
      <c r="L354">
        <f>_xlfn.XLOOKUP($A354,[1]Sheet1!$H$9:$H$2584,[1]Sheet1!$I$9:$I$2584,"N/A",0)</f>
        <v>97.08</v>
      </c>
      <c r="M354">
        <f>_xlfn.XLOOKUP($A354,[1]Sheet1!$K$9:$K$2584,[1]Sheet1!$L$9:$L$2584,"N/A",0)</f>
        <v>116.72</v>
      </c>
      <c r="N354">
        <f>_xlfn.XLOOKUP($A354,[1]Sheet1!$N$9:$N$2584,[1]Sheet1!$O$9:$O$2584,"N/A",0)</f>
        <v>95.53</v>
      </c>
      <c r="O354">
        <v>96.43</v>
      </c>
      <c r="P354">
        <v>128.92</v>
      </c>
      <c r="Q354">
        <v>97.08</v>
      </c>
      <c r="R354">
        <v>95.53</v>
      </c>
      <c r="S354">
        <v>116.72</v>
      </c>
    </row>
    <row r="355" spans="1:19">
      <c r="A355" s="1">
        <v>42881</v>
      </c>
      <c r="B355" t="s">
        <v>235</v>
      </c>
      <c r="C355" t="s">
        <v>239</v>
      </c>
      <c r="D355">
        <v>11.925</v>
      </c>
      <c r="E355">
        <v>12.925</v>
      </c>
      <c r="F355">
        <v>0.0838574423480083</v>
      </c>
      <c r="G355">
        <f ca="1" t="shared" si="15"/>
        <v>0.602294127404095</v>
      </c>
      <c r="H355" t="str">
        <f ca="1" t="shared" si="16"/>
        <v>Risk-On</v>
      </c>
      <c r="I355">
        <f ca="1" t="shared" si="17"/>
        <v>1</v>
      </c>
      <c r="J355">
        <f>_xlfn.XLOOKUP($A355,[1]Sheet1!$B$9:$B$2584,[1]Sheet1!$C$9:$C$2584,"N/A",0)</f>
        <v>96.19</v>
      </c>
      <c r="K355">
        <f>_xlfn.XLOOKUP($A355,[1]Sheet1!$E$9:$E$2584,[1]Sheet1!$F$9:$F$2584,"N/A",0)</f>
        <v>129.08</v>
      </c>
      <c r="L355">
        <f>_xlfn.XLOOKUP($A355,[1]Sheet1!$H$9:$H$2584,[1]Sheet1!$I$9:$I$2584,"N/A",0)</f>
        <v>97.04</v>
      </c>
      <c r="M355">
        <f>_xlfn.XLOOKUP($A355,[1]Sheet1!$K$9:$K$2584,[1]Sheet1!$L$9:$L$2584,"N/A",0)</f>
        <v>116.56</v>
      </c>
      <c r="N355">
        <f>_xlfn.XLOOKUP($A355,[1]Sheet1!$N$9:$N$2584,[1]Sheet1!$O$9:$O$2584,"N/A",0)</f>
        <v>95.62</v>
      </c>
      <c r="O355">
        <v>96.19</v>
      </c>
      <c r="P355">
        <v>129.08</v>
      </c>
      <c r="Q355">
        <v>97.04</v>
      </c>
      <c r="R355">
        <v>95.62</v>
      </c>
      <c r="S355">
        <v>116.56</v>
      </c>
    </row>
    <row r="356" spans="1:19">
      <c r="A356" s="1">
        <v>42885</v>
      </c>
      <c r="B356" t="s">
        <v>235</v>
      </c>
      <c r="C356" t="s">
        <v>239</v>
      </c>
      <c r="D356">
        <v>11.825</v>
      </c>
      <c r="E356">
        <v>12.725</v>
      </c>
      <c r="F356">
        <v>0.0761099365750528</v>
      </c>
      <c r="G356">
        <f ca="1" t="shared" si="15"/>
        <v>0.445365369695467</v>
      </c>
      <c r="H356" t="str">
        <f ca="1" t="shared" si="16"/>
        <v>Risk-On</v>
      </c>
      <c r="I356">
        <f ca="1" t="shared" si="17"/>
        <v>1</v>
      </c>
      <c r="J356">
        <f>_xlfn.XLOOKUP($A356,[1]Sheet1!$B$9:$B$2584,[1]Sheet1!$C$9:$C$2584,"N/A",0)</f>
        <v>96.19</v>
      </c>
      <c r="K356">
        <f>_xlfn.XLOOKUP($A356,[1]Sheet1!$E$9:$E$2584,[1]Sheet1!$F$9:$F$2584,"N/A",0)</f>
        <v>129.86</v>
      </c>
      <c r="L356">
        <f>_xlfn.XLOOKUP($A356,[1]Sheet1!$H$9:$H$2584,[1]Sheet1!$I$9:$I$2584,"N/A",0)</f>
        <v>97.19</v>
      </c>
      <c r="M356">
        <f>_xlfn.XLOOKUP($A356,[1]Sheet1!$K$9:$K$2584,[1]Sheet1!$L$9:$L$2584,"N/A",0)</f>
        <v>117.2</v>
      </c>
      <c r="N356">
        <f>_xlfn.XLOOKUP($A356,[1]Sheet1!$N$9:$N$2584,[1]Sheet1!$O$9:$O$2584,"N/A",0)</f>
        <v>96.07</v>
      </c>
      <c r="O356">
        <v>96.19</v>
      </c>
      <c r="P356">
        <v>129.86</v>
      </c>
      <c r="Q356">
        <v>97.19</v>
      </c>
      <c r="R356">
        <v>96.07</v>
      </c>
      <c r="S356">
        <v>117.2</v>
      </c>
    </row>
    <row r="357" spans="1:19">
      <c r="A357" s="1">
        <v>42886</v>
      </c>
      <c r="B357" t="s">
        <v>235</v>
      </c>
      <c r="C357" t="s">
        <v>239</v>
      </c>
      <c r="D357">
        <v>11.825</v>
      </c>
      <c r="E357">
        <v>12.675</v>
      </c>
      <c r="F357">
        <v>0.0718816067653278</v>
      </c>
      <c r="G357">
        <f ca="1" t="shared" si="15"/>
        <v>0.358914501741332</v>
      </c>
      <c r="H357" t="str">
        <f ca="1" t="shared" si="16"/>
        <v>Risk-On</v>
      </c>
      <c r="I357">
        <f ca="1" t="shared" si="17"/>
        <v>1</v>
      </c>
      <c r="J357">
        <f>_xlfn.XLOOKUP($A357,[1]Sheet1!$B$9:$B$2584,[1]Sheet1!$C$9:$C$2584,"N/A",0)</f>
        <v>96.17</v>
      </c>
      <c r="K357">
        <f>_xlfn.XLOOKUP($A357,[1]Sheet1!$E$9:$E$2584,[1]Sheet1!$F$9:$F$2584,"N/A",0)</f>
        <v>130.31</v>
      </c>
      <c r="L357">
        <f>_xlfn.XLOOKUP($A357,[1]Sheet1!$H$9:$H$2584,[1]Sheet1!$I$9:$I$2584,"N/A",0)</f>
        <v>97</v>
      </c>
      <c r="M357">
        <f>_xlfn.XLOOKUP($A357,[1]Sheet1!$K$9:$K$2584,[1]Sheet1!$L$9:$L$2584,"N/A",0)</f>
        <v>117.52</v>
      </c>
      <c r="N357">
        <f>_xlfn.XLOOKUP($A357,[1]Sheet1!$N$9:$N$2584,[1]Sheet1!$O$9:$O$2584,"N/A",0)</f>
        <v>96.13</v>
      </c>
      <c r="O357">
        <v>96.17</v>
      </c>
      <c r="P357">
        <v>130.31</v>
      </c>
      <c r="Q357">
        <v>97</v>
      </c>
      <c r="R357">
        <v>96.13</v>
      </c>
      <c r="S357">
        <v>117.52</v>
      </c>
    </row>
    <row r="358" spans="1:19">
      <c r="A358" s="1">
        <v>42887</v>
      </c>
      <c r="B358" t="s">
        <v>235</v>
      </c>
      <c r="C358" t="s">
        <v>239</v>
      </c>
      <c r="D358">
        <v>11.625</v>
      </c>
      <c r="E358">
        <v>12.425</v>
      </c>
      <c r="F358">
        <v>0.0688172043010753</v>
      </c>
      <c r="G358">
        <f ca="1" t="shared" si="15"/>
        <v>0.295897050047409</v>
      </c>
      <c r="H358" t="str">
        <f ca="1" t="shared" si="16"/>
        <v>Risk-On</v>
      </c>
      <c r="I358">
        <f ca="1" t="shared" si="17"/>
        <v>1</v>
      </c>
      <c r="J358">
        <f>_xlfn.XLOOKUP($A358,[1]Sheet1!$B$9:$B$2584,[1]Sheet1!$C$9:$C$2584,"N/A",0)</f>
        <v>96.4</v>
      </c>
      <c r="K358">
        <f>_xlfn.XLOOKUP($A358,[1]Sheet1!$E$9:$E$2584,[1]Sheet1!$F$9:$F$2584,"N/A",0)</f>
        <v>128.89</v>
      </c>
      <c r="L358">
        <f>_xlfn.XLOOKUP($A358,[1]Sheet1!$H$9:$H$2584,[1]Sheet1!$I$9:$I$2584,"N/A",0)</f>
        <v>97.15</v>
      </c>
      <c r="M358">
        <f>_xlfn.XLOOKUP($A358,[1]Sheet1!$K$9:$K$2584,[1]Sheet1!$L$9:$L$2584,"N/A",0)</f>
        <v>117.92</v>
      </c>
      <c r="N358">
        <f>_xlfn.XLOOKUP($A358,[1]Sheet1!$N$9:$N$2584,[1]Sheet1!$O$9:$O$2584,"N/A",0)</f>
        <v>95.35</v>
      </c>
      <c r="O358">
        <v>96.4</v>
      </c>
      <c r="P358">
        <v>128.89</v>
      </c>
      <c r="Q358">
        <v>97.15</v>
      </c>
      <c r="R358">
        <v>95.35</v>
      </c>
      <c r="S358">
        <v>117.92</v>
      </c>
    </row>
    <row r="359" spans="1:19">
      <c r="A359" s="1">
        <v>42888</v>
      </c>
      <c r="B359" t="s">
        <v>235</v>
      </c>
      <c r="C359" t="s">
        <v>239</v>
      </c>
      <c r="D359">
        <v>11.625</v>
      </c>
      <c r="E359">
        <v>12.525</v>
      </c>
      <c r="F359">
        <v>0.0774193548387097</v>
      </c>
      <c r="G359">
        <f ca="1" t="shared" si="15"/>
        <v>0.465867057384679</v>
      </c>
      <c r="H359" t="str">
        <f ca="1" t="shared" si="16"/>
        <v>Risk-On</v>
      </c>
      <c r="I359">
        <f ca="1" t="shared" si="17"/>
        <v>1</v>
      </c>
      <c r="J359">
        <f>_xlfn.XLOOKUP($A359,[1]Sheet1!$B$9:$B$2584,[1]Sheet1!$C$9:$C$2584,"N/A",0)</f>
        <v>96.61</v>
      </c>
      <c r="K359">
        <f>_xlfn.XLOOKUP($A359,[1]Sheet1!$E$9:$E$2584,[1]Sheet1!$F$9:$F$2584,"N/A",0)</f>
        <v>129.86</v>
      </c>
      <c r="L359">
        <f>_xlfn.XLOOKUP($A359,[1]Sheet1!$H$9:$H$2584,[1]Sheet1!$I$9:$I$2584,"N/A",0)</f>
        <v>96.8</v>
      </c>
      <c r="M359">
        <f>_xlfn.XLOOKUP($A359,[1]Sheet1!$K$9:$K$2584,[1]Sheet1!$L$9:$L$2584,"N/A",0)</f>
        <v>118.44</v>
      </c>
      <c r="N359">
        <f>_xlfn.XLOOKUP($A359,[1]Sheet1!$N$9:$N$2584,[1]Sheet1!$O$9:$O$2584,"N/A",0)</f>
        <v>94.98</v>
      </c>
      <c r="O359">
        <v>96.61</v>
      </c>
      <c r="P359">
        <v>129.86</v>
      </c>
      <c r="Q359">
        <v>96.8</v>
      </c>
      <c r="R359">
        <v>94.98</v>
      </c>
      <c r="S359">
        <v>118.44</v>
      </c>
    </row>
    <row r="360" spans="1:19">
      <c r="A360" s="1">
        <v>42891</v>
      </c>
      <c r="B360" t="s">
        <v>235</v>
      </c>
      <c r="C360" t="s">
        <v>239</v>
      </c>
      <c r="D360">
        <v>11.775</v>
      </c>
      <c r="E360">
        <v>12.625</v>
      </c>
      <c r="F360">
        <v>0.0721868365180466</v>
      </c>
      <c r="G360">
        <f ca="1" t="shared" si="15"/>
        <v>0.35803859034865</v>
      </c>
      <c r="H360" t="str">
        <f ca="1" t="shared" si="16"/>
        <v>Risk-On</v>
      </c>
      <c r="I360">
        <f ca="1" t="shared" si="17"/>
        <v>1</v>
      </c>
      <c r="J360">
        <f>_xlfn.XLOOKUP($A360,[1]Sheet1!$B$9:$B$2584,[1]Sheet1!$C$9:$C$2584,"N/A",0)</f>
        <v>96.25</v>
      </c>
      <c r="K360">
        <f>_xlfn.XLOOKUP($A360,[1]Sheet1!$E$9:$E$2584,[1]Sheet1!$F$9:$F$2584,"N/A",0)</f>
        <v>129.51</v>
      </c>
      <c r="L360">
        <f>_xlfn.XLOOKUP($A360,[1]Sheet1!$H$9:$H$2584,[1]Sheet1!$I$9:$I$2584,"N/A",0)</f>
        <v>96.65</v>
      </c>
      <c r="M360">
        <f>_xlfn.XLOOKUP($A360,[1]Sheet1!$K$9:$K$2584,[1]Sheet1!$L$9:$L$2584,"N/A",0)</f>
        <v>118.91</v>
      </c>
      <c r="N360">
        <f>_xlfn.XLOOKUP($A360,[1]Sheet1!$N$9:$N$2584,[1]Sheet1!$O$9:$O$2584,"N/A",0)</f>
        <v>95.54</v>
      </c>
      <c r="O360">
        <v>96.25</v>
      </c>
      <c r="P360">
        <v>129.51</v>
      </c>
      <c r="Q360">
        <v>96.65</v>
      </c>
      <c r="R360">
        <v>95.54</v>
      </c>
      <c r="S360">
        <v>118.91</v>
      </c>
    </row>
    <row r="361" spans="1:19">
      <c r="A361" s="1">
        <v>42892</v>
      </c>
      <c r="B361" t="s">
        <v>235</v>
      </c>
      <c r="C361" t="s">
        <v>239</v>
      </c>
      <c r="D361">
        <v>11.975</v>
      </c>
      <c r="E361">
        <v>12.825</v>
      </c>
      <c r="F361">
        <v>0.0709812108559498</v>
      </c>
      <c r="G361">
        <f ca="1" t="shared" si="15"/>
        <v>0.331675445144737</v>
      </c>
      <c r="H361" t="str">
        <f ca="1" t="shared" si="16"/>
        <v>Risk-On</v>
      </c>
      <c r="I361">
        <f ca="1" t="shared" si="17"/>
        <v>1</v>
      </c>
      <c r="J361">
        <f>_xlfn.XLOOKUP($A361,[1]Sheet1!$B$9:$B$2584,[1]Sheet1!$C$9:$C$2584,"N/A",0)</f>
        <v>96.16</v>
      </c>
      <c r="K361">
        <f>_xlfn.XLOOKUP($A361,[1]Sheet1!$E$9:$E$2584,[1]Sheet1!$F$9:$F$2584,"N/A",0)</f>
        <v>129.52</v>
      </c>
      <c r="L361">
        <f>_xlfn.XLOOKUP($A361,[1]Sheet1!$H$9:$H$2584,[1]Sheet1!$I$9:$I$2584,"N/A",0)</f>
        <v>96.38</v>
      </c>
      <c r="M361">
        <f>_xlfn.XLOOKUP($A361,[1]Sheet1!$K$9:$K$2584,[1]Sheet1!$L$9:$L$2584,"N/A",0)</f>
        <v>117.47</v>
      </c>
      <c r="N361">
        <f>_xlfn.XLOOKUP($A361,[1]Sheet1!$N$9:$N$2584,[1]Sheet1!$O$9:$O$2584,"N/A",0)</f>
        <v>95.54</v>
      </c>
      <c r="O361">
        <v>96.16</v>
      </c>
      <c r="P361">
        <v>129.52</v>
      </c>
      <c r="Q361">
        <v>96.38</v>
      </c>
      <c r="R361">
        <v>95.54</v>
      </c>
      <c r="S361">
        <v>117.47</v>
      </c>
    </row>
    <row r="362" spans="1:19">
      <c r="A362" s="1">
        <v>42893</v>
      </c>
      <c r="B362" t="s">
        <v>235</v>
      </c>
      <c r="C362" t="s">
        <v>239</v>
      </c>
      <c r="D362">
        <v>11.875</v>
      </c>
      <c r="E362">
        <v>12.725</v>
      </c>
      <c r="F362">
        <v>0.071578947368421</v>
      </c>
      <c r="G362">
        <f ca="1" t="shared" si="15"/>
        <v>0.341880928067585</v>
      </c>
      <c r="H362" t="str">
        <f ca="1" t="shared" si="16"/>
        <v>Risk-On</v>
      </c>
      <c r="I362">
        <f ca="1" t="shared" si="17"/>
        <v>1</v>
      </c>
      <c r="J362">
        <f>_xlfn.XLOOKUP($A362,[1]Sheet1!$B$9:$B$2584,[1]Sheet1!$C$9:$C$2584,"N/A",0)</f>
        <v>96.16</v>
      </c>
      <c r="K362">
        <f>_xlfn.XLOOKUP($A362,[1]Sheet1!$E$9:$E$2584,[1]Sheet1!$F$9:$F$2584,"N/A",0)</f>
        <v>130.09</v>
      </c>
      <c r="L362">
        <f>_xlfn.XLOOKUP($A362,[1]Sheet1!$H$9:$H$2584,[1]Sheet1!$I$9:$I$2584,"N/A",0)</f>
        <v>97.01</v>
      </c>
      <c r="M362">
        <f>_xlfn.XLOOKUP($A362,[1]Sheet1!$K$9:$K$2584,[1]Sheet1!$L$9:$L$2584,"N/A",0)</f>
        <v>117.79</v>
      </c>
      <c r="N362">
        <f>_xlfn.XLOOKUP($A362,[1]Sheet1!$N$9:$N$2584,[1]Sheet1!$O$9:$O$2584,"N/A",0)</f>
        <v>95.46</v>
      </c>
      <c r="O362">
        <v>96.16</v>
      </c>
      <c r="P362">
        <v>130.09</v>
      </c>
      <c r="Q362">
        <v>97.01</v>
      </c>
      <c r="R362">
        <v>95.46</v>
      </c>
      <c r="S362">
        <v>117.79</v>
      </c>
    </row>
    <row r="363" spans="1:19">
      <c r="A363" s="1">
        <v>42894</v>
      </c>
      <c r="B363" t="s">
        <v>235</v>
      </c>
      <c r="C363" t="s">
        <v>239</v>
      </c>
      <c r="D363">
        <v>11.625</v>
      </c>
      <c r="E363">
        <v>12.525</v>
      </c>
      <c r="F363">
        <v>0.0774193548387097</v>
      </c>
      <c r="G363">
        <f ca="1" t="shared" si="15"/>
        <v>0.458623391152238</v>
      </c>
      <c r="H363" t="str">
        <f ca="1" t="shared" si="16"/>
        <v>Risk-On</v>
      </c>
      <c r="I363">
        <f ca="1" t="shared" si="17"/>
        <v>1</v>
      </c>
      <c r="J363">
        <f>_xlfn.XLOOKUP($A363,[1]Sheet1!$B$9:$B$2584,[1]Sheet1!$C$9:$C$2584,"N/A",0)</f>
        <v>96</v>
      </c>
      <c r="K363">
        <f>_xlfn.XLOOKUP($A363,[1]Sheet1!$E$9:$E$2584,[1]Sheet1!$F$9:$F$2584,"N/A",0)</f>
        <v>130.52</v>
      </c>
      <c r="L363">
        <f>_xlfn.XLOOKUP($A363,[1]Sheet1!$H$9:$H$2584,[1]Sheet1!$I$9:$I$2584,"N/A",0)</f>
        <v>97.41</v>
      </c>
      <c r="M363">
        <f>_xlfn.XLOOKUP($A363,[1]Sheet1!$K$9:$K$2584,[1]Sheet1!$L$9:$L$2584,"N/A",0)</f>
        <v>118.14</v>
      </c>
      <c r="N363">
        <f>_xlfn.XLOOKUP($A363,[1]Sheet1!$N$9:$N$2584,[1]Sheet1!$O$9:$O$2584,"N/A",0)</f>
        <v>94.96</v>
      </c>
      <c r="O363">
        <v>96</v>
      </c>
      <c r="P363">
        <v>130.52</v>
      </c>
      <c r="Q363">
        <v>97.41</v>
      </c>
      <c r="R363">
        <v>94.96</v>
      </c>
      <c r="S363">
        <v>118.14</v>
      </c>
    </row>
    <row r="364" spans="1:19">
      <c r="A364" s="1">
        <v>42895</v>
      </c>
      <c r="B364" t="s">
        <v>235</v>
      </c>
      <c r="C364" t="s">
        <v>239</v>
      </c>
      <c r="D364">
        <v>11.725</v>
      </c>
      <c r="E364">
        <v>12.575</v>
      </c>
      <c r="F364">
        <v>0.0724946695095948</v>
      </c>
      <c r="G364">
        <f ca="1" t="shared" si="15"/>
        <v>0.355358984501752</v>
      </c>
      <c r="H364" t="str">
        <f ca="1" t="shared" si="16"/>
        <v>Risk-On</v>
      </c>
      <c r="I364">
        <f ca="1" t="shared" si="17"/>
        <v>1</v>
      </c>
      <c r="J364">
        <f>_xlfn.XLOOKUP($A364,[1]Sheet1!$B$9:$B$2584,[1]Sheet1!$C$9:$C$2584,"N/A",0)</f>
        <v>95.87</v>
      </c>
      <c r="K364">
        <f>_xlfn.XLOOKUP($A364,[1]Sheet1!$E$9:$E$2584,[1]Sheet1!$F$9:$F$2584,"N/A",0)</f>
        <v>128.31</v>
      </c>
      <c r="L364">
        <f>_xlfn.XLOOKUP($A364,[1]Sheet1!$H$9:$H$2584,[1]Sheet1!$I$9:$I$2584,"N/A",0)</f>
        <v>98.39</v>
      </c>
      <c r="M364">
        <f>_xlfn.XLOOKUP($A364,[1]Sheet1!$K$9:$K$2584,[1]Sheet1!$L$9:$L$2584,"N/A",0)</f>
        <v>118.46</v>
      </c>
      <c r="N364">
        <f>_xlfn.XLOOKUP($A364,[1]Sheet1!$N$9:$N$2584,[1]Sheet1!$O$9:$O$2584,"N/A",0)</f>
        <v>94.91</v>
      </c>
      <c r="O364">
        <v>95.87</v>
      </c>
      <c r="P364">
        <v>128.31</v>
      </c>
      <c r="Q364">
        <v>98.39</v>
      </c>
      <c r="R364">
        <v>94.91</v>
      </c>
      <c r="S364">
        <v>118.46</v>
      </c>
    </row>
    <row r="365" spans="1:19">
      <c r="A365" s="1">
        <v>42898</v>
      </c>
      <c r="B365" t="s">
        <v>235</v>
      </c>
      <c r="C365" t="s">
        <v>239</v>
      </c>
      <c r="D365">
        <v>11.875</v>
      </c>
      <c r="E365">
        <v>12.675</v>
      </c>
      <c r="F365">
        <v>0.0673684210526316</v>
      </c>
      <c r="G365">
        <f ca="1" t="shared" si="15"/>
        <v>0.248315683276211</v>
      </c>
      <c r="H365" t="str">
        <f ca="1" t="shared" si="16"/>
        <v>Risk-On</v>
      </c>
      <c r="I365">
        <f ca="1" t="shared" si="17"/>
        <v>1</v>
      </c>
      <c r="J365">
        <f>_xlfn.XLOOKUP($A365,[1]Sheet1!$B$9:$B$2584,[1]Sheet1!$C$9:$C$2584,"N/A",0)</f>
        <v>95.57</v>
      </c>
      <c r="K365">
        <f>_xlfn.XLOOKUP($A365,[1]Sheet1!$E$9:$E$2584,[1]Sheet1!$F$9:$F$2584,"N/A",0)</f>
        <v>126.93</v>
      </c>
      <c r="L365">
        <f>_xlfn.XLOOKUP($A365,[1]Sheet1!$H$9:$H$2584,[1]Sheet1!$I$9:$I$2584,"N/A",0)</f>
        <v>98.8</v>
      </c>
      <c r="M365">
        <f>_xlfn.XLOOKUP($A365,[1]Sheet1!$K$9:$K$2584,[1]Sheet1!$L$9:$L$2584,"N/A",0)</f>
        <v>118.74</v>
      </c>
      <c r="N365">
        <f>_xlfn.XLOOKUP($A365,[1]Sheet1!$N$9:$N$2584,[1]Sheet1!$O$9:$O$2584,"N/A",0)</f>
        <v>94.81</v>
      </c>
      <c r="O365">
        <v>95.57</v>
      </c>
      <c r="P365">
        <v>126.93</v>
      </c>
      <c r="Q365">
        <v>98.8</v>
      </c>
      <c r="R365">
        <v>94.81</v>
      </c>
      <c r="S365">
        <v>118.74</v>
      </c>
    </row>
    <row r="366" spans="1:19">
      <c r="A366" s="1">
        <v>42899</v>
      </c>
      <c r="B366" t="s">
        <v>235</v>
      </c>
      <c r="C366" t="s">
        <v>239</v>
      </c>
      <c r="D366">
        <v>11.425</v>
      </c>
      <c r="E366">
        <v>12.275</v>
      </c>
      <c r="F366">
        <v>0.074398249452954</v>
      </c>
      <c r="G366">
        <f ca="1" t="shared" si="15"/>
        <v>0.391766463560689</v>
      </c>
      <c r="H366" t="str">
        <f ca="1" t="shared" si="16"/>
        <v>Risk-On</v>
      </c>
      <c r="I366">
        <f ca="1" t="shared" si="17"/>
        <v>1</v>
      </c>
      <c r="J366">
        <f>_xlfn.XLOOKUP($A366,[1]Sheet1!$B$9:$B$2584,[1]Sheet1!$C$9:$C$2584,"N/A",0)</f>
        <v>95.93</v>
      </c>
      <c r="K366">
        <f>_xlfn.XLOOKUP($A366,[1]Sheet1!$E$9:$E$2584,[1]Sheet1!$F$9:$F$2584,"N/A",0)</f>
        <v>126.75</v>
      </c>
      <c r="L366">
        <f>_xlfn.XLOOKUP($A366,[1]Sheet1!$H$9:$H$2584,[1]Sheet1!$I$9:$I$2584,"N/A",0)</f>
        <v>98.41</v>
      </c>
      <c r="M366">
        <f>_xlfn.XLOOKUP($A366,[1]Sheet1!$K$9:$K$2584,[1]Sheet1!$L$9:$L$2584,"N/A",0)</f>
        <v>118.05</v>
      </c>
      <c r="N366">
        <f>_xlfn.XLOOKUP($A366,[1]Sheet1!$N$9:$N$2584,[1]Sheet1!$O$9:$O$2584,"N/A",0)</f>
        <v>94.82</v>
      </c>
      <c r="O366">
        <v>95.93</v>
      </c>
      <c r="P366">
        <v>126.75</v>
      </c>
      <c r="Q366">
        <v>98.41</v>
      </c>
      <c r="R366">
        <v>94.82</v>
      </c>
      <c r="S366">
        <v>118.05</v>
      </c>
    </row>
    <row r="367" spans="1:19">
      <c r="A367" s="1">
        <v>42900</v>
      </c>
      <c r="B367" t="s">
        <v>235</v>
      </c>
      <c r="C367" t="s">
        <v>239</v>
      </c>
      <c r="D367">
        <v>11.475</v>
      </c>
      <c r="E367">
        <v>12.275</v>
      </c>
      <c r="F367">
        <v>0.0697167755991286</v>
      </c>
      <c r="G367">
        <f ca="1" t="shared" si="15"/>
        <v>0.281228449626009</v>
      </c>
      <c r="H367" t="str">
        <f ca="1" t="shared" si="16"/>
        <v>Risk-On</v>
      </c>
      <c r="I367">
        <f ca="1" t="shared" si="17"/>
        <v>1</v>
      </c>
      <c r="J367">
        <f>_xlfn.XLOOKUP($A367,[1]Sheet1!$B$9:$B$2584,[1]Sheet1!$C$9:$C$2584,"N/A",0)</f>
        <v>96.25</v>
      </c>
      <c r="K367">
        <f>_xlfn.XLOOKUP($A367,[1]Sheet1!$E$9:$E$2584,[1]Sheet1!$F$9:$F$2584,"N/A",0)</f>
        <v>126.9</v>
      </c>
      <c r="L367">
        <f>_xlfn.XLOOKUP($A367,[1]Sheet1!$H$9:$H$2584,[1]Sheet1!$I$9:$I$2584,"N/A",0)</f>
        <v>98.33</v>
      </c>
      <c r="M367">
        <f>_xlfn.XLOOKUP($A367,[1]Sheet1!$K$9:$K$2584,[1]Sheet1!$L$9:$L$2584,"N/A",0)</f>
        <v>118.79</v>
      </c>
      <c r="N367">
        <f>_xlfn.XLOOKUP($A367,[1]Sheet1!$N$9:$N$2584,[1]Sheet1!$O$9:$O$2584,"N/A",0)</f>
        <v>95.01</v>
      </c>
      <c r="O367">
        <v>96.25</v>
      </c>
      <c r="P367">
        <v>126.9</v>
      </c>
      <c r="Q367">
        <v>98.33</v>
      </c>
      <c r="R367">
        <v>95.01</v>
      </c>
      <c r="S367">
        <v>118.79</v>
      </c>
    </row>
    <row r="368" spans="1:19">
      <c r="A368" s="1">
        <v>42901</v>
      </c>
      <c r="B368" t="s">
        <v>235</v>
      </c>
      <c r="C368" t="s">
        <v>239</v>
      </c>
      <c r="D368">
        <v>11.525</v>
      </c>
      <c r="E368">
        <v>12.425</v>
      </c>
      <c r="F368">
        <v>0.0780911062906724</v>
      </c>
      <c r="G368">
        <f ca="1" t="shared" si="15"/>
        <v>0.445070202328995</v>
      </c>
      <c r="H368" t="str">
        <f ca="1" t="shared" si="16"/>
        <v>Risk-On</v>
      </c>
      <c r="I368">
        <f ca="1" t="shared" si="17"/>
        <v>1</v>
      </c>
      <c r="J368">
        <f>_xlfn.XLOOKUP($A368,[1]Sheet1!$B$9:$B$2584,[1]Sheet1!$C$9:$C$2584,"N/A",0)</f>
        <v>96.2</v>
      </c>
      <c r="K368">
        <f>_xlfn.XLOOKUP($A368,[1]Sheet1!$E$9:$E$2584,[1]Sheet1!$F$9:$F$2584,"N/A",0)</f>
        <v>127.49</v>
      </c>
      <c r="L368">
        <f>_xlfn.XLOOKUP($A368,[1]Sheet1!$H$9:$H$2584,[1]Sheet1!$I$9:$I$2584,"N/A",0)</f>
        <v>98.33</v>
      </c>
      <c r="M368">
        <f>_xlfn.XLOOKUP($A368,[1]Sheet1!$K$9:$K$2584,[1]Sheet1!$L$9:$L$2584,"N/A",0)</f>
        <v>119.08</v>
      </c>
      <c r="N368">
        <f>_xlfn.XLOOKUP($A368,[1]Sheet1!$N$9:$N$2584,[1]Sheet1!$O$9:$O$2584,"N/A",0)</f>
        <v>95.31</v>
      </c>
      <c r="O368">
        <v>96.2</v>
      </c>
      <c r="P368">
        <v>127.49</v>
      </c>
      <c r="Q368">
        <v>98.33</v>
      </c>
      <c r="R368">
        <v>95.31</v>
      </c>
      <c r="S368">
        <v>119.08</v>
      </c>
    </row>
    <row r="369" spans="1:19">
      <c r="A369" s="1">
        <v>42902</v>
      </c>
      <c r="B369" t="s">
        <v>235</v>
      </c>
      <c r="C369" t="s">
        <v>239</v>
      </c>
      <c r="D369">
        <v>11.325</v>
      </c>
      <c r="E369">
        <v>12.325</v>
      </c>
      <c r="F369">
        <v>0.0883002207505518</v>
      </c>
      <c r="G369">
        <f ca="1" t="shared" si="15"/>
        <v>0.645708392074586</v>
      </c>
      <c r="H369" t="str">
        <f ca="1" t="shared" si="16"/>
        <v>Risk-On</v>
      </c>
      <c r="I369">
        <f ca="1" t="shared" si="17"/>
        <v>1</v>
      </c>
      <c r="J369">
        <f>_xlfn.XLOOKUP($A369,[1]Sheet1!$B$9:$B$2584,[1]Sheet1!$C$9:$C$2584,"N/A",0)</f>
        <v>96.32</v>
      </c>
      <c r="K369">
        <f>_xlfn.XLOOKUP($A369,[1]Sheet1!$E$9:$E$2584,[1]Sheet1!$F$9:$F$2584,"N/A",0)</f>
        <v>127.83</v>
      </c>
      <c r="L369">
        <f>_xlfn.XLOOKUP($A369,[1]Sheet1!$H$9:$H$2584,[1]Sheet1!$I$9:$I$2584,"N/A",0)</f>
        <v>98.19</v>
      </c>
      <c r="M369">
        <f>_xlfn.XLOOKUP($A369,[1]Sheet1!$K$9:$K$2584,[1]Sheet1!$L$9:$L$2584,"N/A",0)</f>
        <v>119.54</v>
      </c>
      <c r="N369">
        <f>_xlfn.XLOOKUP($A369,[1]Sheet1!$N$9:$N$2584,[1]Sheet1!$O$9:$O$2584,"N/A",0)</f>
        <v>95.32</v>
      </c>
      <c r="O369">
        <v>96.32</v>
      </c>
      <c r="P369">
        <v>127.83</v>
      </c>
      <c r="Q369">
        <v>98.19</v>
      </c>
      <c r="R369">
        <v>95.32</v>
      </c>
      <c r="S369">
        <v>119.54</v>
      </c>
    </row>
    <row r="370" spans="1:19">
      <c r="A370" s="1">
        <v>42905</v>
      </c>
      <c r="B370" t="s">
        <v>235</v>
      </c>
      <c r="C370" t="s">
        <v>239</v>
      </c>
      <c r="D370">
        <v>10.875</v>
      </c>
      <c r="E370">
        <v>12.125</v>
      </c>
      <c r="F370" s="2" t="s">
        <v>240</v>
      </c>
      <c r="G370">
        <f ca="1" t="shared" si="15"/>
        <v>1.19975285042648</v>
      </c>
      <c r="H370" t="str">
        <f ca="1" t="shared" si="16"/>
        <v>Risk-On</v>
      </c>
      <c r="I370">
        <f ca="1" t="shared" si="17"/>
        <v>1</v>
      </c>
      <c r="J370">
        <f>_xlfn.XLOOKUP($A370,[1]Sheet1!$B$9:$B$2584,[1]Sheet1!$C$9:$C$2584,"N/A",0)</f>
        <v>96.59</v>
      </c>
      <c r="K370">
        <f>_xlfn.XLOOKUP($A370,[1]Sheet1!$E$9:$E$2584,[1]Sheet1!$F$9:$F$2584,"N/A",0)</f>
        <v>128.83</v>
      </c>
      <c r="L370">
        <f>_xlfn.XLOOKUP($A370,[1]Sheet1!$H$9:$H$2584,[1]Sheet1!$I$9:$I$2584,"N/A",0)</f>
        <v>98.77</v>
      </c>
      <c r="M370">
        <f>_xlfn.XLOOKUP($A370,[1]Sheet1!$K$9:$K$2584,[1]Sheet1!$L$9:$L$2584,"N/A",0)</f>
        <v>120.06</v>
      </c>
      <c r="N370">
        <f>_xlfn.XLOOKUP($A370,[1]Sheet1!$N$9:$N$2584,[1]Sheet1!$O$9:$O$2584,"N/A",0)</f>
        <v>95.63</v>
      </c>
      <c r="O370">
        <v>96.59</v>
      </c>
      <c r="P370">
        <v>128.83</v>
      </c>
      <c r="Q370">
        <v>98.77</v>
      </c>
      <c r="R370">
        <v>95.63</v>
      </c>
      <c r="S370">
        <v>120.06</v>
      </c>
    </row>
    <row r="371" spans="1:19">
      <c r="A371" s="1">
        <v>42906</v>
      </c>
      <c r="B371" t="s">
        <v>235</v>
      </c>
      <c r="C371" t="s">
        <v>239</v>
      </c>
      <c r="D371">
        <v>11.125</v>
      </c>
      <c r="E371">
        <v>12.075</v>
      </c>
      <c r="F371">
        <v>0.0853932584269662</v>
      </c>
      <c r="G371">
        <f ca="1" t="shared" si="15"/>
        <v>0.571416830909595</v>
      </c>
      <c r="H371" t="str">
        <f ca="1" t="shared" si="16"/>
        <v>Risk-On</v>
      </c>
      <c r="I371">
        <f ca="1" t="shared" si="17"/>
        <v>1</v>
      </c>
      <c r="J371">
        <f>_xlfn.XLOOKUP($A371,[1]Sheet1!$B$9:$B$2584,[1]Sheet1!$C$9:$C$2584,"N/A",0)</f>
        <v>96.75</v>
      </c>
      <c r="K371">
        <f>_xlfn.XLOOKUP($A371,[1]Sheet1!$E$9:$E$2584,[1]Sheet1!$F$9:$F$2584,"N/A",0)</f>
        <v>129.34</v>
      </c>
      <c r="L371">
        <f>_xlfn.XLOOKUP($A371,[1]Sheet1!$H$9:$H$2584,[1]Sheet1!$I$9:$I$2584,"N/A",0)</f>
        <v>98.36</v>
      </c>
      <c r="M371">
        <f>_xlfn.XLOOKUP($A371,[1]Sheet1!$K$9:$K$2584,[1]Sheet1!$L$9:$L$2584,"N/A",0)</f>
        <v>119.81</v>
      </c>
      <c r="N371">
        <f>_xlfn.XLOOKUP($A371,[1]Sheet1!$N$9:$N$2584,[1]Sheet1!$O$9:$O$2584,"N/A",0)</f>
        <v>96.06</v>
      </c>
      <c r="O371">
        <v>96.75</v>
      </c>
      <c r="P371">
        <v>129.34</v>
      </c>
      <c r="Q371">
        <v>98.36</v>
      </c>
      <c r="R371">
        <v>96.06</v>
      </c>
      <c r="S371">
        <v>119.81</v>
      </c>
    </row>
    <row r="372" spans="1:19">
      <c r="A372" s="1">
        <v>42907</v>
      </c>
      <c r="B372" t="s">
        <v>235</v>
      </c>
      <c r="C372" t="s">
        <v>239</v>
      </c>
      <c r="D372">
        <v>10.71</v>
      </c>
      <c r="E372">
        <v>12.175</v>
      </c>
      <c r="F372" s="2" t="s">
        <v>241</v>
      </c>
      <c r="G372">
        <f ca="1" t="shared" si="15"/>
        <v>1.63630354427567</v>
      </c>
      <c r="H372" t="str">
        <f ca="1" t="shared" si="16"/>
        <v>Risk-On</v>
      </c>
      <c r="I372">
        <f ca="1" t="shared" si="17"/>
        <v>1</v>
      </c>
      <c r="J372">
        <f>_xlfn.XLOOKUP($A372,[1]Sheet1!$B$9:$B$2584,[1]Sheet1!$C$9:$C$2584,"N/A",0)</f>
        <v>96.8</v>
      </c>
      <c r="K372">
        <f>_xlfn.XLOOKUP($A372,[1]Sheet1!$E$9:$E$2584,[1]Sheet1!$F$9:$F$2584,"N/A",0)</f>
        <v>130.08</v>
      </c>
      <c r="L372">
        <f>_xlfn.XLOOKUP($A372,[1]Sheet1!$H$9:$H$2584,[1]Sheet1!$I$9:$I$2584,"N/A",0)</f>
        <v>98.84</v>
      </c>
      <c r="M372">
        <f>_xlfn.XLOOKUP($A372,[1]Sheet1!$K$9:$K$2584,[1]Sheet1!$L$9:$L$2584,"N/A",0)</f>
        <v>119.15</v>
      </c>
      <c r="N372">
        <f>_xlfn.XLOOKUP($A372,[1]Sheet1!$N$9:$N$2584,[1]Sheet1!$O$9:$O$2584,"N/A",0)</f>
        <v>96.42</v>
      </c>
      <c r="O372">
        <v>96.8</v>
      </c>
      <c r="P372">
        <v>130.08</v>
      </c>
      <c r="Q372">
        <v>98.84</v>
      </c>
      <c r="R372">
        <v>96.42</v>
      </c>
      <c r="S372">
        <v>119.15</v>
      </c>
    </row>
    <row r="373" spans="1:19">
      <c r="A373" s="1">
        <v>42908</v>
      </c>
      <c r="B373" t="s">
        <v>239</v>
      </c>
      <c r="C373" t="s">
        <v>242</v>
      </c>
      <c r="D373">
        <v>11.975</v>
      </c>
      <c r="E373">
        <v>12.725</v>
      </c>
      <c r="F373">
        <v>0.0626304801670146</v>
      </c>
      <c r="G373">
        <f ca="1" t="shared" si="15"/>
        <v>0.0862909412703508</v>
      </c>
      <c r="H373" t="str">
        <f ca="1" t="shared" si="16"/>
        <v>Risk-On</v>
      </c>
      <c r="I373">
        <f ca="1" t="shared" si="17"/>
        <v>1</v>
      </c>
      <c r="J373">
        <f>_xlfn.XLOOKUP($A373,[1]Sheet1!$B$9:$B$2584,[1]Sheet1!$C$9:$C$2584,"N/A",0)</f>
        <v>96.97</v>
      </c>
      <c r="K373">
        <f>_xlfn.XLOOKUP($A373,[1]Sheet1!$E$9:$E$2584,[1]Sheet1!$F$9:$F$2584,"N/A",0)</f>
        <v>129.14</v>
      </c>
      <c r="L373">
        <f>_xlfn.XLOOKUP($A373,[1]Sheet1!$H$9:$H$2584,[1]Sheet1!$I$9:$I$2584,"N/A",0)</f>
        <v>99.16</v>
      </c>
      <c r="M373">
        <f>_xlfn.XLOOKUP($A373,[1]Sheet1!$K$9:$K$2584,[1]Sheet1!$L$9:$L$2584,"N/A",0)</f>
        <v>118.64</v>
      </c>
      <c r="N373">
        <f>_xlfn.XLOOKUP($A373,[1]Sheet1!$N$9:$N$2584,[1]Sheet1!$O$9:$O$2584,"N/A",0)</f>
        <v>96.07</v>
      </c>
      <c r="O373">
        <v>96.97</v>
      </c>
      <c r="P373">
        <v>129.14</v>
      </c>
      <c r="Q373">
        <v>99.16</v>
      </c>
      <c r="R373">
        <v>96.07</v>
      </c>
      <c r="S373">
        <v>118.64</v>
      </c>
    </row>
    <row r="374" spans="1:19">
      <c r="A374" s="1">
        <v>42909</v>
      </c>
      <c r="B374" t="s">
        <v>239</v>
      </c>
      <c r="C374" t="s">
        <v>242</v>
      </c>
      <c r="D374">
        <v>11.875</v>
      </c>
      <c r="E374">
        <v>12.625</v>
      </c>
      <c r="F374">
        <v>0.0631578947368421</v>
      </c>
      <c r="G374">
        <f ca="1" t="shared" si="15"/>
        <v>0.0874169523312052</v>
      </c>
      <c r="H374" t="str">
        <f ca="1" t="shared" si="16"/>
        <v>Risk-On</v>
      </c>
      <c r="I374">
        <f ca="1" t="shared" si="17"/>
        <v>1</v>
      </c>
      <c r="J374">
        <f>_xlfn.XLOOKUP($A374,[1]Sheet1!$B$9:$B$2584,[1]Sheet1!$C$9:$C$2584,"N/A",0)</f>
        <v>96.97</v>
      </c>
      <c r="K374">
        <f>_xlfn.XLOOKUP($A374,[1]Sheet1!$E$9:$E$2584,[1]Sheet1!$F$9:$F$2584,"N/A",0)</f>
        <v>128.4</v>
      </c>
      <c r="L374">
        <f>_xlfn.XLOOKUP($A374,[1]Sheet1!$H$9:$H$2584,[1]Sheet1!$I$9:$I$2584,"N/A",0)</f>
        <v>99.45</v>
      </c>
      <c r="M374">
        <f>_xlfn.XLOOKUP($A374,[1]Sheet1!$K$9:$K$2584,[1]Sheet1!$L$9:$L$2584,"N/A",0)</f>
        <v>118.38</v>
      </c>
      <c r="N374">
        <f>_xlfn.XLOOKUP($A374,[1]Sheet1!$N$9:$N$2584,[1]Sheet1!$O$9:$O$2584,"N/A",0)</f>
        <v>95.26</v>
      </c>
      <c r="O374">
        <v>96.97</v>
      </c>
      <c r="P374">
        <v>128.4</v>
      </c>
      <c r="Q374">
        <v>99.45</v>
      </c>
      <c r="R374">
        <v>95.26</v>
      </c>
      <c r="S374">
        <v>118.38</v>
      </c>
    </row>
    <row r="375" spans="1:19">
      <c r="A375" s="1">
        <v>42912</v>
      </c>
      <c r="B375" t="s">
        <v>239</v>
      </c>
      <c r="C375" t="s">
        <v>242</v>
      </c>
      <c r="D375">
        <v>11.625</v>
      </c>
      <c r="E375">
        <v>12.375</v>
      </c>
      <c r="F375">
        <v>0.064516129032258</v>
      </c>
      <c r="G375">
        <f ca="1" t="shared" si="15"/>
        <v>0.114647337630126</v>
      </c>
      <c r="H375" t="str">
        <f ca="1" t="shared" si="16"/>
        <v>Risk-On</v>
      </c>
      <c r="I375">
        <f ca="1" t="shared" si="17"/>
        <v>1</v>
      </c>
      <c r="J375">
        <f>_xlfn.XLOOKUP($A375,[1]Sheet1!$B$9:$B$2584,[1]Sheet1!$C$9:$C$2584,"N/A",0)</f>
        <v>97.02</v>
      </c>
      <c r="K375">
        <f>_xlfn.XLOOKUP($A375,[1]Sheet1!$E$9:$E$2584,[1]Sheet1!$F$9:$F$2584,"N/A",0)</f>
        <v>127.34</v>
      </c>
      <c r="L375">
        <f>_xlfn.XLOOKUP($A375,[1]Sheet1!$H$9:$H$2584,[1]Sheet1!$I$9:$I$2584,"N/A",0)</f>
        <v>99.87</v>
      </c>
      <c r="M375">
        <f>_xlfn.XLOOKUP($A375,[1]Sheet1!$K$9:$K$2584,[1]Sheet1!$L$9:$L$2584,"N/A",0)</f>
        <v>118.7</v>
      </c>
      <c r="N375">
        <f>_xlfn.XLOOKUP($A375,[1]Sheet1!$N$9:$N$2584,[1]Sheet1!$O$9:$O$2584,"N/A",0)</f>
        <v>95.05</v>
      </c>
      <c r="O375">
        <v>97.02</v>
      </c>
      <c r="P375">
        <v>127.34</v>
      </c>
      <c r="Q375">
        <v>99.87</v>
      </c>
      <c r="R375">
        <v>95.05</v>
      </c>
      <c r="S375">
        <v>118.7</v>
      </c>
    </row>
    <row r="376" spans="1:19">
      <c r="A376" s="1">
        <v>42913</v>
      </c>
      <c r="B376" t="s">
        <v>239</v>
      </c>
      <c r="C376" t="s">
        <v>242</v>
      </c>
      <c r="D376">
        <v>12.025</v>
      </c>
      <c r="E376">
        <v>12.675</v>
      </c>
      <c r="F376" s="2" t="s">
        <v>243</v>
      </c>
      <c r="G376">
        <f ca="1" t="shared" si="15"/>
        <v>-0.125149555392823</v>
      </c>
      <c r="H376" t="str">
        <f ca="1" t="shared" si="16"/>
        <v>Risk-On</v>
      </c>
      <c r="I376">
        <f ca="1" t="shared" si="17"/>
        <v>1</v>
      </c>
      <c r="J376">
        <f>_xlfn.XLOOKUP($A376,[1]Sheet1!$B$9:$B$2584,[1]Sheet1!$C$9:$C$2584,"N/A",0)</f>
        <v>97.28</v>
      </c>
      <c r="K376">
        <f>_xlfn.XLOOKUP($A376,[1]Sheet1!$E$9:$E$2584,[1]Sheet1!$F$9:$F$2584,"N/A",0)</f>
        <v>126.51</v>
      </c>
      <c r="L376">
        <f>_xlfn.XLOOKUP($A376,[1]Sheet1!$H$9:$H$2584,[1]Sheet1!$I$9:$I$2584,"N/A",0)</f>
        <v>100.26</v>
      </c>
      <c r="M376">
        <f>_xlfn.XLOOKUP($A376,[1]Sheet1!$K$9:$K$2584,[1]Sheet1!$L$9:$L$2584,"N/A",0)</f>
        <v>119.08</v>
      </c>
      <c r="N376">
        <f>_xlfn.XLOOKUP($A376,[1]Sheet1!$N$9:$N$2584,[1]Sheet1!$O$9:$O$2584,"N/A",0)</f>
        <v>94.96</v>
      </c>
      <c r="O376">
        <v>97.28</v>
      </c>
      <c r="P376">
        <v>126.51</v>
      </c>
      <c r="Q376">
        <v>100.26</v>
      </c>
      <c r="R376">
        <v>94.96</v>
      </c>
      <c r="S376">
        <v>119.08</v>
      </c>
    </row>
    <row r="377" spans="1:19">
      <c r="A377" s="1">
        <v>42914</v>
      </c>
      <c r="B377" t="s">
        <v>239</v>
      </c>
      <c r="C377" t="s">
        <v>242</v>
      </c>
      <c r="D377">
        <v>11.675</v>
      </c>
      <c r="E377">
        <v>12.475</v>
      </c>
      <c r="F377">
        <v>0.0685224839400427</v>
      </c>
      <c r="G377">
        <f ca="1" t="shared" si="15"/>
        <v>0.166956526036241</v>
      </c>
      <c r="H377" t="str">
        <f ca="1" t="shared" si="16"/>
        <v>Risk-On</v>
      </c>
      <c r="I377">
        <f ca="1" t="shared" si="17"/>
        <v>1</v>
      </c>
      <c r="J377">
        <f>_xlfn.XLOOKUP($A377,[1]Sheet1!$B$9:$B$2584,[1]Sheet1!$C$9:$C$2584,"N/A",0)</f>
        <v>96.99</v>
      </c>
      <c r="K377">
        <f>_xlfn.XLOOKUP($A377,[1]Sheet1!$E$9:$E$2584,[1]Sheet1!$F$9:$F$2584,"N/A",0)</f>
        <v>126.57</v>
      </c>
      <c r="L377">
        <f>_xlfn.XLOOKUP($A377,[1]Sheet1!$H$9:$H$2584,[1]Sheet1!$I$9:$I$2584,"N/A",0)</f>
        <v>100.22</v>
      </c>
      <c r="M377">
        <f>_xlfn.XLOOKUP($A377,[1]Sheet1!$K$9:$K$2584,[1]Sheet1!$L$9:$L$2584,"N/A",0)</f>
        <v>119.05</v>
      </c>
      <c r="N377">
        <f>_xlfn.XLOOKUP($A377,[1]Sheet1!$N$9:$N$2584,[1]Sheet1!$O$9:$O$2584,"N/A",0)</f>
        <v>94.85</v>
      </c>
      <c r="O377">
        <v>96.99</v>
      </c>
      <c r="P377">
        <v>126.57</v>
      </c>
      <c r="Q377">
        <v>100.22</v>
      </c>
      <c r="R377">
        <v>94.85</v>
      </c>
      <c r="S377">
        <v>119.05</v>
      </c>
    </row>
    <row r="378" spans="1:19">
      <c r="A378" s="1">
        <v>42915</v>
      </c>
      <c r="B378" t="s">
        <v>239</v>
      </c>
      <c r="C378" t="s">
        <v>242</v>
      </c>
      <c r="D378">
        <v>12.025</v>
      </c>
      <c r="E378">
        <v>12.625</v>
      </c>
      <c r="F378" s="2" t="s">
        <v>244</v>
      </c>
      <c r="G378">
        <f ca="1" t="shared" si="15"/>
        <v>-0.237913383069386</v>
      </c>
      <c r="H378" t="str">
        <f ca="1" t="shared" si="16"/>
        <v>Risk-On</v>
      </c>
      <c r="I378">
        <f ca="1" t="shared" si="17"/>
        <v>1</v>
      </c>
      <c r="J378">
        <f>_xlfn.XLOOKUP($A378,[1]Sheet1!$B$9:$B$2584,[1]Sheet1!$C$9:$C$2584,"N/A",0)</f>
        <v>97</v>
      </c>
      <c r="K378">
        <f>_xlfn.XLOOKUP($A378,[1]Sheet1!$E$9:$E$2584,[1]Sheet1!$F$9:$F$2584,"N/A",0)</f>
        <v>125.48</v>
      </c>
      <c r="L378">
        <f>_xlfn.XLOOKUP($A378,[1]Sheet1!$H$9:$H$2584,[1]Sheet1!$I$9:$I$2584,"N/A",0)</f>
        <v>99.9</v>
      </c>
      <c r="M378">
        <f>_xlfn.XLOOKUP($A378,[1]Sheet1!$K$9:$K$2584,[1]Sheet1!$L$9:$L$2584,"N/A",0)</f>
        <v>119.08</v>
      </c>
      <c r="N378">
        <f>_xlfn.XLOOKUP($A378,[1]Sheet1!$N$9:$N$2584,[1]Sheet1!$O$9:$O$2584,"N/A",0)</f>
        <v>94.97</v>
      </c>
      <c r="O378">
        <v>97</v>
      </c>
      <c r="P378">
        <v>125.48</v>
      </c>
      <c r="Q378">
        <v>99.9</v>
      </c>
      <c r="R378">
        <v>94.97</v>
      </c>
      <c r="S378">
        <v>119.08</v>
      </c>
    </row>
    <row r="379" spans="1:19">
      <c r="A379" s="1">
        <v>42916</v>
      </c>
      <c r="B379" t="s">
        <v>239</v>
      </c>
      <c r="C379" t="s">
        <v>242</v>
      </c>
      <c r="D379">
        <v>12.325</v>
      </c>
      <c r="E379">
        <v>12.675</v>
      </c>
      <c r="F379">
        <v>0.028397565922921</v>
      </c>
      <c r="G379">
        <f ca="1" t="shared" si="15"/>
        <v>-0.700567517921252</v>
      </c>
      <c r="H379" t="str">
        <f ca="1" t="shared" si="16"/>
        <v>Risk-On</v>
      </c>
      <c r="I379">
        <f ca="1" t="shared" si="17"/>
        <v>1</v>
      </c>
      <c r="J379">
        <f>_xlfn.XLOOKUP($A379,[1]Sheet1!$B$9:$B$2584,[1]Sheet1!$C$9:$C$2584,"N/A",0)</f>
        <v>96.95</v>
      </c>
      <c r="K379">
        <f>_xlfn.XLOOKUP($A379,[1]Sheet1!$E$9:$E$2584,[1]Sheet1!$F$9:$F$2584,"N/A",0)</f>
        <v>125.38</v>
      </c>
      <c r="L379">
        <f>_xlfn.XLOOKUP($A379,[1]Sheet1!$H$9:$H$2584,[1]Sheet1!$I$9:$I$2584,"N/A",0)</f>
        <v>99.73</v>
      </c>
      <c r="M379">
        <f>_xlfn.XLOOKUP($A379,[1]Sheet1!$K$9:$K$2584,[1]Sheet1!$L$9:$L$2584,"N/A",0)</f>
        <v>119.32</v>
      </c>
      <c r="N379">
        <f>_xlfn.XLOOKUP($A379,[1]Sheet1!$N$9:$N$2584,[1]Sheet1!$O$9:$O$2584,"N/A",0)</f>
        <v>95.26</v>
      </c>
      <c r="O379">
        <v>96.95</v>
      </c>
      <c r="P379">
        <v>125.38</v>
      </c>
      <c r="Q379">
        <v>99.73</v>
      </c>
      <c r="R379">
        <v>95.26</v>
      </c>
      <c r="S379">
        <v>119.32</v>
      </c>
    </row>
    <row r="380" spans="1:19">
      <c r="A380" s="1">
        <v>42919</v>
      </c>
      <c r="B380" t="s">
        <v>239</v>
      </c>
      <c r="C380" t="s">
        <v>242</v>
      </c>
      <c r="D380">
        <v>12.575</v>
      </c>
      <c r="E380">
        <v>12.975</v>
      </c>
      <c r="F380" s="2" t="s">
        <v>245</v>
      </c>
      <c r="G380">
        <f ca="1" t="shared" si="15"/>
        <v>-0.614921079959568</v>
      </c>
      <c r="H380" t="str">
        <f ca="1" t="shared" si="16"/>
        <v>Risk-On</v>
      </c>
      <c r="I380">
        <f ca="1" t="shared" si="17"/>
        <v>1</v>
      </c>
      <c r="J380">
        <f>_xlfn.XLOOKUP($A380,[1]Sheet1!$B$9:$B$2584,[1]Sheet1!$C$9:$C$2584,"N/A",0)</f>
        <v>96.74</v>
      </c>
      <c r="K380">
        <f>_xlfn.XLOOKUP($A380,[1]Sheet1!$E$9:$E$2584,[1]Sheet1!$F$9:$F$2584,"N/A",0)</f>
        <v>124.39</v>
      </c>
      <c r="L380">
        <f>_xlfn.XLOOKUP($A380,[1]Sheet1!$H$9:$H$2584,[1]Sheet1!$I$9:$I$2584,"N/A",0)</f>
        <v>99.84</v>
      </c>
      <c r="M380">
        <f>_xlfn.XLOOKUP($A380,[1]Sheet1!$K$9:$K$2584,[1]Sheet1!$L$9:$L$2584,"N/A",0)</f>
        <v>119.69</v>
      </c>
      <c r="N380">
        <f>_xlfn.XLOOKUP($A380,[1]Sheet1!$N$9:$N$2584,[1]Sheet1!$O$9:$O$2584,"N/A",0)</f>
        <v>95.05</v>
      </c>
      <c r="O380">
        <v>96.74</v>
      </c>
      <c r="P380">
        <v>124.39</v>
      </c>
      <c r="Q380">
        <v>99.84</v>
      </c>
      <c r="R380">
        <v>95.05</v>
      </c>
      <c r="S380">
        <v>119.69</v>
      </c>
    </row>
    <row r="381" spans="1:19">
      <c r="A381" s="1">
        <v>42921</v>
      </c>
      <c r="B381" t="s">
        <v>239</v>
      </c>
      <c r="C381" t="s">
        <v>242</v>
      </c>
      <c r="D381">
        <v>12.325</v>
      </c>
      <c r="E381">
        <v>12.925</v>
      </c>
      <c r="F381">
        <v>0.0486815415821502</v>
      </c>
      <c r="G381">
        <f ca="1" t="shared" si="15"/>
        <v>-0.24455121669666</v>
      </c>
      <c r="H381" t="str">
        <f ca="1" t="shared" si="16"/>
        <v>Risk-On</v>
      </c>
      <c r="I381">
        <f ca="1" t="shared" si="17"/>
        <v>1</v>
      </c>
      <c r="J381">
        <f>_xlfn.XLOOKUP($A381,[1]Sheet1!$B$9:$B$2584,[1]Sheet1!$C$9:$C$2584,"N/A",0)</f>
        <v>96.76</v>
      </c>
      <c r="K381">
        <f>_xlfn.XLOOKUP($A381,[1]Sheet1!$E$9:$E$2584,[1]Sheet1!$F$9:$F$2584,"N/A",0)</f>
        <v>126.03</v>
      </c>
      <c r="L381">
        <f>_xlfn.XLOOKUP($A381,[1]Sheet1!$H$9:$H$2584,[1]Sheet1!$I$9:$I$2584,"N/A",0)</f>
        <v>100.56</v>
      </c>
      <c r="M381">
        <f>_xlfn.XLOOKUP($A381,[1]Sheet1!$K$9:$K$2584,[1]Sheet1!$L$9:$L$2584,"N/A",0)</f>
        <v>119.39</v>
      </c>
      <c r="N381">
        <f>_xlfn.XLOOKUP($A381,[1]Sheet1!$N$9:$N$2584,[1]Sheet1!$O$9:$O$2584,"N/A",0)</f>
        <v>95.5</v>
      </c>
      <c r="O381">
        <v>96.76</v>
      </c>
      <c r="P381">
        <v>126.03</v>
      </c>
      <c r="Q381">
        <v>100.56</v>
      </c>
      <c r="R381">
        <v>95.5</v>
      </c>
      <c r="S381">
        <v>119.39</v>
      </c>
    </row>
    <row r="382" spans="1:19">
      <c r="A382" s="1">
        <v>42922</v>
      </c>
      <c r="B382" t="s">
        <v>239</v>
      </c>
      <c r="C382" t="s">
        <v>242</v>
      </c>
      <c r="D382">
        <v>13.025</v>
      </c>
      <c r="E382">
        <v>13.425</v>
      </c>
      <c r="F382" s="2" t="s">
        <v>246</v>
      </c>
      <c r="G382">
        <f ca="1" t="shared" si="15"/>
        <v>-0.622827548607319</v>
      </c>
      <c r="H382" t="str">
        <f ca="1" t="shared" si="16"/>
        <v>Risk-On</v>
      </c>
      <c r="I382">
        <f ca="1" t="shared" si="17"/>
        <v>1</v>
      </c>
      <c r="J382">
        <f>_xlfn.XLOOKUP($A382,[1]Sheet1!$B$9:$B$2584,[1]Sheet1!$C$9:$C$2584,"N/A",0)</f>
        <v>96.67</v>
      </c>
      <c r="K382">
        <f>_xlfn.XLOOKUP($A382,[1]Sheet1!$E$9:$E$2584,[1]Sheet1!$F$9:$F$2584,"N/A",0)</f>
        <v>127.38</v>
      </c>
      <c r="L382">
        <f>_xlfn.XLOOKUP($A382,[1]Sheet1!$H$9:$H$2584,[1]Sheet1!$I$9:$I$2584,"N/A",0)</f>
        <v>100.93</v>
      </c>
      <c r="M382">
        <f>_xlfn.XLOOKUP($A382,[1]Sheet1!$K$9:$K$2584,[1]Sheet1!$L$9:$L$2584,"N/A",0)</f>
        <v>119.68</v>
      </c>
      <c r="N382">
        <f>_xlfn.XLOOKUP($A382,[1]Sheet1!$N$9:$N$2584,[1]Sheet1!$O$9:$O$2584,"N/A",0)</f>
        <v>96</v>
      </c>
      <c r="O382">
        <v>96.67</v>
      </c>
      <c r="P382">
        <v>127.38</v>
      </c>
      <c r="Q382">
        <v>100.93</v>
      </c>
      <c r="R382">
        <v>96</v>
      </c>
      <c r="S382">
        <v>119.68</v>
      </c>
    </row>
    <row r="383" spans="1:19">
      <c r="A383" s="1">
        <v>42923</v>
      </c>
      <c r="B383" t="s">
        <v>239</v>
      </c>
      <c r="C383" t="s">
        <v>242</v>
      </c>
      <c r="D383">
        <v>12.575</v>
      </c>
      <c r="E383">
        <v>13.075</v>
      </c>
      <c r="F383" s="2" t="s">
        <v>247</v>
      </c>
      <c r="G383">
        <f ca="1" t="shared" si="15"/>
        <v>-0.428092373942549</v>
      </c>
      <c r="H383" t="str">
        <f ca="1" t="shared" si="16"/>
        <v>Risk-On</v>
      </c>
      <c r="I383">
        <f ca="1" t="shared" si="17"/>
        <v>1</v>
      </c>
      <c r="J383">
        <f>_xlfn.XLOOKUP($A383,[1]Sheet1!$B$9:$B$2584,[1]Sheet1!$C$9:$C$2584,"N/A",0)</f>
        <v>96.75</v>
      </c>
      <c r="K383">
        <f>_xlfn.XLOOKUP($A383,[1]Sheet1!$E$9:$E$2584,[1]Sheet1!$F$9:$F$2584,"N/A",0)</f>
        <v>127.96</v>
      </c>
      <c r="L383">
        <f>_xlfn.XLOOKUP($A383,[1]Sheet1!$H$9:$H$2584,[1]Sheet1!$I$9:$I$2584,"N/A",0)</f>
        <v>101.08</v>
      </c>
      <c r="M383">
        <f>_xlfn.XLOOKUP($A383,[1]Sheet1!$K$9:$K$2584,[1]Sheet1!$L$9:$L$2584,"N/A",0)</f>
        <v>120.28</v>
      </c>
      <c r="N383">
        <f>_xlfn.XLOOKUP($A383,[1]Sheet1!$N$9:$N$2584,[1]Sheet1!$O$9:$O$2584,"N/A",0)</f>
        <v>95.61</v>
      </c>
      <c r="O383">
        <v>96.75</v>
      </c>
      <c r="P383">
        <v>127.96</v>
      </c>
      <c r="Q383">
        <v>101.08</v>
      </c>
      <c r="R383">
        <v>95.61</v>
      </c>
      <c r="S383">
        <v>120.28</v>
      </c>
    </row>
    <row r="384" spans="1:19">
      <c r="A384" s="1">
        <v>42926</v>
      </c>
      <c r="B384" t="s">
        <v>239</v>
      </c>
      <c r="C384" t="s">
        <v>242</v>
      </c>
      <c r="D384">
        <v>12.225</v>
      </c>
      <c r="E384">
        <v>12.825</v>
      </c>
      <c r="F384">
        <v>0.0490797546012269</v>
      </c>
      <c r="G384">
        <f ca="1" t="shared" si="15"/>
        <v>-0.227611384422009</v>
      </c>
      <c r="H384" t="str">
        <f ca="1" t="shared" si="16"/>
        <v>Risk-On</v>
      </c>
      <c r="I384">
        <f ca="1" t="shared" si="17"/>
        <v>1</v>
      </c>
      <c r="J384">
        <f>_xlfn.XLOOKUP($A384,[1]Sheet1!$B$9:$B$2584,[1]Sheet1!$C$9:$C$2584,"N/A",0)</f>
        <v>96.96</v>
      </c>
      <c r="K384">
        <f>_xlfn.XLOOKUP($A384,[1]Sheet1!$E$9:$E$2584,[1]Sheet1!$F$9:$F$2584,"N/A",0)</f>
        <v>128.19</v>
      </c>
      <c r="L384">
        <f>_xlfn.XLOOKUP($A384,[1]Sheet1!$H$9:$H$2584,[1]Sheet1!$I$9:$I$2584,"N/A",0)</f>
        <v>100.96</v>
      </c>
      <c r="M384">
        <f>_xlfn.XLOOKUP($A384,[1]Sheet1!$K$9:$K$2584,[1]Sheet1!$L$9:$L$2584,"N/A",0)</f>
        <v>119.48</v>
      </c>
      <c r="N384">
        <f>_xlfn.XLOOKUP($A384,[1]Sheet1!$N$9:$N$2584,[1]Sheet1!$O$9:$O$2584,"N/A",0)</f>
        <v>96.23</v>
      </c>
      <c r="O384">
        <v>96.96</v>
      </c>
      <c r="P384">
        <v>128.19</v>
      </c>
      <c r="Q384">
        <v>100.96</v>
      </c>
      <c r="R384">
        <v>96.23</v>
      </c>
      <c r="S384">
        <v>119.48</v>
      </c>
    </row>
    <row r="385" spans="1:19">
      <c r="A385" s="1">
        <v>42927</v>
      </c>
      <c r="B385" t="s">
        <v>239</v>
      </c>
      <c r="C385" t="s">
        <v>242</v>
      </c>
      <c r="D385">
        <v>12.125</v>
      </c>
      <c r="E385">
        <v>12.675</v>
      </c>
      <c r="F385">
        <v>0.0453608247422681</v>
      </c>
      <c r="G385">
        <f ca="1" t="shared" si="15"/>
        <v>-0.306820616277668</v>
      </c>
      <c r="H385" t="str">
        <f ca="1" t="shared" si="16"/>
        <v>Risk-On</v>
      </c>
      <c r="I385">
        <f ca="1" t="shared" si="17"/>
        <v>1</v>
      </c>
      <c r="J385">
        <f>_xlfn.XLOOKUP($A385,[1]Sheet1!$B$9:$B$2584,[1]Sheet1!$C$9:$C$2584,"N/A",0)</f>
        <v>96.84</v>
      </c>
      <c r="K385">
        <f>_xlfn.XLOOKUP($A385,[1]Sheet1!$E$9:$E$2584,[1]Sheet1!$F$9:$F$2584,"N/A",0)</f>
        <v>128.5</v>
      </c>
      <c r="L385">
        <f>_xlfn.XLOOKUP($A385,[1]Sheet1!$H$9:$H$2584,[1]Sheet1!$I$9:$I$2584,"N/A",0)</f>
        <v>101</v>
      </c>
      <c r="M385">
        <f>_xlfn.XLOOKUP($A385,[1]Sheet1!$K$9:$K$2584,[1]Sheet1!$L$9:$L$2584,"N/A",0)</f>
        <v>118.94</v>
      </c>
      <c r="N385">
        <f>_xlfn.XLOOKUP($A385,[1]Sheet1!$N$9:$N$2584,[1]Sheet1!$O$9:$O$2584,"N/A",0)</f>
        <v>96.05</v>
      </c>
      <c r="O385">
        <v>96.84</v>
      </c>
      <c r="P385">
        <v>128.5</v>
      </c>
      <c r="Q385">
        <v>101</v>
      </c>
      <c r="R385">
        <v>96.05</v>
      </c>
      <c r="S385">
        <v>118.94</v>
      </c>
    </row>
    <row r="386" spans="1:19">
      <c r="A386" s="1">
        <v>42928</v>
      </c>
      <c r="B386" t="s">
        <v>239</v>
      </c>
      <c r="C386" t="s">
        <v>242</v>
      </c>
      <c r="D386">
        <v>11.525</v>
      </c>
      <c r="E386">
        <v>12.425</v>
      </c>
      <c r="F386">
        <v>0.0780911062906724</v>
      </c>
      <c r="G386">
        <f ca="1" t="shared" si="15"/>
        <v>0.405641483917878</v>
      </c>
      <c r="H386" t="str">
        <f ca="1" t="shared" si="16"/>
        <v>Risk-On</v>
      </c>
      <c r="I386">
        <f ca="1" t="shared" si="17"/>
        <v>1</v>
      </c>
      <c r="J386">
        <f>_xlfn.XLOOKUP($A386,[1]Sheet1!$B$9:$B$2584,[1]Sheet1!$C$9:$C$2584,"N/A",0)</f>
        <v>97.31</v>
      </c>
      <c r="K386">
        <f>_xlfn.XLOOKUP($A386,[1]Sheet1!$E$9:$E$2584,[1]Sheet1!$F$9:$F$2584,"N/A",0)</f>
        <v>129.2</v>
      </c>
      <c r="L386">
        <f>_xlfn.XLOOKUP($A386,[1]Sheet1!$H$9:$H$2584,[1]Sheet1!$I$9:$I$2584,"N/A",0)</f>
        <v>100.97</v>
      </c>
      <c r="M386">
        <f>_xlfn.XLOOKUP($A386,[1]Sheet1!$K$9:$K$2584,[1]Sheet1!$L$9:$L$2584,"N/A",0)</f>
        <v>118.99</v>
      </c>
      <c r="N386">
        <f>_xlfn.XLOOKUP($A386,[1]Sheet1!$N$9:$N$2584,[1]Sheet1!$O$9:$O$2584,"N/A",0)</f>
        <v>96.11</v>
      </c>
      <c r="O386">
        <v>97.31</v>
      </c>
      <c r="P386">
        <v>129.2</v>
      </c>
      <c r="Q386">
        <v>100.97</v>
      </c>
      <c r="R386">
        <v>96.11</v>
      </c>
      <c r="S386">
        <v>118.99</v>
      </c>
    </row>
    <row r="387" spans="1:19">
      <c r="A387" s="1">
        <v>42929</v>
      </c>
      <c r="B387" t="s">
        <v>239</v>
      </c>
      <c r="C387" t="s">
        <v>242</v>
      </c>
      <c r="D387">
        <v>11.075</v>
      </c>
      <c r="E387">
        <v>12.375</v>
      </c>
      <c r="F387" s="2" t="s">
        <v>248</v>
      </c>
      <c r="G387">
        <f ca="1" t="shared" ref="G387:G450" si="18">IF(ROW()-ROW($A$3)+1&gt;252,(F387-AVERAGE(OFFSET(F387,-252,0,252,1)))/_xlfn.STDEV.S(OFFSET(F387,-252,0,252,1)),"N/A")</f>
        <v>1.26017581196291</v>
      </c>
      <c r="H387" t="str">
        <f ca="1" t="shared" ref="H387:H450" si="19">IF(G387&lt;&gt;"N/A",IF(G637&gt;-0.5,"Risk-On","Risk-Off"),"N/A")</f>
        <v>Risk-On</v>
      </c>
      <c r="I387">
        <f ca="1" t="shared" si="17"/>
        <v>1</v>
      </c>
      <c r="J387">
        <f>_xlfn.XLOOKUP($A387,[1]Sheet1!$B$9:$B$2584,[1]Sheet1!$C$9:$C$2584,"N/A",0)</f>
        <v>97</v>
      </c>
      <c r="K387">
        <f>_xlfn.XLOOKUP($A387,[1]Sheet1!$E$9:$E$2584,[1]Sheet1!$F$9:$F$2584,"N/A",0)</f>
        <v>128.13</v>
      </c>
      <c r="L387">
        <f>_xlfn.XLOOKUP($A387,[1]Sheet1!$H$9:$H$2584,[1]Sheet1!$I$9:$I$2584,"N/A",0)</f>
        <v>101.32</v>
      </c>
      <c r="M387">
        <f>_xlfn.XLOOKUP($A387,[1]Sheet1!$K$9:$K$2584,[1]Sheet1!$L$9:$L$2584,"N/A",0)</f>
        <v>118.85</v>
      </c>
      <c r="N387">
        <f>_xlfn.XLOOKUP($A387,[1]Sheet1!$N$9:$N$2584,[1]Sheet1!$O$9:$O$2584,"N/A",0)</f>
        <v>96.22</v>
      </c>
      <c r="O387">
        <v>97</v>
      </c>
      <c r="P387">
        <v>128.13</v>
      </c>
      <c r="Q387">
        <v>101.32</v>
      </c>
      <c r="R387">
        <v>96.22</v>
      </c>
      <c r="S387">
        <v>118.85</v>
      </c>
    </row>
    <row r="388" spans="1:19">
      <c r="A388" s="1">
        <v>42930</v>
      </c>
      <c r="B388" t="s">
        <v>239</v>
      </c>
      <c r="C388" t="s">
        <v>242</v>
      </c>
      <c r="D388">
        <v>10.575</v>
      </c>
      <c r="E388">
        <v>12.025</v>
      </c>
      <c r="F388" s="2" t="s">
        <v>249</v>
      </c>
      <c r="G388">
        <f ca="1" t="shared" si="18"/>
        <v>1.73041962290762</v>
      </c>
      <c r="H388" t="str">
        <f ca="1" t="shared" si="19"/>
        <v>Risk-On</v>
      </c>
      <c r="I388">
        <f ca="1" t="shared" ref="I388:I451" si="20">IF(H388&lt;&gt;"N/A",IF(H638&gt;-0.5,1,0),0)</f>
        <v>1</v>
      </c>
      <c r="J388">
        <f>_xlfn.XLOOKUP($A388,[1]Sheet1!$B$9:$B$2584,[1]Sheet1!$C$9:$C$2584,"N/A",0)</f>
        <v>96.91</v>
      </c>
      <c r="K388">
        <f>_xlfn.XLOOKUP($A388,[1]Sheet1!$E$9:$E$2584,[1]Sheet1!$F$9:$F$2584,"N/A",0)</f>
        <v>128.18</v>
      </c>
      <c r="L388">
        <f>_xlfn.XLOOKUP($A388,[1]Sheet1!$H$9:$H$2584,[1]Sheet1!$I$9:$I$2584,"N/A",0)</f>
        <v>101.4</v>
      </c>
      <c r="M388">
        <f>_xlfn.XLOOKUP($A388,[1]Sheet1!$K$9:$K$2584,[1]Sheet1!$L$9:$L$2584,"N/A",0)</f>
        <v>118.99</v>
      </c>
      <c r="N388">
        <f>_xlfn.XLOOKUP($A388,[1]Sheet1!$N$9:$N$2584,[1]Sheet1!$O$9:$O$2584,"N/A",0)</f>
        <v>96.39</v>
      </c>
      <c r="O388">
        <v>96.91</v>
      </c>
      <c r="P388">
        <v>128.18</v>
      </c>
      <c r="Q388">
        <v>101.4</v>
      </c>
      <c r="R388">
        <v>96.39</v>
      </c>
      <c r="S388">
        <v>118.99</v>
      </c>
    </row>
    <row r="389" spans="1:19">
      <c r="A389" s="1">
        <v>42933</v>
      </c>
      <c r="B389" t="s">
        <v>239</v>
      </c>
      <c r="C389" t="s">
        <v>242</v>
      </c>
      <c r="D389">
        <v>10.275</v>
      </c>
      <c r="E389">
        <v>11.925</v>
      </c>
      <c r="F389" s="2" t="s">
        <v>250</v>
      </c>
      <c r="G389">
        <f ca="1" t="shared" si="18"/>
        <v>2.24865275910641</v>
      </c>
      <c r="H389" t="str">
        <f ca="1" t="shared" si="19"/>
        <v>Risk-On</v>
      </c>
      <c r="I389">
        <f ca="1" t="shared" si="20"/>
        <v>1</v>
      </c>
      <c r="J389">
        <f>_xlfn.XLOOKUP($A389,[1]Sheet1!$B$9:$B$2584,[1]Sheet1!$C$9:$C$2584,"N/A",0)</f>
        <v>96.99</v>
      </c>
      <c r="K389">
        <f>_xlfn.XLOOKUP($A389,[1]Sheet1!$E$9:$E$2584,[1]Sheet1!$F$9:$F$2584,"N/A",0)</f>
        <v>127.81</v>
      </c>
      <c r="L389">
        <f>_xlfn.XLOOKUP($A389,[1]Sheet1!$H$9:$H$2584,[1]Sheet1!$I$9:$I$2584,"N/A",0)</f>
        <v>101.75</v>
      </c>
      <c r="M389">
        <f>_xlfn.XLOOKUP($A389,[1]Sheet1!$K$9:$K$2584,[1]Sheet1!$L$9:$L$2584,"N/A",0)</f>
        <v>118.65</v>
      </c>
      <c r="N389">
        <f>_xlfn.XLOOKUP($A389,[1]Sheet1!$N$9:$N$2584,[1]Sheet1!$O$9:$O$2584,"N/A",0)</f>
        <v>96.07</v>
      </c>
      <c r="O389">
        <v>96.99</v>
      </c>
      <c r="P389">
        <v>127.81</v>
      </c>
      <c r="Q389">
        <v>101.75</v>
      </c>
      <c r="R389">
        <v>96.07</v>
      </c>
      <c r="S389">
        <v>118.65</v>
      </c>
    </row>
    <row r="390" spans="1:19">
      <c r="A390" s="1">
        <v>42934</v>
      </c>
      <c r="B390" t="s">
        <v>239</v>
      </c>
      <c r="C390" t="s">
        <v>242</v>
      </c>
      <c r="D390">
        <v>10.125</v>
      </c>
      <c r="E390">
        <v>11.775</v>
      </c>
      <c r="F390">
        <v>0.162962962962963</v>
      </c>
      <c r="G390">
        <f ca="1" t="shared" si="18"/>
        <v>2.30118737310932</v>
      </c>
      <c r="H390" t="str">
        <f ca="1" t="shared" si="19"/>
        <v>Risk-On</v>
      </c>
      <c r="I390">
        <f ca="1" t="shared" si="20"/>
        <v>1</v>
      </c>
      <c r="J390">
        <f>_xlfn.XLOOKUP($A390,[1]Sheet1!$B$9:$B$2584,[1]Sheet1!$C$9:$C$2584,"N/A",0)</f>
        <v>97.38</v>
      </c>
      <c r="K390">
        <f>_xlfn.XLOOKUP($A390,[1]Sheet1!$E$9:$E$2584,[1]Sheet1!$F$9:$F$2584,"N/A",0)</f>
        <v>128.4</v>
      </c>
      <c r="L390">
        <f>_xlfn.XLOOKUP($A390,[1]Sheet1!$H$9:$H$2584,[1]Sheet1!$I$9:$I$2584,"N/A",0)</f>
        <v>101.5</v>
      </c>
      <c r="M390">
        <f>_xlfn.XLOOKUP($A390,[1]Sheet1!$K$9:$K$2584,[1]Sheet1!$L$9:$L$2584,"N/A",0)</f>
        <v>119.11</v>
      </c>
      <c r="N390">
        <f>_xlfn.XLOOKUP($A390,[1]Sheet1!$N$9:$N$2584,[1]Sheet1!$O$9:$O$2584,"N/A",0)</f>
        <v>96.37</v>
      </c>
      <c r="O390">
        <v>97.38</v>
      </c>
      <c r="P390">
        <v>128.4</v>
      </c>
      <c r="Q390">
        <v>101.5</v>
      </c>
      <c r="R390">
        <v>96.37</v>
      </c>
      <c r="S390">
        <v>119.11</v>
      </c>
    </row>
    <row r="391" spans="1:19">
      <c r="A391" s="1">
        <v>42935</v>
      </c>
      <c r="B391" t="s">
        <v>239</v>
      </c>
      <c r="C391" t="s">
        <v>242</v>
      </c>
      <c r="D391">
        <v>10.11</v>
      </c>
      <c r="E391">
        <v>11.525</v>
      </c>
      <c r="F391" s="2" t="s">
        <v>251</v>
      </c>
      <c r="G391">
        <f ca="1" t="shared" si="18"/>
        <v>1.73460944504366</v>
      </c>
      <c r="H391" t="str">
        <f ca="1" t="shared" si="19"/>
        <v>Risk-On</v>
      </c>
      <c r="I391">
        <f ca="1" t="shared" si="20"/>
        <v>1</v>
      </c>
      <c r="J391">
        <f>_xlfn.XLOOKUP($A391,[1]Sheet1!$B$9:$B$2584,[1]Sheet1!$C$9:$C$2584,"N/A",0)</f>
        <v>97.53</v>
      </c>
      <c r="K391">
        <f>_xlfn.XLOOKUP($A391,[1]Sheet1!$E$9:$E$2584,[1]Sheet1!$F$9:$F$2584,"N/A",0)</f>
        <v>127.68</v>
      </c>
      <c r="L391">
        <f>_xlfn.XLOOKUP($A391,[1]Sheet1!$H$9:$H$2584,[1]Sheet1!$I$9:$I$2584,"N/A",0)</f>
        <v>101.29</v>
      </c>
      <c r="M391">
        <f>_xlfn.XLOOKUP($A391,[1]Sheet1!$K$9:$K$2584,[1]Sheet1!$L$9:$L$2584,"N/A",0)</f>
        <v>118.78</v>
      </c>
      <c r="N391">
        <f>_xlfn.XLOOKUP($A391,[1]Sheet1!$N$9:$N$2584,[1]Sheet1!$O$9:$O$2584,"N/A",0)</f>
        <v>96.23</v>
      </c>
      <c r="O391">
        <v>97.53</v>
      </c>
      <c r="P391">
        <v>127.68</v>
      </c>
      <c r="Q391">
        <v>101.29</v>
      </c>
      <c r="R391">
        <v>96.23</v>
      </c>
      <c r="S391">
        <v>118.78</v>
      </c>
    </row>
    <row r="392" spans="1:19">
      <c r="A392" s="1">
        <v>42936</v>
      </c>
      <c r="B392" t="s">
        <v>242</v>
      </c>
      <c r="C392" t="s">
        <v>252</v>
      </c>
      <c r="D392">
        <v>11.475</v>
      </c>
      <c r="E392">
        <v>12.725</v>
      </c>
      <c r="F392" s="2" t="s">
        <v>253</v>
      </c>
      <c r="G392">
        <f ca="1" t="shared" si="18"/>
        <v>1.06339149366505</v>
      </c>
      <c r="H392" t="str">
        <f ca="1" t="shared" si="19"/>
        <v>Risk-On</v>
      </c>
      <c r="I392">
        <f ca="1" t="shared" si="20"/>
        <v>1</v>
      </c>
      <c r="J392">
        <f>_xlfn.XLOOKUP($A392,[1]Sheet1!$B$9:$B$2584,[1]Sheet1!$C$9:$C$2584,"N/A",0)</f>
        <v>97.24</v>
      </c>
      <c r="K392">
        <f>_xlfn.XLOOKUP($A392,[1]Sheet1!$E$9:$E$2584,[1]Sheet1!$F$9:$F$2584,"N/A",0)</f>
        <v>127.52</v>
      </c>
      <c r="L392">
        <f>_xlfn.XLOOKUP($A392,[1]Sheet1!$H$9:$H$2584,[1]Sheet1!$I$9:$I$2584,"N/A",0)</f>
        <v>101.88</v>
      </c>
      <c r="M392">
        <f>_xlfn.XLOOKUP($A392,[1]Sheet1!$K$9:$K$2584,[1]Sheet1!$L$9:$L$2584,"N/A",0)</f>
        <v>118.52</v>
      </c>
      <c r="N392">
        <f>_xlfn.XLOOKUP($A392,[1]Sheet1!$N$9:$N$2584,[1]Sheet1!$O$9:$O$2584,"N/A",0)</f>
        <v>95.94</v>
      </c>
      <c r="O392">
        <v>97.24</v>
      </c>
      <c r="P392">
        <v>127.52</v>
      </c>
      <c r="Q392">
        <v>101.88</v>
      </c>
      <c r="R392">
        <v>95.94</v>
      </c>
      <c r="S392">
        <v>118.52</v>
      </c>
    </row>
    <row r="393" spans="1:19">
      <c r="A393" s="1">
        <v>42937</v>
      </c>
      <c r="B393" t="s">
        <v>242</v>
      </c>
      <c r="C393" t="s">
        <v>252</v>
      </c>
      <c r="D393">
        <v>11.375</v>
      </c>
      <c r="E393">
        <v>12.675</v>
      </c>
      <c r="F393" s="2" t="s">
        <v>254</v>
      </c>
      <c r="G393">
        <f ca="1" t="shared" si="18"/>
        <v>1.17919664400425</v>
      </c>
      <c r="H393" t="str">
        <f ca="1" t="shared" si="19"/>
        <v>Risk-On</v>
      </c>
      <c r="I393">
        <f ca="1" t="shared" si="20"/>
        <v>1</v>
      </c>
      <c r="J393">
        <f>_xlfn.XLOOKUP($A393,[1]Sheet1!$B$9:$B$2584,[1]Sheet1!$C$9:$C$2584,"N/A",0)</f>
        <v>97.04</v>
      </c>
      <c r="K393">
        <f>_xlfn.XLOOKUP($A393,[1]Sheet1!$E$9:$E$2584,[1]Sheet1!$F$9:$F$2584,"N/A",0)</f>
        <v>127.62</v>
      </c>
      <c r="L393">
        <f>_xlfn.XLOOKUP($A393,[1]Sheet1!$H$9:$H$2584,[1]Sheet1!$I$9:$I$2584,"N/A",0)</f>
        <v>101.51</v>
      </c>
      <c r="M393">
        <f>_xlfn.XLOOKUP($A393,[1]Sheet1!$K$9:$K$2584,[1]Sheet1!$L$9:$L$2584,"N/A",0)</f>
        <v>118.43</v>
      </c>
      <c r="N393">
        <f>_xlfn.XLOOKUP($A393,[1]Sheet1!$N$9:$N$2584,[1]Sheet1!$O$9:$O$2584,"N/A",0)</f>
        <v>96.35</v>
      </c>
      <c r="O393">
        <v>97.04</v>
      </c>
      <c r="P393">
        <v>127.62</v>
      </c>
      <c r="Q393">
        <v>101.51</v>
      </c>
      <c r="R393">
        <v>96.35</v>
      </c>
      <c r="S393">
        <v>118.43</v>
      </c>
    </row>
    <row r="394" spans="1:19">
      <c r="A394" s="1">
        <v>42940</v>
      </c>
      <c r="B394" t="s">
        <v>242</v>
      </c>
      <c r="C394" t="s">
        <v>252</v>
      </c>
      <c r="D394">
        <v>11.325</v>
      </c>
      <c r="E394">
        <v>12.525</v>
      </c>
      <c r="F394" s="2" t="s">
        <v>255</v>
      </c>
      <c r="G394">
        <f ca="1" t="shared" si="18"/>
        <v>0.999094933219519</v>
      </c>
      <c r="H394" t="str">
        <f ca="1" t="shared" si="19"/>
        <v>Risk-On</v>
      </c>
      <c r="I394">
        <f ca="1" t="shared" si="20"/>
        <v>1</v>
      </c>
      <c r="J394">
        <f>_xlfn.XLOOKUP($A394,[1]Sheet1!$B$9:$B$2584,[1]Sheet1!$C$9:$C$2584,"N/A",0)</f>
        <v>97.1</v>
      </c>
      <c r="K394">
        <f>_xlfn.XLOOKUP($A394,[1]Sheet1!$E$9:$E$2584,[1]Sheet1!$F$9:$F$2584,"N/A",0)</f>
        <v>128.59</v>
      </c>
      <c r="L394">
        <f>_xlfn.XLOOKUP($A394,[1]Sheet1!$H$9:$H$2584,[1]Sheet1!$I$9:$I$2584,"N/A",0)</f>
        <v>101.17</v>
      </c>
      <c r="M394">
        <f>_xlfn.XLOOKUP($A394,[1]Sheet1!$K$9:$K$2584,[1]Sheet1!$L$9:$L$2584,"N/A",0)</f>
        <v>118.84</v>
      </c>
      <c r="N394">
        <f>_xlfn.XLOOKUP($A394,[1]Sheet1!$N$9:$N$2584,[1]Sheet1!$O$9:$O$2584,"N/A",0)</f>
        <v>96.45</v>
      </c>
      <c r="O394">
        <v>97.1</v>
      </c>
      <c r="P394">
        <v>128.59</v>
      </c>
      <c r="Q394">
        <v>101.17</v>
      </c>
      <c r="R394">
        <v>96.45</v>
      </c>
      <c r="S394">
        <v>118.84</v>
      </c>
    </row>
    <row r="395" spans="1:19">
      <c r="A395" s="1">
        <v>42941</v>
      </c>
      <c r="B395" t="s">
        <v>242</v>
      </c>
      <c r="C395" t="s">
        <v>252</v>
      </c>
      <c r="D395">
        <v>11.175</v>
      </c>
      <c r="E395">
        <v>12.575</v>
      </c>
      <c r="F395" s="2" t="s">
        <v>256</v>
      </c>
      <c r="G395">
        <f ca="1" t="shared" si="18"/>
        <v>1.41702467087536</v>
      </c>
      <c r="H395" t="str">
        <f ca="1" t="shared" si="19"/>
        <v>Risk-On</v>
      </c>
      <c r="I395">
        <f ca="1" t="shared" si="20"/>
        <v>1</v>
      </c>
      <c r="J395">
        <f>_xlfn.XLOOKUP($A395,[1]Sheet1!$B$9:$B$2584,[1]Sheet1!$C$9:$C$2584,"N/A",0)</f>
        <v>96.87</v>
      </c>
      <c r="K395">
        <f>_xlfn.XLOOKUP($A395,[1]Sheet1!$E$9:$E$2584,[1]Sheet1!$F$9:$F$2584,"N/A",0)</f>
        <v>126.59</v>
      </c>
      <c r="L395">
        <f>_xlfn.XLOOKUP($A395,[1]Sheet1!$H$9:$H$2584,[1]Sheet1!$I$9:$I$2584,"N/A",0)</f>
        <v>100.88</v>
      </c>
      <c r="M395">
        <f>_xlfn.XLOOKUP($A395,[1]Sheet1!$K$9:$K$2584,[1]Sheet1!$L$9:$L$2584,"N/A",0)</f>
        <v>118.02</v>
      </c>
      <c r="N395">
        <f>_xlfn.XLOOKUP($A395,[1]Sheet1!$N$9:$N$2584,[1]Sheet1!$O$9:$O$2584,"N/A",0)</f>
        <v>95.96</v>
      </c>
      <c r="O395">
        <v>96.87</v>
      </c>
      <c r="P395">
        <v>126.59</v>
      </c>
      <c r="Q395">
        <v>100.88</v>
      </c>
      <c r="R395">
        <v>95.96</v>
      </c>
      <c r="S395">
        <v>118.02</v>
      </c>
    </row>
    <row r="396" spans="1:19">
      <c r="A396" s="1">
        <v>42942</v>
      </c>
      <c r="B396" t="s">
        <v>242</v>
      </c>
      <c r="C396" t="s">
        <v>252</v>
      </c>
      <c r="D396">
        <v>11.275</v>
      </c>
      <c r="E396">
        <v>12.625</v>
      </c>
      <c r="F396" s="2" t="s">
        <v>257</v>
      </c>
      <c r="G396">
        <f ca="1" t="shared" si="18"/>
        <v>1.29705598769758</v>
      </c>
      <c r="H396" t="str">
        <f ca="1" t="shared" si="19"/>
        <v>Risk-On</v>
      </c>
      <c r="I396">
        <f ca="1" t="shared" si="20"/>
        <v>1</v>
      </c>
      <c r="J396">
        <f>_xlfn.XLOOKUP($A396,[1]Sheet1!$B$9:$B$2584,[1]Sheet1!$C$9:$C$2584,"N/A",0)</f>
        <v>97.19</v>
      </c>
      <c r="K396">
        <f>_xlfn.XLOOKUP($A396,[1]Sheet1!$E$9:$E$2584,[1]Sheet1!$F$9:$F$2584,"N/A",0)</f>
        <v>127.12</v>
      </c>
      <c r="L396">
        <f>_xlfn.XLOOKUP($A396,[1]Sheet1!$H$9:$H$2584,[1]Sheet1!$I$9:$I$2584,"N/A",0)</f>
        <v>100.56</v>
      </c>
      <c r="M396">
        <f>_xlfn.XLOOKUP($A396,[1]Sheet1!$K$9:$K$2584,[1]Sheet1!$L$9:$L$2584,"N/A",0)</f>
        <v>117.7</v>
      </c>
      <c r="N396">
        <f>_xlfn.XLOOKUP($A396,[1]Sheet1!$N$9:$N$2584,[1]Sheet1!$O$9:$O$2584,"N/A",0)</f>
        <v>96.01</v>
      </c>
      <c r="O396">
        <v>97.19</v>
      </c>
      <c r="P396">
        <v>127.12</v>
      </c>
      <c r="Q396">
        <v>100.56</v>
      </c>
      <c r="R396">
        <v>96.01</v>
      </c>
      <c r="S396">
        <v>117.7</v>
      </c>
    </row>
    <row r="397" spans="1:19">
      <c r="A397" s="1">
        <v>42943</v>
      </c>
      <c r="B397" t="s">
        <v>242</v>
      </c>
      <c r="C397" t="s">
        <v>252</v>
      </c>
      <c r="D397">
        <v>11.425</v>
      </c>
      <c r="E397">
        <v>12.625</v>
      </c>
      <c r="F397" s="2" t="s">
        <v>236</v>
      </c>
      <c r="G397">
        <f ca="1" t="shared" si="18"/>
        <v>0.979031882087733</v>
      </c>
      <c r="H397" t="str">
        <f ca="1" t="shared" si="19"/>
        <v>Risk-On</v>
      </c>
      <c r="I397">
        <f ca="1" t="shared" si="20"/>
        <v>1</v>
      </c>
      <c r="J397">
        <f>_xlfn.XLOOKUP($A397,[1]Sheet1!$B$9:$B$2584,[1]Sheet1!$C$9:$C$2584,"N/A",0)</f>
        <v>97.32</v>
      </c>
      <c r="K397">
        <f>_xlfn.XLOOKUP($A397,[1]Sheet1!$E$9:$E$2584,[1]Sheet1!$F$9:$F$2584,"N/A",0)</f>
        <v>125.89</v>
      </c>
      <c r="L397">
        <f>_xlfn.XLOOKUP($A397,[1]Sheet1!$H$9:$H$2584,[1]Sheet1!$I$9:$I$2584,"N/A",0)</f>
        <v>100.83</v>
      </c>
      <c r="M397">
        <f>_xlfn.XLOOKUP($A397,[1]Sheet1!$K$9:$K$2584,[1]Sheet1!$L$9:$L$2584,"N/A",0)</f>
        <v>117.62</v>
      </c>
      <c r="N397">
        <f>_xlfn.XLOOKUP($A397,[1]Sheet1!$N$9:$N$2584,[1]Sheet1!$O$9:$O$2584,"N/A",0)</f>
        <v>96.22</v>
      </c>
      <c r="O397">
        <v>97.32</v>
      </c>
      <c r="P397">
        <v>125.89</v>
      </c>
      <c r="Q397">
        <v>100.83</v>
      </c>
      <c r="R397">
        <v>96.22</v>
      </c>
      <c r="S397">
        <v>117.62</v>
      </c>
    </row>
    <row r="398" spans="1:19">
      <c r="A398" s="1">
        <v>42944</v>
      </c>
      <c r="B398" t="s">
        <v>242</v>
      </c>
      <c r="C398" t="s">
        <v>252</v>
      </c>
      <c r="D398">
        <v>11.375</v>
      </c>
      <c r="E398">
        <v>12.625</v>
      </c>
      <c r="F398" s="2" t="s">
        <v>87</v>
      </c>
      <c r="G398">
        <f ca="1" t="shared" si="18"/>
        <v>1.08410797851999</v>
      </c>
      <c r="H398" t="str">
        <f ca="1" t="shared" si="19"/>
        <v>Risk-On</v>
      </c>
      <c r="I398">
        <f ca="1" t="shared" si="20"/>
        <v>1</v>
      </c>
      <c r="J398">
        <f>_xlfn.XLOOKUP($A398,[1]Sheet1!$B$9:$B$2584,[1]Sheet1!$C$9:$C$2584,"N/A",0)</f>
        <v>97.68</v>
      </c>
      <c r="K398">
        <f>_xlfn.XLOOKUP($A398,[1]Sheet1!$E$9:$E$2584,[1]Sheet1!$F$9:$F$2584,"N/A",0)</f>
        <v>126.6</v>
      </c>
      <c r="L398">
        <f>_xlfn.XLOOKUP($A398,[1]Sheet1!$H$9:$H$2584,[1]Sheet1!$I$9:$I$2584,"N/A",0)</f>
        <v>100.36</v>
      </c>
      <c r="M398">
        <f>_xlfn.XLOOKUP($A398,[1]Sheet1!$K$9:$K$2584,[1]Sheet1!$L$9:$L$2584,"N/A",0)</f>
        <v>117.55</v>
      </c>
      <c r="N398">
        <f>_xlfn.XLOOKUP($A398,[1]Sheet1!$N$9:$N$2584,[1]Sheet1!$O$9:$O$2584,"N/A",0)</f>
        <v>96.99</v>
      </c>
      <c r="O398">
        <v>97.68</v>
      </c>
      <c r="P398">
        <v>126.6</v>
      </c>
      <c r="Q398">
        <v>100.36</v>
      </c>
      <c r="R398">
        <v>96.99</v>
      </c>
      <c r="S398">
        <v>117.55</v>
      </c>
    </row>
    <row r="399" spans="1:19">
      <c r="A399" s="1">
        <v>42947</v>
      </c>
      <c r="B399" t="s">
        <v>242</v>
      </c>
      <c r="C399" t="s">
        <v>252</v>
      </c>
      <c r="D399">
        <v>11.275</v>
      </c>
      <c r="E399">
        <v>12.475</v>
      </c>
      <c r="F399" s="2" t="s">
        <v>258</v>
      </c>
      <c r="G399">
        <f ca="1" t="shared" si="18"/>
        <v>1.00925991588826</v>
      </c>
      <c r="H399" t="str">
        <f ca="1" t="shared" si="19"/>
        <v>Risk-On</v>
      </c>
      <c r="I399">
        <f ca="1" t="shared" si="20"/>
        <v>1</v>
      </c>
      <c r="J399">
        <f>_xlfn.XLOOKUP($A399,[1]Sheet1!$B$9:$B$2584,[1]Sheet1!$C$9:$C$2584,"N/A",0)</f>
        <v>97.24</v>
      </c>
      <c r="K399">
        <f>_xlfn.XLOOKUP($A399,[1]Sheet1!$E$9:$E$2584,[1]Sheet1!$F$9:$F$2584,"N/A",0)</f>
        <v>126.08</v>
      </c>
      <c r="L399">
        <f>_xlfn.XLOOKUP($A399,[1]Sheet1!$H$9:$H$2584,[1]Sheet1!$I$9:$I$2584,"N/A",0)</f>
        <v>100.28</v>
      </c>
      <c r="M399">
        <f>_xlfn.XLOOKUP($A399,[1]Sheet1!$K$9:$K$2584,[1]Sheet1!$L$9:$L$2584,"N/A",0)</f>
        <v>117.85</v>
      </c>
      <c r="N399">
        <f>_xlfn.XLOOKUP($A399,[1]Sheet1!$N$9:$N$2584,[1]Sheet1!$O$9:$O$2584,"N/A",0)</f>
        <v>97</v>
      </c>
      <c r="O399">
        <v>97.24</v>
      </c>
      <c r="P399">
        <v>126.08</v>
      </c>
      <c r="Q399">
        <v>100.28</v>
      </c>
      <c r="R399">
        <v>97</v>
      </c>
      <c r="S399">
        <v>117.85</v>
      </c>
    </row>
    <row r="400" spans="1:19">
      <c r="A400" s="1">
        <v>42948</v>
      </c>
      <c r="B400" t="s">
        <v>242</v>
      </c>
      <c r="C400" t="s">
        <v>252</v>
      </c>
      <c r="D400">
        <v>11.225</v>
      </c>
      <c r="E400">
        <v>12.425</v>
      </c>
      <c r="F400" s="2" t="s">
        <v>237</v>
      </c>
      <c r="G400">
        <f ca="1" t="shared" si="18"/>
        <v>1.01951545519552</v>
      </c>
      <c r="H400" t="str">
        <f ca="1" t="shared" si="19"/>
        <v>Risk-On</v>
      </c>
      <c r="I400">
        <f ca="1" t="shared" si="20"/>
        <v>1</v>
      </c>
      <c r="J400">
        <f>_xlfn.XLOOKUP($A400,[1]Sheet1!$B$9:$B$2584,[1]Sheet1!$C$9:$C$2584,"N/A",0)</f>
        <v>97.23</v>
      </c>
      <c r="K400">
        <f>_xlfn.XLOOKUP($A400,[1]Sheet1!$E$9:$E$2584,[1]Sheet1!$F$9:$F$2584,"N/A",0)</f>
        <v>127.25</v>
      </c>
      <c r="L400">
        <f>_xlfn.XLOOKUP($A400,[1]Sheet1!$H$9:$H$2584,[1]Sheet1!$I$9:$I$2584,"N/A",0)</f>
        <v>100.65</v>
      </c>
      <c r="M400">
        <f>_xlfn.XLOOKUP($A400,[1]Sheet1!$K$9:$K$2584,[1]Sheet1!$L$9:$L$2584,"N/A",0)</f>
        <v>118.26</v>
      </c>
      <c r="N400">
        <f>_xlfn.XLOOKUP($A400,[1]Sheet1!$N$9:$N$2584,[1]Sheet1!$O$9:$O$2584,"N/A",0)</f>
        <v>96.93</v>
      </c>
      <c r="O400">
        <v>97.23</v>
      </c>
      <c r="P400">
        <v>127.25</v>
      </c>
      <c r="Q400">
        <v>100.65</v>
      </c>
      <c r="R400">
        <v>96.93</v>
      </c>
      <c r="S400">
        <v>118.26</v>
      </c>
    </row>
    <row r="401" spans="1:19">
      <c r="A401" s="1">
        <v>42949</v>
      </c>
      <c r="B401" t="s">
        <v>242</v>
      </c>
      <c r="C401" t="s">
        <v>252</v>
      </c>
      <c r="D401">
        <v>11.275</v>
      </c>
      <c r="E401">
        <v>12.625</v>
      </c>
      <c r="F401" s="2" t="s">
        <v>257</v>
      </c>
      <c r="G401">
        <f ca="1" t="shared" si="18"/>
        <v>1.29705598769758</v>
      </c>
      <c r="H401" t="str">
        <f ca="1" t="shared" si="19"/>
        <v>Risk-On</v>
      </c>
      <c r="I401">
        <f ca="1" t="shared" si="20"/>
        <v>1</v>
      </c>
      <c r="J401">
        <f>_xlfn.XLOOKUP($A401,[1]Sheet1!$B$9:$B$2584,[1]Sheet1!$C$9:$C$2584,"N/A",0)</f>
        <v>97.44</v>
      </c>
      <c r="K401">
        <f>_xlfn.XLOOKUP($A401,[1]Sheet1!$E$9:$E$2584,[1]Sheet1!$F$9:$F$2584,"N/A",0)</f>
        <v>128.2</v>
      </c>
      <c r="L401">
        <f>_xlfn.XLOOKUP($A401,[1]Sheet1!$H$9:$H$2584,[1]Sheet1!$I$9:$I$2584,"N/A",0)</f>
        <v>100.53</v>
      </c>
      <c r="M401">
        <f>_xlfn.XLOOKUP($A401,[1]Sheet1!$K$9:$K$2584,[1]Sheet1!$L$9:$L$2584,"N/A",0)</f>
        <v>118.36</v>
      </c>
      <c r="N401">
        <f>_xlfn.XLOOKUP($A401,[1]Sheet1!$N$9:$N$2584,[1]Sheet1!$O$9:$O$2584,"N/A",0)</f>
        <v>98.04</v>
      </c>
      <c r="O401">
        <v>97.44</v>
      </c>
      <c r="P401">
        <v>128.2</v>
      </c>
      <c r="Q401">
        <v>100.53</v>
      </c>
      <c r="R401">
        <v>98.04</v>
      </c>
      <c r="S401">
        <v>118.36</v>
      </c>
    </row>
    <row r="402" spans="1:19">
      <c r="A402" s="1">
        <v>42950</v>
      </c>
      <c r="B402" t="s">
        <v>242</v>
      </c>
      <c r="C402" t="s">
        <v>252</v>
      </c>
      <c r="D402">
        <v>11.325</v>
      </c>
      <c r="E402">
        <v>12.725</v>
      </c>
      <c r="F402" s="2" t="s">
        <v>259</v>
      </c>
      <c r="G402">
        <f ca="1" t="shared" si="18"/>
        <v>1.38112886518712</v>
      </c>
      <c r="H402" t="str">
        <f ca="1" t="shared" si="19"/>
        <v>Risk-On</v>
      </c>
      <c r="I402">
        <f ca="1" t="shared" si="20"/>
        <v>1</v>
      </c>
      <c r="J402">
        <f>_xlfn.XLOOKUP($A402,[1]Sheet1!$B$9:$B$2584,[1]Sheet1!$C$9:$C$2584,"N/A",0)</f>
        <v>97.61</v>
      </c>
      <c r="K402">
        <f>_xlfn.XLOOKUP($A402,[1]Sheet1!$E$9:$E$2584,[1]Sheet1!$F$9:$F$2584,"N/A",0)</f>
        <v>128.82</v>
      </c>
      <c r="L402">
        <f>_xlfn.XLOOKUP($A402,[1]Sheet1!$H$9:$H$2584,[1]Sheet1!$I$9:$I$2584,"N/A",0)</f>
        <v>100.73</v>
      </c>
      <c r="M402">
        <f>_xlfn.XLOOKUP($A402,[1]Sheet1!$K$9:$K$2584,[1]Sheet1!$L$9:$L$2584,"N/A",0)</f>
        <v>118.34</v>
      </c>
      <c r="N402">
        <f>_xlfn.XLOOKUP($A402,[1]Sheet1!$N$9:$N$2584,[1]Sheet1!$O$9:$O$2584,"N/A",0)</f>
        <v>98.08</v>
      </c>
      <c r="O402">
        <v>97.61</v>
      </c>
      <c r="P402">
        <v>128.82</v>
      </c>
      <c r="Q402">
        <v>100.73</v>
      </c>
      <c r="R402">
        <v>98.08</v>
      </c>
      <c r="S402">
        <v>118.34</v>
      </c>
    </row>
    <row r="403" spans="1:19">
      <c r="A403" s="1">
        <v>42951</v>
      </c>
      <c r="B403" t="s">
        <v>242</v>
      </c>
      <c r="C403" t="s">
        <v>252</v>
      </c>
      <c r="D403">
        <v>11.275</v>
      </c>
      <c r="E403">
        <v>12.775</v>
      </c>
      <c r="F403" s="2" t="s">
        <v>260</v>
      </c>
      <c r="G403">
        <f ca="1" t="shared" si="18"/>
        <v>1.58485205950688</v>
      </c>
      <c r="H403" t="str">
        <f ca="1" t="shared" si="19"/>
        <v>Risk-On</v>
      </c>
      <c r="I403">
        <f ca="1" t="shared" si="20"/>
        <v>1</v>
      </c>
      <c r="J403">
        <f>_xlfn.XLOOKUP($A403,[1]Sheet1!$B$9:$B$2584,[1]Sheet1!$C$9:$C$2584,"N/A",0)</f>
        <v>97.67</v>
      </c>
      <c r="K403">
        <f>_xlfn.XLOOKUP($A403,[1]Sheet1!$E$9:$E$2584,[1]Sheet1!$F$9:$F$2584,"N/A",0)</f>
        <v>129.26</v>
      </c>
      <c r="L403">
        <f>_xlfn.XLOOKUP($A403,[1]Sheet1!$H$9:$H$2584,[1]Sheet1!$I$9:$I$2584,"N/A",0)</f>
        <v>100.4</v>
      </c>
      <c r="M403">
        <f>_xlfn.XLOOKUP($A403,[1]Sheet1!$K$9:$K$2584,[1]Sheet1!$L$9:$L$2584,"N/A",0)</f>
        <v>118.15</v>
      </c>
      <c r="N403">
        <f>_xlfn.XLOOKUP($A403,[1]Sheet1!$N$9:$N$2584,[1]Sheet1!$O$9:$O$2584,"N/A",0)</f>
        <v>97.85</v>
      </c>
      <c r="O403">
        <v>97.67</v>
      </c>
      <c r="P403">
        <v>129.26</v>
      </c>
      <c r="Q403">
        <v>100.4</v>
      </c>
      <c r="R403">
        <v>97.85</v>
      </c>
      <c r="S403">
        <v>118.15</v>
      </c>
    </row>
    <row r="404" spans="1:19">
      <c r="A404" s="1">
        <v>42954</v>
      </c>
      <c r="B404" t="s">
        <v>242</v>
      </c>
      <c r="C404" t="s">
        <v>252</v>
      </c>
      <c r="D404">
        <v>11.125</v>
      </c>
      <c r="E404">
        <v>12.575</v>
      </c>
      <c r="F404" s="2" t="s">
        <v>261</v>
      </c>
      <c r="G404">
        <f ca="1" t="shared" si="18"/>
        <v>1.52643053481751</v>
      </c>
      <c r="H404" t="str">
        <f ca="1" t="shared" si="19"/>
        <v>Risk-On</v>
      </c>
      <c r="I404">
        <f ca="1" t="shared" si="20"/>
        <v>1</v>
      </c>
      <c r="J404">
        <f>_xlfn.XLOOKUP($A404,[1]Sheet1!$B$9:$B$2584,[1]Sheet1!$C$9:$C$2584,"N/A",0)</f>
        <v>97.82</v>
      </c>
      <c r="K404">
        <f>_xlfn.XLOOKUP($A404,[1]Sheet1!$E$9:$E$2584,[1]Sheet1!$F$9:$F$2584,"N/A",0)</f>
        <v>129.79</v>
      </c>
      <c r="L404">
        <f>_xlfn.XLOOKUP($A404,[1]Sheet1!$H$9:$H$2584,[1]Sheet1!$I$9:$I$2584,"N/A",0)</f>
        <v>100.86</v>
      </c>
      <c r="M404">
        <f>_xlfn.XLOOKUP($A404,[1]Sheet1!$K$9:$K$2584,[1]Sheet1!$L$9:$L$2584,"N/A",0)</f>
        <v>118.56</v>
      </c>
      <c r="N404">
        <f>_xlfn.XLOOKUP($A404,[1]Sheet1!$N$9:$N$2584,[1]Sheet1!$O$9:$O$2584,"N/A",0)</f>
        <v>97.47</v>
      </c>
      <c r="O404">
        <v>97.82</v>
      </c>
      <c r="P404">
        <v>129.79</v>
      </c>
      <c r="Q404">
        <v>100.86</v>
      </c>
      <c r="R404">
        <v>97.47</v>
      </c>
      <c r="S404">
        <v>118.56</v>
      </c>
    </row>
    <row r="405" spans="1:19">
      <c r="A405" s="1">
        <v>42955</v>
      </c>
      <c r="B405" t="s">
        <v>242</v>
      </c>
      <c r="C405" t="s">
        <v>252</v>
      </c>
      <c r="D405">
        <v>11.525</v>
      </c>
      <c r="E405">
        <v>12.925</v>
      </c>
      <c r="F405" s="2" t="s">
        <v>262</v>
      </c>
      <c r="G405">
        <f ca="1" t="shared" si="18"/>
        <v>1.33472127258368</v>
      </c>
      <c r="H405" t="str">
        <f ca="1" t="shared" si="19"/>
        <v>Risk-On</v>
      </c>
      <c r="I405">
        <f ca="1" t="shared" si="20"/>
        <v>1</v>
      </c>
      <c r="J405">
        <f>_xlfn.XLOOKUP($A405,[1]Sheet1!$B$9:$B$2584,[1]Sheet1!$C$9:$C$2584,"N/A",0)</f>
        <v>97.28</v>
      </c>
      <c r="K405">
        <f>_xlfn.XLOOKUP($A405,[1]Sheet1!$E$9:$E$2584,[1]Sheet1!$F$9:$F$2584,"N/A",0)</f>
        <v>129.3</v>
      </c>
      <c r="L405">
        <f>_xlfn.XLOOKUP($A405,[1]Sheet1!$H$9:$H$2584,[1]Sheet1!$I$9:$I$2584,"N/A",0)</f>
        <v>100.77</v>
      </c>
      <c r="M405">
        <f>_xlfn.XLOOKUP($A405,[1]Sheet1!$K$9:$K$2584,[1]Sheet1!$L$9:$L$2584,"N/A",0)</f>
        <v>118.75</v>
      </c>
      <c r="N405">
        <f>_xlfn.XLOOKUP($A405,[1]Sheet1!$N$9:$N$2584,[1]Sheet1!$O$9:$O$2584,"N/A",0)</f>
        <v>97.44</v>
      </c>
      <c r="O405">
        <v>97.28</v>
      </c>
      <c r="P405">
        <v>129.3</v>
      </c>
      <c r="Q405">
        <v>100.77</v>
      </c>
      <c r="R405">
        <v>97.44</v>
      </c>
      <c r="S405">
        <v>118.75</v>
      </c>
    </row>
    <row r="406" spans="1:19">
      <c r="A406" s="1">
        <v>42956</v>
      </c>
      <c r="B406" t="s">
        <v>242</v>
      </c>
      <c r="C406" t="s">
        <v>252</v>
      </c>
      <c r="D406">
        <v>11.725</v>
      </c>
      <c r="E406">
        <v>13.075</v>
      </c>
      <c r="F406" s="2" t="s">
        <v>263</v>
      </c>
      <c r="G406">
        <f ca="1" t="shared" si="18"/>
        <v>1.19764668357583</v>
      </c>
      <c r="H406" t="str">
        <f ca="1" t="shared" si="19"/>
        <v>Risk-On</v>
      </c>
      <c r="I406">
        <f ca="1" t="shared" si="20"/>
        <v>1</v>
      </c>
      <c r="J406">
        <f>_xlfn.XLOOKUP($A406,[1]Sheet1!$B$9:$B$2584,[1]Sheet1!$C$9:$C$2584,"N/A",0)</f>
        <v>97.01</v>
      </c>
      <c r="K406">
        <f>_xlfn.XLOOKUP($A406,[1]Sheet1!$E$9:$E$2584,[1]Sheet1!$F$9:$F$2584,"N/A",0)</f>
        <v>129.36</v>
      </c>
      <c r="L406">
        <f>_xlfn.XLOOKUP($A406,[1]Sheet1!$H$9:$H$2584,[1]Sheet1!$I$9:$I$2584,"N/A",0)</f>
        <v>100.32</v>
      </c>
      <c r="M406">
        <f>_xlfn.XLOOKUP($A406,[1]Sheet1!$K$9:$K$2584,[1]Sheet1!$L$9:$L$2584,"N/A",0)</f>
        <v>118.79</v>
      </c>
      <c r="N406">
        <f>_xlfn.XLOOKUP($A406,[1]Sheet1!$N$9:$N$2584,[1]Sheet1!$O$9:$O$2584,"N/A",0)</f>
        <v>98.15</v>
      </c>
      <c r="O406">
        <v>97.01</v>
      </c>
      <c r="P406">
        <v>129.36</v>
      </c>
      <c r="Q406">
        <v>100.32</v>
      </c>
      <c r="R406">
        <v>98.15</v>
      </c>
      <c r="S406">
        <v>118.79</v>
      </c>
    </row>
    <row r="407" spans="1:19">
      <c r="A407" s="1">
        <v>42957</v>
      </c>
      <c r="B407" t="s">
        <v>242</v>
      </c>
      <c r="C407" t="s">
        <v>252</v>
      </c>
      <c r="D407">
        <v>15.525</v>
      </c>
      <c r="E407">
        <v>15.175</v>
      </c>
      <c r="F407">
        <v>-0.0225442834138486</v>
      </c>
      <c r="G407">
        <f ca="1" t="shared" si="18"/>
        <v>-1.7808017335738</v>
      </c>
      <c r="H407" t="str">
        <f ca="1" t="shared" si="19"/>
        <v>Risk-On</v>
      </c>
      <c r="I407">
        <f ca="1" t="shared" si="20"/>
        <v>1</v>
      </c>
      <c r="J407">
        <f>_xlfn.XLOOKUP($A407,[1]Sheet1!$B$9:$B$2584,[1]Sheet1!$C$9:$C$2584,"N/A",0)</f>
        <v>97.09</v>
      </c>
      <c r="K407">
        <f>_xlfn.XLOOKUP($A407,[1]Sheet1!$E$9:$E$2584,[1]Sheet1!$F$9:$F$2584,"N/A",0)</f>
        <v>128.94</v>
      </c>
      <c r="L407">
        <f>_xlfn.XLOOKUP($A407,[1]Sheet1!$H$9:$H$2584,[1]Sheet1!$I$9:$I$2584,"N/A",0)</f>
        <v>99.71</v>
      </c>
      <c r="M407">
        <f>_xlfn.XLOOKUP($A407,[1]Sheet1!$K$9:$K$2584,[1]Sheet1!$L$9:$L$2584,"N/A",0)</f>
        <v>118.1</v>
      </c>
      <c r="N407">
        <f>_xlfn.XLOOKUP($A407,[1]Sheet1!$N$9:$N$2584,[1]Sheet1!$O$9:$O$2584,"N/A",0)</f>
        <v>97.97</v>
      </c>
      <c r="O407">
        <v>97.09</v>
      </c>
      <c r="P407">
        <v>128.94</v>
      </c>
      <c r="Q407">
        <v>99.71</v>
      </c>
      <c r="R407">
        <v>97.97</v>
      </c>
      <c r="S407">
        <v>118.1</v>
      </c>
    </row>
    <row r="408" spans="1:19">
      <c r="A408" s="1">
        <v>42958</v>
      </c>
      <c r="B408" t="s">
        <v>242</v>
      </c>
      <c r="C408" t="s">
        <v>252</v>
      </c>
      <c r="D408">
        <v>15.425</v>
      </c>
      <c r="E408">
        <v>15.275</v>
      </c>
      <c r="F408">
        <v>-0.00972447325769856</v>
      </c>
      <c r="G408">
        <f ca="1" t="shared" si="18"/>
        <v>-1.4708330940049</v>
      </c>
      <c r="H408" t="str">
        <f ca="1" t="shared" si="19"/>
        <v>Risk-On</v>
      </c>
      <c r="I408">
        <f ca="1" t="shared" si="20"/>
        <v>1</v>
      </c>
      <c r="J408">
        <f>_xlfn.XLOOKUP($A408,[1]Sheet1!$B$9:$B$2584,[1]Sheet1!$C$9:$C$2584,"N/A",0)</f>
        <v>97.18</v>
      </c>
      <c r="K408">
        <f>_xlfn.XLOOKUP($A408,[1]Sheet1!$E$9:$E$2584,[1]Sheet1!$F$9:$F$2584,"N/A",0)</f>
        <v>129.28</v>
      </c>
      <c r="L408">
        <f>_xlfn.XLOOKUP($A408,[1]Sheet1!$H$9:$H$2584,[1]Sheet1!$I$9:$I$2584,"N/A",0)</f>
        <v>99.56</v>
      </c>
      <c r="M408">
        <f>_xlfn.XLOOKUP($A408,[1]Sheet1!$K$9:$K$2584,[1]Sheet1!$L$9:$L$2584,"N/A",0)</f>
        <v>118.14</v>
      </c>
      <c r="N408">
        <f>_xlfn.XLOOKUP($A408,[1]Sheet1!$N$9:$N$2584,[1]Sheet1!$O$9:$O$2584,"N/A",0)</f>
        <v>97.63</v>
      </c>
      <c r="O408">
        <v>97.18</v>
      </c>
      <c r="P408">
        <v>129.28</v>
      </c>
      <c r="Q408">
        <v>99.56</v>
      </c>
      <c r="R408">
        <v>97.63</v>
      </c>
      <c r="S408">
        <v>118.14</v>
      </c>
    </row>
    <row r="409" spans="1:19">
      <c r="A409" s="1">
        <v>42961</v>
      </c>
      <c r="B409" t="s">
        <v>242</v>
      </c>
      <c r="C409" t="s">
        <v>252</v>
      </c>
      <c r="D409">
        <v>12.45</v>
      </c>
      <c r="E409">
        <v>13.175</v>
      </c>
      <c r="F409">
        <v>0.0582329317269077</v>
      </c>
      <c r="G409">
        <f ca="1" t="shared" si="18"/>
        <v>0.0273070135337074</v>
      </c>
      <c r="H409" t="str">
        <f ca="1" t="shared" si="19"/>
        <v>Risk-On</v>
      </c>
      <c r="I409">
        <f ca="1" t="shared" si="20"/>
        <v>1</v>
      </c>
      <c r="J409">
        <f>_xlfn.XLOOKUP($A409,[1]Sheet1!$B$9:$B$2584,[1]Sheet1!$C$9:$C$2584,"N/A",0)</f>
        <v>97.19</v>
      </c>
      <c r="K409">
        <f>_xlfn.XLOOKUP($A409,[1]Sheet1!$E$9:$E$2584,[1]Sheet1!$F$9:$F$2584,"N/A",0)</f>
        <v>130.36</v>
      </c>
      <c r="L409">
        <f>_xlfn.XLOOKUP($A409,[1]Sheet1!$H$9:$H$2584,[1]Sheet1!$I$9:$I$2584,"N/A",0)</f>
        <v>99.53</v>
      </c>
      <c r="M409">
        <f>_xlfn.XLOOKUP($A409,[1]Sheet1!$K$9:$K$2584,[1]Sheet1!$L$9:$L$2584,"N/A",0)</f>
        <v>118.24</v>
      </c>
      <c r="N409">
        <f>_xlfn.XLOOKUP($A409,[1]Sheet1!$N$9:$N$2584,[1]Sheet1!$O$9:$O$2584,"N/A",0)</f>
        <v>97.64</v>
      </c>
      <c r="O409">
        <v>97.19</v>
      </c>
      <c r="P409">
        <v>130.36</v>
      </c>
      <c r="Q409">
        <v>99.53</v>
      </c>
      <c r="R409">
        <v>97.64</v>
      </c>
      <c r="S409">
        <v>118.24</v>
      </c>
    </row>
    <row r="410" spans="1:19">
      <c r="A410" s="1">
        <v>42962</v>
      </c>
      <c r="B410" t="s">
        <v>242</v>
      </c>
      <c r="C410" t="s">
        <v>252</v>
      </c>
      <c r="D410">
        <v>12.325</v>
      </c>
      <c r="E410">
        <v>13.175</v>
      </c>
      <c r="F410">
        <v>0.0689655172413794</v>
      </c>
      <c r="G410">
        <f ca="1" t="shared" si="18"/>
        <v>0.26566065135019</v>
      </c>
      <c r="H410" t="str">
        <f ca="1" t="shared" si="19"/>
        <v>Risk-On</v>
      </c>
      <c r="I410">
        <f ca="1" t="shared" si="20"/>
        <v>1</v>
      </c>
      <c r="J410">
        <f>_xlfn.XLOOKUP($A410,[1]Sheet1!$B$9:$B$2584,[1]Sheet1!$C$9:$C$2584,"N/A",0)</f>
        <v>97.45</v>
      </c>
      <c r="K410">
        <f>_xlfn.XLOOKUP($A410,[1]Sheet1!$E$9:$E$2584,[1]Sheet1!$F$9:$F$2584,"N/A",0)</f>
        <v>131.89</v>
      </c>
      <c r="L410">
        <f>_xlfn.XLOOKUP($A410,[1]Sheet1!$H$9:$H$2584,[1]Sheet1!$I$9:$I$2584,"N/A",0)</f>
        <v>98.95</v>
      </c>
      <c r="M410">
        <f>_xlfn.XLOOKUP($A410,[1]Sheet1!$K$9:$K$2584,[1]Sheet1!$L$9:$L$2584,"N/A",0)</f>
        <v>117.84</v>
      </c>
      <c r="N410">
        <f>_xlfn.XLOOKUP($A410,[1]Sheet1!$N$9:$N$2584,[1]Sheet1!$O$9:$O$2584,"N/A",0)</f>
        <v>98.35</v>
      </c>
      <c r="O410">
        <v>97.45</v>
      </c>
      <c r="P410">
        <v>131.89</v>
      </c>
      <c r="Q410">
        <v>98.95</v>
      </c>
      <c r="R410">
        <v>98.35</v>
      </c>
      <c r="S410">
        <v>117.84</v>
      </c>
    </row>
    <row r="411" spans="1:19">
      <c r="A411" s="1">
        <v>42963</v>
      </c>
      <c r="B411" t="s">
        <v>242</v>
      </c>
      <c r="C411" t="s">
        <v>252</v>
      </c>
      <c r="D411">
        <v>12.95</v>
      </c>
      <c r="E411">
        <v>13.075</v>
      </c>
      <c r="F411">
        <v>0.00965250965250965</v>
      </c>
      <c r="G411">
        <f ca="1" t="shared" si="18"/>
        <v>-1.05958637740359</v>
      </c>
      <c r="H411" t="str">
        <f ca="1" t="shared" si="19"/>
        <v>Risk-On</v>
      </c>
      <c r="I411">
        <f ca="1" t="shared" si="20"/>
        <v>1</v>
      </c>
      <c r="J411">
        <f>_xlfn.XLOOKUP($A411,[1]Sheet1!$B$9:$B$2584,[1]Sheet1!$C$9:$C$2584,"N/A",0)</f>
        <v>97.49</v>
      </c>
      <c r="K411">
        <f>_xlfn.XLOOKUP($A411,[1]Sheet1!$E$9:$E$2584,[1]Sheet1!$F$9:$F$2584,"N/A",0)</f>
        <v>131.49</v>
      </c>
      <c r="L411">
        <f>_xlfn.XLOOKUP($A411,[1]Sheet1!$H$9:$H$2584,[1]Sheet1!$I$9:$I$2584,"N/A",0)</f>
        <v>99.18</v>
      </c>
      <c r="M411">
        <f>_xlfn.XLOOKUP($A411,[1]Sheet1!$K$9:$K$2584,[1]Sheet1!$L$9:$L$2584,"N/A",0)</f>
        <v>117.8</v>
      </c>
      <c r="N411">
        <f>_xlfn.XLOOKUP($A411,[1]Sheet1!$N$9:$N$2584,[1]Sheet1!$O$9:$O$2584,"N/A",0)</f>
        <v>98.42</v>
      </c>
      <c r="O411">
        <v>97.49</v>
      </c>
      <c r="P411">
        <v>131.49</v>
      </c>
      <c r="Q411">
        <v>99.18</v>
      </c>
      <c r="R411">
        <v>98.42</v>
      </c>
      <c r="S411">
        <v>117.8</v>
      </c>
    </row>
    <row r="412" spans="1:19">
      <c r="A412" s="1">
        <v>42964</v>
      </c>
      <c r="B412" t="s">
        <v>252</v>
      </c>
      <c r="C412" t="s">
        <v>264</v>
      </c>
      <c r="D412">
        <v>14.925</v>
      </c>
      <c r="E412">
        <v>15.025</v>
      </c>
      <c r="F412">
        <v>0.00670016750418758</v>
      </c>
      <c r="G412">
        <f ca="1" t="shared" si="18"/>
        <v>-1.11489315749653</v>
      </c>
      <c r="H412" t="str">
        <f ca="1" t="shared" si="19"/>
        <v>Risk-On</v>
      </c>
      <c r="I412">
        <f ca="1" t="shared" si="20"/>
        <v>1</v>
      </c>
      <c r="J412">
        <f>_xlfn.XLOOKUP($A412,[1]Sheet1!$B$9:$B$2584,[1]Sheet1!$C$9:$C$2584,"N/A",0)</f>
        <v>97.27</v>
      </c>
      <c r="K412">
        <f>_xlfn.XLOOKUP($A412,[1]Sheet1!$E$9:$E$2584,[1]Sheet1!$F$9:$F$2584,"N/A",0)</f>
        <v>130.7</v>
      </c>
      <c r="L412">
        <f>_xlfn.XLOOKUP($A412,[1]Sheet1!$H$9:$H$2584,[1]Sheet1!$I$9:$I$2584,"N/A",0)</f>
        <v>98.94</v>
      </c>
      <c r="M412">
        <f>_xlfn.XLOOKUP($A412,[1]Sheet1!$K$9:$K$2584,[1]Sheet1!$L$9:$L$2584,"N/A",0)</f>
        <v>117.86</v>
      </c>
      <c r="N412">
        <f>_xlfn.XLOOKUP($A412,[1]Sheet1!$N$9:$N$2584,[1]Sheet1!$O$9:$O$2584,"N/A",0)</f>
        <v>98.25</v>
      </c>
      <c r="O412">
        <v>97.27</v>
      </c>
      <c r="P412">
        <v>130.7</v>
      </c>
      <c r="Q412">
        <v>98.94</v>
      </c>
      <c r="R412">
        <v>98.25</v>
      </c>
      <c r="S412">
        <v>117.86</v>
      </c>
    </row>
    <row r="413" spans="1:19">
      <c r="A413" s="1">
        <v>42965</v>
      </c>
      <c r="B413" t="s">
        <v>252</v>
      </c>
      <c r="C413" t="s">
        <v>264</v>
      </c>
      <c r="D413">
        <v>14.975</v>
      </c>
      <c r="E413">
        <v>15.125</v>
      </c>
      <c r="F413" s="2" t="s">
        <v>265</v>
      </c>
      <c r="G413">
        <f ca="1" t="shared" si="18"/>
        <v>-1.02936344004737</v>
      </c>
      <c r="H413" t="str">
        <f ca="1" t="shared" si="19"/>
        <v>Risk-On</v>
      </c>
      <c r="I413">
        <f ca="1" t="shared" si="20"/>
        <v>1</v>
      </c>
      <c r="J413">
        <f>_xlfn.XLOOKUP($A413,[1]Sheet1!$B$9:$B$2584,[1]Sheet1!$C$9:$C$2584,"N/A",0)</f>
        <v>97.31</v>
      </c>
      <c r="K413">
        <f>_xlfn.XLOOKUP($A413,[1]Sheet1!$E$9:$E$2584,[1]Sheet1!$F$9:$F$2584,"N/A",0)</f>
        <v>131.56</v>
      </c>
      <c r="L413">
        <f>_xlfn.XLOOKUP($A413,[1]Sheet1!$H$9:$H$2584,[1]Sheet1!$I$9:$I$2584,"N/A",0)</f>
        <v>98.29</v>
      </c>
      <c r="M413">
        <f>_xlfn.XLOOKUP($A413,[1]Sheet1!$K$9:$K$2584,[1]Sheet1!$L$9:$L$2584,"N/A",0)</f>
        <v>118.18</v>
      </c>
      <c r="N413">
        <f>_xlfn.XLOOKUP($A413,[1]Sheet1!$N$9:$N$2584,[1]Sheet1!$O$9:$O$2584,"N/A",0)</f>
        <v>98.15</v>
      </c>
      <c r="O413">
        <v>97.31</v>
      </c>
      <c r="P413">
        <v>131.56</v>
      </c>
      <c r="Q413">
        <v>98.29</v>
      </c>
      <c r="R413">
        <v>98.15</v>
      </c>
      <c r="S413">
        <v>118.18</v>
      </c>
    </row>
    <row r="414" spans="1:19">
      <c r="A414" s="1">
        <v>42968</v>
      </c>
      <c r="B414" t="s">
        <v>252</v>
      </c>
      <c r="C414" t="s">
        <v>264</v>
      </c>
      <c r="D414">
        <v>14.125</v>
      </c>
      <c r="E414">
        <v>14.625</v>
      </c>
      <c r="F414" s="2" t="s">
        <v>266</v>
      </c>
      <c r="G414">
        <f ca="1" t="shared" si="18"/>
        <v>-0.451672803434529</v>
      </c>
      <c r="H414" t="str">
        <f ca="1" t="shared" si="19"/>
        <v>Risk-On</v>
      </c>
      <c r="I414">
        <f ca="1" t="shared" si="20"/>
        <v>1</v>
      </c>
      <c r="J414">
        <f>_xlfn.XLOOKUP($A414,[1]Sheet1!$B$9:$B$2584,[1]Sheet1!$C$9:$C$2584,"N/A",0)</f>
        <v>97.45</v>
      </c>
      <c r="K414">
        <f>_xlfn.XLOOKUP($A414,[1]Sheet1!$E$9:$E$2584,[1]Sheet1!$F$9:$F$2584,"N/A",0)</f>
        <v>131.68</v>
      </c>
      <c r="L414">
        <f>_xlfn.XLOOKUP($A414,[1]Sheet1!$H$9:$H$2584,[1]Sheet1!$I$9:$I$2584,"N/A",0)</f>
        <v>98.17</v>
      </c>
      <c r="M414">
        <f>_xlfn.XLOOKUP($A414,[1]Sheet1!$K$9:$K$2584,[1]Sheet1!$L$9:$L$2584,"N/A",0)</f>
        <v>117.92</v>
      </c>
      <c r="N414">
        <f>_xlfn.XLOOKUP($A414,[1]Sheet1!$N$9:$N$2584,[1]Sheet1!$O$9:$O$2584,"N/A",0)</f>
        <v>98.36</v>
      </c>
      <c r="O414">
        <v>97.45</v>
      </c>
      <c r="P414">
        <v>131.68</v>
      </c>
      <c r="Q414">
        <v>98.17</v>
      </c>
      <c r="R414">
        <v>98.36</v>
      </c>
      <c r="S414">
        <v>117.92</v>
      </c>
    </row>
    <row r="415" spans="1:19">
      <c r="A415" s="1">
        <v>42969</v>
      </c>
      <c r="B415" t="s">
        <v>252</v>
      </c>
      <c r="C415" t="s">
        <v>264</v>
      </c>
      <c r="D415">
        <v>12.975</v>
      </c>
      <c r="E415">
        <v>13.675</v>
      </c>
      <c r="F415">
        <v>0.0539499036608864</v>
      </c>
      <c r="G415">
        <f ca="1" t="shared" si="18"/>
        <v>-0.0336772572416686</v>
      </c>
      <c r="H415" t="str">
        <f ca="1" t="shared" si="19"/>
        <v>Risk-On</v>
      </c>
      <c r="I415">
        <f ca="1" t="shared" si="20"/>
        <v>1</v>
      </c>
      <c r="J415">
        <f>_xlfn.XLOOKUP($A415,[1]Sheet1!$B$9:$B$2584,[1]Sheet1!$C$9:$C$2584,"N/A",0)</f>
        <v>97.56</v>
      </c>
      <c r="K415">
        <f>_xlfn.XLOOKUP($A415,[1]Sheet1!$E$9:$E$2584,[1]Sheet1!$F$9:$F$2584,"N/A",0)</f>
        <v>132.26</v>
      </c>
      <c r="L415">
        <f>_xlfn.XLOOKUP($A415,[1]Sheet1!$H$9:$H$2584,[1]Sheet1!$I$9:$I$2584,"N/A",0)</f>
        <v>98.34</v>
      </c>
      <c r="M415">
        <f>_xlfn.XLOOKUP($A415,[1]Sheet1!$K$9:$K$2584,[1]Sheet1!$L$9:$L$2584,"N/A",0)</f>
        <v>118.52</v>
      </c>
      <c r="N415">
        <f>_xlfn.XLOOKUP($A415,[1]Sheet1!$N$9:$N$2584,[1]Sheet1!$O$9:$O$2584,"N/A",0)</f>
        <v>98.6</v>
      </c>
      <c r="O415">
        <v>97.56</v>
      </c>
      <c r="P415">
        <v>132.26</v>
      </c>
      <c r="Q415">
        <v>98.34</v>
      </c>
      <c r="R415">
        <v>98.6</v>
      </c>
      <c r="S415">
        <v>118.52</v>
      </c>
    </row>
    <row r="416" spans="1:19">
      <c r="A416" s="1">
        <v>42970</v>
      </c>
      <c r="B416" t="s">
        <v>252</v>
      </c>
      <c r="C416" t="s">
        <v>264</v>
      </c>
      <c r="D416">
        <v>13.625</v>
      </c>
      <c r="E416">
        <v>14.225</v>
      </c>
      <c r="F416">
        <v>0.0440366972477064</v>
      </c>
      <c r="G416">
        <f ca="1" t="shared" si="18"/>
        <v>-0.25793933692907</v>
      </c>
      <c r="H416" t="str">
        <f ca="1" t="shared" si="19"/>
        <v>Risk-On</v>
      </c>
      <c r="I416">
        <f ca="1" t="shared" si="20"/>
        <v>1</v>
      </c>
      <c r="J416">
        <f>_xlfn.XLOOKUP($A416,[1]Sheet1!$B$9:$B$2584,[1]Sheet1!$C$9:$C$2584,"N/A",0)</f>
        <v>97.47</v>
      </c>
      <c r="K416">
        <f>_xlfn.XLOOKUP($A416,[1]Sheet1!$E$9:$E$2584,[1]Sheet1!$F$9:$F$2584,"N/A",0)</f>
        <v>131.96</v>
      </c>
      <c r="L416">
        <f>_xlfn.XLOOKUP($A416,[1]Sheet1!$H$9:$H$2584,[1]Sheet1!$I$9:$I$2584,"N/A",0)</f>
        <v>98.4</v>
      </c>
      <c r="M416">
        <f>_xlfn.XLOOKUP($A416,[1]Sheet1!$K$9:$K$2584,[1]Sheet1!$L$9:$L$2584,"N/A",0)</f>
        <v>117.96</v>
      </c>
      <c r="N416">
        <f>_xlfn.XLOOKUP($A416,[1]Sheet1!$N$9:$N$2584,[1]Sheet1!$O$9:$O$2584,"N/A",0)</f>
        <v>98.48</v>
      </c>
      <c r="O416">
        <v>97.47</v>
      </c>
      <c r="P416">
        <v>131.96</v>
      </c>
      <c r="Q416">
        <v>98.4</v>
      </c>
      <c r="R416">
        <v>98.48</v>
      </c>
      <c r="S416">
        <v>117.96</v>
      </c>
    </row>
    <row r="417" spans="1:19">
      <c r="A417" s="1">
        <v>42971</v>
      </c>
      <c r="B417" t="s">
        <v>252</v>
      </c>
      <c r="C417" t="s">
        <v>264</v>
      </c>
      <c r="D417">
        <v>13.425</v>
      </c>
      <c r="E417">
        <v>14.125</v>
      </c>
      <c r="F417">
        <v>0.0521415270018621</v>
      </c>
      <c r="G417">
        <f ca="1" t="shared" si="18"/>
        <v>-0.0723877991117853</v>
      </c>
      <c r="H417" t="str">
        <f ca="1" t="shared" si="19"/>
        <v>Risk-On</v>
      </c>
      <c r="I417">
        <f ca="1" t="shared" si="20"/>
        <v>1</v>
      </c>
      <c r="J417">
        <f>_xlfn.XLOOKUP($A417,[1]Sheet1!$B$9:$B$2584,[1]Sheet1!$C$9:$C$2584,"N/A",0)</f>
        <v>97.37</v>
      </c>
      <c r="K417">
        <f>_xlfn.XLOOKUP($A417,[1]Sheet1!$E$9:$E$2584,[1]Sheet1!$F$9:$F$2584,"N/A",0)</f>
        <v>131.99</v>
      </c>
      <c r="L417">
        <f>_xlfn.XLOOKUP($A417,[1]Sheet1!$H$9:$H$2584,[1]Sheet1!$I$9:$I$2584,"N/A",0)</f>
        <v>98.64</v>
      </c>
      <c r="M417">
        <f>_xlfn.XLOOKUP($A417,[1]Sheet1!$K$9:$K$2584,[1]Sheet1!$L$9:$L$2584,"N/A",0)</f>
        <v>117.87</v>
      </c>
      <c r="N417">
        <f>_xlfn.XLOOKUP($A417,[1]Sheet1!$N$9:$N$2584,[1]Sheet1!$O$9:$O$2584,"N/A",0)</f>
        <v>98.21</v>
      </c>
      <c r="O417">
        <v>97.37</v>
      </c>
      <c r="P417">
        <v>131.99</v>
      </c>
      <c r="Q417">
        <v>98.64</v>
      </c>
      <c r="R417">
        <v>98.21</v>
      </c>
      <c r="S417">
        <v>117.87</v>
      </c>
    </row>
    <row r="418" spans="1:19">
      <c r="A418" s="1">
        <v>42972</v>
      </c>
      <c r="B418" t="s">
        <v>252</v>
      </c>
      <c r="C418" t="s">
        <v>264</v>
      </c>
      <c r="D418">
        <v>13.075</v>
      </c>
      <c r="E418">
        <v>14.025</v>
      </c>
      <c r="F418">
        <v>0.0726577437858509</v>
      </c>
      <c r="G418">
        <f ca="1" t="shared" si="18"/>
        <v>0.396600795472464</v>
      </c>
      <c r="H418" t="str">
        <f ca="1" t="shared" si="19"/>
        <v>Risk-On</v>
      </c>
      <c r="I418">
        <f ca="1" t="shared" si="20"/>
        <v>1</v>
      </c>
      <c r="J418">
        <f>_xlfn.XLOOKUP($A418,[1]Sheet1!$B$9:$B$2584,[1]Sheet1!$C$9:$C$2584,"N/A",0)</f>
        <v>97.15</v>
      </c>
      <c r="K418">
        <f>_xlfn.XLOOKUP($A418,[1]Sheet1!$E$9:$E$2584,[1]Sheet1!$F$9:$F$2584,"N/A",0)</f>
        <v>131.04</v>
      </c>
      <c r="L418">
        <f>_xlfn.XLOOKUP($A418,[1]Sheet1!$H$9:$H$2584,[1]Sheet1!$I$9:$I$2584,"N/A",0)</f>
        <v>99.01</v>
      </c>
      <c r="M418">
        <f>_xlfn.XLOOKUP($A418,[1]Sheet1!$K$9:$K$2584,[1]Sheet1!$L$9:$L$2584,"N/A",0)</f>
        <v>117.84</v>
      </c>
      <c r="N418">
        <f>_xlfn.XLOOKUP($A418,[1]Sheet1!$N$9:$N$2584,[1]Sheet1!$O$9:$O$2584,"N/A",0)</f>
        <v>98.1</v>
      </c>
      <c r="O418">
        <v>97.15</v>
      </c>
      <c r="P418">
        <v>131.04</v>
      </c>
      <c r="Q418">
        <v>99.01</v>
      </c>
      <c r="R418">
        <v>98.1</v>
      </c>
      <c r="S418">
        <v>117.84</v>
      </c>
    </row>
    <row r="419" spans="1:19">
      <c r="A419" s="1">
        <v>42975</v>
      </c>
      <c r="B419" t="s">
        <v>252</v>
      </c>
      <c r="C419" t="s">
        <v>264</v>
      </c>
      <c r="D419">
        <v>13.025</v>
      </c>
      <c r="E419">
        <v>13.925</v>
      </c>
      <c r="F419">
        <v>0.0690978886756238</v>
      </c>
      <c r="G419">
        <f ca="1" t="shared" si="18"/>
        <v>0.312890592399579</v>
      </c>
      <c r="H419" t="str">
        <f ca="1" t="shared" si="19"/>
        <v>Risk-On</v>
      </c>
      <c r="I419">
        <f ca="1" t="shared" si="20"/>
        <v>1</v>
      </c>
      <c r="J419">
        <f>_xlfn.XLOOKUP($A419,[1]Sheet1!$B$9:$B$2584,[1]Sheet1!$C$9:$C$2584,"N/A",0)</f>
        <v>96.96</v>
      </c>
      <c r="K419">
        <f>_xlfn.XLOOKUP($A419,[1]Sheet1!$E$9:$E$2584,[1]Sheet1!$F$9:$F$2584,"N/A",0)</f>
        <v>131.34</v>
      </c>
      <c r="L419">
        <f>_xlfn.XLOOKUP($A419,[1]Sheet1!$H$9:$H$2584,[1]Sheet1!$I$9:$I$2584,"N/A",0)</f>
        <v>99.38</v>
      </c>
      <c r="M419">
        <f>_xlfn.XLOOKUP($A419,[1]Sheet1!$K$9:$K$2584,[1]Sheet1!$L$9:$L$2584,"N/A",0)</f>
        <v>117.69</v>
      </c>
      <c r="N419">
        <f>_xlfn.XLOOKUP($A419,[1]Sheet1!$N$9:$N$2584,[1]Sheet1!$O$9:$O$2584,"N/A",0)</f>
        <v>97.9</v>
      </c>
      <c r="O419">
        <v>96.96</v>
      </c>
      <c r="P419">
        <v>131.34</v>
      </c>
      <c r="Q419">
        <v>99.38</v>
      </c>
      <c r="R419">
        <v>97.9</v>
      </c>
      <c r="S419">
        <v>117.69</v>
      </c>
    </row>
    <row r="420" spans="1:19">
      <c r="A420" s="1">
        <v>42976</v>
      </c>
      <c r="B420" t="s">
        <v>252</v>
      </c>
      <c r="C420" t="s">
        <v>264</v>
      </c>
      <c r="D420">
        <v>13.175</v>
      </c>
      <c r="E420">
        <v>14.025</v>
      </c>
      <c r="F420">
        <v>0.064516129032258</v>
      </c>
      <c r="G420">
        <f ca="1" t="shared" si="18"/>
        <v>0.205848463179834</v>
      </c>
      <c r="H420" t="str">
        <f ca="1" t="shared" si="19"/>
        <v>Risk-On</v>
      </c>
      <c r="I420">
        <f ca="1" t="shared" si="20"/>
        <v>1</v>
      </c>
      <c r="J420">
        <f>_xlfn.XLOOKUP($A420,[1]Sheet1!$B$9:$B$2584,[1]Sheet1!$C$9:$C$2584,"N/A",0)</f>
        <v>97.23</v>
      </c>
      <c r="K420">
        <f>_xlfn.XLOOKUP($A420,[1]Sheet1!$E$9:$E$2584,[1]Sheet1!$F$9:$F$2584,"N/A",0)</f>
        <v>131.23</v>
      </c>
      <c r="L420">
        <f>_xlfn.XLOOKUP($A420,[1]Sheet1!$H$9:$H$2584,[1]Sheet1!$I$9:$I$2584,"N/A",0)</f>
        <v>99.39</v>
      </c>
      <c r="M420">
        <f>_xlfn.XLOOKUP($A420,[1]Sheet1!$K$9:$K$2584,[1]Sheet1!$L$9:$L$2584,"N/A",0)</f>
        <v>117.48</v>
      </c>
      <c r="N420">
        <f>_xlfn.XLOOKUP($A420,[1]Sheet1!$N$9:$N$2584,[1]Sheet1!$O$9:$O$2584,"N/A",0)</f>
        <v>97.84</v>
      </c>
      <c r="O420">
        <v>97.23</v>
      </c>
      <c r="P420">
        <v>131.23</v>
      </c>
      <c r="Q420">
        <v>99.39</v>
      </c>
      <c r="R420">
        <v>97.84</v>
      </c>
      <c r="S420">
        <v>117.48</v>
      </c>
    </row>
    <row r="421" spans="1:19">
      <c r="A421" s="1">
        <v>42977</v>
      </c>
      <c r="B421" t="s">
        <v>252</v>
      </c>
      <c r="C421" t="s">
        <v>264</v>
      </c>
      <c r="D421">
        <v>13.175</v>
      </c>
      <c r="E421">
        <v>14.075</v>
      </c>
      <c r="F421">
        <v>0.0683111954459202</v>
      </c>
      <c r="G421">
        <f ca="1" t="shared" si="18"/>
        <v>0.292664946604956</v>
      </c>
      <c r="H421" t="str">
        <f ca="1" t="shared" si="19"/>
        <v>Risk-On</v>
      </c>
      <c r="I421">
        <f ca="1" t="shared" si="20"/>
        <v>1</v>
      </c>
      <c r="J421">
        <f>_xlfn.XLOOKUP($A421,[1]Sheet1!$B$9:$B$2584,[1]Sheet1!$C$9:$C$2584,"N/A",0)</f>
        <v>97.44</v>
      </c>
      <c r="K421">
        <f>_xlfn.XLOOKUP($A421,[1]Sheet1!$E$9:$E$2584,[1]Sheet1!$F$9:$F$2584,"N/A",0)</f>
        <v>132.02</v>
      </c>
      <c r="L421">
        <f>_xlfn.XLOOKUP($A421,[1]Sheet1!$H$9:$H$2584,[1]Sheet1!$I$9:$I$2584,"N/A",0)</f>
        <v>99.06</v>
      </c>
      <c r="M421">
        <f>_xlfn.XLOOKUP($A421,[1]Sheet1!$K$9:$K$2584,[1]Sheet1!$L$9:$L$2584,"N/A",0)</f>
        <v>117.53</v>
      </c>
      <c r="N421">
        <f>_xlfn.XLOOKUP($A421,[1]Sheet1!$N$9:$N$2584,[1]Sheet1!$O$9:$O$2584,"N/A",0)</f>
        <v>97.93</v>
      </c>
      <c r="O421">
        <v>97.44</v>
      </c>
      <c r="P421">
        <v>132.02</v>
      </c>
      <c r="Q421">
        <v>99.06</v>
      </c>
      <c r="R421">
        <v>97.93</v>
      </c>
      <c r="S421">
        <v>117.53</v>
      </c>
    </row>
    <row r="422" spans="1:19">
      <c r="A422" s="1">
        <v>42978</v>
      </c>
      <c r="B422" t="s">
        <v>252</v>
      </c>
      <c r="C422" t="s">
        <v>264</v>
      </c>
      <c r="D422">
        <v>12.625</v>
      </c>
      <c r="E422">
        <v>13.725</v>
      </c>
      <c r="F422">
        <v>0.0871287128712871</v>
      </c>
      <c r="G422">
        <f ca="1" t="shared" si="18"/>
        <v>0.728247937443816</v>
      </c>
      <c r="H422" t="str">
        <f ca="1" t="shared" si="19"/>
        <v>Risk-On</v>
      </c>
      <c r="I422">
        <f ca="1" t="shared" si="20"/>
        <v>1</v>
      </c>
      <c r="J422">
        <f>_xlfn.XLOOKUP($A422,[1]Sheet1!$B$9:$B$2584,[1]Sheet1!$C$9:$C$2584,"N/A",0)</f>
        <v>97.43</v>
      </c>
      <c r="K422">
        <f>_xlfn.XLOOKUP($A422,[1]Sheet1!$E$9:$E$2584,[1]Sheet1!$F$9:$F$2584,"N/A",0)</f>
        <v>131.77</v>
      </c>
      <c r="L422">
        <f>_xlfn.XLOOKUP($A422,[1]Sheet1!$H$9:$H$2584,[1]Sheet1!$I$9:$I$2584,"N/A",0)</f>
        <v>99.14</v>
      </c>
      <c r="M422">
        <f>_xlfn.XLOOKUP($A422,[1]Sheet1!$K$9:$K$2584,[1]Sheet1!$L$9:$L$2584,"N/A",0)</f>
        <v>117.54</v>
      </c>
      <c r="N422">
        <f>_xlfn.XLOOKUP($A422,[1]Sheet1!$N$9:$N$2584,[1]Sheet1!$O$9:$O$2584,"N/A",0)</f>
        <v>97.8</v>
      </c>
      <c r="O422">
        <v>97.43</v>
      </c>
      <c r="P422">
        <v>131.77</v>
      </c>
      <c r="Q422">
        <v>99.14</v>
      </c>
      <c r="R422">
        <v>97.8</v>
      </c>
      <c r="S422">
        <v>117.54</v>
      </c>
    </row>
    <row r="423" spans="1:19">
      <c r="A423" s="1">
        <v>42979</v>
      </c>
      <c r="B423" t="s">
        <v>252</v>
      </c>
      <c r="C423" t="s">
        <v>264</v>
      </c>
      <c r="D423">
        <v>12.625</v>
      </c>
      <c r="E423">
        <v>13.775</v>
      </c>
      <c r="F423">
        <v>0.0910891089108911</v>
      </c>
      <c r="G423">
        <f ca="1" t="shared" si="18"/>
        <v>0.815541537481326</v>
      </c>
      <c r="H423" t="str">
        <f ca="1" t="shared" si="19"/>
        <v>Risk-On</v>
      </c>
      <c r="I423">
        <f ca="1" t="shared" si="20"/>
        <v>1</v>
      </c>
      <c r="J423">
        <f>_xlfn.XLOOKUP($A423,[1]Sheet1!$B$9:$B$2584,[1]Sheet1!$C$9:$C$2584,"N/A",0)</f>
        <v>97.3</v>
      </c>
      <c r="K423">
        <f>_xlfn.XLOOKUP($A423,[1]Sheet1!$E$9:$E$2584,[1]Sheet1!$F$9:$F$2584,"N/A",0)</f>
        <v>131.15</v>
      </c>
      <c r="L423">
        <f>_xlfn.XLOOKUP($A423,[1]Sheet1!$H$9:$H$2584,[1]Sheet1!$I$9:$I$2584,"N/A",0)</f>
        <v>99.62</v>
      </c>
      <c r="M423">
        <f>_xlfn.XLOOKUP($A423,[1]Sheet1!$K$9:$K$2584,[1]Sheet1!$L$9:$L$2584,"N/A",0)</f>
        <v>117.22</v>
      </c>
      <c r="N423">
        <f>_xlfn.XLOOKUP($A423,[1]Sheet1!$N$9:$N$2584,[1]Sheet1!$O$9:$O$2584,"N/A",0)</f>
        <v>97.56</v>
      </c>
      <c r="O423">
        <v>97.3</v>
      </c>
      <c r="P423">
        <v>131.15</v>
      </c>
      <c r="Q423">
        <v>99.62</v>
      </c>
      <c r="R423">
        <v>97.56</v>
      </c>
      <c r="S423">
        <v>117.22</v>
      </c>
    </row>
    <row r="424" spans="1:19">
      <c r="A424" s="1">
        <v>42983</v>
      </c>
      <c r="B424" t="s">
        <v>252</v>
      </c>
      <c r="C424" t="s">
        <v>264</v>
      </c>
      <c r="D424">
        <v>13.175</v>
      </c>
      <c r="E424">
        <v>14.025</v>
      </c>
      <c r="F424">
        <v>0.064516129032258</v>
      </c>
      <c r="G424">
        <f ca="1" t="shared" si="18"/>
        <v>0.190357332790982</v>
      </c>
      <c r="H424" t="str">
        <f ca="1" t="shared" si="19"/>
        <v>Risk-On</v>
      </c>
      <c r="I424">
        <f ca="1" t="shared" si="20"/>
        <v>1</v>
      </c>
      <c r="J424">
        <f>_xlfn.XLOOKUP($A424,[1]Sheet1!$B$9:$B$2584,[1]Sheet1!$C$9:$C$2584,"N/A",0)</f>
        <v>97.02</v>
      </c>
      <c r="K424">
        <f>_xlfn.XLOOKUP($A424,[1]Sheet1!$E$9:$E$2584,[1]Sheet1!$F$9:$F$2584,"N/A",0)</f>
        <v>130.47</v>
      </c>
      <c r="L424">
        <f>_xlfn.XLOOKUP($A424,[1]Sheet1!$H$9:$H$2584,[1]Sheet1!$I$9:$I$2584,"N/A",0)</f>
        <v>98.64</v>
      </c>
      <c r="M424">
        <f>_xlfn.XLOOKUP($A424,[1]Sheet1!$K$9:$K$2584,[1]Sheet1!$L$9:$L$2584,"N/A",0)</f>
        <v>117.44</v>
      </c>
      <c r="N424">
        <f>_xlfn.XLOOKUP($A424,[1]Sheet1!$N$9:$N$2584,[1]Sheet1!$O$9:$O$2584,"N/A",0)</f>
        <v>97.9</v>
      </c>
      <c r="O424">
        <v>97.02</v>
      </c>
      <c r="P424">
        <v>130.47</v>
      </c>
      <c r="Q424">
        <v>98.64</v>
      </c>
      <c r="R424">
        <v>97.9</v>
      </c>
      <c r="S424">
        <v>117.44</v>
      </c>
    </row>
    <row r="425" spans="1:19">
      <c r="A425" s="1">
        <v>42984</v>
      </c>
      <c r="B425" t="s">
        <v>252</v>
      </c>
      <c r="C425" t="s">
        <v>264</v>
      </c>
      <c r="D425">
        <v>13.175</v>
      </c>
      <c r="E425">
        <v>14.175</v>
      </c>
      <c r="F425">
        <v>0.0759013282732447</v>
      </c>
      <c r="G425">
        <f ca="1" t="shared" si="18"/>
        <v>0.45597222361117</v>
      </c>
      <c r="H425" t="str">
        <f ca="1" t="shared" si="19"/>
        <v>Risk-On</v>
      </c>
      <c r="I425">
        <f ca="1" t="shared" si="20"/>
        <v>1</v>
      </c>
      <c r="J425">
        <f>_xlfn.XLOOKUP($A425,[1]Sheet1!$B$9:$B$2584,[1]Sheet1!$C$9:$C$2584,"N/A",0)</f>
        <v>97.02</v>
      </c>
      <c r="K425">
        <f>_xlfn.XLOOKUP($A425,[1]Sheet1!$E$9:$E$2584,[1]Sheet1!$F$9:$F$2584,"N/A",0)</f>
        <v>129.52</v>
      </c>
      <c r="L425">
        <f>_xlfn.XLOOKUP($A425,[1]Sheet1!$H$9:$H$2584,[1]Sheet1!$I$9:$I$2584,"N/A",0)</f>
        <v>99.01</v>
      </c>
      <c r="M425">
        <f>_xlfn.XLOOKUP($A425,[1]Sheet1!$K$9:$K$2584,[1]Sheet1!$L$9:$L$2584,"N/A",0)</f>
        <v>117.46</v>
      </c>
      <c r="N425">
        <f>_xlfn.XLOOKUP($A425,[1]Sheet1!$N$9:$N$2584,[1]Sheet1!$O$9:$O$2584,"N/A",0)</f>
        <v>98.06</v>
      </c>
      <c r="O425">
        <v>97.02</v>
      </c>
      <c r="P425">
        <v>129.52</v>
      </c>
      <c r="Q425">
        <v>99.01</v>
      </c>
      <c r="R425">
        <v>98.06</v>
      </c>
      <c r="S425">
        <v>117.46</v>
      </c>
    </row>
    <row r="426" spans="1:19">
      <c r="A426" s="1">
        <v>42985</v>
      </c>
      <c r="B426" t="s">
        <v>252</v>
      </c>
      <c r="C426" t="s">
        <v>264</v>
      </c>
      <c r="D426">
        <v>12.825</v>
      </c>
      <c r="E426">
        <v>14.075</v>
      </c>
      <c r="F426">
        <v>0.0974658869395711</v>
      </c>
      <c r="G426">
        <f ca="1" t="shared" si="18"/>
        <v>0.960064030338147</v>
      </c>
      <c r="H426" t="str">
        <f ca="1" t="shared" si="19"/>
        <v>Risk-On</v>
      </c>
      <c r="I426">
        <f ca="1" t="shared" si="20"/>
        <v>1</v>
      </c>
      <c r="J426">
        <f>_xlfn.XLOOKUP($A426,[1]Sheet1!$B$9:$B$2584,[1]Sheet1!$C$9:$C$2584,"N/A",0)</f>
        <v>97.01</v>
      </c>
      <c r="K426">
        <f>_xlfn.XLOOKUP($A426,[1]Sheet1!$E$9:$E$2584,[1]Sheet1!$F$9:$F$2584,"N/A",0)</f>
        <v>129.76</v>
      </c>
      <c r="L426">
        <f>_xlfn.XLOOKUP($A426,[1]Sheet1!$H$9:$H$2584,[1]Sheet1!$I$9:$I$2584,"N/A",0)</f>
        <v>98.69</v>
      </c>
      <c r="M426">
        <f>_xlfn.XLOOKUP($A426,[1]Sheet1!$K$9:$K$2584,[1]Sheet1!$L$9:$L$2584,"N/A",0)</f>
        <v>117.97</v>
      </c>
      <c r="N426">
        <f>_xlfn.XLOOKUP($A426,[1]Sheet1!$N$9:$N$2584,[1]Sheet1!$O$9:$O$2584,"N/A",0)</f>
        <v>98.31</v>
      </c>
      <c r="O426">
        <v>97.01</v>
      </c>
      <c r="P426">
        <v>129.76</v>
      </c>
      <c r="Q426">
        <v>98.69</v>
      </c>
      <c r="R426">
        <v>98.31</v>
      </c>
      <c r="S426">
        <v>117.97</v>
      </c>
    </row>
    <row r="427" spans="1:19">
      <c r="A427" s="1">
        <v>42986</v>
      </c>
      <c r="B427" t="s">
        <v>252</v>
      </c>
      <c r="C427" t="s">
        <v>264</v>
      </c>
      <c r="D427">
        <v>13.275</v>
      </c>
      <c r="E427">
        <v>14.325</v>
      </c>
      <c r="F427">
        <v>0.07909604519774</v>
      </c>
      <c r="G427">
        <f ca="1" t="shared" si="18"/>
        <v>0.52071191612501</v>
      </c>
      <c r="H427" t="str">
        <f ca="1" t="shared" si="19"/>
        <v>Risk-On</v>
      </c>
      <c r="I427">
        <f ca="1" t="shared" si="20"/>
        <v>1</v>
      </c>
      <c r="J427">
        <f>_xlfn.XLOOKUP($A427,[1]Sheet1!$B$9:$B$2584,[1]Sheet1!$C$9:$C$2584,"N/A",0)</f>
        <v>97.5</v>
      </c>
      <c r="K427">
        <f>_xlfn.XLOOKUP($A427,[1]Sheet1!$E$9:$E$2584,[1]Sheet1!$F$9:$F$2584,"N/A",0)</f>
        <v>130.37</v>
      </c>
      <c r="L427">
        <f>_xlfn.XLOOKUP($A427,[1]Sheet1!$H$9:$H$2584,[1]Sheet1!$I$9:$I$2584,"N/A",0)</f>
        <v>98.89</v>
      </c>
      <c r="M427">
        <f>_xlfn.XLOOKUP($A427,[1]Sheet1!$K$9:$K$2584,[1]Sheet1!$L$9:$L$2584,"N/A",0)</f>
        <v>118.3</v>
      </c>
      <c r="N427">
        <f>_xlfn.XLOOKUP($A427,[1]Sheet1!$N$9:$N$2584,[1]Sheet1!$O$9:$O$2584,"N/A",0)</f>
        <v>98.12</v>
      </c>
      <c r="O427">
        <v>97.5</v>
      </c>
      <c r="P427">
        <v>130.37</v>
      </c>
      <c r="Q427">
        <v>98.89</v>
      </c>
      <c r="R427">
        <v>98.12</v>
      </c>
      <c r="S427">
        <v>118.3</v>
      </c>
    </row>
    <row r="428" spans="1:19">
      <c r="A428" s="1">
        <v>42989</v>
      </c>
      <c r="B428" t="s">
        <v>252</v>
      </c>
      <c r="C428" t="s">
        <v>264</v>
      </c>
      <c r="D428">
        <v>12.075</v>
      </c>
      <c r="E428">
        <v>13.675</v>
      </c>
      <c r="F428" s="2" t="s">
        <v>267</v>
      </c>
      <c r="G428">
        <f ca="1" t="shared" si="18"/>
        <v>1.776600163203</v>
      </c>
      <c r="H428" t="str">
        <f ca="1" t="shared" si="19"/>
        <v>Risk-On</v>
      </c>
      <c r="I428">
        <f ca="1" t="shared" si="20"/>
        <v>1</v>
      </c>
      <c r="J428">
        <f>_xlfn.XLOOKUP($A428,[1]Sheet1!$B$9:$B$2584,[1]Sheet1!$C$9:$C$2584,"N/A",0)</f>
        <v>97.6</v>
      </c>
      <c r="K428">
        <f>_xlfn.XLOOKUP($A428,[1]Sheet1!$E$9:$E$2584,[1]Sheet1!$F$9:$F$2584,"N/A",0)</f>
        <v>131.14</v>
      </c>
      <c r="L428">
        <f>_xlfn.XLOOKUP($A428,[1]Sheet1!$H$9:$H$2584,[1]Sheet1!$I$9:$I$2584,"N/A",0)</f>
        <v>99.02</v>
      </c>
      <c r="M428">
        <f>_xlfn.XLOOKUP($A428,[1]Sheet1!$K$9:$K$2584,[1]Sheet1!$L$9:$L$2584,"N/A",0)</f>
        <v>118.74</v>
      </c>
      <c r="N428">
        <f>_xlfn.XLOOKUP($A428,[1]Sheet1!$N$9:$N$2584,[1]Sheet1!$O$9:$O$2584,"N/A",0)</f>
        <v>98.17</v>
      </c>
      <c r="O428">
        <v>97.6</v>
      </c>
      <c r="P428">
        <v>131.14</v>
      </c>
      <c r="Q428">
        <v>99.02</v>
      </c>
      <c r="R428">
        <v>98.17</v>
      </c>
      <c r="S428">
        <v>118.74</v>
      </c>
    </row>
    <row r="429" spans="1:19">
      <c r="A429" s="1">
        <v>42990</v>
      </c>
      <c r="B429" t="s">
        <v>252</v>
      </c>
      <c r="C429" t="s">
        <v>264</v>
      </c>
      <c r="D429">
        <v>11.875</v>
      </c>
      <c r="E429">
        <v>13.375</v>
      </c>
      <c r="F429" s="2" t="s">
        <v>268</v>
      </c>
      <c r="G429">
        <f ca="1" t="shared" si="18"/>
        <v>1.63236424964689</v>
      </c>
      <c r="H429" t="str">
        <f ca="1" t="shared" si="19"/>
        <v>Risk-On</v>
      </c>
      <c r="I429">
        <f ca="1" t="shared" si="20"/>
        <v>1</v>
      </c>
      <c r="J429">
        <f>_xlfn.XLOOKUP($A429,[1]Sheet1!$B$9:$B$2584,[1]Sheet1!$C$9:$C$2584,"N/A",0)</f>
        <v>97.76</v>
      </c>
      <c r="K429">
        <f>_xlfn.XLOOKUP($A429,[1]Sheet1!$E$9:$E$2584,[1]Sheet1!$F$9:$F$2584,"N/A",0)</f>
        <v>130.1</v>
      </c>
      <c r="L429">
        <f>_xlfn.XLOOKUP($A429,[1]Sheet1!$H$9:$H$2584,[1]Sheet1!$I$9:$I$2584,"N/A",0)</f>
        <v>99.51</v>
      </c>
      <c r="M429">
        <f>_xlfn.XLOOKUP($A429,[1]Sheet1!$K$9:$K$2584,[1]Sheet1!$L$9:$L$2584,"N/A",0)</f>
        <v>118.74</v>
      </c>
      <c r="N429">
        <f>_xlfn.XLOOKUP($A429,[1]Sheet1!$N$9:$N$2584,[1]Sheet1!$O$9:$O$2584,"N/A",0)</f>
        <v>98.09</v>
      </c>
      <c r="O429">
        <v>97.76</v>
      </c>
      <c r="P429">
        <v>130.1</v>
      </c>
      <c r="Q429">
        <v>99.51</v>
      </c>
      <c r="R429">
        <v>98.09</v>
      </c>
      <c r="S429">
        <v>118.74</v>
      </c>
    </row>
    <row r="430" spans="1:19">
      <c r="A430" s="1">
        <v>42991</v>
      </c>
      <c r="B430" t="s">
        <v>252</v>
      </c>
      <c r="C430" t="s">
        <v>264</v>
      </c>
      <c r="D430">
        <v>11.525</v>
      </c>
      <c r="E430">
        <v>12.925</v>
      </c>
      <c r="F430" s="2" t="s">
        <v>262</v>
      </c>
      <c r="G430">
        <f ca="1" t="shared" si="18"/>
        <v>1.51856051239475</v>
      </c>
      <c r="H430" t="str">
        <f ca="1" t="shared" si="19"/>
        <v>Risk-On</v>
      </c>
      <c r="I430">
        <f ca="1" t="shared" si="20"/>
        <v>1</v>
      </c>
      <c r="J430">
        <f>_xlfn.XLOOKUP($A430,[1]Sheet1!$B$9:$B$2584,[1]Sheet1!$C$9:$C$2584,"N/A",0)</f>
        <v>97.64</v>
      </c>
      <c r="K430">
        <f>_xlfn.XLOOKUP($A430,[1]Sheet1!$E$9:$E$2584,[1]Sheet1!$F$9:$F$2584,"N/A",0)</f>
        <v>129.07</v>
      </c>
      <c r="L430">
        <f>_xlfn.XLOOKUP($A430,[1]Sheet1!$H$9:$H$2584,[1]Sheet1!$I$9:$I$2584,"N/A",0)</f>
        <v>99.41</v>
      </c>
      <c r="M430">
        <f>_xlfn.XLOOKUP($A430,[1]Sheet1!$K$9:$K$2584,[1]Sheet1!$L$9:$L$2584,"N/A",0)</f>
        <v>119.47</v>
      </c>
      <c r="N430">
        <f>_xlfn.XLOOKUP($A430,[1]Sheet1!$N$9:$N$2584,[1]Sheet1!$O$9:$O$2584,"N/A",0)</f>
        <v>97.92</v>
      </c>
      <c r="O430">
        <v>97.64</v>
      </c>
      <c r="P430">
        <v>129.07</v>
      </c>
      <c r="Q430">
        <v>99.41</v>
      </c>
      <c r="R430">
        <v>97.92</v>
      </c>
      <c r="S430">
        <v>119.47</v>
      </c>
    </row>
    <row r="431" spans="1:19">
      <c r="A431" s="1">
        <v>42992</v>
      </c>
      <c r="B431" t="s">
        <v>252</v>
      </c>
      <c r="C431" t="s">
        <v>264</v>
      </c>
      <c r="D431">
        <v>11.475</v>
      </c>
      <c r="E431">
        <v>13.025</v>
      </c>
      <c r="F431" s="2" t="s">
        <v>269</v>
      </c>
      <c r="G431">
        <f ca="1" t="shared" si="18"/>
        <v>1.83831921468134</v>
      </c>
      <c r="H431" t="str">
        <f ca="1" t="shared" si="19"/>
        <v>Risk-On</v>
      </c>
      <c r="I431">
        <f ca="1" t="shared" si="20"/>
        <v>1</v>
      </c>
      <c r="J431">
        <f>_xlfn.XLOOKUP($A431,[1]Sheet1!$B$9:$B$2584,[1]Sheet1!$C$9:$C$2584,"N/A",0)</f>
        <v>97.93</v>
      </c>
      <c r="K431">
        <f>_xlfn.XLOOKUP($A431,[1]Sheet1!$E$9:$E$2584,[1]Sheet1!$F$9:$F$2584,"N/A",0)</f>
        <v>128.96</v>
      </c>
      <c r="L431">
        <f>_xlfn.XLOOKUP($A431,[1]Sheet1!$H$9:$H$2584,[1]Sheet1!$I$9:$I$2584,"N/A",0)</f>
        <v>99.12</v>
      </c>
      <c r="M431">
        <f>_xlfn.XLOOKUP($A431,[1]Sheet1!$K$9:$K$2584,[1]Sheet1!$L$9:$L$2584,"N/A",0)</f>
        <v>119.23</v>
      </c>
      <c r="N431">
        <f>_xlfn.XLOOKUP($A431,[1]Sheet1!$N$9:$N$2584,[1]Sheet1!$O$9:$O$2584,"N/A",0)</f>
        <v>97.87</v>
      </c>
      <c r="O431">
        <v>97.93</v>
      </c>
      <c r="P431">
        <v>128.96</v>
      </c>
      <c r="Q431">
        <v>99.12</v>
      </c>
      <c r="R431">
        <v>97.87</v>
      </c>
      <c r="S431">
        <v>119.23</v>
      </c>
    </row>
    <row r="432" spans="1:19">
      <c r="A432" s="1">
        <v>42993</v>
      </c>
      <c r="B432" t="s">
        <v>252</v>
      </c>
      <c r="C432" t="s">
        <v>264</v>
      </c>
      <c r="D432">
        <v>11.125</v>
      </c>
      <c r="E432">
        <v>12.925</v>
      </c>
      <c r="F432" s="2" t="s">
        <v>270</v>
      </c>
      <c r="G432">
        <f ca="1" t="shared" si="18"/>
        <v>2.4665309266645</v>
      </c>
      <c r="H432" t="str">
        <f ca="1" t="shared" si="19"/>
        <v>Risk-On</v>
      </c>
      <c r="I432">
        <f ca="1" t="shared" si="20"/>
        <v>1</v>
      </c>
      <c r="J432">
        <f>_xlfn.XLOOKUP($A432,[1]Sheet1!$B$9:$B$2584,[1]Sheet1!$C$9:$C$2584,"N/A",0)</f>
        <v>97.87</v>
      </c>
      <c r="K432">
        <f>_xlfn.XLOOKUP($A432,[1]Sheet1!$E$9:$E$2584,[1]Sheet1!$F$9:$F$2584,"N/A",0)</f>
        <v>128.93</v>
      </c>
      <c r="L432">
        <f>_xlfn.XLOOKUP($A432,[1]Sheet1!$H$9:$H$2584,[1]Sheet1!$I$9:$I$2584,"N/A",0)</f>
        <v>99.11</v>
      </c>
      <c r="M432">
        <f>_xlfn.XLOOKUP($A432,[1]Sheet1!$K$9:$K$2584,[1]Sheet1!$L$9:$L$2584,"N/A",0)</f>
        <v>119.47</v>
      </c>
      <c r="N432">
        <f>_xlfn.XLOOKUP($A432,[1]Sheet1!$N$9:$N$2584,[1]Sheet1!$O$9:$O$2584,"N/A",0)</f>
        <v>97.64</v>
      </c>
      <c r="O432">
        <v>97.87</v>
      </c>
      <c r="P432">
        <v>128.93</v>
      </c>
      <c r="Q432">
        <v>99.11</v>
      </c>
      <c r="R432">
        <v>97.64</v>
      </c>
      <c r="S432">
        <v>119.47</v>
      </c>
    </row>
    <row r="433" spans="1:19">
      <c r="A433" s="1">
        <v>42996</v>
      </c>
      <c r="B433" t="s">
        <v>252</v>
      </c>
      <c r="C433" t="s">
        <v>264</v>
      </c>
      <c r="D433">
        <v>10.675</v>
      </c>
      <c r="E433">
        <v>12.425</v>
      </c>
      <c r="F433" s="2" t="s">
        <v>271</v>
      </c>
      <c r="G433">
        <f ca="1" t="shared" si="18"/>
        <v>2.50873415817829</v>
      </c>
      <c r="H433" t="str">
        <f ca="1" t="shared" si="19"/>
        <v>Risk-On</v>
      </c>
      <c r="I433">
        <f ca="1" t="shared" si="20"/>
        <v>1</v>
      </c>
      <c r="J433">
        <f>_xlfn.XLOOKUP($A433,[1]Sheet1!$B$9:$B$2584,[1]Sheet1!$C$9:$C$2584,"N/A",0)</f>
        <v>97.66</v>
      </c>
      <c r="K433">
        <f>_xlfn.XLOOKUP($A433,[1]Sheet1!$E$9:$E$2584,[1]Sheet1!$F$9:$F$2584,"N/A",0)</f>
        <v>130.18</v>
      </c>
      <c r="L433">
        <f>_xlfn.XLOOKUP($A433,[1]Sheet1!$H$9:$H$2584,[1]Sheet1!$I$9:$I$2584,"N/A",0)</f>
        <v>98.58</v>
      </c>
      <c r="M433">
        <f>_xlfn.XLOOKUP($A433,[1]Sheet1!$K$9:$K$2584,[1]Sheet1!$L$9:$L$2584,"N/A",0)</f>
        <v>119.58</v>
      </c>
      <c r="N433">
        <f>_xlfn.XLOOKUP($A433,[1]Sheet1!$N$9:$N$2584,[1]Sheet1!$O$9:$O$2584,"N/A",0)</f>
        <v>97.47</v>
      </c>
      <c r="O433">
        <v>97.66</v>
      </c>
      <c r="P433">
        <v>130.18</v>
      </c>
      <c r="Q433">
        <v>98.58</v>
      </c>
      <c r="R433">
        <v>97.47</v>
      </c>
      <c r="S433">
        <v>119.58</v>
      </c>
    </row>
    <row r="434" spans="1:19">
      <c r="A434" s="1">
        <v>42997</v>
      </c>
      <c r="B434" t="s">
        <v>252</v>
      </c>
      <c r="C434" t="s">
        <v>264</v>
      </c>
      <c r="D434">
        <v>10.825</v>
      </c>
      <c r="E434">
        <v>12.425</v>
      </c>
      <c r="F434" s="2" t="s">
        <v>272</v>
      </c>
      <c r="G434">
        <f ca="1" t="shared" si="18"/>
        <v>2.13619047856585</v>
      </c>
      <c r="H434" t="str">
        <f ca="1" t="shared" si="19"/>
        <v>Risk-On</v>
      </c>
      <c r="I434">
        <f ca="1" t="shared" si="20"/>
        <v>1</v>
      </c>
      <c r="J434">
        <f>_xlfn.XLOOKUP($A434,[1]Sheet1!$B$9:$B$2584,[1]Sheet1!$C$9:$C$2584,"N/A",0)</f>
        <v>97.58</v>
      </c>
      <c r="K434">
        <f>_xlfn.XLOOKUP($A434,[1]Sheet1!$E$9:$E$2584,[1]Sheet1!$F$9:$F$2584,"N/A",0)</f>
        <v>131.2</v>
      </c>
      <c r="L434">
        <f>_xlfn.XLOOKUP($A434,[1]Sheet1!$H$9:$H$2584,[1]Sheet1!$I$9:$I$2584,"N/A",0)</f>
        <v>98.4</v>
      </c>
      <c r="M434">
        <f>_xlfn.XLOOKUP($A434,[1]Sheet1!$K$9:$K$2584,[1]Sheet1!$L$9:$L$2584,"N/A",0)</f>
        <v>120.11</v>
      </c>
      <c r="N434">
        <f>_xlfn.XLOOKUP($A434,[1]Sheet1!$N$9:$N$2584,[1]Sheet1!$O$9:$O$2584,"N/A",0)</f>
        <v>97.46</v>
      </c>
      <c r="O434">
        <v>97.58</v>
      </c>
      <c r="P434">
        <v>131.2</v>
      </c>
      <c r="Q434">
        <v>98.4</v>
      </c>
      <c r="R434">
        <v>97.46</v>
      </c>
      <c r="S434">
        <v>120.11</v>
      </c>
    </row>
    <row r="435" spans="1:19">
      <c r="A435" s="1">
        <v>42998</v>
      </c>
      <c r="B435" t="s">
        <v>252</v>
      </c>
      <c r="C435" t="s">
        <v>264</v>
      </c>
      <c r="D435">
        <v>9.87</v>
      </c>
      <c r="E435">
        <v>12.275</v>
      </c>
      <c r="F435" s="2" t="s">
        <v>273</v>
      </c>
      <c r="G435">
        <f ca="1" t="shared" si="18"/>
        <v>4.38023325451709</v>
      </c>
      <c r="H435" t="str">
        <f ca="1" t="shared" si="19"/>
        <v>Risk-On</v>
      </c>
      <c r="I435">
        <f ca="1" t="shared" si="20"/>
        <v>1</v>
      </c>
      <c r="J435">
        <f>_xlfn.XLOOKUP($A435,[1]Sheet1!$B$9:$B$2584,[1]Sheet1!$C$9:$C$2584,"N/A",0)</f>
        <v>97.43</v>
      </c>
      <c r="K435">
        <f>_xlfn.XLOOKUP($A435,[1]Sheet1!$E$9:$E$2584,[1]Sheet1!$F$9:$F$2584,"N/A",0)</f>
        <v>131.15</v>
      </c>
      <c r="L435">
        <f>_xlfn.XLOOKUP($A435,[1]Sheet1!$H$9:$H$2584,[1]Sheet1!$I$9:$I$2584,"N/A",0)</f>
        <v>97.88</v>
      </c>
      <c r="M435">
        <f>_xlfn.XLOOKUP($A435,[1]Sheet1!$K$9:$K$2584,[1]Sheet1!$L$9:$L$2584,"N/A",0)</f>
        <v>119.98</v>
      </c>
      <c r="N435">
        <f>_xlfn.XLOOKUP($A435,[1]Sheet1!$N$9:$N$2584,[1]Sheet1!$O$9:$O$2584,"N/A",0)</f>
        <v>97.41</v>
      </c>
      <c r="O435">
        <v>97.43</v>
      </c>
      <c r="P435">
        <v>131.15</v>
      </c>
      <c r="Q435">
        <v>97.88</v>
      </c>
      <c r="R435">
        <v>97.41</v>
      </c>
      <c r="S435">
        <v>119.98</v>
      </c>
    </row>
    <row r="436" spans="1:19">
      <c r="A436" s="1">
        <v>42999</v>
      </c>
      <c r="B436" t="s">
        <v>264</v>
      </c>
      <c r="C436" t="s">
        <v>274</v>
      </c>
      <c r="D436">
        <v>12.325</v>
      </c>
      <c r="E436">
        <v>13.275</v>
      </c>
      <c r="F436">
        <v>0.077079107505071</v>
      </c>
      <c r="G436">
        <f ca="1" t="shared" si="18"/>
        <v>0.497023006191465</v>
      </c>
      <c r="H436" t="str">
        <f ca="1" t="shared" si="19"/>
        <v>Risk-On</v>
      </c>
      <c r="I436">
        <f ca="1" t="shared" si="20"/>
        <v>1</v>
      </c>
      <c r="J436">
        <f>_xlfn.XLOOKUP($A436,[1]Sheet1!$B$9:$B$2584,[1]Sheet1!$C$9:$C$2584,"N/A",0)</f>
        <v>97.54</v>
      </c>
      <c r="K436">
        <f>_xlfn.XLOOKUP($A436,[1]Sheet1!$E$9:$E$2584,[1]Sheet1!$F$9:$F$2584,"N/A",0)</f>
        <v>131.1</v>
      </c>
      <c r="L436">
        <f>_xlfn.XLOOKUP($A436,[1]Sheet1!$H$9:$H$2584,[1]Sheet1!$I$9:$I$2584,"N/A",0)</f>
        <v>98.11</v>
      </c>
      <c r="M436">
        <f>_xlfn.XLOOKUP($A436,[1]Sheet1!$K$9:$K$2584,[1]Sheet1!$L$9:$L$2584,"N/A",0)</f>
        <v>120.09</v>
      </c>
      <c r="N436">
        <f>_xlfn.XLOOKUP($A436,[1]Sheet1!$N$9:$N$2584,[1]Sheet1!$O$9:$O$2584,"N/A",0)</f>
        <v>97.52</v>
      </c>
      <c r="O436">
        <v>97.54</v>
      </c>
      <c r="P436">
        <v>131.1</v>
      </c>
      <c r="Q436">
        <v>98.11</v>
      </c>
      <c r="R436">
        <v>97.52</v>
      </c>
      <c r="S436">
        <v>120.09</v>
      </c>
    </row>
    <row r="437" spans="1:19">
      <c r="A437" s="1">
        <v>43000</v>
      </c>
      <c r="B437" t="s">
        <v>264</v>
      </c>
      <c r="C437" t="s">
        <v>274</v>
      </c>
      <c r="D437">
        <v>12.425</v>
      </c>
      <c r="E437">
        <v>13.425</v>
      </c>
      <c r="F437">
        <v>0.0804828973843058</v>
      </c>
      <c r="G437">
        <f ca="1" t="shared" si="18"/>
        <v>0.576606914690665</v>
      </c>
      <c r="H437" t="str">
        <f ca="1" t="shared" si="19"/>
        <v>Risk-On</v>
      </c>
      <c r="I437">
        <f ca="1" t="shared" si="20"/>
        <v>1</v>
      </c>
      <c r="J437">
        <f>_xlfn.XLOOKUP($A437,[1]Sheet1!$B$9:$B$2584,[1]Sheet1!$C$9:$C$2584,"N/A",0)</f>
        <v>97.47</v>
      </c>
      <c r="K437">
        <f>_xlfn.XLOOKUP($A437,[1]Sheet1!$E$9:$E$2584,[1]Sheet1!$F$9:$F$2584,"N/A",0)</f>
        <v>130.04</v>
      </c>
      <c r="L437">
        <f>_xlfn.XLOOKUP($A437,[1]Sheet1!$H$9:$H$2584,[1]Sheet1!$I$9:$I$2584,"N/A",0)</f>
        <v>98.58</v>
      </c>
      <c r="M437">
        <f>_xlfn.XLOOKUP($A437,[1]Sheet1!$K$9:$K$2584,[1]Sheet1!$L$9:$L$2584,"N/A",0)</f>
        <v>120.27</v>
      </c>
      <c r="N437">
        <f>_xlfn.XLOOKUP($A437,[1]Sheet1!$N$9:$N$2584,[1]Sheet1!$O$9:$O$2584,"N/A",0)</f>
        <v>97.16</v>
      </c>
      <c r="O437">
        <v>97.47</v>
      </c>
      <c r="P437">
        <v>130.04</v>
      </c>
      <c r="Q437">
        <v>98.58</v>
      </c>
      <c r="R437">
        <v>97.16</v>
      </c>
      <c r="S437">
        <v>120.27</v>
      </c>
    </row>
    <row r="438" spans="1:19">
      <c r="A438" s="1">
        <v>43003</v>
      </c>
      <c r="B438" t="s">
        <v>264</v>
      </c>
      <c r="C438" t="s">
        <v>274</v>
      </c>
      <c r="D438">
        <v>12.375</v>
      </c>
      <c r="E438">
        <v>13.375</v>
      </c>
      <c r="F438">
        <v>0.0808080808080808</v>
      </c>
      <c r="G438">
        <f ca="1" t="shared" si="18"/>
        <v>0.580898475316482</v>
      </c>
      <c r="H438" t="str">
        <f ca="1" t="shared" si="19"/>
        <v>Risk-On</v>
      </c>
      <c r="I438">
        <f ca="1" t="shared" si="20"/>
        <v>1</v>
      </c>
      <c r="J438">
        <f>_xlfn.XLOOKUP($A438,[1]Sheet1!$B$9:$B$2584,[1]Sheet1!$C$9:$C$2584,"N/A",0)</f>
        <v>97.11</v>
      </c>
      <c r="K438">
        <f>_xlfn.XLOOKUP($A438,[1]Sheet1!$E$9:$E$2584,[1]Sheet1!$F$9:$F$2584,"N/A",0)</f>
        <v>128.13</v>
      </c>
      <c r="L438">
        <f>_xlfn.XLOOKUP($A438,[1]Sheet1!$H$9:$H$2584,[1]Sheet1!$I$9:$I$2584,"N/A",0)</f>
        <v>98.97</v>
      </c>
      <c r="M438">
        <f>_xlfn.XLOOKUP($A438,[1]Sheet1!$K$9:$K$2584,[1]Sheet1!$L$9:$L$2584,"N/A",0)</f>
        <v>120.16</v>
      </c>
      <c r="N438">
        <f>_xlfn.XLOOKUP($A438,[1]Sheet1!$N$9:$N$2584,[1]Sheet1!$O$9:$O$2584,"N/A",0)</f>
        <v>96.84</v>
      </c>
      <c r="O438">
        <v>97.11</v>
      </c>
      <c r="P438">
        <v>128.13</v>
      </c>
      <c r="Q438">
        <v>98.97</v>
      </c>
      <c r="R438">
        <v>96.84</v>
      </c>
      <c r="S438">
        <v>120.16</v>
      </c>
    </row>
    <row r="439" spans="1:19">
      <c r="A439" s="1">
        <v>43004</v>
      </c>
      <c r="B439" t="s">
        <v>264</v>
      </c>
      <c r="C439" t="s">
        <v>274</v>
      </c>
      <c r="D439">
        <v>12.275</v>
      </c>
      <c r="E439">
        <v>13.275</v>
      </c>
      <c r="F439">
        <v>0.0814663951120163</v>
      </c>
      <c r="G439">
        <f ca="1" t="shared" si="18"/>
        <v>0.60094074950725</v>
      </c>
      <c r="H439" t="str">
        <f ca="1" t="shared" si="19"/>
        <v>Risk-On</v>
      </c>
      <c r="I439">
        <f ca="1" t="shared" si="20"/>
        <v>1</v>
      </c>
      <c r="J439">
        <f>_xlfn.XLOOKUP($A439,[1]Sheet1!$B$9:$B$2584,[1]Sheet1!$C$9:$C$2584,"N/A",0)</f>
        <v>97.06</v>
      </c>
      <c r="K439">
        <f>_xlfn.XLOOKUP($A439,[1]Sheet1!$E$9:$E$2584,[1]Sheet1!$F$9:$F$2584,"N/A",0)</f>
        <v>127.81</v>
      </c>
      <c r="L439">
        <f>_xlfn.XLOOKUP($A439,[1]Sheet1!$H$9:$H$2584,[1]Sheet1!$I$9:$I$2584,"N/A",0)</f>
        <v>99.13</v>
      </c>
      <c r="M439">
        <f>_xlfn.XLOOKUP($A439,[1]Sheet1!$K$9:$K$2584,[1]Sheet1!$L$9:$L$2584,"N/A",0)</f>
        <v>120.66</v>
      </c>
      <c r="N439">
        <f>_xlfn.XLOOKUP($A439,[1]Sheet1!$N$9:$N$2584,[1]Sheet1!$O$9:$O$2584,"N/A",0)</f>
        <v>96.58</v>
      </c>
      <c r="O439">
        <v>97.06</v>
      </c>
      <c r="P439">
        <v>127.81</v>
      </c>
      <c r="Q439">
        <v>99.13</v>
      </c>
      <c r="R439">
        <v>96.58</v>
      </c>
      <c r="S439">
        <v>120.66</v>
      </c>
    </row>
    <row r="440" spans="1:19">
      <c r="A440" s="1">
        <v>43005</v>
      </c>
      <c r="B440" t="s">
        <v>264</v>
      </c>
      <c r="C440" t="s">
        <v>274</v>
      </c>
      <c r="D440">
        <v>12.175</v>
      </c>
      <c r="E440">
        <v>13.275</v>
      </c>
      <c r="F440">
        <v>0.0903490759753593</v>
      </c>
      <c r="G440">
        <f ca="1" t="shared" si="18"/>
        <v>0.805685408514962</v>
      </c>
      <c r="H440" t="str">
        <f ca="1" t="shared" si="19"/>
        <v>Risk-On</v>
      </c>
      <c r="I440">
        <f ca="1" t="shared" si="20"/>
        <v>1</v>
      </c>
      <c r="J440">
        <f>_xlfn.XLOOKUP($A440,[1]Sheet1!$B$9:$B$2584,[1]Sheet1!$C$9:$C$2584,"N/A",0)</f>
        <v>97.21</v>
      </c>
      <c r="K440">
        <f>_xlfn.XLOOKUP($A440,[1]Sheet1!$E$9:$E$2584,[1]Sheet1!$F$9:$F$2584,"N/A",0)</f>
        <v>128.13</v>
      </c>
      <c r="L440">
        <f>_xlfn.XLOOKUP($A440,[1]Sheet1!$H$9:$H$2584,[1]Sheet1!$I$9:$I$2584,"N/A",0)</f>
        <v>99.35</v>
      </c>
      <c r="M440">
        <f>_xlfn.XLOOKUP($A440,[1]Sheet1!$K$9:$K$2584,[1]Sheet1!$L$9:$L$2584,"N/A",0)</f>
        <v>120.24</v>
      </c>
      <c r="N440">
        <f>_xlfn.XLOOKUP($A440,[1]Sheet1!$N$9:$N$2584,[1]Sheet1!$O$9:$O$2584,"N/A",0)</f>
        <v>95.52</v>
      </c>
      <c r="O440">
        <v>97.21</v>
      </c>
      <c r="P440">
        <v>128.13</v>
      </c>
      <c r="Q440">
        <v>99.35</v>
      </c>
      <c r="R440">
        <v>95.52</v>
      </c>
      <c r="S440">
        <v>120.24</v>
      </c>
    </row>
    <row r="441" spans="1:19">
      <c r="A441" s="1">
        <v>43006</v>
      </c>
      <c r="B441" t="s">
        <v>264</v>
      </c>
      <c r="C441" t="s">
        <v>274</v>
      </c>
      <c r="D441">
        <v>11.925</v>
      </c>
      <c r="E441">
        <v>13.125</v>
      </c>
      <c r="F441">
        <v>0.10062893081761</v>
      </c>
      <c r="G441">
        <f ca="1" t="shared" si="18"/>
        <v>1.04552616304476</v>
      </c>
      <c r="H441" t="str">
        <f ca="1" t="shared" si="19"/>
        <v>Risk-On</v>
      </c>
      <c r="I441">
        <f ca="1" t="shared" si="20"/>
        <v>1</v>
      </c>
      <c r="J441">
        <f>_xlfn.XLOOKUP($A441,[1]Sheet1!$B$9:$B$2584,[1]Sheet1!$C$9:$C$2584,"N/A",0)</f>
        <v>97.27</v>
      </c>
      <c r="K441">
        <f>_xlfn.XLOOKUP($A441,[1]Sheet1!$E$9:$E$2584,[1]Sheet1!$F$9:$F$2584,"N/A",0)</f>
        <v>129.71</v>
      </c>
      <c r="L441">
        <f>_xlfn.XLOOKUP($A441,[1]Sheet1!$H$9:$H$2584,[1]Sheet1!$I$9:$I$2584,"N/A",0)</f>
        <v>99.32</v>
      </c>
      <c r="M441">
        <f>_xlfn.XLOOKUP($A441,[1]Sheet1!$K$9:$K$2584,[1]Sheet1!$L$9:$L$2584,"N/A",0)</f>
        <v>120.04</v>
      </c>
      <c r="N441">
        <f>_xlfn.XLOOKUP($A441,[1]Sheet1!$N$9:$N$2584,[1]Sheet1!$O$9:$O$2584,"N/A",0)</f>
        <v>95.44</v>
      </c>
      <c r="O441">
        <v>97.27</v>
      </c>
      <c r="P441">
        <v>129.71</v>
      </c>
      <c r="Q441">
        <v>99.32</v>
      </c>
      <c r="R441">
        <v>95.44</v>
      </c>
      <c r="S441">
        <v>120.04</v>
      </c>
    </row>
    <row r="442" spans="1:19">
      <c r="A442" s="1">
        <v>43007</v>
      </c>
      <c r="B442" t="s">
        <v>264</v>
      </c>
      <c r="C442" t="s">
        <v>274</v>
      </c>
      <c r="D442">
        <v>11.675</v>
      </c>
      <c r="E442">
        <v>13.025</v>
      </c>
      <c r="F442" s="2" t="s">
        <v>275</v>
      </c>
      <c r="G442">
        <f ca="1" t="shared" si="18"/>
        <v>1.39614812470043</v>
      </c>
      <c r="H442" t="str">
        <f ca="1" t="shared" si="19"/>
        <v>Risk-On</v>
      </c>
      <c r="I442">
        <f ca="1" t="shared" si="20"/>
        <v>1</v>
      </c>
      <c r="J442">
        <f>_xlfn.XLOOKUP($A442,[1]Sheet1!$B$9:$B$2584,[1]Sheet1!$C$9:$C$2584,"N/A",0)</f>
        <v>97.47</v>
      </c>
      <c r="K442">
        <f>_xlfn.XLOOKUP($A442,[1]Sheet1!$E$9:$E$2584,[1]Sheet1!$F$9:$F$2584,"N/A",0)</f>
        <v>130.01</v>
      </c>
      <c r="L442">
        <f>_xlfn.XLOOKUP($A442,[1]Sheet1!$H$9:$H$2584,[1]Sheet1!$I$9:$I$2584,"N/A",0)</f>
        <v>98.99</v>
      </c>
      <c r="M442">
        <f>_xlfn.XLOOKUP($A442,[1]Sheet1!$K$9:$K$2584,[1]Sheet1!$L$9:$L$2584,"N/A",0)</f>
        <v>119.83</v>
      </c>
      <c r="N442">
        <f>_xlfn.XLOOKUP($A442,[1]Sheet1!$N$9:$N$2584,[1]Sheet1!$O$9:$O$2584,"N/A",0)</f>
        <v>95.44</v>
      </c>
      <c r="O442">
        <v>97.47</v>
      </c>
      <c r="P442">
        <v>130.01</v>
      </c>
      <c r="Q442">
        <v>98.99</v>
      </c>
      <c r="R442">
        <v>95.44</v>
      </c>
      <c r="S442">
        <v>119.83</v>
      </c>
    </row>
    <row r="443" spans="1:19">
      <c r="A443" s="1">
        <v>43010</v>
      </c>
      <c r="B443" t="s">
        <v>264</v>
      </c>
      <c r="C443" t="s">
        <v>274</v>
      </c>
      <c r="D443">
        <v>11.375</v>
      </c>
      <c r="E443">
        <v>12.675</v>
      </c>
      <c r="F443" s="2" t="s">
        <v>254</v>
      </c>
      <c r="G443">
        <f ca="1" t="shared" si="18"/>
        <v>1.36184173456401</v>
      </c>
      <c r="H443" t="str">
        <f ca="1" t="shared" si="19"/>
        <v>Risk-On</v>
      </c>
      <c r="I443">
        <f ca="1" t="shared" si="20"/>
        <v>1</v>
      </c>
      <c r="J443">
        <f>_xlfn.XLOOKUP($A443,[1]Sheet1!$B$9:$B$2584,[1]Sheet1!$C$9:$C$2584,"N/A",0)</f>
        <v>97.26</v>
      </c>
      <c r="K443">
        <f>_xlfn.XLOOKUP($A443,[1]Sheet1!$E$9:$E$2584,[1]Sheet1!$F$9:$F$2584,"N/A",0)</f>
        <v>129.43</v>
      </c>
      <c r="L443">
        <f>_xlfn.XLOOKUP($A443,[1]Sheet1!$H$9:$H$2584,[1]Sheet1!$I$9:$I$2584,"N/A",0)</f>
        <v>99.56</v>
      </c>
      <c r="M443">
        <f>_xlfn.XLOOKUP($A443,[1]Sheet1!$K$9:$K$2584,[1]Sheet1!$L$9:$L$2584,"N/A",0)</f>
        <v>119.98</v>
      </c>
      <c r="N443">
        <f>_xlfn.XLOOKUP($A443,[1]Sheet1!$N$9:$N$2584,[1]Sheet1!$O$9:$O$2584,"N/A",0)</f>
        <v>94.66</v>
      </c>
      <c r="O443">
        <v>97.26</v>
      </c>
      <c r="P443">
        <v>129.43</v>
      </c>
      <c r="Q443">
        <v>99.56</v>
      </c>
      <c r="R443">
        <v>94.66</v>
      </c>
      <c r="S443">
        <v>119.98</v>
      </c>
    </row>
    <row r="444" spans="1:19">
      <c r="A444" s="1">
        <v>43011</v>
      </c>
      <c r="B444" t="s">
        <v>264</v>
      </c>
      <c r="C444" t="s">
        <v>274</v>
      </c>
      <c r="D444">
        <v>11.375</v>
      </c>
      <c r="E444">
        <v>12.775</v>
      </c>
      <c r="F444" s="2" t="s">
        <v>276</v>
      </c>
      <c r="G444">
        <f ca="1" t="shared" si="18"/>
        <v>1.56517485313606</v>
      </c>
      <c r="H444" t="str">
        <f ca="1" t="shared" si="19"/>
        <v>Risk-On</v>
      </c>
      <c r="I444">
        <f ca="1" t="shared" si="20"/>
        <v>1</v>
      </c>
      <c r="J444">
        <f>_xlfn.XLOOKUP($A444,[1]Sheet1!$B$9:$B$2584,[1]Sheet1!$C$9:$C$2584,"N/A",0)</f>
        <v>97.39</v>
      </c>
      <c r="K444">
        <f>_xlfn.XLOOKUP($A444,[1]Sheet1!$E$9:$E$2584,[1]Sheet1!$F$9:$F$2584,"N/A",0)</f>
        <v>129.73</v>
      </c>
      <c r="L444">
        <f>_xlfn.XLOOKUP($A444,[1]Sheet1!$H$9:$H$2584,[1]Sheet1!$I$9:$I$2584,"N/A",0)</f>
        <v>99.61</v>
      </c>
      <c r="M444">
        <f>_xlfn.XLOOKUP($A444,[1]Sheet1!$K$9:$K$2584,[1]Sheet1!$L$9:$L$2584,"N/A",0)</f>
        <v>119.66</v>
      </c>
      <c r="N444">
        <f>_xlfn.XLOOKUP($A444,[1]Sheet1!$N$9:$N$2584,[1]Sheet1!$O$9:$O$2584,"N/A",0)</f>
        <v>94.73</v>
      </c>
      <c r="O444">
        <v>97.39</v>
      </c>
      <c r="P444">
        <v>129.73</v>
      </c>
      <c r="Q444">
        <v>99.61</v>
      </c>
      <c r="R444">
        <v>94.73</v>
      </c>
      <c r="S444">
        <v>119.66</v>
      </c>
    </row>
    <row r="445" spans="1:19">
      <c r="A445" s="1">
        <v>43012</v>
      </c>
      <c r="B445" t="s">
        <v>264</v>
      </c>
      <c r="C445" t="s">
        <v>274</v>
      </c>
      <c r="D445">
        <v>11.325</v>
      </c>
      <c r="E445">
        <v>12.775</v>
      </c>
      <c r="F445" s="2" t="s">
        <v>277</v>
      </c>
      <c r="G445">
        <f ca="1" t="shared" si="18"/>
        <v>1.68205854750096</v>
      </c>
      <c r="H445" t="str">
        <f ca="1" t="shared" si="19"/>
        <v>Risk-On</v>
      </c>
      <c r="I445">
        <f ca="1" t="shared" si="20"/>
        <v>1</v>
      </c>
      <c r="J445">
        <f>_xlfn.XLOOKUP($A445,[1]Sheet1!$B$9:$B$2584,[1]Sheet1!$C$9:$C$2584,"N/A",0)</f>
        <v>97.27</v>
      </c>
      <c r="K445">
        <f>_xlfn.XLOOKUP($A445,[1]Sheet1!$E$9:$E$2584,[1]Sheet1!$F$9:$F$2584,"N/A",0)</f>
        <v>129.93</v>
      </c>
      <c r="L445">
        <f>_xlfn.XLOOKUP($A445,[1]Sheet1!$H$9:$H$2584,[1]Sheet1!$I$9:$I$2584,"N/A",0)</f>
        <v>99.45</v>
      </c>
      <c r="M445">
        <f>_xlfn.XLOOKUP($A445,[1]Sheet1!$K$9:$K$2584,[1]Sheet1!$L$9:$L$2584,"N/A",0)</f>
        <v>119.18</v>
      </c>
      <c r="N445">
        <f>_xlfn.XLOOKUP($A445,[1]Sheet1!$N$9:$N$2584,[1]Sheet1!$O$9:$O$2584,"N/A",0)</f>
        <v>95.16</v>
      </c>
      <c r="O445">
        <v>97.27</v>
      </c>
      <c r="P445">
        <v>129.93</v>
      </c>
      <c r="Q445">
        <v>99.45</v>
      </c>
      <c r="R445">
        <v>95.16</v>
      </c>
      <c r="S445">
        <v>119.18</v>
      </c>
    </row>
    <row r="446" spans="1:19">
      <c r="A446" s="1">
        <v>43013</v>
      </c>
      <c r="B446" t="s">
        <v>264</v>
      </c>
      <c r="C446" t="s">
        <v>274</v>
      </c>
      <c r="D446">
        <v>10.825</v>
      </c>
      <c r="E446">
        <v>12.475</v>
      </c>
      <c r="F446" s="2" t="s">
        <v>278</v>
      </c>
      <c r="G446">
        <f ca="1" t="shared" si="18"/>
        <v>2.2484206630877</v>
      </c>
      <c r="H446" t="str">
        <f ca="1" t="shared" si="19"/>
        <v>Risk-On</v>
      </c>
      <c r="I446">
        <f ca="1" t="shared" si="20"/>
        <v>1</v>
      </c>
      <c r="J446">
        <f>_xlfn.XLOOKUP($A446,[1]Sheet1!$B$9:$B$2584,[1]Sheet1!$C$9:$C$2584,"N/A",0)</f>
        <v>97.2</v>
      </c>
      <c r="K446">
        <f>_xlfn.XLOOKUP($A446,[1]Sheet1!$E$9:$E$2584,[1]Sheet1!$F$9:$F$2584,"N/A",0)</f>
        <v>130.23</v>
      </c>
      <c r="L446">
        <f>_xlfn.XLOOKUP($A446,[1]Sheet1!$H$9:$H$2584,[1]Sheet1!$I$9:$I$2584,"N/A",0)</f>
        <v>98.74</v>
      </c>
      <c r="M446">
        <f>_xlfn.XLOOKUP($A446,[1]Sheet1!$K$9:$K$2584,[1]Sheet1!$L$9:$L$2584,"N/A",0)</f>
        <v>119.22</v>
      </c>
      <c r="N446">
        <f>_xlfn.XLOOKUP($A446,[1]Sheet1!$N$9:$N$2584,[1]Sheet1!$O$9:$O$2584,"N/A",0)</f>
        <v>95.36</v>
      </c>
      <c r="O446">
        <v>97.2</v>
      </c>
      <c r="P446">
        <v>130.23</v>
      </c>
      <c r="Q446">
        <v>98.74</v>
      </c>
      <c r="R446">
        <v>95.36</v>
      </c>
      <c r="S446">
        <v>119.22</v>
      </c>
    </row>
    <row r="447" spans="1:19">
      <c r="A447" s="1">
        <v>43014</v>
      </c>
      <c r="B447" t="s">
        <v>264</v>
      </c>
      <c r="C447" t="s">
        <v>274</v>
      </c>
      <c r="D447">
        <v>10.825</v>
      </c>
      <c r="E447">
        <v>12.525</v>
      </c>
      <c r="F447" s="2" t="s">
        <v>279</v>
      </c>
      <c r="G447">
        <f ca="1" t="shared" si="18"/>
        <v>2.35529147121512</v>
      </c>
      <c r="H447" t="str">
        <f ca="1" t="shared" si="19"/>
        <v>Risk-On</v>
      </c>
      <c r="I447">
        <f ca="1" t="shared" si="20"/>
        <v>1</v>
      </c>
      <c r="J447">
        <f>_xlfn.XLOOKUP($A447,[1]Sheet1!$B$9:$B$2584,[1]Sheet1!$C$9:$C$2584,"N/A",0)</f>
        <v>97.41</v>
      </c>
      <c r="K447">
        <f>_xlfn.XLOOKUP($A447,[1]Sheet1!$E$9:$E$2584,[1]Sheet1!$F$9:$F$2584,"N/A",0)</f>
        <v>130.79</v>
      </c>
      <c r="L447">
        <f>_xlfn.XLOOKUP($A447,[1]Sheet1!$H$9:$H$2584,[1]Sheet1!$I$9:$I$2584,"N/A",0)</f>
        <v>98.73</v>
      </c>
      <c r="M447">
        <f>_xlfn.XLOOKUP($A447,[1]Sheet1!$K$9:$K$2584,[1]Sheet1!$L$9:$L$2584,"N/A",0)</f>
        <v>119.3</v>
      </c>
      <c r="N447">
        <f>_xlfn.XLOOKUP($A447,[1]Sheet1!$N$9:$N$2584,[1]Sheet1!$O$9:$O$2584,"N/A",0)</f>
        <v>95.41</v>
      </c>
      <c r="O447">
        <v>97.41</v>
      </c>
      <c r="P447">
        <v>130.79</v>
      </c>
      <c r="Q447">
        <v>98.73</v>
      </c>
      <c r="R447">
        <v>95.41</v>
      </c>
      <c r="S447">
        <v>119.3</v>
      </c>
    </row>
    <row r="448" spans="1:19">
      <c r="A448" s="1">
        <v>43017</v>
      </c>
      <c r="B448" t="s">
        <v>264</v>
      </c>
      <c r="C448" t="s">
        <v>274</v>
      </c>
      <c r="D448">
        <v>11.125</v>
      </c>
      <c r="E448">
        <v>12.625</v>
      </c>
      <c r="F448" s="2" t="s">
        <v>280</v>
      </c>
      <c r="G448">
        <f ca="1" t="shared" si="18"/>
        <v>1.84135095572595</v>
      </c>
      <c r="H448" t="str">
        <f ca="1" t="shared" si="19"/>
        <v>Risk-On</v>
      </c>
      <c r="I448">
        <f ca="1" t="shared" si="20"/>
        <v>1</v>
      </c>
      <c r="J448">
        <f>_xlfn.XLOOKUP($A448,[1]Sheet1!$B$9:$B$2584,[1]Sheet1!$C$9:$C$2584,"N/A",0)</f>
        <v>97.17</v>
      </c>
      <c r="K448">
        <f>_xlfn.XLOOKUP($A448,[1]Sheet1!$E$9:$E$2584,[1]Sheet1!$F$9:$F$2584,"N/A",0)</f>
        <v>131.75</v>
      </c>
      <c r="L448">
        <f>_xlfn.XLOOKUP($A448,[1]Sheet1!$H$9:$H$2584,[1]Sheet1!$I$9:$I$2584,"N/A",0)</f>
        <v>98.48</v>
      </c>
      <c r="M448">
        <f>_xlfn.XLOOKUP($A448,[1]Sheet1!$K$9:$K$2584,[1]Sheet1!$L$9:$L$2584,"N/A",0)</f>
        <v>119.39</v>
      </c>
      <c r="N448">
        <f>_xlfn.XLOOKUP($A448,[1]Sheet1!$N$9:$N$2584,[1]Sheet1!$O$9:$O$2584,"N/A",0)</f>
        <v>95.47</v>
      </c>
      <c r="O448">
        <v>97.17</v>
      </c>
      <c r="P448">
        <v>131.75</v>
      </c>
      <c r="Q448">
        <v>98.48</v>
      </c>
      <c r="R448">
        <v>95.47</v>
      </c>
      <c r="S448">
        <v>119.39</v>
      </c>
    </row>
    <row r="449" spans="1:19">
      <c r="A449" s="1">
        <v>43018</v>
      </c>
      <c r="B449" t="s">
        <v>264</v>
      </c>
      <c r="C449" t="s">
        <v>274</v>
      </c>
      <c r="D449">
        <v>10.925</v>
      </c>
      <c r="E449">
        <v>12.325</v>
      </c>
      <c r="F449" s="2" t="s">
        <v>281</v>
      </c>
      <c r="G449">
        <f ca="1" t="shared" si="18"/>
        <v>1.69197674915499</v>
      </c>
      <c r="H449" t="str">
        <f ca="1" t="shared" si="19"/>
        <v>Risk-On</v>
      </c>
      <c r="I449">
        <f ca="1" t="shared" si="20"/>
        <v>1</v>
      </c>
      <c r="J449">
        <f>_xlfn.XLOOKUP($A449,[1]Sheet1!$B$9:$B$2584,[1]Sheet1!$C$9:$C$2584,"N/A",0)</f>
        <v>97.12</v>
      </c>
      <c r="K449">
        <f>_xlfn.XLOOKUP($A449,[1]Sheet1!$E$9:$E$2584,[1]Sheet1!$F$9:$F$2584,"N/A",0)</f>
        <v>131.85</v>
      </c>
      <c r="L449">
        <f>_xlfn.XLOOKUP($A449,[1]Sheet1!$H$9:$H$2584,[1]Sheet1!$I$9:$I$2584,"N/A",0)</f>
        <v>98.74</v>
      </c>
      <c r="M449">
        <f>_xlfn.XLOOKUP($A449,[1]Sheet1!$K$9:$K$2584,[1]Sheet1!$L$9:$L$2584,"N/A",0)</f>
        <v>119.47</v>
      </c>
      <c r="N449">
        <f>_xlfn.XLOOKUP($A449,[1]Sheet1!$N$9:$N$2584,[1]Sheet1!$O$9:$O$2584,"N/A",0)</f>
        <v>95.43</v>
      </c>
      <c r="O449">
        <v>97.12</v>
      </c>
      <c r="P449">
        <v>131.85</v>
      </c>
      <c r="Q449">
        <v>98.74</v>
      </c>
      <c r="R449">
        <v>95.43</v>
      </c>
      <c r="S449">
        <v>119.47</v>
      </c>
    </row>
    <row r="450" spans="1:19">
      <c r="A450" s="1">
        <v>43019</v>
      </c>
      <c r="B450" t="s">
        <v>264</v>
      </c>
      <c r="C450" t="s">
        <v>274</v>
      </c>
      <c r="D450">
        <v>10.775</v>
      </c>
      <c r="E450">
        <v>12.175</v>
      </c>
      <c r="F450" s="2" t="s">
        <v>282</v>
      </c>
      <c r="G450">
        <f ca="1" t="shared" si="18"/>
        <v>1.73319685640452</v>
      </c>
      <c r="H450" t="str">
        <f ca="1" t="shared" si="19"/>
        <v>Risk-On</v>
      </c>
      <c r="I450">
        <f ca="1" t="shared" si="20"/>
        <v>1</v>
      </c>
      <c r="J450">
        <f>_xlfn.XLOOKUP($A450,[1]Sheet1!$B$9:$B$2584,[1]Sheet1!$C$9:$C$2584,"N/A",0)</f>
        <v>97.02</v>
      </c>
      <c r="K450">
        <f>_xlfn.XLOOKUP($A450,[1]Sheet1!$E$9:$E$2584,[1]Sheet1!$F$9:$F$2584,"N/A",0)</f>
        <v>132.72</v>
      </c>
      <c r="L450">
        <f>_xlfn.XLOOKUP($A450,[1]Sheet1!$H$9:$H$2584,[1]Sheet1!$I$9:$I$2584,"N/A",0)</f>
        <v>98.06</v>
      </c>
      <c r="M450">
        <f>_xlfn.XLOOKUP($A450,[1]Sheet1!$K$9:$K$2584,[1]Sheet1!$L$9:$L$2584,"N/A",0)</f>
        <v>119.12</v>
      </c>
      <c r="N450">
        <f>_xlfn.XLOOKUP($A450,[1]Sheet1!$N$9:$N$2584,[1]Sheet1!$O$9:$O$2584,"N/A",0)</f>
        <v>95.65</v>
      </c>
      <c r="O450">
        <v>97.02</v>
      </c>
      <c r="P450">
        <v>132.72</v>
      </c>
      <c r="Q450">
        <v>98.06</v>
      </c>
      <c r="R450">
        <v>95.65</v>
      </c>
      <c r="S450">
        <v>119.12</v>
      </c>
    </row>
    <row r="451" spans="1:19">
      <c r="A451" s="1">
        <v>43020</v>
      </c>
      <c r="B451" t="s">
        <v>264</v>
      </c>
      <c r="C451" t="s">
        <v>274</v>
      </c>
      <c r="D451">
        <v>10.575</v>
      </c>
      <c r="E451">
        <v>12.075</v>
      </c>
      <c r="F451" s="2" t="s">
        <v>283</v>
      </c>
      <c r="G451">
        <f ca="1" t="shared" ref="G451:G514" si="21">IF(ROW()-ROW($A$3)+1&gt;252,(F451-AVERAGE(OFFSET(F451,-252,0,252,1)))/_xlfn.STDEV.S(OFFSET(F451,-252,0,252,1)),"N/A")</f>
        <v>2.00454667614123</v>
      </c>
      <c r="H451" t="str">
        <f ca="1" t="shared" ref="H451:H514" si="22">IF(G451&lt;&gt;"N/A",IF(G701&gt;-0.5,"Risk-On","Risk-Off"),"N/A")</f>
        <v>Risk-Off</v>
      </c>
      <c r="I451">
        <f ca="1" t="shared" si="20"/>
        <v>1</v>
      </c>
      <c r="J451">
        <f>_xlfn.XLOOKUP($A451,[1]Sheet1!$B$9:$B$2584,[1]Sheet1!$C$9:$C$2584,"N/A",0)</f>
        <v>97.17</v>
      </c>
      <c r="K451">
        <f>_xlfn.XLOOKUP($A451,[1]Sheet1!$E$9:$E$2584,[1]Sheet1!$F$9:$F$2584,"N/A",0)</f>
        <v>133.25</v>
      </c>
      <c r="L451">
        <f>_xlfn.XLOOKUP($A451,[1]Sheet1!$H$9:$H$2584,[1]Sheet1!$I$9:$I$2584,"N/A",0)</f>
        <v>97.71</v>
      </c>
      <c r="M451">
        <f>_xlfn.XLOOKUP($A451,[1]Sheet1!$K$9:$K$2584,[1]Sheet1!$L$9:$L$2584,"N/A",0)</f>
        <v>118.67</v>
      </c>
      <c r="N451">
        <f>_xlfn.XLOOKUP($A451,[1]Sheet1!$N$9:$N$2584,[1]Sheet1!$O$9:$O$2584,"N/A",0)</f>
        <v>95.55</v>
      </c>
      <c r="O451">
        <v>97.17</v>
      </c>
      <c r="P451">
        <v>133.25</v>
      </c>
      <c r="Q451">
        <v>97.71</v>
      </c>
      <c r="R451">
        <v>95.55</v>
      </c>
      <c r="S451">
        <v>118.67</v>
      </c>
    </row>
    <row r="452" spans="1:19">
      <c r="A452" s="1">
        <v>43021</v>
      </c>
      <c r="B452" t="s">
        <v>264</v>
      </c>
      <c r="C452" t="s">
        <v>274</v>
      </c>
      <c r="D452">
        <v>10.275</v>
      </c>
      <c r="E452">
        <v>11.875</v>
      </c>
      <c r="F452" s="2" t="s">
        <v>284</v>
      </c>
      <c r="G452">
        <f ca="1" t="shared" si="21"/>
        <v>2.32389211175032</v>
      </c>
      <c r="H452" t="str">
        <f ca="1" t="shared" si="22"/>
        <v>Risk-Off</v>
      </c>
      <c r="I452">
        <f ca="1" t="shared" ref="I452:I515" si="23">IF(H452&lt;&gt;"N/A",IF(H702&gt;-0.5,1,0),0)</f>
        <v>1</v>
      </c>
      <c r="J452">
        <f>_xlfn.XLOOKUP($A452,[1]Sheet1!$B$9:$B$2584,[1]Sheet1!$C$9:$C$2584,"N/A",0)</f>
        <v>97.17</v>
      </c>
      <c r="K452">
        <f>_xlfn.XLOOKUP($A452,[1]Sheet1!$E$9:$E$2584,[1]Sheet1!$F$9:$F$2584,"N/A",0)</f>
        <v>133.18</v>
      </c>
      <c r="L452">
        <f>_xlfn.XLOOKUP($A452,[1]Sheet1!$H$9:$H$2584,[1]Sheet1!$I$9:$I$2584,"N/A",0)</f>
        <v>98.13</v>
      </c>
      <c r="M452">
        <f>_xlfn.XLOOKUP($A452,[1]Sheet1!$K$9:$K$2584,[1]Sheet1!$L$9:$L$2584,"N/A",0)</f>
        <v>118.52</v>
      </c>
      <c r="N452">
        <f>_xlfn.XLOOKUP($A452,[1]Sheet1!$N$9:$N$2584,[1]Sheet1!$O$9:$O$2584,"N/A",0)</f>
        <v>96.06</v>
      </c>
      <c r="O452">
        <v>97.17</v>
      </c>
      <c r="P452">
        <v>133.18</v>
      </c>
      <c r="Q452">
        <v>98.13</v>
      </c>
      <c r="R452">
        <v>96.06</v>
      </c>
      <c r="S452">
        <v>118.52</v>
      </c>
    </row>
    <row r="453" spans="1:19">
      <c r="A453" s="1">
        <v>43024</v>
      </c>
      <c r="B453" t="s">
        <v>264</v>
      </c>
      <c r="C453" t="s">
        <v>274</v>
      </c>
      <c r="D453">
        <v>10.275</v>
      </c>
      <c r="E453">
        <v>11.675</v>
      </c>
      <c r="F453" s="2" t="s">
        <v>285</v>
      </c>
      <c r="G453">
        <f ca="1" t="shared" si="21"/>
        <v>1.87585523194055</v>
      </c>
      <c r="H453" t="str">
        <f ca="1" t="shared" si="22"/>
        <v>Risk-Off</v>
      </c>
      <c r="I453">
        <f ca="1" t="shared" si="23"/>
        <v>1</v>
      </c>
      <c r="J453">
        <f>_xlfn.XLOOKUP($A453,[1]Sheet1!$B$9:$B$2584,[1]Sheet1!$C$9:$C$2584,"N/A",0)</f>
        <v>97.24</v>
      </c>
      <c r="K453">
        <f>_xlfn.XLOOKUP($A453,[1]Sheet1!$E$9:$E$2584,[1]Sheet1!$F$9:$F$2584,"N/A",0)</f>
        <v>133.54</v>
      </c>
      <c r="L453">
        <f>_xlfn.XLOOKUP($A453,[1]Sheet1!$H$9:$H$2584,[1]Sheet1!$I$9:$I$2584,"N/A",0)</f>
        <v>97.66</v>
      </c>
      <c r="M453">
        <f>_xlfn.XLOOKUP($A453,[1]Sheet1!$K$9:$K$2584,[1]Sheet1!$L$9:$L$2584,"N/A",0)</f>
        <v>118.48</v>
      </c>
      <c r="N453">
        <f>_xlfn.XLOOKUP($A453,[1]Sheet1!$N$9:$N$2584,[1]Sheet1!$O$9:$O$2584,"N/A",0)</f>
        <v>96.25</v>
      </c>
      <c r="O453">
        <v>97.24</v>
      </c>
      <c r="P453">
        <v>133.54</v>
      </c>
      <c r="Q453">
        <v>97.66</v>
      </c>
      <c r="R453">
        <v>96.25</v>
      </c>
      <c r="S453">
        <v>118.48</v>
      </c>
    </row>
    <row r="454" spans="1:19">
      <c r="A454" s="1">
        <v>43025</v>
      </c>
      <c r="B454" t="s">
        <v>264</v>
      </c>
      <c r="C454" t="s">
        <v>274</v>
      </c>
      <c r="D454">
        <v>10.375</v>
      </c>
      <c r="E454">
        <v>11.725</v>
      </c>
      <c r="F454" s="2" t="s">
        <v>286</v>
      </c>
      <c r="G454">
        <f ca="1" t="shared" si="21"/>
        <v>1.73469662462698</v>
      </c>
      <c r="H454" t="str">
        <f ca="1" t="shared" si="22"/>
        <v>Risk-Off</v>
      </c>
      <c r="I454">
        <f ca="1" t="shared" si="23"/>
        <v>1</v>
      </c>
      <c r="J454">
        <f>_xlfn.XLOOKUP($A454,[1]Sheet1!$B$9:$B$2584,[1]Sheet1!$C$9:$C$2584,"N/A",0)</f>
        <v>97.27</v>
      </c>
      <c r="K454">
        <f>_xlfn.XLOOKUP($A454,[1]Sheet1!$E$9:$E$2584,[1]Sheet1!$F$9:$F$2584,"N/A",0)</f>
        <v>133.21</v>
      </c>
      <c r="L454">
        <f>_xlfn.XLOOKUP($A454,[1]Sheet1!$H$9:$H$2584,[1]Sheet1!$I$9:$I$2584,"N/A",0)</f>
        <v>97.5</v>
      </c>
      <c r="M454">
        <f>_xlfn.XLOOKUP($A454,[1]Sheet1!$K$9:$K$2584,[1]Sheet1!$L$9:$L$2584,"N/A",0)</f>
        <v>119.26</v>
      </c>
      <c r="N454">
        <f>_xlfn.XLOOKUP($A454,[1]Sheet1!$N$9:$N$2584,[1]Sheet1!$O$9:$O$2584,"N/A",0)</f>
        <v>96.25</v>
      </c>
      <c r="O454">
        <v>97.27</v>
      </c>
      <c r="P454">
        <v>133.21</v>
      </c>
      <c r="Q454">
        <v>97.5</v>
      </c>
      <c r="R454">
        <v>96.25</v>
      </c>
      <c r="S454">
        <v>119.26</v>
      </c>
    </row>
    <row r="455" spans="1:19">
      <c r="A455" s="1">
        <v>43026</v>
      </c>
      <c r="B455" t="s">
        <v>264</v>
      </c>
      <c r="C455" t="s">
        <v>274</v>
      </c>
      <c r="D455">
        <v>10.53</v>
      </c>
      <c r="E455">
        <v>11.575</v>
      </c>
      <c r="F455">
        <v>0.0992402659069325</v>
      </c>
      <c r="G455">
        <f ca="1" t="shared" si="21"/>
        <v>1.02389906394046</v>
      </c>
      <c r="H455" t="str">
        <f ca="1" t="shared" si="22"/>
        <v>Risk-Off</v>
      </c>
      <c r="I455">
        <f ca="1" t="shared" si="23"/>
        <v>1</v>
      </c>
      <c r="J455">
        <f>_xlfn.XLOOKUP($A455,[1]Sheet1!$B$9:$B$2584,[1]Sheet1!$C$9:$C$2584,"N/A",0)</f>
        <v>97.24</v>
      </c>
      <c r="K455">
        <f>_xlfn.XLOOKUP($A455,[1]Sheet1!$E$9:$E$2584,[1]Sheet1!$F$9:$F$2584,"N/A",0)</f>
        <v>133.36</v>
      </c>
      <c r="L455">
        <f>_xlfn.XLOOKUP($A455,[1]Sheet1!$H$9:$H$2584,[1]Sheet1!$I$9:$I$2584,"N/A",0)</f>
        <v>98.28</v>
      </c>
      <c r="M455">
        <f>_xlfn.XLOOKUP($A455,[1]Sheet1!$K$9:$K$2584,[1]Sheet1!$L$9:$L$2584,"N/A",0)</f>
        <v>119.56</v>
      </c>
      <c r="N455">
        <f>_xlfn.XLOOKUP($A455,[1]Sheet1!$N$9:$N$2584,[1]Sheet1!$O$9:$O$2584,"N/A",0)</f>
        <v>95.83</v>
      </c>
      <c r="O455">
        <v>97.24</v>
      </c>
      <c r="P455">
        <v>133.36</v>
      </c>
      <c r="Q455">
        <v>98.28</v>
      </c>
      <c r="R455">
        <v>95.83</v>
      </c>
      <c r="S455">
        <v>119.56</v>
      </c>
    </row>
    <row r="456" spans="1:19">
      <c r="A456" s="1">
        <v>43027</v>
      </c>
      <c r="B456" t="s">
        <v>274</v>
      </c>
      <c r="C456" t="s">
        <v>287</v>
      </c>
      <c r="D456">
        <v>11.475</v>
      </c>
      <c r="E456">
        <v>12.225</v>
      </c>
      <c r="F456">
        <v>0.065359477124183</v>
      </c>
      <c r="G456">
        <f ca="1" t="shared" si="21"/>
        <v>0.234766869023449</v>
      </c>
      <c r="H456" t="str">
        <f ca="1" t="shared" si="22"/>
        <v>Risk-On</v>
      </c>
      <c r="I456">
        <f ca="1" t="shared" si="23"/>
        <v>1</v>
      </c>
      <c r="J456">
        <f>_xlfn.XLOOKUP($A456,[1]Sheet1!$B$9:$B$2584,[1]Sheet1!$C$9:$C$2584,"N/A",0)</f>
        <v>97.49</v>
      </c>
      <c r="K456">
        <f>_xlfn.XLOOKUP($A456,[1]Sheet1!$E$9:$E$2584,[1]Sheet1!$F$9:$F$2584,"N/A",0)</f>
        <v>132.97</v>
      </c>
      <c r="L456">
        <f>_xlfn.XLOOKUP($A456,[1]Sheet1!$H$9:$H$2584,[1]Sheet1!$I$9:$I$2584,"N/A",0)</f>
        <v>98.71</v>
      </c>
      <c r="M456">
        <f>_xlfn.XLOOKUP($A456,[1]Sheet1!$K$9:$K$2584,[1]Sheet1!$L$9:$L$2584,"N/A",0)</f>
        <v>119.64</v>
      </c>
      <c r="N456">
        <f>_xlfn.XLOOKUP($A456,[1]Sheet1!$N$9:$N$2584,[1]Sheet1!$O$9:$O$2584,"N/A",0)</f>
        <v>96.1</v>
      </c>
      <c r="O456">
        <v>97.49</v>
      </c>
      <c r="P456">
        <v>132.97</v>
      </c>
      <c r="Q456">
        <v>98.71</v>
      </c>
      <c r="R456">
        <v>96.1</v>
      </c>
      <c r="S456">
        <v>119.64</v>
      </c>
    </row>
    <row r="457" spans="1:19">
      <c r="A457" s="1">
        <v>43028</v>
      </c>
      <c r="B457" t="s">
        <v>274</v>
      </c>
      <c r="C457" t="s">
        <v>287</v>
      </c>
      <c r="D457">
        <v>11.325</v>
      </c>
      <c r="E457">
        <v>12.125</v>
      </c>
      <c r="F457">
        <v>0.0706401766004415</v>
      </c>
      <c r="G457">
        <f ca="1" t="shared" si="21"/>
        <v>0.355155125586678</v>
      </c>
      <c r="H457" t="str">
        <f ca="1" t="shared" si="22"/>
        <v>Risk-Off</v>
      </c>
      <c r="I457">
        <f ca="1" t="shared" si="23"/>
        <v>1</v>
      </c>
      <c r="J457">
        <f>_xlfn.XLOOKUP($A457,[1]Sheet1!$B$9:$B$2584,[1]Sheet1!$C$9:$C$2584,"N/A",0)</f>
        <v>97.54</v>
      </c>
      <c r="K457">
        <f>_xlfn.XLOOKUP($A457,[1]Sheet1!$E$9:$E$2584,[1]Sheet1!$F$9:$F$2584,"N/A",0)</f>
        <v>133.06</v>
      </c>
      <c r="L457">
        <f>_xlfn.XLOOKUP($A457,[1]Sheet1!$H$9:$H$2584,[1]Sheet1!$I$9:$I$2584,"N/A",0)</f>
        <v>98.62</v>
      </c>
      <c r="M457">
        <f>_xlfn.XLOOKUP($A457,[1]Sheet1!$K$9:$K$2584,[1]Sheet1!$L$9:$L$2584,"N/A",0)</f>
        <v>119.94</v>
      </c>
      <c r="N457">
        <f>_xlfn.XLOOKUP($A457,[1]Sheet1!$N$9:$N$2584,[1]Sheet1!$O$9:$O$2584,"N/A",0)</f>
        <v>96.09</v>
      </c>
      <c r="O457">
        <v>97.54</v>
      </c>
      <c r="P457">
        <v>133.06</v>
      </c>
      <c r="Q457">
        <v>98.62</v>
      </c>
      <c r="R457">
        <v>96.09</v>
      </c>
      <c r="S457">
        <v>119.94</v>
      </c>
    </row>
    <row r="458" spans="1:19">
      <c r="A458" s="1">
        <v>43031</v>
      </c>
      <c r="B458" t="s">
        <v>274</v>
      </c>
      <c r="C458" t="s">
        <v>287</v>
      </c>
      <c r="D458">
        <v>11.775</v>
      </c>
      <c r="E458">
        <v>12.525</v>
      </c>
      <c r="F458">
        <v>0.0636942675159235</v>
      </c>
      <c r="G458">
        <f ca="1" t="shared" si="21"/>
        <v>0.192380989278722</v>
      </c>
      <c r="H458" t="str">
        <f ca="1" t="shared" si="22"/>
        <v>Risk-On</v>
      </c>
      <c r="I458">
        <f ca="1" t="shared" si="23"/>
        <v>1</v>
      </c>
      <c r="J458">
        <f>_xlfn.XLOOKUP($A458,[1]Sheet1!$B$9:$B$2584,[1]Sheet1!$C$9:$C$2584,"N/A",0)</f>
        <v>97.42</v>
      </c>
      <c r="K458">
        <f>_xlfn.XLOOKUP($A458,[1]Sheet1!$E$9:$E$2584,[1]Sheet1!$F$9:$F$2584,"N/A",0)</f>
        <v>133.66</v>
      </c>
      <c r="L458">
        <f>_xlfn.XLOOKUP($A458,[1]Sheet1!$H$9:$H$2584,[1]Sheet1!$I$9:$I$2584,"N/A",0)</f>
        <v>98.97</v>
      </c>
      <c r="M458">
        <f>_xlfn.XLOOKUP($A458,[1]Sheet1!$K$9:$K$2584,[1]Sheet1!$L$9:$L$2584,"N/A",0)</f>
        <v>120.4</v>
      </c>
      <c r="N458">
        <f>_xlfn.XLOOKUP($A458,[1]Sheet1!$N$9:$N$2584,[1]Sheet1!$O$9:$O$2584,"N/A",0)</f>
        <v>96.19</v>
      </c>
      <c r="O458">
        <v>97.42</v>
      </c>
      <c r="P458">
        <v>133.66</v>
      </c>
      <c r="Q458">
        <v>98.97</v>
      </c>
      <c r="R458">
        <v>96.19</v>
      </c>
      <c r="S458">
        <v>120.4</v>
      </c>
    </row>
    <row r="459" spans="1:19">
      <c r="A459" s="1">
        <v>43032</v>
      </c>
      <c r="B459" t="s">
        <v>274</v>
      </c>
      <c r="C459" t="s">
        <v>287</v>
      </c>
      <c r="D459">
        <v>11.925</v>
      </c>
      <c r="E459">
        <v>12.525</v>
      </c>
      <c r="F459">
        <v>0.050314465408805</v>
      </c>
      <c r="G459">
        <f ca="1" t="shared" si="21"/>
        <v>-0.117558454488216</v>
      </c>
      <c r="H459" t="str">
        <f ca="1" t="shared" si="22"/>
        <v>Risk-Off</v>
      </c>
      <c r="I459">
        <f ca="1" t="shared" si="23"/>
        <v>1</v>
      </c>
      <c r="J459">
        <f>_xlfn.XLOOKUP($A459,[1]Sheet1!$B$9:$B$2584,[1]Sheet1!$C$9:$C$2584,"N/A",0)</f>
        <v>97.48</v>
      </c>
      <c r="K459">
        <f>_xlfn.XLOOKUP($A459,[1]Sheet1!$E$9:$E$2584,[1]Sheet1!$F$9:$F$2584,"N/A",0)</f>
        <v>134.52</v>
      </c>
      <c r="L459">
        <f>_xlfn.XLOOKUP($A459,[1]Sheet1!$H$9:$H$2584,[1]Sheet1!$I$9:$I$2584,"N/A",0)</f>
        <v>99.08</v>
      </c>
      <c r="M459">
        <f>_xlfn.XLOOKUP($A459,[1]Sheet1!$K$9:$K$2584,[1]Sheet1!$L$9:$L$2584,"N/A",0)</f>
        <v>120.26</v>
      </c>
      <c r="N459">
        <f>_xlfn.XLOOKUP($A459,[1]Sheet1!$N$9:$N$2584,[1]Sheet1!$O$9:$O$2584,"N/A",0)</f>
        <v>96.29</v>
      </c>
      <c r="O459">
        <v>97.48</v>
      </c>
      <c r="P459">
        <v>134.52</v>
      </c>
      <c r="Q459">
        <v>99.08</v>
      </c>
      <c r="R459">
        <v>96.29</v>
      </c>
      <c r="S459">
        <v>120.26</v>
      </c>
    </row>
    <row r="460" spans="1:19">
      <c r="A460" s="1">
        <v>43033</v>
      </c>
      <c r="B460" t="s">
        <v>274</v>
      </c>
      <c r="C460" t="s">
        <v>287</v>
      </c>
      <c r="D460">
        <v>12.025</v>
      </c>
      <c r="E460">
        <v>12.575</v>
      </c>
      <c r="F460">
        <v>0.0457380457380456</v>
      </c>
      <c r="G460">
        <f ca="1" t="shared" si="21"/>
        <v>-0.21793829690253</v>
      </c>
      <c r="H460" t="str">
        <f ca="1" t="shared" si="22"/>
        <v>Risk-Off</v>
      </c>
      <c r="I460">
        <f ca="1" t="shared" si="23"/>
        <v>1</v>
      </c>
      <c r="J460">
        <f>_xlfn.XLOOKUP($A460,[1]Sheet1!$B$9:$B$2584,[1]Sheet1!$C$9:$C$2584,"N/A",0)</f>
        <v>97.47</v>
      </c>
      <c r="K460">
        <f>_xlfn.XLOOKUP($A460,[1]Sheet1!$E$9:$E$2584,[1]Sheet1!$F$9:$F$2584,"N/A",0)</f>
        <v>134.65</v>
      </c>
      <c r="L460">
        <f>_xlfn.XLOOKUP($A460,[1]Sheet1!$H$9:$H$2584,[1]Sheet1!$I$9:$I$2584,"N/A",0)</f>
        <v>99.25</v>
      </c>
      <c r="M460">
        <f>_xlfn.XLOOKUP($A460,[1]Sheet1!$K$9:$K$2584,[1]Sheet1!$L$9:$L$2584,"N/A",0)</f>
        <v>120.49</v>
      </c>
      <c r="N460">
        <f>_xlfn.XLOOKUP($A460,[1]Sheet1!$N$9:$N$2584,[1]Sheet1!$O$9:$O$2584,"N/A",0)</f>
        <v>96.24</v>
      </c>
      <c r="O460">
        <v>97.47</v>
      </c>
      <c r="P460">
        <v>134.65</v>
      </c>
      <c r="Q460">
        <v>99.25</v>
      </c>
      <c r="R460">
        <v>96.24</v>
      </c>
      <c r="S460">
        <v>120.49</v>
      </c>
    </row>
    <row r="461" spans="1:19">
      <c r="A461" s="1">
        <v>43034</v>
      </c>
      <c r="B461" t="s">
        <v>274</v>
      </c>
      <c r="C461" t="s">
        <v>287</v>
      </c>
      <c r="D461">
        <v>12.075</v>
      </c>
      <c r="E461">
        <v>12.675</v>
      </c>
      <c r="F461">
        <v>0.0496894409937889</v>
      </c>
      <c r="G461">
        <f ca="1" t="shared" si="21"/>
        <v>-0.122422411810967</v>
      </c>
      <c r="H461" t="str">
        <f ca="1" t="shared" si="22"/>
        <v>Risk-Off</v>
      </c>
      <c r="I461">
        <f ca="1" t="shared" si="23"/>
        <v>1</v>
      </c>
      <c r="J461">
        <f>_xlfn.XLOOKUP($A461,[1]Sheet1!$B$9:$B$2584,[1]Sheet1!$C$9:$C$2584,"N/A",0)</f>
        <v>97.73</v>
      </c>
      <c r="K461">
        <f>_xlfn.XLOOKUP($A461,[1]Sheet1!$E$9:$E$2584,[1]Sheet1!$F$9:$F$2584,"N/A",0)</f>
        <v>134.46</v>
      </c>
      <c r="L461">
        <f>_xlfn.XLOOKUP($A461,[1]Sheet1!$H$9:$H$2584,[1]Sheet1!$I$9:$I$2584,"N/A",0)</f>
        <v>98.58</v>
      </c>
      <c r="M461">
        <f>_xlfn.XLOOKUP($A461,[1]Sheet1!$K$9:$K$2584,[1]Sheet1!$L$9:$L$2584,"N/A",0)</f>
        <v>120.94</v>
      </c>
      <c r="N461">
        <f>_xlfn.XLOOKUP($A461,[1]Sheet1!$N$9:$N$2584,[1]Sheet1!$O$9:$O$2584,"N/A",0)</f>
        <v>96.03</v>
      </c>
      <c r="O461">
        <v>97.73</v>
      </c>
      <c r="P461">
        <v>134.46</v>
      </c>
      <c r="Q461">
        <v>98.58</v>
      </c>
      <c r="R461">
        <v>96.03</v>
      </c>
      <c r="S461">
        <v>120.94</v>
      </c>
    </row>
    <row r="462" spans="1:19">
      <c r="A462" s="1">
        <v>43035</v>
      </c>
      <c r="B462" t="s">
        <v>274</v>
      </c>
      <c r="C462" t="s">
        <v>287</v>
      </c>
      <c r="D462">
        <v>11.425</v>
      </c>
      <c r="E462">
        <v>12.225</v>
      </c>
      <c r="F462">
        <v>0.0700218818380743</v>
      </c>
      <c r="G462">
        <f ca="1" t="shared" si="21"/>
        <v>0.350409112886904</v>
      </c>
      <c r="H462" t="str">
        <f ca="1" t="shared" si="22"/>
        <v>Risk-Off</v>
      </c>
      <c r="I462">
        <f ca="1" t="shared" si="23"/>
        <v>1</v>
      </c>
      <c r="J462">
        <f>_xlfn.XLOOKUP($A462,[1]Sheet1!$B$9:$B$2584,[1]Sheet1!$C$9:$C$2584,"N/A",0)</f>
        <v>98.13</v>
      </c>
      <c r="K462">
        <f>_xlfn.XLOOKUP($A462,[1]Sheet1!$E$9:$E$2584,[1]Sheet1!$F$9:$F$2584,"N/A",0)</f>
        <v>136.25</v>
      </c>
      <c r="L462">
        <f>_xlfn.XLOOKUP($A462,[1]Sheet1!$H$9:$H$2584,[1]Sheet1!$I$9:$I$2584,"N/A",0)</f>
        <v>97.6</v>
      </c>
      <c r="M462">
        <f>_xlfn.XLOOKUP($A462,[1]Sheet1!$K$9:$K$2584,[1]Sheet1!$L$9:$L$2584,"N/A",0)</f>
        <v>120.79</v>
      </c>
      <c r="N462">
        <f>_xlfn.XLOOKUP($A462,[1]Sheet1!$N$9:$N$2584,[1]Sheet1!$O$9:$O$2584,"N/A",0)</f>
        <v>95.54</v>
      </c>
      <c r="O462">
        <v>98.13</v>
      </c>
      <c r="P462">
        <v>136.25</v>
      </c>
      <c r="Q462">
        <v>97.6</v>
      </c>
      <c r="R462">
        <v>95.54</v>
      </c>
      <c r="S462">
        <v>120.79</v>
      </c>
    </row>
    <row r="463" spans="1:19">
      <c r="A463" s="1">
        <v>43038</v>
      </c>
      <c r="B463" t="s">
        <v>274</v>
      </c>
      <c r="C463" t="s">
        <v>287</v>
      </c>
      <c r="D463">
        <v>11.575</v>
      </c>
      <c r="E463">
        <v>12.325</v>
      </c>
      <c r="F463">
        <v>0.0647948164146868</v>
      </c>
      <c r="G463">
        <f ca="1" t="shared" si="21"/>
        <v>0.224686792281599</v>
      </c>
      <c r="H463" t="str">
        <f ca="1" t="shared" si="22"/>
        <v>Risk-Off</v>
      </c>
      <c r="I463">
        <f ca="1" t="shared" si="23"/>
        <v>1</v>
      </c>
      <c r="J463">
        <f>_xlfn.XLOOKUP($A463,[1]Sheet1!$B$9:$B$2584,[1]Sheet1!$C$9:$C$2584,"N/A",0)</f>
        <v>98.26</v>
      </c>
      <c r="K463">
        <f>_xlfn.XLOOKUP($A463,[1]Sheet1!$E$9:$E$2584,[1]Sheet1!$F$9:$F$2584,"N/A",0)</f>
        <v>135.77</v>
      </c>
      <c r="L463">
        <f>_xlfn.XLOOKUP($A463,[1]Sheet1!$H$9:$H$2584,[1]Sheet1!$I$9:$I$2584,"N/A",0)</f>
        <v>97.05</v>
      </c>
      <c r="M463">
        <f>_xlfn.XLOOKUP($A463,[1]Sheet1!$K$9:$K$2584,[1]Sheet1!$L$9:$L$2584,"N/A",0)</f>
        <v>120.09</v>
      </c>
      <c r="N463">
        <f>_xlfn.XLOOKUP($A463,[1]Sheet1!$N$9:$N$2584,[1]Sheet1!$O$9:$O$2584,"N/A",0)</f>
        <v>96.22</v>
      </c>
      <c r="O463">
        <v>98.26</v>
      </c>
      <c r="P463">
        <v>135.77</v>
      </c>
      <c r="Q463">
        <v>97.05</v>
      </c>
      <c r="R463">
        <v>96.22</v>
      </c>
      <c r="S463">
        <v>120.09</v>
      </c>
    </row>
    <row r="464" spans="1:19">
      <c r="A464" s="1">
        <v>43039</v>
      </c>
      <c r="B464" t="s">
        <v>274</v>
      </c>
      <c r="C464" t="s">
        <v>287</v>
      </c>
      <c r="D464">
        <v>11.275</v>
      </c>
      <c r="E464">
        <v>12.175</v>
      </c>
      <c r="F464">
        <v>0.0798226164079822</v>
      </c>
      <c r="G464">
        <f ca="1" t="shared" si="21"/>
        <v>0.574035529814313</v>
      </c>
      <c r="H464" t="str">
        <f ca="1" t="shared" si="22"/>
        <v>Risk-Off</v>
      </c>
      <c r="I464">
        <f ca="1" t="shared" si="23"/>
        <v>1</v>
      </c>
      <c r="J464">
        <f>_xlfn.XLOOKUP($A464,[1]Sheet1!$B$9:$B$2584,[1]Sheet1!$C$9:$C$2584,"N/A",0)</f>
        <v>98.4</v>
      </c>
      <c r="K464">
        <f>_xlfn.XLOOKUP($A464,[1]Sheet1!$E$9:$E$2584,[1]Sheet1!$F$9:$F$2584,"N/A",0)</f>
        <v>137.01</v>
      </c>
      <c r="L464">
        <f>_xlfn.XLOOKUP($A464,[1]Sheet1!$H$9:$H$2584,[1]Sheet1!$I$9:$I$2584,"N/A",0)</f>
        <v>97.1</v>
      </c>
      <c r="M464">
        <f>_xlfn.XLOOKUP($A464,[1]Sheet1!$K$9:$K$2584,[1]Sheet1!$L$9:$L$2584,"N/A",0)</f>
        <v>119.95</v>
      </c>
      <c r="N464">
        <f>_xlfn.XLOOKUP($A464,[1]Sheet1!$N$9:$N$2584,[1]Sheet1!$O$9:$O$2584,"N/A",0)</f>
        <v>95.76</v>
      </c>
      <c r="O464">
        <v>98.4</v>
      </c>
      <c r="P464">
        <v>137.01</v>
      </c>
      <c r="Q464">
        <v>97.1</v>
      </c>
      <c r="R464">
        <v>95.76</v>
      </c>
      <c r="S464">
        <v>119.95</v>
      </c>
    </row>
    <row r="465" spans="1:19">
      <c r="A465" s="1">
        <v>43040</v>
      </c>
      <c r="B465" t="s">
        <v>274</v>
      </c>
      <c r="C465" t="s">
        <v>287</v>
      </c>
      <c r="D465">
        <v>11.375</v>
      </c>
      <c r="E465">
        <v>12.275</v>
      </c>
      <c r="F465">
        <v>0.0791208791208791</v>
      </c>
      <c r="G465">
        <f ca="1" t="shared" si="21"/>
        <v>0.554292495470604</v>
      </c>
      <c r="H465" t="str">
        <f ca="1" t="shared" si="22"/>
        <v>Risk-Off</v>
      </c>
      <c r="I465">
        <f ca="1" t="shared" si="23"/>
        <v>1</v>
      </c>
      <c r="J465">
        <f>_xlfn.XLOOKUP($A465,[1]Sheet1!$B$9:$B$2584,[1]Sheet1!$C$9:$C$2584,"N/A",0)</f>
        <v>98.53</v>
      </c>
      <c r="K465">
        <f>_xlfn.XLOOKUP($A465,[1]Sheet1!$E$9:$E$2584,[1]Sheet1!$F$9:$F$2584,"N/A",0)</f>
        <v>137.47</v>
      </c>
      <c r="L465">
        <f>_xlfn.XLOOKUP($A465,[1]Sheet1!$H$9:$H$2584,[1]Sheet1!$I$9:$I$2584,"N/A",0)</f>
        <v>96.9</v>
      </c>
      <c r="M465">
        <f>_xlfn.XLOOKUP($A465,[1]Sheet1!$K$9:$K$2584,[1]Sheet1!$L$9:$L$2584,"N/A",0)</f>
        <v>120.2</v>
      </c>
      <c r="N465">
        <f>_xlfn.XLOOKUP($A465,[1]Sheet1!$N$9:$N$2584,[1]Sheet1!$O$9:$O$2584,"N/A",0)</f>
        <v>96.27</v>
      </c>
      <c r="O465">
        <v>98.53</v>
      </c>
      <c r="P465">
        <v>137.47</v>
      </c>
      <c r="Q465">
        <v>96.9</v>
      </c>
      <c r="R465">
        <v>96.27</v>
      </c>
      <c r="S465">
        <v>120.2</v>
      </c>
    </row>
    <row r="466" spans="1:19">
      <c r="A466" s="1">
        <v>43041</v>
      </c>
      <c r="B466" t="s">
        <v>274</v>
      </c>
      <c r="C466" t="s">
        <v>287</v>
      </c>
      <c r="D466">
        <v>11.125</v>
      </c>
      <c r="E466">
        <v>12.275</v>
      </c>
      <c r="F466" s="2" t="s">
        <v>288</v>
      </c>
      <c r="G466">
        <f ca="1" t="shared" si="21"/>
        <v>1.11182818497232</v>
      </c>
      <c r="H466" t="str">
        <f ca="1" t="shared" si="22"/>
        <v>Risk-Off</v>
      </c>
      <c r="I466">
        <f ca="1" t="shared" si="23"/>
        <v>1</v>
      </c>
      <c r="J466">
        <f>_xlfn.XLOOKUP($A466,[1]Sheet1!$B$9:$B$2584,[1]Sheet1!$C$9:$C$2584,"N/A",0)</f>
        <v>98.29</v>
      </c>
      <c r="K466">
        <f>_xlfn.XLOOKUP($A466,[1]Sheet1!$E$9:$E$2584,[1]Sheet1!$F$9:$F$2584,"N/A",0)</f>
        <v>138.5</v>
      </c>
      <c r="L466">
        <f>_xlfn.XLOOKUP($A466,[1]Sheet1!$H$9:$H$2584,[1]Sheet1!$I$9:$I$2584,"N/A",0)</f>
        <v>96.42</v>
      </c>
      <c r="M466">
        <f>_xlfn.XLOOKUP($A466,[1]Sheet1!$K$9:$K$2584,[1]Sheet1!$L$9:$L$2584,"N/A",0)</f>
        <v>120.76</v>
      </c>
      <c r="N466">
        <f>_xlfn.XLOOKUP($A466,[1]Sheet1!$N$9:$N$2584,[1]Sheet1!$O$9:$O$2584,"N/A",0)</f>
        <v>96.69</v>
      </c>
      <c r="O466">
        <v>98.29</v>
      </c>
      <c r="P466">
        <v>138.5</v>
      </c>
      <c r="Q466">
        <v>96.42</v>
      </c>
      <c r="R466">
        <v>96.69</v>
      </c>
      <c r="S466">
        <v>120.76</v>
      </c>
    </row>
    <row r="467" spans="1:19">
      <c r="A467" s="1">
        <v>43042</v>
      </c>
      <c r="B467" t="s">
        <v>274</v>
      </c>
      <c r="C467" t="s">
        <v>287</v>
      </c>
      <c r="D467">
        <v>10.975</v>
      </c>
      <c r="E467">
        <v>12.325</v>
      </c>
      <c r="F467" s="2" t="s">
        <v>289</v>
      </c>
      <c r="G467">
        <f ca="1" t="shared" si="21"/>
        <v>1.57201194674806</v>
      </c>
      <c r="H467" t="str">
        <f ca="1" t="shared" si="22"/>
        <v>Risk-On</v>
      </c>
      <c r="I467">
        <f ca="1" t="shared" si="23"/>
        <v>1</v>
      </c>
      <c r="J467">
        <f>_xlfn.XLOOKUP($A467,[1]Sheet1!$B$9:$B$2584,[1]Sheet1!$C$9:$C$2584,"N/A",0)</f>
        <v>98.26</v>
      </c>
      <c r="K467">
        <f>_xlfn.XLOOKUP($A467,[1]Sheet1!$E$9:$E$2584,[1]Sheet1!$F$9:$F$2584,"N/A",0)</f>
        <v>138.84</v>
      </c>
      <c r="L467">
        <f>_xlfn.XLOOKUP($A467,[1]Sheet1!$H$9:$H$2584,[1]Sheet1!$I$9:$I$2584,"N/A",0)</f>
        <v>96.06</v>
      </c>
      <c r="M467">
        <f>_xlfn.XLOOKUP($A467,[1]Sheet1!$K$9:$K$2584,[1]Sheet1!$L$9:$L$2584,"N/A",0)</f>
        <v>121.15</v>
      </c>
      <c r="N467">
        <f>_xlfn.XLOOKUP($A467,[1]Sheet1!$N$9:$N$2584,[1]Sheet1!$O$9:$O$2584,"N/A",0)</f>
        <v>96.98</v>
      </c>
      <c r="O467">
        <v>98.26</v>
      </c>
      <c r="P467">
        <v>138.84</v>
      </c>
      <c r="Q467">
        <v>96.06</v>
      </c>
      <c r="R467">
        <v>96.98</v>
      </c>
      <c r="S467">
        <v>121.15</v>
      </c>
    </row>
    <row r="468" spans="1:19">
      <c r="A468" s="1">
        <v>43045</v>
      </c>
      <c r="B468" t="s">
        <v>274</v>
      </c>
      <c r="C468" t="s">
        <v>287</v>
      </c>
      <c r="D468">
        <v>10.725</v>
      </c>
      <c r="E468">
        <v>12.175</v>
      </c>
      <c r="F468" s="2" t="s">
        <v>290</v>
      </c>
      <c r="G468">
        <f ca="1" t="shared" si="21"/>
        <v>1.87596538673699</v>
      </c>
      <c r="H468" t="str">
        <f ca="1" t="shared" si="22"/>
        <v>Risk-Off</v>
      </c>
      <c r="I468">
        <f ca="1" t="shared" si="23"/>
        <v>1</v>
      </c>
      <c r="J468">
        <f>_xlfn.XLOOKUP($A468,[1]Sheet1!$B$9:$B$2584,[1]Sheet1!$C$9:$C$2584,"N/A",0)</f>
        <v>98.61</v>
      </c>
      <c r="K468">
        <f>_xlfn.XLOOKUP($A468,[1]Sheet1!$E$9:$E$2584,[1]Sheet1!$F$9:$F$2584,"N/A",0)</f>
        <v>138</v>
      </c>
      <c r="L468">
        <f>_xlfn.XLOOKUP($A468,[1]Sheet1!$H$9:$H$2584,[1]Sheet1!$I$9:$I$2584,"N/A",0)</f>
        <v>95.6</v>
      </c>
      <c r="M468">
        <f>_xlfn.XLOOKUP($A468,[1]Sheet1!$K$9:$K$2584,[1]Sheet1!$L$9:$L$2584,"N/A",0)</f>
        <v>120.45</v>
      </c>
      <c r="N468">
        <f>_xlfn.XLOOKUP($A468,[1]Sheet1!$N$9:$N$2584,[1]Sheet1!$O$9:$O$2584,"N/A",0)</f>
        <v>97.41</v>
      </c>
      <c r="O468">
        <v>98.61</v>
      </c>
      <c r="P468">
        <v>138</v>
      </c>
      <c r="Q468">
        <v>95.6</v>
      </c>
      <c r="R468">
        <v>97.41</v>
      </c>
      <c r="S468">
        <v>120.45</v>
      </c>
    </row>
    <row r="469" spans="1:19">
      <c r="A469" s="1">
        <v>43046</v>
      </c>
      <c r="B469" t="s">
        <v>274</v>
      </c>
      <c r="C469" t="s">
        <v>287</v>
      </c>
      <c r="D469">
        <v>10.875</v>
      </c>
      <c r="E469">
        <v>12.275</v>
      </c>
      <c r="F469" s="2" t="s">
        <v>291</v>
      </c>
      <c r="G469">
        <f ca="1" t="shared" si="21"/>
        <v>1.72200428453617</v>
      </c>
      <c r="H469" t="str">
        <f ca="1" t="shared" si="22"/>
        <v>Risk-Off</v>
      </c>
      <c r="I469">
        <f ca="1" t="shared" si="23"/>
        <v>1</v>
      </c>
      <c r="J469">
        <f>_xlfn.XLOOKUP($A469,[1]Sheet1!$B$9:$B$2584,[1]Sheet1!$C$9:$C$2584,"N/A",0)</f>
        <v>98.75</v>
      </c>
      <c r="K469">
        <f>_xlfn.XLOOKUP($A469,[1]Sheet1!$E$9:$E$2584,[1]Sheet1!$F$9:$F$2584,"N/A",0)</f>
        <v>139.01</v>
      </c>
      <c r="L469">
        <f>_xlfn.XLOOKUP($A469,[1]Sheet1!$H$9:$H$2584,[1]Sheet1!$I$9:$I$2584,"N/A",0)</f>
        <v>95.86</v>
      </c>
      <c r="M469">
        <f>_xlfn.XLOOKUP($A469,[1]Sheet1!$K$9:$K$2584,[1]Sheet1!$L$9:$L$2584,"N/A",0)</f>
        <v>120.65</v>
      </c>
      <c r="N469">
        <f>_xlfn.XLOOKUP($A469,[1]Sheet1!$N$9:$N$2584,[1]Sheet1!$O$9:$O$2584,"N/A",0)</f>
        <v>98.17</v>
      </c>
      <c r="O469">
        <v>98.75</v>
      </c>
      <c r="P469">
        <v>139.01</v>
      </c>
      <c r="Q469">
        <v>95.86</v>
      </c>
      <c r="R469">
        <v>98.17</v>
      </c>
      <c r="S469">
        <v>120.65</v>
      </c>
    </row>
    <row r="470" spans="1:19">
      <c r="A470" s="1">
        <v>43047</v>
      </c>
      <c r="B470" t="s">
        <v>274</v>
      </c>
      <c r="C470" t="s">
        <v>287</v>
      </c>
      <c r="D470">
        <v>10.875</v>
      </c>
      <c r="E470">
        <v>12.275</v>
      </c>
      <c r="F470" s="2" t="s">
        <v>291</v>
      </c>
      <c r="G470">
        <f ca="1" t="shared" si="21"/>
        <v>1.72200428453617</v>
      </c>
      <c r="H470" t="str">
        <f ca="1" t="shared" si="22"/>
        <v>Risk-Off</v>
      </c>
      <c r="I470">
        <f ca="1" t="shared" si="23"/>
        <v>1</v>
      </c>
      <c r="J470">
        <f>_xlfn.XLOOKUP($A470,[1]Sheet1!$B$9:$B$2584,[1]Sheet1!$C$9:$C$2584,"N/A",0)</f>
        <v>98.66</v>
      </c>
      <c r="K470">
        <f>_xlfn.XLOOKUP($A470,[1]Sheet1!$E$9:$E$2584,[1]Sheet1!$F$9:$F$2584,"N/A",0)</f>
        <v>139.03</v>
      </c>
      <c r="L470">
        <f>_xlfn.XLOOKUP($A470,[1]Sheet1!$H$9:$H$2584,[1]Sheet1!$I$9:$I$2584,"N/A",0)</f>
        <v>95.83</v>
      </c>
      <c r="M470">
        <f>_xlfn.XLOOKUP($A470,[1]Sheet1!$K$9:$K$2584,[1]Sheet1!$L$9:$L$2584,"N/A",0)</f>
        <v>120.6</v>
      </c>
      <c r="N470">
        <f>_xlfn.XLOOKUP($A470,[1]Sheet1!$N$9:$N$2584,[1]Sheet1!$O$9:$O$2584,"N/A",0)</f>
        <v>98.08</v>
      </c>
      <c r="O470">
        <v>98.66</v>
      </c>
      <c r="P470">
        <v>139.03</v>
      </c>
      <c r="Q470">
        <v>95.83</v>
      </c>
      <c r="R470">
        <v>98.08</v>
      </c>
      <c r="S470">
        <v>120.6</v>
      </c>
    </row>
    <row r="471" spans="1:19">
      <c r="A471" s="1">
        <v>43048</v>
      </c>
      <c r="B471" t="s">
        <v>274</v>
      </c>
      <c r="C471" t="s">
        <v>287</v>
      </c>
      <c r="D471">
        <v>11.125</v>
      </c>
      <c r="E471">
        <v>12.325</v>
      </c>
      <c r="F471" s="2" t="s">
        <v>292</v>
      </c>
      <c r="G471">
        <f ca="1" t="shared" si="21"/>
        <v>1.20340685971988</v>
      </c>
      <c r="H471" t="str">
        <f ca="1" t="shared" si="22"/>
        <v>Risk-On</v>
      </c>
      <c r="I471">
        <f ca="1" t="shared" si="23"/>
        <v>1</v>
      </c>
      <c r="J471">
        <f>_xlfn.XLOOKUP($A471,[1]Sheet1!$B$9:$B$2584,[1]Sheet1!$C$9:$C$2584,"N/A",0)</f>
        <v>98.19</v>
      </c>
      <c r="K471">
        <f>_xlfn.XLOOKUP($A471,[1]Sheet1!$E$9:$E$2584,[1]Sheet1!$F$9:$F$2584,"N/A",0)</f>
        <v>137.24</v>
      </c>
      <c r="L471">
        <f>_xlfn.XLOOKUP($A471,[1]Sheet1!$H$9:$H$2584,[1]Sheet1!$I$9:$I$2584,"N/A",0)</f>
        <v>96.19</v>
      </c>
      <c r="M471">
        <f>_xlfn.XLOOKUP($A471,[1]Sheet1!$K$9:$K$2584,[1]Sheet1!$L$9:$L$2584,"N/A",0)</f>
        <v>120.52</v>
      </c>
      <c r="N471">
        <f>_xlfn.XLOOKUP($A471,[1]Sheet1!$N$9:$N$2584,[1]Sheet1!$O$9:$O$2584,"N/A",0)</f>
        <v>97.52</v>
      </c>
      <c r="O471">
        <v>98.19</v>
      </c>
      <c r="P471">
        <v>137.24</v>
      </c>
      <c r="Q471">
        <v>96.19</v>
      </c>
      <c r="R471">
        <v>97.52</v>
      </c>
      <c r="S471">
        <v>120.52</v>
      </c>
    </row>
    <row r="472" spans="1:19">
      <c r="A472" s="1">
        <v>43049</v>
      </c>
      <c r="B472" t="s">
        <v>274</v>
      </c>
      <c r="C472" t="s">
        <v>287</v>
      </c>
      <c r="D472">
        <v>11.6</v>
      </c>
      <c r="E472">
        <v>12.575</v>
      </c>
      <c r="F472">
        <v>0.084051724137931</v>
      </c>
      <c r="G472">
        <f ca="1" t="shared" si="21"/>
        <v>0.620408813247187</v>
      </c>
      <c r="H472" t="str">
        <f ca="1" t="shared" si="22"/>
        <v>Risk-On</v>
      </c>
      <c r="I472">
        <f ca="1" t="shared" si="23"/>
        <v>1</v>
      </c>
      <c r="J472">
        <f>_xlfn.XLOOKUP($A472,[1]Sheet1!$B$9:$B$2584,[1]Sheet1!$C$9:$C$2584,"N/A",0)</f>
        <v>98</v>
      </c>
      <c r="K472">
        <f>_xlfn.XLOOKUP($A472,[1]Sheet1!$E$9:$E$2584,[1]Sheet1!$F$9:$F$2584,"N/A",0)</f>
        <v>137.37</v>
      </c>
      <c r="L472">
        <f>_xlfn.XLOOKUP($A472,[1]Sheet1!$H$9:$H$2584,[1]Sheet1!$I$9:$I$2584,"N/A",0)</f>
        <v>96.17</v>
      </c>
      <c r="M472">
        <f>_xlfn.XLOOKUP($A472,[1]Sheet1!$K$9:$K$2584,[1]Sheet1!$L$9:$L$2584,"N/A",0)</f>
        <v>120.9</v>
      </c>
      <c r="N472">
        <f>_xlfn.XLOOKUP($A472,[1]Sheet1!$N$9:$N$2584,[1]Sheet1!$O$9:$O$2584,"N/A",0)</f>
        <v>97.5</v>
      </c>
      <c r="O472">
        <v>98</v>
      </c>
      <c r="P472">
        <v>137.37</v>
      </c>
      <c r="Q472">
        <v>96.17</v>
      </c>
      <c r="R472">
        <v>97.5</v>
      </c>
      <c r="S472">
        <v>120.9</v>
      </c>
    </row>
    <row r="473" spans="1:19">
      <c r="A473" s="1">
        <v>43052</v>
      </c>
      <c r="B473" t="s">
        <v>274</v>
      </c>
      <c r="C473" t="s">
        <v>287</v>
      </c>
      <c r="D473">
        <v>11.625</v>
      </c>
      <c r="E473">
        <v>12.775</v>
      </c>
      <c r="F473">
        <v>0.0989247311827957</v>
      </c>
      <c r="G473">
        <f ca="1" t="shared" si="21"/>
        <v>0.974299900309952</v>
      </c>
      <c r="H473" t="str">
        <f ca="1" t="shared" si="22"/>
        <v>Risk-On</v>
      </c>
      <c r="I473">
        <f ca="1" t="shared" si="23"/>
        <v>1</v>
      </c>
      <c r="J473">
        <f>_xlfn.XLOOKUP($A473,[1]Sheet1!$B$9:$B$2584,[1]Sheet1!$C$9:$C$2584,"N/A",0)</f>
        <v>98.09</v>
      </c>
      <c r="K473">
        <f>_xlfn.XLOOKUP($A473,[1]Sheet1!$E$9:$E$2584,[1]Sheet1!$F$9:$F$2584,"N/A",0)</f>
        <v>138.37</v>
      </c>
      <c r="L473">
        <f>_xlfn.XLOOKUP($A473,[1]Sheet1!$H$9:$H$2584,[1]Sheet1!$I$9:$I$2584,"N/A",0)</f>
        <v>95.89</v>
      </c>
      <c r="M473">
        <f>_xlfn.XLOOKUP($A473,[1]Sheet1!$K$9:$K$2584,[1]Sheet1!$L$9:$L$2584,"N/A",0)</f>
        <v>120.75</v>
      </c>
      <c r="N473">
        <f>_xlfn.XLOOKUP($A473,[1]Sheet1!$N$9:$N$2584,[1]Sheet1!$O$9:$O$2584,"N/A",0)</f>
        <v>97.53</v>
      </c>
      <c r="O473">
        <v>98.09</v>
      </c>
      <c r="P473">
        <v>138.37</v>
      </c>
      <c r="Q473">
        <v>95.89</v>
      </c>
      <c r="R473">
        <v>97.53</v>
      </c>
      <c r="S473">
        <v>120.75</v>
      </c>
    </row>
    <row r="474" spans="1:19">
      <c r="A474" s="1">
        <v>43053</v>
      </c>
      <c r="B474" t="s">
        <v>274</v>
      </c>
      <c r="C474" t="s">
        <v>287</v>
      </c>
      <c r="D474">
        <v>12.05</v>
      </c>
      <c r="E474">
        <v>12.675</v>
      </c>
      <c r="F474" s="2" t="s">
        <v>293</v>
      </c>
      <c r="G474">
        <f ca="1" t="shared" si="21"/>
        <v>-0.167879471883593</v>
      </c>
      <c r="H474" t="str">
        <f ca="1" t="shared" si="22"/>
        <v>Risk-Off</v>
      </c>
      <c r="I474">
        <f ca="1" t="shared" si="23"/>
        <v>1</v>
      </c>
      <c r="J474">
        <f>_xlfn.XLOOKUP($A474,[1]Sheet1!$B$9:$B$2584,[1]Sheet1!$C$9:$C$2584,"N/A",0)</f>
        <v>98.25</v>
      </c>
      <c r="K474">
        <f>_xlfn.XLOOKUP($A474,[1]Sheet1!$E$9:$E$2584,[1]Sheet1!$F$9:$F$2584,"N/A",0)</f>
        <v>138.92</v>
      </c>
      <c r="L474">
        <f>_xlfn.XLOOKUP($A474,[1]Sheet1!$H$9:$H$2584,[1]Sheet1!$I$9:$I$2584,"N/A",0)</f>
        <v>95.75</v>
      </c>
      <c r="M474">
        <f>_xlfn.XLOOKUP($A474,[1]Sheet1!$K$9:$K$2584,[1]Sheet1!$L$9:$L$2584,"N/A",0)</f>
        <v>121.68</v>
      </c>
      <c r="N474">
        <f>_xlfn.XLOOKUP($A474,[1]Sheet1!$N$9:$N$2584,[1]Sheet1!$O$9:$O$2584,"N/A",0)</f>
        <v>97.33</v>
      </c>
      <c r="O474">
        <v>98.25</v>
      </c>
      <c r="P474">
        <v>138.92</v>
      </c>
      <c r="Q474">
        <v>95.75</v>
      </c>
      <c r="R474">
        <v>97.33</v>
      </c>
      <c r="S474">
        <v>121.68</v>
      </c>
    </row>
    <row r="475" spans="1:19">
      <c r="A475" s="1">
        <v>43054</v>
      </c>
      <c r="B475" t="s">
        <v>274</v>
      </c>
      <c r="C475" t="s">
        <v>287</v>
      </c>
      <c r="D475">
        <v>13.79</v>
      </c>
      <c r="E475">
        <v>13.175</v>
      </c>
      <c r="F475">
        <v>-0.04459753444525</v>
      </c>
      <c r="G475">
        <f ca="1" t="shared" si="21"/>
        <v>-2.49469628724194</v>
      </c>
      <c r="H475" t="str">
        <f ca="1" t="shared" si="22"/>
        <v>Risk-Off</v>
      </c>
      <c r="I475">
        <f ca="1" t="shared" si="23"/>
        <v>1</v>
      </c>
      <c r="J475">
        <f>_xlfn.XLOOKUP($A475,[1]Sheet1!$B$9:$B$2584,[1]Sheet1!$C$9:$C$2584,"N/A",0)</f>
        <v>98.15</v>
      </c>
      <c r="K475">
        <f>_xlfn.XLOOKUP($A475,[1]Sheet1!$E$9:$E$2584,[1]Sheet1!$F$9:$F$2584,"N/A",0)</f>
        <v>138.19</v>
      </c>
      <c r="L475">
        <f>_xlfn.XLOOKUP($A475,[1]Sheet1!$H$9:$H$2584,[1]Sheet1!$I$9:$I$2584,"N/A",0)</f>
        <v>95.94</v>
      </c>
      <c r="M475">
        <f>_xlfn.XLOOKUP($A475,[1]Sheet1!$K$9:$K$2584,[1]Sheet1!$L$9:$L$2584,"N/A",0)</f>
        <v>121.63</v>
      </c>
      <c r="N475">
        <f>_xlfn.XLOOKUP($A475,[1]Sheet1!$N$9:$N$2584,[1]Sheet1!$O$9:$O$2584,"N/A",0)</f>
        <v>97.33</v>
      </c>
      <c r="O475">
        <v>98.15</v>
      </c>
      <c r="P475">
        <v>138.19</v>
      </c>
      <c r="Q475">
        <v>95.94</v>
      </c>
      <c r="R475">
        <v>97.33</v>
      </c>
      <c r="S475">
        <v>121.63</v>
      </c>
    </row>
    <row r="476" spans="1:19">
      <c r="A476" s="1">
        <v>43055</v>
      </c>
      <c r="B476" t="s">
        <v>287</v>
      </c>
      <c r="C476" t="s">
        <v>294</v>
      </c>
      <c r="D476">
        <v>12.675</v>
      </c>
      <c r="E476">
        <v>13.975</v>
      </c>
      <c r="F476" s="2" t="s">
        <v>199</v>
      </c>
      <c r="G476">
        <f ca="1" t="shared" si="21"/>
        <v>1.05298567559504</v>
      </c>
      <c r="H476" t="str">
        <f ca="1" t="shared" si="22"/>
        <v>Risk-Off</v>
      </c>
      <c r="I476">
        <f ca="1" t="shared" si="23"/>
        <v>1</v>
      </c>
      <c r="J476">
        <f>_xlfn.XLOOKUP($A476,[1]Sheet1!$B$9:$B$2584,[1]Sheet1!$C$9:$C$2584,"N/A",0)</f>
        <v>98.28</v>
      </c>
      <c r="K476">
        <f>_xlfn.XLOOKUP($A476,[1]Sheet1!$E$9:$E$2584,[1]Sheet1!$F$9:$F$2584,"N/A",0)</f>
        <v>138.52</v>
      </c>
      <c r="L476">
        <f>_xlfn.XLOOKUP($A476,[1]Sheet1!$H$9:$H$2584,[1]Sheet1!$I$9:$I$2584,"N/A",0)</f>
        <v>96.32</v>
      </c>
      <c r="M476">
        <f>_xlfn.XLOOKUP($A476,[1]Sheet1!$K$9:$K$2584,[1]Sheet1!$L$9:$L$2584,"N/A",0)</f>
        <v>122.11</v>
      </c>
      <c r="N476">
        <f>_xlfn.XLOOKUP($A476,[1]Sheet1!$N$9:$N$2584,[1]Sheet1!$O$9:$O$2584,"N/A",0)</f>
        <v>96.49</v>
      </c>
      <c r="O476">
        <v>98.28</v>
      </c>
      <c r="P476">
        <v>138.52</v>
      </c>
      <c r="Q476">
        <v>96.32</v>
      </c>
      <c r="R476">
        <v>96.49</v>
      </c>
      <c r="S476">
        <v>122.11</v>
      </c>
    </row>
    <row r="477" spans="1:19">
      <c r="A477" s="1">
        <v>43056</v>
      </c>
      <c r="B477" t="s">
        <v>287</v>
      </c>
      <c r="C477" t="s">
        <v>294</v>
      </c>
      <c r="D477">
        <v>12.625</v>
      </c>
      <c r="E477">
        <v>13.875</v>
      </c>
      <c r="F477">
        <v>0.099009900990099</v>
      </c>
      <c r="G477">
        <f ca="1" t="shared" si="21"/>
        <v>0.964204359933975</v>
      </c>
      <c r="H477" t="str">
        <f ca="1" t="shared" si="22"/>
        <v>Risk-On</v>
      </c>
      <c r="I477">
        <f ca="1" t="shared" si="23"/>
        <v>1</v>
      </c>
      <c r="J477">
        <f>_xlfn.XLOOKUP($A477,[1]Sheet1!$B$9:$B$2584,[1]Sheet1!$C$9:$C$2584,"N/A",0)</f>
        <v>98.67</v>
      </c>
      <c r="K477">
        <f>_xlfn.XLOOKUP($A477,[1]Sheet1!$E$9:$E$2584,[1]Sheet1!$F$9:$F$2584,"N/A",0)</f>
        <v>136.74</v>
      </c>
      <c r="L477">
        <f>_xlfn.XLOOKUP($A477,[1]Sheet1!$H$9:$H$2584,[1]Sheet1!$I$9:$I$2584,"N/A",0)</f>
        <v>96.47</v>
      </c>
      <c r="M477">
        <f>_xlfn.XLOOKUP($A477,[1]Sheet1!$K$9:$K$2584,[1]Sheet1!$L$9:$L$2584,"N/A",0)</f>
        <v>122.2</v>
      </c>
      <c r="N477">
        <f>_xlfn.XLOOKUP($A477,[1]Sheet1!$N$9:$N$2584,[1]Sheet1!$O$9:$O$2584,"N/A",0)</f>
        <v>96.3</v>
      </c>
      <c r="O477">
        <v>98.67</v>
      </c>
      <c r="P477">
        <v>136.74</v>
      </c>
      <c r="Q477">
        <v>96.47</v>
      </c>
      <c r="R477">
        <v>96.3</v>
      </c>
      <c r="S477">
        <v>122.2</v>
      </c>
    </row>
    <row r="478" spans="1:19">
      <c r="A478" s="1">
        <v>43059</v>
      </c>
      <c r="B478" t="s">
        <v>287</v>
      </c>
      <c r="C478" t="s">
        <v>294</v>
      </c>
      <c r="D478">
        <v>12.075</v>
      </c>
      <c r="E478">
        <v>13.425</v>
      </c>
      <c r="F478" s="2" t="s">
        <v>295</v>
      </c>
      <c r="G478">
        <f ca="1" t="shared" si="21"/>
        <v>1.25598809318047</v>
      </c>
      <c r="H478" t="str">
        <f ca="1" t="shared" si="22"/>
        <v>Risk-On</v>
      </c>
      <c r="I478">
        <f ca="1" t="shared" si="23"/>
        <v>1</v>
      </c>
      <c r="J478">
        <f>_xlfn.XLOOKUP($A478,[1]Sheet1!$B$9:$B$2584,[1]Sheet1!$C$9:$C$2584,"N/A",0)</f>
        <v>98.52</v>
      </c>
      <c r="K478">
        <f>_xlfn.XLOOKUP($A478,[1]Sheet1!$E$9:$E$2584,[1]Sheet1!$F$9:$F$2584,"N/A",0)</f>
        <v>137.39</v>
      </c>
      <c r="L478">
        <f>_xlfn.XLOOKUP($A478,[1]Sheet1!$H$9:$H$2584,[1]Sheet1!$I$9:$I$2584,"N/A",0)</f>
        <v>96.73</v>
      </c>
      <c r="M478">
        <f>_xlfn.XLOOKUP($A478,[1]Sheet1!$K$9:$K$2584,[1]Sheet1!$L$9:$L$2584,"N/A",0)</f>
        <v>122.57</v>
      </c>
      <c r="N478">
        <f>_xlfn.XLOOKUP($A478,[1]Sheet1!$N$9:$N$2584,[1]Sheet1!$O$9:$O$2584,"N/A",0)</f>
        <v>95.63</v>
      </c>
      <c r="O478">
        <v>98.52</v>
      </c>
      <c r="P478">
        <v>137.39</v>
      </c>
      <c r="Q478">
        <v>96.73</v>
      </c>
      <c r="R478">
        <v>95.63</v>
      </c>
      <c r="S478">
        <v>122.57</v>
      </c>
    </row>
    <row r="479" spans="1:19">
      <c r="A479" s="1">
        <v>43060</v>
      </c>
      <c r="B479" t="s">
        <v>287</v>
      </c>
      <c r="C479" t="s">
        <v>294</v>
      </c>
      <c r="D479">
        <v>11.625</v>
      </c>
      <c r="E479">
        <v>12.975</v>
      </c>
      <c r="F479" s="2" t="s">
        <v>296</v>
      </c>
      <c r="G479">
        <f ca="1" t="shared" si="21"/>
        <v>1.35755830319629</v>
      </c>
      <c r="H479" t="str">
        <f ca="1" t="shared" si="22"/>
        <v>Risk-Off</v>
      </c>
      <c r="I479">
        <f ca="1" t="shared" si="23"/>
        <v>1</v>
      </c>
      <c r="J479">
        <f>_xlfn.XLOOKUP($A479,[1]Sheet1!$B$9:$B$2584,[1]Sheet1!$C$9:$C$2584,"N/A",0)</f>
        <v>98.7</v>
      </c>
      <c r="K479">
        <f>_xlfn.XLOOKUP($A479,[1]Sheet1!$E$9:$E$2584,[1]Sheet1!$F$9:$F$2584,"N/A",0)</f>
        <v>138.59</v>
      </c>
      <c r="L479">
        <f>_xlfn.XLOOKUP($A479,[1]Sheet1!$H$9:$H$2584,[1]Sheet1!$I$9:$I$2584,"N/A",0)</f>
        <v>96.7</v>
      </c>
      <c r="M479">
        <f>_xlfn.XLOOKUP($A479,[1]Sheet1!$K$9:$K$2584,[1]Sheet1!$L$9:$L$2584,"N/A",0)</f>
        <v>121.84</v>
      </c>
      <c r="N479">
        <f>_xlfn.XLOOKUP($A479,[1]Sheet1!$N$9:$N$2584,[1]Sheet1!$O$9:$O$2584,"N/A",0)</f>
        <v>95.22</v>
      </c>
      <c r="O479">
        <v>98.7</v>
      </c>
      <c r="P479">
        <v>138.59</v>
      </c>
      <c r="Q479">
        <v>96.7</v>
      </c>
      <c r="R479">
        <v>95.22</v>
      </c>
      <c r="S479">
        <v>121.84</v>
      </c>
    </row>
    <row r="480" spans="1:19">
      <c r="A480" s="1">
        <v>43061</v>
      </c>
      <c r="B480" t="s">
        <v>287</v>
      </c>
      <c r="C480" t="s">
        <v>294</v>
      </c>
      <c r="D480">
        <v>11.475</v>
      </c>
      <c r="E480">
        <v>12.875</v>
      </c>
      <c r="F480" s="2" t="s">
        <v>297</v>
      </c>
      <c r="G480">
        <f ca="1" t="shared" si="21"/>
        <v>1.4954480795548</v>
      </c>
      <c r="H480" t="str">
        <f ca="1" t="shared" si="22"/>
        <v>Risk-Off</v>
      </c>
      <c r="I480">
        <f ca="1" t="shared" si="23"/>
        <v>1</v>
      </c>
      <c r="J480">
        <f>_xlfn.XLOOKUP($A480,[1]Sheet1!$B$9:$B$2584,[1]Sheet1!$C$9:$C$2584,"N/A",0)</f>
        <v>98.63</v>
      </c>
      <c r="K480">
        <f>_xlfn.XLOOKUP($A480,[1]Sheet1!$E$9:$E$2584,[1]Sheet1!$F$9:$F$2584,"N/A",0)</f>
        <v>137.43</v>
      </c>
      <c r="L480">
        <f>_xlfn.XLOOKUP($A480,[1]Sheet1!$H$9:$H$2584,[1]Sheet1!$I$9:$I$2584,"N/A",0)</f>
        <v>96.61</v>
      </c>
      <c r="M480">
        <f>_xlfn.XLOOKUP($A480,[1]Sheet1!$K$9:$K$2584,[1]Sheet1!$L$9:$L$2584,"N/A",0)</f>
        <v>121.75</v>
      </c>
      <c r="N480">
        <f>_xlfn.XLOOKUP($A480,[1]Sheet1!$N$9:$N$2584,[1]Sheet1!$O$9:$O$2584,"N/A",0)</f>
        <v>95.34</v>
      </c>
      <c r="O480">
        <v>98.63</v>
      </c>
      <c r="P480">
        <v>137.43</v>
      </c>
      <c r="Q480">
        <v>96.61</v>
      </c>
      <c r="R480">
        <v>95.34</v>
      </c>
      <c r="S480">
        <v>121.75</v>
      </c>
    </row>
    <row r="481" spans="1:19">
      <c r="A481" s="1">
        <v>43063</v>
      </c>
      <c r="B481" t="s">
        <v>287</v>
      </c>
      <c r="C481" t="s">
        <v>294</v>
      </c>
      <c r="D481">
        <v>11.425</v>
      </c>
      <c r="E481">
        <v>12.825</v>
      </c>
      <c r="F481" s="2" t="s">
        <v>298</v>
      </c>
      <c r="G481">
        <f ca="1" t="shared" si="21"/>
        <v>1.50797918274278</v>
      </c>
      <c r="H481" t="str">
        <f ca="1" t="shared" si="22"/>
        <v>Risk-Off</v>
      </c>
      <c r="I481">
        <f ca="1" t="shared" si="23"/>
        <v>1</v>
      </c>
      <c r="J481">
        <f>_xlfn.XLOOKUP($A481,[1]Sheet1!$B$9:$B$2584,[1]Sheet1!$C$9:$C$2584,"N/A",0)</f>
        <v>98.67</v>
      </c>
      <c r="K481">
        <f>_xlfn.XLOOKUP($A481,[1]Sheet1!$E$9:$E$2584,[1]Sheet1!$F$9:$F$2584,"N/A",0)</f>
        <v>138.18</v>
      </c>
      <c r="L481">
        <f>_xlfn.XLOOKUP($A481,[1]Sheet1!$H$9:$H$2584,[1]Sheet1!$I$9:$I$2584,"N/A",0)</f>
        <v>96.27</v>
      </c>
      <c r="M481">
        <f>_xlfn.XLOOKUP($A481,[1]Sheet1!$K$9:$K$2584,[1]Sheet1!$L$9:$L$2584,"N/A",0)</f>
        <v>121.85</v>
      </c>
      <c r="N481">
        <f>_xlfn.XLOOKUP($A481,[1]Sheet1!$N$9:$N$2584,[1]Sheet1!$O$9:$O$2584,"N/A",0)</f>
        <v>95.36</v>
      </c>
      <c r="O481">
        <v>98.67</v>
      </c>
      <c r="P481">
        <v>138.18</v>
      </c>
      <c r="Q481">
        <v>96.27</v>
      </c>
      <c r="R481">
        <v>95.36</v>
      </c>
      <c r="S481">
        <v>121.85</v>
      </c>
    </row>
    <row r="482" spans="1:19">
      <c r="A482" s="1">
        <v>43066</v>
      </c>
      <c r="B482" t="s">
        <v>287</v>
      </c>
      <c r="C482" t="s">
        <v>294</v>
      </c>
      <c r="D482">
        <v>11.325</v>
      </c>
      <c r="E482">
        <v>12.875</v>
      </c>
      <c r="F482" s="2" t="s">
        <v>299</v>
      </c>
      <c r="G482">
        <f ca="1" t="shared" si="21"/>
        <v>1.84422501791846</v>
      </c>
      <c r="H482" t="str">
        <f ca="1" t="shared" si="22"/>
        <v>Risk-On</v>
      </c>
      <c r="I482">
        <f ca="1" t="shared" si="23"/>
        <v>1</v>
      </c>
      <c r="J482">
        <f>_xlfn.XLOOKUP($A482,[1]Sheet1!$B$9:$B$2584,[1]Sheet1!$C$9:$C$2584,"N/A",0)</f>
        <v>98.76</v>
      </c>
      <c r="K482">
        <f>_xlfn.XLOOKUP($A482,[1]Sheet1!$E$9:$E$2584,[1]Sheet1!$F$9:$F$2584,"N/A",0)</f>
        <v>138.5</v>
      </c>
      <c r="L482">
        <f>_xlfn.XLOOKUP($A482,[1]Sheet1!$H$9:$H$2584,[1]Sheet1!$I$9:$I$2584,"N/A",0)</f>
        <v>96.13</v>
      </c>
      <c r="M482">
        <f>_xlfn.XLOOKUP($A482,[1]Sheet1!$K$9:$K$2584,[1]Sheet1!$L$9:$L$2584,"N/A",0)</f>
        <v>122.35</v>
      </c>
      <c r="N482">
        <f>_xlfn.XLOOKUP($A482,[1]Sheet1!$N$9:$N$2584,[1]Sheet1!$O$9:$O$2584,"N/A",0)</f>
        <v>95.44</v>
      </c>
      <c r="O482">
        <v>98.76</v>
      </c>
      <c r="P482">
        <v>138.5</v>
      </c>
      <c r="Q482">
        <v>96.13</v>
      </c>
      <c r="R482">
        <v>95.44</v>
      </c>
      <c r="S482">
        <v>122.35</v>
      </c>
    </row>
    <row r="483" spans="1:19">
      <c r="A483" s="1">
        <v>43067</v>
      </c>
      <c r="B483" t="s">
        <v>287</v>
      </c>
      <c r="C483" t="s">
        <v>294</v>
      </c>
      <c r="D483">
        <v>11.275</v>
      </c>
      <c r="E483">
        <v>12.725</v>
      </c>
      <c r="F483" s="2" t="s">
        <v>300</v>
      </c>
      <c r="G483">
        <f ca="1" t="shared" si="21"/>
        <v>1.65031606217922</v>
      </c>
      <c r="H483" t="str">
        <f ca="1" t="shared" si="22"/>
        <v>Risk-On</v>
      </c>
      <c r="I483">
        <f ca="1" t="shared" si="23"/>
        <v>1</v>
      </c>
      <c r="J483">
        <f>_xlfn.XLOOKUP($A483,[1]Sheet1!$B$9:$B$2584,[1]Sheet1!$C$9:$C$2584,"N/A",0)</f>
        <v>98.68</v>
      </c>
      <c r="K483">
        <f>_xlfn.XLOOKUP($A483,[1]Sheet1!$E$9:$E$2584,[1]Sheet1!$F$9:$F$2584,"N/A",0)</f>
        <v>137.23</v>
      </c>
      <c r="L483">
        <f>_xlfn.XLOOKUP($A483,[1]Sheet1!$H$9:$H$2584,[1]Sheet1!$I$9:$I$2584,"N/A",0)</f>
        <v>96.62</v>
      </c>
      <c r="M483">
        <f>_xlfn.XLOOKUP($A483,[1]Sheet1!$K$9:$K$2584,[1]Sheet1!$L$9:$L$2584,"N/A",0)</f>
        <v>123.61</v>
      </c>
      <c r="N483">
        <f>_xlfn.XLOOKUP($A483,[1]Sheet1!$N$9:$N$2584,[1]Sheet1!$O$9:$O$2584,"N/A",0)</f>
        <v>94.97</v>
      </c>
      <c r="O483">
        <v>98.68</v>
      </c>
      <c r="P483">
        <v>137.23</v>
      </c>
      <c r="Q483">
        <v>96.62</v>
      </c>
      <c r="R483">
        <v>94.97</v>
      </c>
      <c r="S483">
        <v>123.61</v>
      </c>
    </row>
    <row r="484" spans="1:19">
      <c r="A484" s="1">
        <v>43068</v>
      </c>
      <c r="B484" t="s">
        <v>287</v>
      </c>
      <c r="C484" t="s">
        <v>294</v>
      </c>
      <c r="D484">
        <v>11.475</v>
      </c>
      <c r="E484">
        <v>12.925</v>
      </c>
      <c r="F484" s="2" t="s">
        <v>301</v>
      </c>
      <c r="G484">
        <f ca="1" t="shared" si="21"/>
        <v>1.59771083235658</v>
      </c>
      <c r="H484" t="str">
        <f ca="1" t="shared" si="22"/>
        <v>Risk-On</v>
      </c>
      <c r="I484">
        <f ca="1" t="shared" si="23"/>
        <v>1</v>
      </c>
      <c r="J484">
        <f>_xlfn.XLOOKUP($A484,[1]Sheet1!$B$9:$B$2584,[1]Sheet1!$C$9:$C$2584,"N/A",0)</f>
        <v>98.72</v>
      </c>
      <c r="K484">
        <f>_xlfn.XLOOKUP($A484,[1]Sheet1!$E$9:$E$2584,[1]Sheet1!$F$9:$F$2584,"N/A",0)</f>
        <v>134.17</v>
      </c>
      <c r="L484">
        <f>_xlfn.XLOOKUP($A484,[1]Sheet1!$H$9:$H$2584,[1]Sheet1!$I$9:$I$2584,"N/A",0)</f>
        <v>96.91</v>
      </c>
      <c r="M484">
        <f>_xlfn.XLOOKUP($A484,[1]Sheet1!$K$9:$K$2584,[1]Sheet1!$L$9:$L$2584,"N/A",0)</f>
        <v>124.59</v>
      </c>
      <c r="N484">
        <f>_xlfn.XLOOKUP($A484,[1]Sheet1!$N$9:$N$2584,[1]Sheet1!$O$9:$O$2584,"N/A",0)</f>
        <v>94.45</v>
      </c>
      <c r="O484">
        <v>98.72</v>
      </c>
      <c r="P484">
        <v>134.17</v>
      </c>
      <c r="Q484">
        <v>96.91</v>
      </c>
      <c r="R484">
        <v>94.45</v>
      </c>
      <c r="S484">
        <v>124.59</v>
      </c>
    </row>
    <row r="485" spans="1:19">
      <c r="A485" s="1">
        <v>43069</v>
      </c>
      <c r="B485" t="s">
        <v>287</v>
      </c>
      <c r="C485" t="s">
        <v>294</v>
      </c>
      <c r="D485">
        <v>11.675</v>
      </c>
      <c r="E485">
        <v>13.025</v>
      </c>
      <c r="F485" s="2" t="s">
        <v>275</v>
      </c>
      <c r="G485">
        <f ca="1" t="shared" si="21"/>
        <v>1.34588606635651</v>
      </c>
      <c r="H485" t="str">
        <f ca="1" t="shared" si="22"/>
        <v>Risk-On</v>
      </c>
      <c r="I485">
        <f ca="1" t="shared" si="23"/>
        <v>1</v>
      </c>
      <c r="J485">
        <f>_xlfn.XLOOKUP($A485,[1]Sheet1!$B$9:$B$2584,[1]Sheet1!$C$9:$C$2584,"N/A",0)</f>
        <v>98.62</v>
      </c>
      <c r="K485">
        <f>_xlfn.XLOOKUP($A485,[1]Sheet1!$E$9:$E$2584,[1]Sheet1!$F$9:$F$2584,"N/A",0)</f>
        <v>134.62</v>
      </c>
      <c r="L485">
        <f>_xlfn.XLOOKUP($A485,[1]Sheet1!$H$9:$H$2584,[1]Sheet1!$I$9:$I$2584,"N/A",0)</f>
        <v>96.9</v>
      </c>
      <c r="M485">
        <f>_xlfn.XLOOKUP($A485,[1]Sheet1!$K$9:$K$2584,[1]Sheet1!$L$9:$L$2584,"N/A",0)</f>
        <v>125.35</v>
      </c>
      <c r="N485">
        <f>_xlfn.XLOOKUP($A485,[1]Sheet1!$N$9:$N$2584,[1]Sheet1!$O$9:$O$2584,"N/A",0)</f>
        <v>94.68</v>
      </c>
      <c r="O485">
        <v>98.62</v>
      </c>
      <c r="P485">
        <v>134.62</v>
      </c>
      <c r="Q485">
        <v>96.9</v>
      </c>
      <c r="R485">
        <v>94.68</v>
      </c>
      <c r="S485">
        <v>125.35</v>
      </c>
    </row>
    <row r="486" spans="1:19">
      <c r="A486" s="1">
        <v>43070</v>
      </c>
      <c r="B486" t="s">
        <v>287</v>
      </c>
      <c r="C486" t="s">
        <v>294</v>
      </c>
      <c r="D486">
        <v>11.875</v>
      </c>
      <c r="E486">
        <v>13.275</v>
      </c>
      <c r="F486" s="2" t="s">
        <v>302</v>
      </c>
      <c r="G486">
        <f ca="1" t="shared" si="21"/>
        <v>1.3989981569123</v>
      </c>
      <c r="H486" t="str">
        <f ca="1" t="shared" si="22"/>
        <v>Risk-On</v>
      </c>
      <c r="I486">
        <f ca="1" t="shared" si="23"/>
        <v>1</v>
      </c>
      <c r="J486">
        <f>_xlfn.XLOOKUP($A486,[1]Sheet1!$B$9:$B$2584,[1]Sheet1!$C$9:$C$2584,"N/A",0)</f>
        <v>98.38</v>
      </c>
      <c r="K486">
        <f>_xlfn.XLOOKUP($A486,[1]Sheet1!$E$9:$E$2584,[1]Sheet1!$F$9:$F$2584,"N/A",0)</f>
        <v>134.07</v>
      </c>
      <c r="L486">
        <f>_xlfn.XLOOKUP($A486,[1]Sheet1!$H$9:$H$2584,[1]Sheet1!$I$9:$I$2584,"N/A",0)</f>
        <v>97.04</v>
      </c>
      <c r="M486">
        <f>_xlfn.XLOOKUP($A486,[1]Sheet1!$K$9:$K$2584,[1]Sheet1!$L$9:$L$2584,"N/A",0)</f>
        <v>124.89</v>
      </c>
      <c r="N486">
        <f>_xlfn.XLOOKUP($A486,[1]Sheet1!$N$9:$N$2584,[1]Sheet1!$O$9:$O$2584,"N/A",0)</f>
        <v>95.15</v>
      </c>
      <c r="O486">
        <v>98.38</v>
      </c>
      <c r="P486">
        <v>134.07</v>
      </c>
      <c r="Q486">
        <v>97.04</v>
      </c>
      <c r="R486">
        <v>95.15</v>
      </c>
      <c r="S486">
        <v>124.89</v>
      </c>
    </row>
    <row r="487" spans="1:19">
      <c r="A487" s="1">
        <v>43073</v>
      </c>
      <c r="B487" t="s">
        <v>287</v>
      </c>
      <c r="C487" t="s">
        <v>294</v>
      </c>
      <c r="D487">
        <v>11.925</v>
      </c>
      <c r="E487">
        <v>13.225</v>
      </c>
      <c r="F487" s="2" t="s">
        <v>303</v>
      </c>
      <c r="G487">
        <f ca="1" t="shared" si="21"/>
        <v>1.19058930705141</v>
      </c>
      <c r="H487" t="str">
        <f ca="1" t="shared" si="22"/>
        <v>Risk-On</v>
      </c>
      <c r="I487">
        <f ca="1" t="shared" si="23"/>
        <v>1</v>
      </c>
      <c r="J487">
        <f>_xlfn.XLOOKUP($A487,[1]Sheet1!$B$9:$B$2584,[1]Sheet1!$C$9:$C$2584,"N/A",0)</f>
        <v>98.35</v>
      </c>
      <c r="K487">
        <f>_xlfn.XLOOKUP($A487,[1]Sheet1!$E$9:$E$2584,[1]Sheet1!$F$9:$F$2584,"N/A",0)</f>
        <v>130.93</v>
      </c>
      <c r="L487">
        <f>_xlfn.XLOOKUP($A487,[1]Sheet1!$H$9:$H$2584,[1]Sheet1!$I$9:$I$2584,"N/A",0)</f>
        <v>97.85</v>
      </c>
      <c r="M487">
        <f>_xlfn.XLOOKUP($A487,[1]Sheet1!$K$9:$K$2584,[1]Sheet1!$L$9:$L$2584,"N/A",0)</f>
        <v>125.52</v>
      </c>
      <c r="N487">
        <f>_xlfn.XLOOKUP($A487,[1]Sheet1!$N$9:$N$2584,[1]Sheet1!$O$9:$O$2584,"N/A",0)</f>
        <v>94.63</v>
      </c>
      <c r="O487">
        <v>98.35</v>
      </c>
      <c r="P487">
        <v>130.93</v>
      </c>
      <c r="Q487">
        <v>97.85</v>
      </c>
      <c r="R487">
        <v>94.63</v>
      </c>
      <c r="S487">
        <v>125.52</v>
      </c>
    </row>
    <row r="488" spans="1:19">
      <c r="A488" s="1">
        <v>43074</v>
      </c>
      <c r="B488" t="s">
        <v>287</v>
      </c>
      <c r="C488" t="s">
        <v>294</v>
      </c>
      <c r="D488">
        <v>11.875</v>
      </c>
      <c r="E488">
        <v>13.175</v>
      </c>
      <c r="F488" s="2" t="s">
        <v>304</v>
      </c>
      <c r="G488">
        <f ca="1" t="shared" si="21"/>
        <v>1.20136193149751</v>
      </c>
      <c r="H488" t="str">
        <f ca="1" t="shared" si="22"/>
        <v>Risk-On</v>
      </c>
      <c r="I488">
        <f ca="1" t="shared" si="23"/>
        <v>1</v>
      </c>
      <c r="J488">
        <f>_xlfn.XLOOKUP($A488,[1]Sheet1!$B$9:$B$2584,[1]Sheet1!$C$9:$C$2584,"N/A",0)</f>
        <v>98.55</v>
      </c>
      <c r="K488">
        <f>_xlfn.XLOOKUP($A488,[1]Sheet1!$E$9:$E$2584,[1]Sheet1!$F$9:$F$2584,"N/A",0)</f>
        <v>132.25</v>
      </c>
      <c r="L488">
        <f>_xlfn.XLOOKUP($A488,[1]Sheet1!$H$9:$H$2584,[1]Sheet1!$I$9:$I$2584,"N/A",0)</f>
        <v>97.68</v>
      </c>
      <c r="M488">
        <f>_xlfn.XLOOKUP($A488,[1]Sheet1!$K$9:$K$2584,[1]Sheet1!$L$9:$L$2584,"N/A",0)</f>
        <v>125.88</v>
      </c>
      <c r="N488">
        <f>_xlfn.XLOOKUP($A488,[1]Sheet1!$N$9:$N$2584,[1]Sheet1!$O$9:$O$2584,"N/A",0)</f>
        <v>94.95</v>
      </c>
      <c r="O488">
        <v>98.55</v>
      </c>
      <c r="P488">
        <v>132.25</v>
      </c>
      <c r="Q488">
        <v>97.68</v>
      </c>
      <c r="R488">
        <v>94.95</v>
      </c>
      <c r="S488">
        <v>125.88</v>
      </c>
    </row>
    <row r="489" spans="1:19">
      <c r="A489" s="1">
        <v>43075</v>
      </c>
      <c r="B489" t="s">
        <v>287</v>
      </c>
      <c r="C489" t="s">
        <v>294</v>
      </c>
      <c r="D489">
        <v>11.725</v>
      </c>
      <c r="E489">
        <v>13.075</v>
      </c>
      <c r="F489" s="2" t="s">
        <v>263</v>
      </c>
      <c r="G489">
        <f ca="1" t="shared" si="21"/>
        <v>1.33431337951109</v>
      </c>
      <c r="H489" t="str">
        <f ca="1" t="shared" si="22"/>
        <v>Risk-On</v>
      </c>
      <c r="I489">
        <f ca="1" t="shared" si="23"/>
        <v>1</v>
      </c>
      <c r="J489">
        <f>_xlfn.XLOOKUP($A489,[1]Sheet1!$B$9:$B$2584,[1]Sheet1!$C$9:$C$2584,"N/A",0)</f>
        <v>98.39</v>
      </c>
      <c r="K489">
        <f>_xlfn.XLOOKUP($A489,[1]Sheet1!$E$9:$E$2584,[1]Sheet1!$F$9:$F$2584,"N/A",0)</f>
        <v>133.76</v>
      </c>
      <c r="L489">
        <f>_xlfn.XLOOKUP($A489,[1]Sheet1!$H$9:$H$2584,[1]Sheet1!$I$9:$I$2584,"N/A",0)</f>
        <v>97.46</v>
      </c>
      <c r="M489">
        <f>_xlfn.XLOOKUP($A489,[1]Sheet1!$K$9:$K$2584,[1]Sheet1!$L$9:$L$2584,"N/A",0)</f>
        <v>126.17</v>
      </c>
      <c r="N489">
        <f>_xlfn.XLOOKUP($A489,[1]Sheet1!$N$9:$N$2584,[1]Sheet1!$O$9:$O$2584,"N/A",0)</f>
        <v>95.36</v>
      </c>
      <c r="O489">
        <v>98.39</v>
      </c>
      <c r="P489">
        <v>133.76</v>
      </c>
      <c r="Q489">
        <v>97.46</v>
      </c>
      <c r="R489">
        <v>95.36</v>
      </c>
      <c r="S489">
        <v>126.17</v>
      </c>
    </row>
    <row r="490" spans="1:19">
      <c r="A490" s="1">
        <v>43076</v>
      </c>
      <c r="B490" t="s">
        <v>287</v>
      </c>
      <c r="C490" t="s">
        <v>294</v>
      </c>
      <c r="D490">
        <v>11.175</v>
      </c>
      <c r="E490">
        <v>12.675</v>
      </c>
      <c r="F490" s="2" t="s">
        <v>305</v>
      </c>
      <c r="G490">
        <f ca="1" t="shared" si="21"/>
        <v>1.78233284915978</v>
      </c>
      <c r="H490" t="str">
        <f ca="1" t="shared" si="22"/>
        <v>Risk-On</v>
      </c>
      <c r="I490">
        <f ca="1" t="shared" si="23"/>
        <v>1</v>
      </c>
      <c r="J490">
        <f>_xlfn.XLOOKUP($A490,[1]Sheet1!$B$9:$B$2584,[1]Sheet1!$C$9:$C$2584,"N/A",0)</f>
        <v>98.06</v>
      </c>
      <c r="K490">
        <f>_xlfn.XLOOKUP($A490,[1]Sheet1!$E$9:$E$2584,[1]Sheet1!$F$9:$F$2584,"N/A",0)</f>
        <v>134.16</v>
      </c>
      <c r="L490">
        <f>_xlfn.XLOOKUP($A490,[1]Sheet1!$H$9:$H$2584,[1]Sheet1!$I$9:$I$2584,"N/A",0)</f>
        <v>97.57</v>
      </c>
      <c r="M490">
        <f>_xlfn.XLOOKUP($A490,[1]Sheet1!$K$9:$K$2584,[1]Sheet1!$L$9:$L$2584,"N/A",0)</f>
        <v>126.17</v>
      </c>
      <c r="N490">
        <f>_xlfn.XLOOKUP($A490,[1]Sheet1!$N$9:$N$2584,[1]Sheet1!$O$9:$O$2584,"N/A",0)</f>
        <v>95.23</v>
      </c>
      <c r="O490">
        <v>98.06</v>
      </c>
      <c r="P490">
        <v>134.16</v>
      </c>
      <c r="Q490">
        <v>97.57</v>
      </c>
      <c r="R490">
        <v>95.23</v>
      </c>
      <c r="S490">
        <v>126.17</v>
      </c>
    </row>
    <row r="491" spans="1:19">
      <c r="A491" s="1">
        <v>43077</v>
      </c>
      <c r="B491" t="s">
        <v>287</v>
      </c>
      <c r="C491" t="s">
        <v>294</v>
      </c>
      <c r="D491">
        <v>10.875</v>
      </c>
      <c r="E491">
        <v>12.325</v>
      </c>
      <c r="F491" s="2" t="s">
        <v>306</v>
      </c>
      <c r="G491">
        <f ca="1" t="shared" si="21"/>
        <v>1.76133123683941</v>
      </c>
      <c r="H491" t="str">
        <f ca="1" t="shared" si="22"/>
        <v>Risk-On</v>
      </c>
      <c r="I491">
        <f ca="1" t="shared" si="23"/>
        <v>1</v>
      </c>
      <c r="J491">
        <f>_xlfn.XLOOKUP($A491,[1]Sheet1!$B$9:$B$2584,[1]Sheet1!$C$9:$C$2584,"N/A",0)</f>
        <v>97.9</v>
      </c>
      <c r="K491">
        <f>_xlfn.XLOOKUP($A491,[1]Sheet1!$E$9:$E$2584,[1]Sheet1!$F$9:$F$2584,"N/A",0)</f>
        <v>133.38</v>
      </c>
      <c r="L491">
        <f>_xlfn.XLOOKUP($A491,[1]Sheet1!$H$9:$H$2584,[1]Sheet1!$I$9:$I$2584,"N/A",0)</f>
        <v>97.86</v>
      </c>
      <c r="M491">
        <f>_xlfn.XLOOKUP($A491,[1]Sheet1!$K$9:$K$2584,[1]Sheet1!$L$9:$L$2584,"N/A",0)</f>
        <v>126.56</v>
      </c>
      <c r="N491">
        <f>_xlfn.XLOOKUP($A491,[1]Sheet1!$N$9:$N$2584,[1]Sheet1!$O$9:$O$2584,"N/A",0)</f>
        <v>95.41</v>
      </c>
      <c r="O491">
        <v>97.9</v>
      </c>
      <c r="P491">
        <v>133.38</v>
      </c>
      <c r="Q491">
        <v>97.86</v>
      </c>
      <c r="R491">
        <v>95.41</v>
      </c>
      <c r="S491">
        <v>126.56</v>
      </c>
    </row>
    <row r="492" spans="1:19">
      <c r="A492" s="1">
        <v>43080</v>
      </c>
      <c r="B492" t="s">
        <v>287</v>
      </c>
      <c r="C492" t="s">
        <v>294</v>
      </c>
      <c r="D492">
        <v>10.325</v>
      </c>
      <c r="E492">
        <v>11.975</v>
      </c>
      <c r="F492" s="2" t="s">
        <v>307</v>
      </c>
      <c r="G492">
        <f ca="1" t="shared" si="21"/>
        <v>2.38263317226362</v>
      </c>
      <c r="H492" t="str">
        <f ca="1" t="shared" si="22"/>
        <v>Risk-Off</v>
      </c>
      <c r="I492">
        <f ca="1" t="shared" si="23"/>
        <v>1</v>
      </c>
      <c r="J492">
        <f>_xlfn.XLOOKUP($A492,[1]Sheet1!$B$9:$B$2584,[1]Sheet1!$C$9:$C$2584,"N/A",0)</f>
        <v>97.75</v>
      </c>
      <c r="K492">
        <f>_xlfn.XLOOKUP($A492,[1]Sheet1!$E$9:$E$2584,[1]Sheet1!$F$9:$F$2584,"N/A",0)</f>
        <v>133</v>
      </c>
      <c r="L492">
        <f>_xlfn.XLOOKUP($A492,[1]Sheet1!$H$9:$H$2584,[1]Sheet1!$I$9:$I$2584,"N/A",0)</f>
        <v>97.98</v>
      </c>
      <c r="M492">
        <f>_xlfn.XLOOKUP($A492,[1]Sheet1!$K$9:$K$2584,[1]Sheet1!$L$9:$L$2584,"N/A",0)</f>
        <v>126.14</v>
      </c>
      <c r="N492">
        <f>_xlfn.XLOOKUP($A492,[1]Sheet1!$N$9:$N$2584,[1]Sheet1!$O$9:$O$2584,"N/A",0)</f>
        <v>95.81</v>
      </c>
      <c r="O492">
        <v>97.75</v>
      </c>
      <c r="P492">
        <v>133</v>
      </c>
      <c r="Q492">
        <v>97.98</v>
      </c>
      <c r="R492">
        <v>95.81</v>
      </c>
      <c r="S492">
        <v>126.14</v>
      </c>
    </row>
    <row r="493" spans="1:19">
      <c r="A493" s="1">
        <v>43081</v>
      </c>
      <c r="B493" t="s">
        <v>287</v>
      </c>
      <c r="C493" t="s">
        <v>294</v>
      </c>
      <c r="D493">
        <v>10.375</v>
      </c>
      <c r="E493">
        <v>11.975</v>
      </c>
      <c r="F493" s="2" t="s">
        <v>308</v>
      </c>
      <c r="G493">
        <f ca="1" t="shared" si="21"/>
        <v>2.25145320147247</v>
      </c>
      <c r="H493" t="str">
        <f ca="1" t="shared" si="22"/>
        <v>Risk-Off</v>
      </c>
      <c r="I493">
        <f ca="1" t="shared" si="23"/>
        <v>1</v>
      </c>
      <c r="J493">
        <f>_xlfn.XLOOKUP($A493,[1]Sheet1!$B$9:$B$2584,[1]Sheet1!$C$9:$C$2584,"N/A",0)</f>
        <v>97.75</v>
      </c>
      <c r="K493">
        <f>_xlfn.XLOOKUP($A493,[1]Sheet1!$E$9:$E$2584,[1]Sheet1!$F$9:$F$2584,"N/A",0)</f>
        <v>131.91</v>
      </c>
      <c r="L493">
        <f>_xlfn.XLOOKUP($A493,[1]Sheet1!$H$9:$H$2584,[1]Sheet1!$I$9:$I$2584,"N/A",0)</f>
        <v>98.18</v>
      </c>
      <c r="M493">
        <f>_xlfn.XLOOKUP($A493,[1]Sheet1!$K$9:$K$2584,[1]Sheet1!$L$9:$L$2584,"N/A",0)</f>
        <v>126.06</v>
      </c>
      <c r="N493">
        <f>_xlfn.XLOOKUP($A493,[1]Sheet1!$N$9:$N$2584,[1]Sheet1!$O$9:$O$2584,"N/A",0)</f>
        <v>96.12</v>
      </c>
      <c r="O493">
        <v>97.75</v>
      </c>
      <c r="P493">
        <v>131.91</v>
      </c>
      <c r="Q493">
        <v>98.18</v>
      </c>
      <c r="R493">
        <v>96.12</v>
      </c>
      <c r="S493">
        <v>126.06</v>
      </c>
    </row>
    <row r="494" spans="1:19">
      <c r="A494" s="1">
        <v>43082</v>
      </c>
      <c r="B494" t="s">
        <v>287</v>
      </c>
      <c r="C494" t="s">
        <v>294</v>
      </c>
      <c r="D494">
        <v>10.525</v>
      </c>
      <c r="E494">
        <v>11.975</v>
      </c>
      <c r="F494" s="2" t="s">
        <v>309</v>
      </c>
      <c r="G494">
        <f ca="1" t="shared" si="21"/>
        <v>1.86539148220823</v>
      </c>
      <c r="H494" t="str">
        <f ca="1" t="shared" si="22"/>
        <v>Risk-Off</v>
      </c>
      <c r="I494">
        <f ca="1" t="shared" si="23"/>
        <v>1</v>
      </c>
      <c r="J494">
        <f>_xlfn.XLOOKUP($A494,[1]Sheet1!$B$9:$B$2584,[1]Sheet1!$C$9:$C$2584,"N/A",0)</f>
        <v>97.77</v>
      </c>
      <c r="K494">
        <f>_xlfn.XLOOKUP($A494,[1]Sheet1!$E$9:$E$2584,[1]Sheet1!$F$9:$F$2584,"N/A",0)</f>
        <v>132.11</v>
      </c>
      <c r="L494">
        <f>_xlfn.XLOOKUP($A494,[1]Sheet1!$H$9:$H$2584,[1]Sheet1!$I$9:$I$2584,"N/A",0)</f>
        <v>98.24</v>
      </c>
      <c r="M494">
        <f>_xlfn.XLOOKUP($A494,[1]Sheet1!$K$9:$K$2584,[1]Sheet1!$L$9:$L$2584,"N/A",0)</f>
        <v>125.9</v>
      </c>
      <c r="N494">
        <f>_xlfn.XLOOKUP($A494,[1]Sheet1!$N$9:$N$2584,[1]Sheet1!$O$9:$O$2584,"N/A",0)</f>
        <v>95.48</v>
      </c>
      <c r="O494">
        <v>97.77</v>
      </c>
      <c r="P494">
        <v>132.11</v>
      </c>
      <c r="Q494">
        <v>98.24</v>
      </c>
      <c r="R494">
        <v>95.48</v>
      </c>
      <c r="S494">
        <v>125.9</v>
      </c>
    </row>
    <row r="495" spans="1:19">
      <c r="A495" s="1">
        <v>43083</v>
      </c>
      <c r="B495" t="s">
        <v>287</v>
      </c>
      <c r="C495" t="s">
        <v>294</v>
      </c>
      <c r="D495">
        <v>10.375</v>
      </c>
      <c r="E495">
        <v>11.875</v>
      </c>
      <c r="F495" s="2" t="s">
        <v>310</v>
      </c>
      <c r="G495">
        <f ca="1" t="shared" si="21"/>
        <v>2.02524306394953</v>
      </c>
      <c r="H495" t="str">
        <f ca="1" t="shared" si="22"/>
        <v>Risk-Off</v>
      </c>
      <c r="I495">
        <f ca="1" t="shared" si="23"/>
        <v>1</v>
      </c>
      <c r="J495">
        <f>_xlfn.XLOOKUP($A495,[1]Sheet1!$B$9:$B$2584,[1]Sheet1!$C$9:$C$2584,"N/A",0)</f>
        <v>97.86</v>
      </c>
      <c r="K495">
        <f>_xlfn.XLOOKUP($A495,[1]Sheet1!$E$9:$E$2584,[1]Sheet1!$F$9:$F$2584,"N/A",0)</f>
        <v>132.98</v>
      </c>
      <c r="L495">
        <f>_xlfn.XLOOKUP($A495,[1]Sheet1!$H$9:$H$2584,[1]Sheet1!$I$9:$I$2584,"N/A",0)</f>
        <v>97.63</v>
      </c>
      <c r="M495">
        <f>_xlfn.XLOOKUP($A495,[1]Sheet1!$K$9:$K$2584,[1]Sheet1!$L$9:$L$2584,"N/A",0)</f>
        <v>125.59</v>
      </c>
      <c r="N495">
        <f>_xlfn.XLOOKUP($A495,[1]Sheet1!$N$9:$N$2584,[1]Sheet1!$O$9:$O$2584,"N/A",0)</f>
        <v>95.98</v>
      </c>
      <c r="O495">
        <v>97.86</v>
      </c>
      <c r="P495">
        <v>132.98</v>
      </c>
      <c r="Q495">
        <v>97.63</v>
      </c>
      <c r="R495">
        <v>95.98</v>
      </c>
      <c r="S495">
        <v>125.59</v>
      </c>
    </row>
    <row r="496" spans="1:19">
      <c r="A496" s="1">
        <v>43084</v>
      </c>
      <c r="B496" t="s">
        <v>287</v>
      </c>
      <c r="C496" t="s">
        <v>294</v>
      </c>
      <c r="D496">
        <v>9.925</v>
      </c>
      <c r="E496">
        <v>11.475</v>
      </c>
      <c r="F496" s="2" t="s">
        <v>311</v>
      </c>
      <c r="G496">
        <f ca="1" t="shared" si="21"/>
        <v>2.29732200769563</v>
      </c>
      <c r="H496" t="str">
        <f ca="1" t="shared" si="22"/>
        <v>Risk-Off</v>
      </c>
      <c r="I496">
        <f ca="1" t="shared" si="23"/>
        <v>1</v>
      </c>
      <c r="J496">
        <f>_xlfn.XLOOKUP($A496,[1]Sheet1!$B$9:$B$2584,[1]Sheet1!$C$9:$C$2584,"N/A",0)</f>
        <v>97.82</v>
      </c>
      <c r="K496">
        <f>_xlfn.XLOOKUP($A496,[1]Sheet1!$E$9:$E$2584,[1]Sheet1!$F$9:$F$2584,"N/A",0)</f>
        <v>132.67</v>
      </c>
      <c r="L496">
        <f>_xlfn.XLOOKUP($A496,[1]Sheet1!$H$9:$H$2584,[1]Sheet1!$I$9:$I$2584,"N/A",0)</f>
        <v>98.1</v>
      </c>
      <c r="M496">
        <f>_xlfn.XLOOKUP($A496,[1]Sheet1!$K$9:$K$2584,[1]Sheet1!$L$9:$L$2584,"N/A",0)</f>
        <v>126.33</v>
      </c>
      <c r="N496">
        <f>_xlfn.XLOOKUP($A496,[1]Sheet1!$N$9:$N$2584,[1]Sheet1!$O$9:$O$2584,"N/A",0)</f>
        <v>95.17</v>
      </c>
      <c r="O496">
        <v>97.82</v>
      </c>
      <c r="P496">
        <v>132.67</v>
      </c>
      <c r="Q496">
        <v>98.1</v>
      </c>
      <c r="R496">
        <v>95.17</v>
      </c>
      <c r="S496">
        <v>126.33</v>
      </c>
    </row>
    <row r="497" spans="1:19">
      <c r="A497" s="1">
        <v>43087</v>
      </c>
      <c r="B497" t="s">
        <v>287</v>
      </c>
      <c r="C497" t="s">
        <v>294</v>
      </c>
      <c r="D497">
        <v>9.875</v>
      </c>
      <c r="E497">
        <v>11.325</v>
      </c>
      <c r="F497" s="2" t="s">
        <v>312</v>
      </c>
      <c r="G497">
        <f ca="1" t="shared" si="21"/>
        <v>2.07821632400236</v>
      </c>
      <c r="H497" t="str">
        <f ca="1" t="shared" si="22"/>
        <v>Risk-Off</v>
      </c>
      <c r="I497">
        <f ca="1" t="shared" si="23"/>
        <v>1</v>
      </c>
      <c r="J497">
        <f>_xlfn.XLOOKUP($A497,[1]Sheet1!$B$9:$B$2584,[1]Sheet1!$C$9:$C$2584,"N/A",0)</f>
        <v>97.72</v>
      </c>
      <c r="K497">
        <f>_xlfn.XLOOKUP($A497,[1]Sheet1!$E$9:$E$2584,[1]Sheet1!$F$9:$F$2584,"N/A",0)</f>
        <v>131.46</v>
      </c>
      <c r="L497">
        <f>_xlfn.XLOOKUP($A497,[1]Sheet1!$H$9:$H$2584,[1]Sheet1!$I$9:$I$2584,"N/A",0)</f>
        <v>98.53</v>
      </c>
      <c r="M497">
        <f>_xlfn.XLOOKUP($A497,[1]Sheet1!$K$9:$K$2584,[1]Sheet1!$L$9:$L$2584,"N/A",0)</f>
        <v>126.59</v>
      </c>
      <c r="N497">
        <f>_xlfn.XLOOKUP($A497,[1]Sheet1!$N$9:$N$2584,[1]Sheet1!$O$9:$O$2584,"N/A",0)</f>
        <v>94.7</v>
      </c>
      <c r="O497">
        <v>97.72</v>
      </c>
      <c r="P497">
        <v>131.46</v>
      </c>
      <c r="Q497">
        <v>98.53</v>
      </c>
      <c r="R497">
        <v>94.7</v>
      </c>
      <c r="S497">
        <v>126.59</v>
      </c>
    </row>
    <row r="498" spans="1:19">
      <c r="A498" s="1">
        <v>43088</v>
      </c>
      <c r="B498" t="s">
        <v>287</v>
      </c>
      <c r="C498" t="s">
        <v>294</v>
      </c>
      <c r="D498">
        <v>10.075</v>
      </c>
      <c r="E498">
        <v>11.325</v>
      </c>
      <c r="F498" s="2" t="s">
        <v>313</v>
      </c>
      <c r="G498">
        <f ca="1" t="shared" si="21"/>
        <v>1.54391504180081</v>
      </c>
      <c r="H498" t="str">
        <f ca="1" t="shared" si="22"/>
        <v>Risk-Off</v>
      </c>
      <c r="I498">
        <f ca="1" t="shared" si="23"/>
        <v>1</v>
      </c>
      <c r="J498">
        <f>_xlfn.XLOOKUP($A498,[1]Sheet1!$B$9:$B$2584,[1]Sheet1!$C$9:$C$2584,"N/A",0)</f>
        <v>97.65</v>
      </c>
      <c r="K498">
        <f>_xlfn.XLOOKUP($A498,[1]Sheet1!$E$9:$E$2584,[1]Sheet1!$F$9:$F$2584,"N/A",0)</f>
        <v>131.33</v>
      </c>
      <c r="L498">
        <f>_xlfn.XLOOKUP($A498,[1]Sheet1!$H$9:$H$2584,[1]Sheet1!$I$9:$I$2584,"N/A",0)</f>
        <v>98.59</v>
      </c>
      <c r="M498">
        <f>_xlfn.XLOOKUP($A498,[1]Sheet1!$K$9:$K$2584,[1]Sheet1!$L$9:$L$2584,"N/A",0)</f>
        <v>126.8</v>
      </c>
      <c r="N498">
        <f>_xlfn.XLOOKUP($A498,[1]Sheet1!$N$9:$N$2584,[1]Sheet1!$O$9:$O$2584,"N/A",0)</f>
        <v>94.92</v>
      </c>
      <c r="O498">
        <v>97.65</v>
      </c>
      <c r="P498">
        <v>131.33</v>
      </c>
      <c r="Q498">
        <v>98.59</v>
      </c>
      <c r="R498">
        <v>94.92</v>
      </c>
      <c r="S498">
        <v>126.8</v>
      </c>
    </row>
    <row r="499" spans="1:19">
      <c r="A499" s="1">
        <v>43089</v>
      </c>
      <c r="B499" t="s">
        <v>287</v>
      </c>
      <c r="C499" t="s">
        <v>294</v>
      </c>
      <c r="D499">
        <v>8.75</v>
      </c>
      <c r="E499">
        <v>11.425</v>
      </c>
      <c r="F499" s="2" t="s">
        <v>314</v>
      </c>
      <c r="G499">
        <f ca="1" t="shared" si="21"/>
        <v>5.80699182732429</v>
      </c>
      <c r="H499" t="str">
        <f ca="1" t="shared" si="22"/>
        <v>Risk-Off</v>
      </c>
      <c r="I499">
        <f ca="1" t="shared" si="23"/>
        <v>1</v>
      </c>
      <c r="J499">
        <f>_xlfn.XLOOKUP($A499,[1]Sheet1!$B$9:$B$2584,[1]Sheet1!$C$9:$C$2584,"N/A",0)</f>
        <v>97.66</v>
      </c>
      <c r="K499">
        <f>_xlfn.XLOOKUP($A499,[1]Sheet1!$E$9:$E$2584,[1]Sheet1!$F$9:$F$2584,"N/A",0)</f>
        <v>131.04</v>
      </c>
      <c r="L499">
        <f>_xlfn.XLOOKUP($A499,[1]Sheet1!$H$9:$H$2584,[1]Sheet1!$I$9:$I$2584,"N/A",0)</f>
        <v>99.03</v>
      </c>
      <c r="M499">
        <f>_xlfn.XLOOKUP($A499,[1]Sheet1!$K$9:$K$2584,[1]Sheet1!$L$9:$L$2584,"N/A",0)</f>
        <v>126.33</v>
      </c>
      <c r="N499">
        <f>_xlfn.XLOOKUP($A499,[1]Sheet1!$N$9:$N$2584,[1]Sheet1!$O$9:$O$2584,"N/A",0)</f>
        <v>94.83</v>
      </c>
      <c r="O499">
        <v>97.66</v>
      </c>
      <c r="P499">
        <v>131.04</v>
      </c>
      <c r="Q499">
        <v>99.03</v>
      </c>
      <c r="R499">
        <v>94.83</v>
      </c>
      <c r="S499">
        <v>126.33</v>
      </c>
    </row>
    <row r="500" spans="1:19">
      <c r="A500" s="1">
        <v>43090</v>
      </c>
      <c r="B500" t="s">
        <v>294</v>
      </c>
      <c r="C500" t="s">
        <v>315</v>
      </c>
      <c r="D500">
        <v>11.225</v>
      </c>
      <c r="E500">
        <v>12.225</v>
      </c>
      <c r="F500">
        <v>0.0890868596881959</v>
      </c>
      <c r="G500">
        <f ca="1" t="shared" si="21"/>
        <v>0.722897394691556</v>
      </c>
      <c r="H500" t="str">
        <f ca="1" t="shared" si="22"/>
        <v>Risk-Off</v>
      </c>
      <c r="I500">
        <f ca="1" t="shared" si="23"/>
        <v>1</v>
      </c>
      <c r="J500">
        <f>_xlfn.XLOOKUP($A500,[1]Sheet1!$B$9:$B$2584,[1]Sheet1!$C$9:$C$2584,"N/A",0)</f>
        <v>97.63</v>
      </c>
      <c r="K500">
        <f>_xlfn.XLOOKUP($A500,[1]Sheet1!$E$9:$E$2584,[1]Sheet1!$F$9:$F$2584,"N/A",0)</f>
        <v>129.73</v>
      </c>
      <c r="L500">
        <f>_xlfn.XLOOKUP($A500,[1]Sheet1!$H$9:$H$2584,[1]Sheet1!$I$9:$I$2584,"N/A",0)</f>
        <v>98.35</v>
      </c>
      <c r="M500">
        <f>_xlfn.XLOOKUP($A500,[1]Sheet1!$K$9:$K$2584,[1]Sheet1!$L$9:$L$2584,"N/A",0)</f>
        <v>125.13</v>
      </c>
      <c r="N500">
        <f>_xlfn.XLOOKUP($A500,[1]Sheet1!$N$9:$N$2584,[1]Sheet1!$O$9:$O$2584,"N/A",0)</f>
        <v>94.75</v>
      </c>
      <c r="O500">
        <v>97.63</v>
      </c>
      <c r="P500">
        <v>129.73</v>
      </c>
      <c r="Q500">
        <v>98.35</v>
      </c>
      <c r="R500">
        <v>94.75</v>
      </c>
      <c r="S500">
        <v>125.13</v>
      </c>
    </row>
    <row r="501" spans="1:19">
      <c r="A501" s="1">
        <v>43091</v>
      </c>
      <c r="B501" t="s">
        <v>294</v>
      </c>
      <c r="C501" t="s">
        <v>315</v>
      </c>
      <c r="D501">
        <v>11.425</v>
      </c>
      <c r="E501">
        <v>12.325</v>
      </c>
      <c r="F501">
        <v>0.0787746170678335</v>
      </c>
      <c r="G501">
        <f ca="1" t="shared" si="21"/>
        <v>0.475406663543074</v>
      </c>
      <c r="H501" t="str">
        <f ca="1" t="shared" si="22"/>
        <v>Risk-Off</v>
      </c>
      <c r="I501">
        <f ca="1" t="shared" si="23"/>
        <v>1</v>
      </c>
      <c r="J501">
        <f>_xlfn.XLOOKUP($A501,[1]Sheet1!$B$9:$B$2584,[1]Sheet1!$C$9:$C$2584,"N/A",0)</f>
        <v>97.57</v>
      </c>
      <c r="K501">
        <f>_xlfn.XLOOKUP($A501,[1]Sheet1!$E$9:$E$2584,[1]Sheet1!$F$9:$F$2584,"N/A",0)</f>
        <v>129.36</v>
      </c>
      <c r="L501">
        <f>_xlfn.XLOOKUP($A501,[1]Sheet1!$H$9:$H$2584,[1]Sheet1!$I$9:$I$2584,"N/A",0)</f>
        <v>98.21</v>
      </c>
      <c r="M501">
        <f>_xlfn.XLOOKUP($A501,[1]Sheet1!$K$9:$K$2584,[1]Sheet1!$L$9:$L$2584,"N/A",0)</f>
        <v>125.22</v>
      </c>
      <c r="N501">
        <f>_xlfn.XLOOKUP($A501,[1]Sheet1!$N$9:$N$2584,[1]Sheet1!$O$9:$O$2584,"N/A",0)</f>
        <v>94.73</v>
      </c>
      <c r="O501">
        <v>97.57</v>
      </c>
      <c r="P501">
        <v>129.36</v>
      </c>
      <c r="Q501">
        <v>98.21</v>
      </c>
      <c r="R501">
        <v>94.73</v>
      </c>
      <c r="S501">
        <v>125.22</v>
      </c>
    </row>
    <row r="502" spans="1:19">
      <c r="A502" s="1">
        <v>43095</v>
      </c>
      <c r="B502" t="s">
        <v>294</v>
      </c>
      <c r="C502" t="s">
        <v>315</v>
      </c>
      <c r="D502">
        <v>11.325</v>
      </c>
      <c r="E502">
        <v>12.325</v>
      </c>
      <c r="F502">
        <v>0.0883002207505518</v>
      </c>
      <c r="G502">
        <f ca="1" t="shared" si="21"/>
        <v>0.697655722265777</v>
      </c>
      <c r="H502" t="str">
        <f ca="1" t="shared" si="22"/>
        <v>Risk-Off</v>
      </c>
      <c r="I502">
        <f ca="1" t="shared" si="23"/>
        <v>1</v>
      </c>
      <c r="J502">
        <f>_xlfn.XLOOKUP($A502,[1]Sheet1!$B$9:$B$2584,[1]Sheet1!$C$9:$C$2584,"N/A",0)</f>
        <v>97.69</v>
      </c>
      <c r="K502">
        <f>_xlfn.XLOOKUP($A502,[1]Sheet1!$E$9:$E$2584,[1]Sheet1!$F$9:$F$2584,"N/A",0)</f>
        <v>128.67</v>
      </c>
      <c r="L502">
        <f>_xlfn.XLOOKUP($A502,[1]Sheet1!$H$9:$H$2584,[1]Sheet1!$I$9:$I$2584,"N/A",0)</f>
        <v>98.02</v>
      </c>
      <c r="M502">
        <f>_xlfn.XLOOKUP($A502,[1]Sheet1!$K$9:$K$2584,[1]Sheet1!$L$9:$L$2584,"N/A",0)</f>
        <v>124.91</v>
      </c>
      <c r="N502">
        <f>_xlfn.XLOOKUP($A502,[1]Sheet1!$N$9:$N$2584,[1]Sheet1!$O$9:$O$2584,"N/A",0)</f>
        <v>94.59</v>
      </c>
      <c r="O502">
        <v>97.69</v>
      </c>
      <c r="P502">
        <v>128.67</v>
      </c>
      <c r="Q502">
        <v>98.02</v>
      </c>
      <c r="R502">
        <v>94.59</v>
      </c>
      <c r="S502">
        <v>124.91</v>
      </c>
    </row>
    <row r="503" spans="1:19">
      <c r="A503" s="1">
        <v>43096</v>
      </c>
      <c r="B503" t="s">
        <v>294</v>
      </c>
      <c r="C503" t="s">
        <v>315</v>
      </c>
      <c r="D503">
        <v>11.325</v>
      </c>
      <c r="E503">
        <v>12.325</v>
      </c>
      <c r="F503">
        <v>0.0883002207505518</v>
      </c>
      <c r="G503">
        <f ca="1" t="shared" si="21"/>
        <v>0.69308510378845</v>
      </c>
      <c r="H503" t="str">
        <f ca="1" t="shared" si="22"/>
        <v>Risk-Off</v>
      </c>
      <c r="I503">
        <f ca="1" t="shared" si="23"/>
        <v>1</v>
      </c>
      <c r="J503">
        <f>_xlfn.XLOOKUP($A503,[1]Sheet1!$B$9:$B$2584,[1]Sheet1!$C$9:$C$2584,"N/A",0)</f>
        <v>97.64</v>
      </c>
      <c r="K503">
        <f>_xlfn.XLOOKUP($A503,[1]Sheet1!$E$9:$E$2584,[1]Sheet1!$F$9:$F$2584,"N/A",0)</f>
        <v>129.4</v>
      </c>
      <c r="L503">
        <f>_xlfn.XLOOKUP($A503,[1]Sheet1!$H$9:$H$2584,[1]Sheet1!$I$9:$I$2584,"N/A",0)</f>
        <v>97.86</v>
      </c>
      <c r="M503">
        <f>_xlfn.XLOOKUP($A503,[1]Sheet1!$K$9:$K$2584,[1]Sheet1!$L$9:$L$2584,"N/A",0)</f>
        <v>124.99</v>
      </c>
      <c r="N503">
        <f>_xlfn.XLOOKUP($A503,[1]Sheet1!$N$9:$N$2584,[1]Sheet1!$O$9:$O$2584,"N/A",0)</f>
        <v>94.67</v>
      </c>
      <c r="O503">
        <v>97.64</v>
      </c>
      <c r="P503">
        <v>129.4</v>
      </c>
      <c r="Q503">
        <v>97.86</v>
      </c>
      <c r="R503">
        <v>94.67</v>
      </c>
      <c r="S503">
        <v>124.99</v>
      </c>
    </row>
    <row r="504" spans="1:19">
      <c r="A504" s="1">
        <v>43097</v>
      </c>
      <c r="B504" t="s">
        <v>294</v>
      </c>
      <c r="C504" t="s">
        <v>315</v>
      </c>
      <c r="D504">
        <v>11.225</v>
      </c>
      <c r="E504">
        <v>12.275</v>
      </c>
      <c r="F504">
        <v>0.0935412026726058</v>
      </c>
      <c r="G504">
        <f ca="1" t="shared" si="21"/>
        <v>0.812884431351202</v>
      </c>
      <c r="H504" t="str">
        <f ca="1" t="shared" si="22"/>
        <v>Risk-Off</v>
      </c>
      <c r="I504">
        <f ca="1" t="shared" si="23"/>
        <v>1</v>
      </c>
      <c r="J504">
        <f>_xlfn.XLOOKUP($A504,[1]Sheet1!$B$9:$B$2584,[1]Sheet1!$C$9:$C$2584,"N/A",0)</f>
        <v>97.9</v>
      </c>
      <c r="K504">
        <f>_xlfn.XLOOKUP($A504,[1]Sheet1!$E$9:$E$2584,[1]Sheet1!$F$9:$F$2584,"N/A",0)</f>
        <v>129.38</v>
      </c>
      <c r="L504">
        <f>_xlfn.XLOOKUP($A504,[1]Sheet1!$H$9:$H$2584,[1]Sheet1!$I$9:$I$2584,"N/A",0)</f>
        <v>97.78</v>
      </c>
      <c r="M504">
        <f>_xlfn.XLOOKUP($A504,[1]Sheet1!$K$9:$K$2584,[1]Sheet1!$L$9:$L$2584,"N/A",0)</f>
        <v>124.68</v>
      </c>
      <c r="N504">
        <f>_xlfn.XLOOKUP($A504,[1]Sheet1!$N$9:$N$2584,[1]Sheet1!$O$9:$O$2584,"N/A",0)</f>
        <v>94.74</v>
      </c>
      <c r="O504">
        <v>97.9</v>
      </c>
      <c r="P504">
        <v>129.38</v>
      </c>
      <c r="Q504">
        <v>97.78</v>
      </c>
      <c r="R504">
        <v>94.74</v>
      </c>
      <c r="S504">
        <v>124.68</v>
      </c>
    </row>
    <row r="505" spans="1:19">
      <c r="A505" s="1">
        <v>43098</v>
      </c>
      <c r="B505" t="s">
        <v>294</v>
      </c>
      <c r="C505" t="s">
        <v>315</v>
      </c>
      <c r="D505">
        <v>11.475</v>
      </c>
      <c r="E505">
        <v>12.475</v>
      </c>
      <c r="F505">
        <v>0.0871459694989106</v>
      </c>
      <c r="G505">
        <f ca="1" t="shared" si="21"/>
        <v>0.655155703492524</v>
      </c>
      <c r="H505" t="str">
        <f ca="1" t="shared" si="22"/>
        <v>Risk-Off</v>
      </c>
      <c r="I505">
        <f ca="1" t="shared" si="23"/>
        <v>1</v>
      </c>
      <c r="J505">
        <f>_xlfn.XLOOKUP($A505,[1]Sheet1!$B$9:$B$2584,[1]Sheet1!$C$9:$C$2584,"N/A",0)</f>
        <v>97.83</v>
      </c>
      <c r="K505">
        <f>_xlfn.XLOOKUP($A505,[1]Sheet1!$E$9:$E$2584,[1]Sheet1!$F$9:$F$2584,"N/A",0)</f>
        <v>129.51</v>
      </c>
      <c r="L505">
        <f>_xlfn.XLOOKUP($A505,[1]Sheet1!$H$9:$H$2584,[1]Sheet1!$I$9:$I$2584,"N/A",0)</f>
        <v>97.82</v>
      </c>
      <c r="M505">
        <f>_xlfn.XLOOKUP($A505,[1]Sheet1!$K$9:$K$2584,[1]Sheet1!$L$9:$L$2584,"N/A",0)</f>
        <v>124.3</v>
      </c>
      <c r="N505">
        <f>_xlfn.XLOOKUP($A505,[1]Sheet1!$N$9:$N$2584,[1]Sheet1!$O$9:$O$2584,"N/A",0)</f>
        <v>94.85</v>
      </c>
      <c r="O505">
        <v>97.83</v>
      </c>
      <c r="P505">
        <v>129.51</v>
      </c>
      <c r="Q505">
        <v>97.82</v>
      </c>
      <c r="R505">
        <v>94.85</v>
      </c>
      <c r="S505">
        <v>124.3</v>
      </c>
    </row>
    <row r="506" spans="1:19">
      <c r="A506" s="1">
        <v>43102</v>
      </c>
      <c r="B506" t="s">
        <v>294</v>
      </c>
      <c r="C506" t="s">
        <v>315</v>
      </c>
      <c r="D506">
        <v>10.875</v>
      </c>
      <c r="E506">
        <v>11.975</v>
      </c>
      <c r="F506" s="2" t="s">
        <v>316</v>
      </c>
      <c r="G506">
        <f ca="1" t="shared" si="21"/>
        <v>0.98454188576797</v>
      </c>
      <c r="H506" t="str">
        <f ca="1" t="shared" si="22"/>
        <v>Risk-Off</v>
      </c>
      <c r="I506">
        <f ca="1" t="shared" si="23"/>
        <v>1</v>
      </c>
      <c r="J506">
        <f>_xlfn.XLOOKUP($A506,[1]Sheet1!$B$9:$B$2584,[1]Sheet1!$C$9:$C$2584,"N/A",0)</f>
        <v>97.92</v>
      </c>
      <c r="K506">
        <f>_xlfn.XLOOKUP($A506,[1]Sheet1!$E$9:$E$2584,[1]Sheet1!$F$9:$F$2584,"N/A",0)</f>
        <v>128.22</v>
      </c>
      <c r="L506">
        <f>_xlfn.XLOOKUP($A506,[1]Sheet1!$H$9:$H$2584,[1]Sheet1!$I$9:$I$2584,"N/A",0)</f>
        <v>98.57</v>
      </c>
      <c r="M506">
        <f>_xlfn.XLOOKUP($A506,[1]Sheet1!$K$9:$K$2584,[1]Sheet1!$L$9:$L$2584,"N/A",0)</f>
        <v>123.84</v>
      </c>
      <c r="N506">
        <f>_xlfn.XLOOKUP($A506,[1]Sheet1!$N$9:$N$2584,[1]Sheet1!$O$9:$O$2584,"N/A",0)</f>
        <v>95.04</v>
      </c>
      <c r="O506">
        <v>97.92</v>
      </c>
      <c r="P506">
        <v>128.22</v>
      </c>
      <c r="Q506">
        <v>98.57</v>
      </c>
      <c r="R506">
        <v>95.04</v>
      </c>
      <c r="S506">
        <v>123.84</v>
      </c>
    </row>
    <row r="507" spans="1:19">
      <c r="A507" s="1">
        <v>43103</v>
      </c>
      <c r="B507" t="s">
        <v>294</v>
      </c>
      <c r="C507" t="s">
        <v>315</v>
      </c>
      <c r="D507">
        <v>10.675</v>
      </c>
      <c r="E507">
        <v>11.825</v>
      </c>
      <c r="F507" s="2" t="s">
        <v>317</v>
      </c>
      <c r="G507">
        <f ca="1" t="shared" si="21"/>
        <v>1.1473578858803</v>
      </c>
      <c r="H507" t="str">
        <f ca="1" t="shared" si="22"/>
        <v>Risk-Off</v>
      </c>
      <c r="I507">
        <f ca="1" t="shared" si="23"/>
        <v>1</v>
      </c>
      <c r="J507">
        <f>_xlfn.XLOOKUP($A507,[1]Sheet1!$B$9:$B$2584,[1]Sheet1!$C$9:$C$2584,"N/A",0)</f>
        <v>98.21</v>
      </c>
      <c r="K507">
        <f>_xlfn.XLOOKUP($A507,[1]Sheet1!$E$9:$E$2584,[1]Sheet1!$F$9:$F$2584,"N/A",0)</f>
        <v>128.97</v>
      </c>
      <c r="L507">
        <f>_xlfn.XLOOKUP($A507,[1]Sheet1!$H$9:$H$2584,[1]Sheet1!$I$9:$I$2584,"N/A",0)</f>
        <v>98.41</v>
      </c>
      <c r="M507">
        <f>_xlfn.XLOOKUP($A507,[1]Sheet1!$K$9:$K$2584,[1]Sheet1!$L$9:$L$2584,"N/A",0)</f>
        <v>123.83</v>
      </c>
      <c r="N507">
        <f>_xlfn.XLOOKUP($A507,[1]Sheet1!$N$9:$N$2584,[1]Sheet1!$O$9:$O$2584,"N/A",0)</f>
        <v>95.77</v>
      </c>
      <c r="O507">
        <v>98.21</v>
      </c>
      <c r="P507">
        <v>128.97</v>
      </c>
      <c r="Q507">
        <v>98.41</v>
      </c>
      <c r="R507">
        <v>95.77</v>
      </c>
      <c r="S507">
        <v>123.83</v>
      </c>
    </row>
    <row r="508" spans="1:19">
      <c r="A508" s="1">
        <v>43104</v>
      </c>
      <c r="B508" t="s">
        <v>294</v>
      </c>
      <c r="C508" t="s">
        <v>315</v>
      </c>
      <c r="D508">
        <v>10.575</v>
      </c>
      <c r="E508">
        <v>11.825</v>
      </c>
      <c r="F508" s="2" t="s">
        <v>318</v>
      </c>
      <c r="G508">
        <f ca="1" t="shared" si="21"/>
        <v>1.39647495089283</v>
      </c>
      <c r="H508" t="str">
        <f ca="1" t="shared" si="22"/>
        <v>Risk-Off</v>
      </c>
      <c r="I508">
        <f ca="1" t="shared" si="23"/>
        <v>1</v>
      </c>
      <c r="J508">
        <f>_xlfn.XLOOKUP($A508,[1]Sheet1!$B$9:$B$2584,[1]Sheet1!$C$9:$C$2584,"N/A",0)</f>
        <v>98.02</v>
      </c>
      <c r="K508">
        <f>_xlfn.XLOOKUP($A508,[1]Sheet1!$E$9:$E$2584,[1]Sheet1!$F$9:$F$2584,"N/A",0)</f>
        <v>129.04</v>
      </c>
      <c r="L508">
        <f>_xlfn.XLOOKUP($A508,[1]Sheet1!$H$9:$H$2584,[1]Sheet1!$I$9:$I$2584,"N/A",0)</f>
        <v>98.07</v>
      </c>
      <c r="M508">
        <f>_xlfn.XLOOKUP($A508,[1]Sheet1!$K$9:$K$2584,[1]Sheet1!$L$9:$L$2584,"N/A",0)</f>
        <v>123.64</v>
      </c>
      <c r="N508">
        <f>_xlfn.XLOOKUP($A508,[1]Sheet1!$N$9:$N$2584,[1]Sheet1!$O$9:$O$2584,"N/A",0)</f>
        <v>96.02</v>
      </c>
      <c r="O508">
        <v>98.02</v>
      </c>
      <c r="P508">
        <v>129.04</v>
      </c>
      <c r="Q508">
        <v>98.07</v>
      </c>
      <c r="R508">
        <v>96.02</v>
      </c>
      <c r="S508">
        <v>123.64</v>
      </c>
    </row>
    <row r="509" spans="1:19">
      <c r="A509" s="1">
        <v>43105</v>
      </c>
      <c r="B509" t="s">
        <v>294</v>
      </c>
      <c r="C509" t="s">
        <v>315</v>
      </c>
      <c r="D509">
        <v>10.475</v>
      </c>
      <c r="E509">
        <v>11.725</v>
      </c>
      <c r="F509" s="2" t="s">
        <v>319</v>
      </c>
      <c r="G509">
        <f ca="1" t="shared" si="21"/>
        <v>1.42331147063436</v>
      </c>
      <c r="H509" t="str">
        <f ca="1" t="shared" si="22"/>
        <v>Risk-Off</v>
      </c>
      <c r="I509">
        <f ca="1" t="shared" si="23"/>
        <v>1</v>
      </c>
      <c r="J509">
        <f>_xlfn.XLOOKUP($A509,[1]Sheet1!$B$9:$B$2584,[1]Sheet1!$C$9:$C$2584,"N/A",0)</f>
        <v>98.3</v>
      </c>
      <c r="K509">
        <f>_xlfn.XLOOKUP($A509,[1]Sheet1!$E$9:$E$2584,[1]Sheet1!$F$9:$F$2584,"N/A",0)</f>
        <v>130.09</v>
      </c>
      <c r="L509">
        <f>_xlfn.XLOOKUP($A509,[1]Sheet1!$H$9:$H$2584,[1]Sheet1!$I$9:$I$2584,"N/A",0)</f>
        <v>98.15</v>
      </c>
      <c r="M509">
        <f>_xlfn.XLOOKUP($A509,[1]Sheet1!$K$9:$K$2584,[1]Sheet1!$L$9:$L$2584,"N/A",0)</f>
        <v>124.34</v>
      </c>
      <c r="N509">
        <f>_xlfn.XLOOKUP($A509,[1]Sheet1!$N$9:$N$2584,[1]Sheet1!$O$9:$O$2584,"N/A",0)</f>
        <v>96.42</v>
      </c>
      <c r="O509">
        <v>98.3</v>
      </c>
      <c r="P509">
        <v>130.09</v>
      </c>
      <c r="Q509">
        <v>98.15</v>
      </c>
      <c r="R509">
        <v>96.42</v>
      </c>
      <c r="S509">
        <v>124.34</v>
      </c>
    </row>
    <row r="510" spans="1:19">
      <c r="A510" s="1">
        <v>43108</v>
      </c>
      <c r="B510" t="s">
        <v>294</v>
      </c>
      <c r="C510" t="s">
        <v>315</v>
      </c>
      <c r="D510">
        <v>10.475</v>
      </c>
      <c r="E510">
        <v>11.675</v>
      </c>
      <c r="F510" s="2" t="s">
        <v>320</v>
      </c>
      <c r="G510">
        <f ca="1" t="shared" si="21"/>
        <v>1.30979299212765</v>
      </c>
      <c r="H510" t="str">
        <f ca="1" t="shared" si="22"/>
        <v>Risk-On</v>
      </c>
      <c r="I510">
        <f ca="1" t="shared" si="23"/>
        <v>1</v>
      </c>
      <c r="J510">
        <f>_xlfn.XLOOKUP($A510,[1]Sheet1!$B$9:$B$2584,[1]Sheet1!$C$9:$C$2584,"N/A",0)</f>
        <v>98.2</v>
      </c>
      <c r="K510">
        <f>_xlfn.XLOOKUP($A510,[1]Sheet1!$E$9:$E$2584,[1]Sheet1!$F$9:$F$2584,"N/A",0)</f>
        <v>131.07</v>
      </c>
      <c r="L510">
        <f>_xlfn.XLOOKUP($A510,[1]Sheet1!$H$9:$H$2584,[1]Sheet1!$I$9:$I$2584,"N/A",0)</f>
        <v>98.07</v>
      </c>
      <c r="M510">
        <f>_xlfn.XLOOKUP($A510,[1]Sheet1!$K$9:$K$2584,[1]Sheet1!$L$9:$L$2584,"N/A",0)</f>
        <v>124.84</v>
      </c>
      <c r="N510">
        <f>_xlfn.XLOOKUP($A510,[1]Sheet1!$N$9:$N$2584,[1]Sheet1!$O$9:$O$2584,"N/A",0)</f>
        <v>96.41</v>
      </c>
      <c r="O510">
        <v>98.2</v>
      </c>
      <c r="P510">
        <v>131.07</v>
      </c>
      <c r="Q510">
        <v>98.07</v>
      </c>
      <c r="R510">
        <v>96.41</v>
      </c>
      <c r="S510">
        <v>124.84</v>
      </c>
    </row>
    <row r="511" spans="1:19">
      <c r="A511" s="1">
        <v>43109</v>
      </c>
      <c r="B511" t="s">
        <v>294</v>
      </c>
      <c r="C511" t="s">
        <v>315</v>
      </c>
      <c r="D511">
        <v>10.675</v>
      </c>
      <c r="E511">
        <v>11.775</v>
      </c>
      <c r="F511" s="2" t="s">
        <v>321</v>
      </c>
      <c r="G511">
        <f ca="1" t="shared" si="21"/>
        <v>1.03596621727535</v>
      </c>
      <c r="H511" t="str">
        <f ca="1" t="shared" si="22"/>
        <v>Risk-On</v>
      </c>
      <c r="I511">
        <f ca="1" t="shared" si="23"/>
        <v>1</v>
      </c>
      <c r="J511">
        <f>_xlfn.XLOOKUP($A511,[1]Sheet1!$B$9:$B$2584,[1]Sheet1!$C$9:$C$2584,"N/A",0)</f>
        <v>98.27</v>
      </c>
      <c r="K511">
        <f>_xlfn.XLOOKUP($A511,[1]Sheet1!$E$9:$E$2584,[1]Sheet1!$F$9:$F$2584,"N/A",0)</f>
        <v>131.88</v>
      </c>
      <c r="L511">
        <f>_xlfn.XLOOKUP($A511,[1]Sheet1!$H$9:$H$2584,[1]Sheet1!$I$9:$I$2584,"N/A",0)</f>
        <v>98.03</v>
      </c>
      <c r="M511">
        <f>_xlfn.XLOOKUP($A511,[1]Sheet1!$K$9:$K$2584,[1]Sheet1!$L$9:$L$2584,"N/A",0)</f>
        <v>124.92</v>
      </c>
      <c r="N511">
        <f>_xlfn.XLOOKUP($A511,[1]Sheet1!$N$9:$N$2584,[1]Sheet1!$O$9:$O$2584,"N/A",0)</f>
        <v>97</v>
      </c>
      <c r="O511">
        <v>98.27</v>
      </c>
      <c r="P511">
        <v>131.88</v>
      </c>
      <c r="Q511">
        <v>98.03</v>
      </c>
      <c r="R511">
        <v>97</v>
      </c>
      <c r="S511">
        <v>124.92</v>
      </c>
    </row>
    <row r="512" spans="1:19">
      <c r="A512" s="1">
        <v>43110</v>
      </c>
      <c r="B512" t="s">
        <v>294</v>
      </c>
      <c r="C512" t="s">
        <v>315</v>
      </c>
      <c r="D512">
        <v>10.575</v>
      </c>
      <c r="E512">
        <v>11.575</v>
      </c>
      <c r="F512">
        <v>0.0945626477541371</v>
      </c>
      <c r="G512">
        <f ca="1" t="shared" si="21"/>
        <v>0.834249862307509</v>
      </c>
      <c r="H512" t="str">
        <f ca="1" t="shared" si="22"/>
        <v>Risk-On</v>
      </c>
      <c r="I512">
        <f ca="1" t="shared" si="23"/>
        <v>1</v>
      </c>
      <c r="J512">
        <f>_xlfn.XLOOKUP($A512,[1]Sheet1!$B$9:$B$2584,[1]Sheet1!$C$9:$C$2584,"N/A",0)</f>
        <v>98.07</v>
      </c>
      <c r="K512">
        <f>_xlfn.XLOOKUP($A512,[1]Sheet1!$E$9:$E$2584,[1]Sheet1!$F$9:$F$2584,"N/A",0)</f>
        <v>130.61</v>
      </c>
      <c r="L512">
        <f>_xlfn.XLOOKUP($A512,[1]Sheet1!$H$9:$H$2584,[1]Sheet1!$I$9:$I$2584,"N/A",0)</f>
        <v>98.44</v>
      </c>
      <c r="M512">
        <f>_xlfn.XLOOKUP($A512,[1]Sheet1!$K$9:$K$2584,[1]Sheet1!$L$9:$L$2584,"N/A",0)</f>
        <v>124.56</v>
      </c>
      <c r="N512">
        <f>_xlfn.XLOOKUP($A512,[1]Sheet1!$N$9:$N$2584,[1]Sheet1!$O$9:$O$2584,"N/A",0)</f>
        <v>96.98</v>
      </c>
      <c r="O512">
        <v>98.07</v>
      </c>
      <c r="P512">
        <v>130.61</v>
      </c>
      <c r="Q512">
        <v>98.44</v>
      </c>
      <c r="R512">
        <v>96.98</v>
      </c>
      <c r="S512">
        <v>124.56</v>
      </c>
    </row>
    <row r="513" spans="1:19">
      <c r="A513" s="1">
        <v>43111</v>
      </c>
      <c r="B513" t="s">
        <v>294</v>
      </c>
      <c r="C513" t="s">
        <v>315</v>
      </c>
      <c r="D513">
        <v>10.475</v>
      </c>
      <c r="E513">
        <v>11.575</v>
      </c>
      <c r="F513" s="2" t="s">
        <v>322</v>
      </c>
      <c r="G513">
        <f ca="1" t="shared" si="21"/>
        <v>1.07701696339915</v>
      </c>
      <c r="H513" t="str">
        <f ca="1" t="shared" si="22"/>
        <v>Risk-On</v>
      </c>
      <c r="I513">
        <f ca="1" t="shared" si="23"/>
        <v>1</v>
      </c>
      <c r="J513">
        <f>_xlfn.XLOOKUP($A513,[1]Sheet1!$B$9:$B$2584,[1]Sheet1!$C$9:$C$2584,"N/A",0)</f>
        <v>97.93</v>
      </c>
      <c r="K513">
        <f>_xlfn.XLOOKUP($A513,[1]Sheet1!$E$9:$E$2584,[1]Sheet1!$F$9:$F$2584,"N/A",0)</f>
        <v>129.77</v>
      </c>
      <c r="L513">
        <f>_xlfn.XLOOKUP($A513,[1]Sheet1!$H$9:$H$2584,[1]Sheet1!$I$9:$I$2584,"N/A",0)</f>
        <v>98.56</v>
      </c>
      <c r="M513">
        <f>_xlfn.XLOOKUP($A513,[1]Sheet1!$K$9:$K$2584,[1]Sheet1!$L$9:$L$2584,"N/A",0)</f>
        <v>124.55</v>
      </c>
      <c r="N513">
        <f>_xlfn.XLOOKUP($A513,[1]Sheet1!$N$9:$N$2584,[1]Sheet1!$O$9:$O$2584,"N/A",0)</f>
        <v>96.41</v>
      </c>
      <c r="O513">
        <v>97.93</v>
      </c>
      <c r="P513">
        <v>129.77</v>
      </c>
      <c r="Q513">
        <v>98.56</v>
      </c>
      <c r="R513">
        <v>96.41</v>
      </c>
      <c r="S513">
        <v>124.55</v>
      </c>
    </row>
    <row r="514" spans="1:19">
      <c r="A514" s="1">
        <v>43112</v>
      </c>
      <c r="B514" t="s">
        <v>294</v>
      </c>
      <c r="C514" t="s">
        <v>315</v>
      </c>
      <c r="D514">
        <v>10.575</v>
      </c>
      <c r="E514">
        <v>11.675</v>
      </c>
      <c r="F514" s="2" t="s">
        <v>323</v>
      </c>
      <c r="G514">
        <f ca="1" t="shared" si="21"/>
        <v>1.05336892830612</v>
      </c>
      <c r="H514" t="str">
        <f ca="1" t="shared" si="22"/>
        <v>Risk-On</v>
      </c>
      <c r="I514">
        <f ca="1" t="shared" si="23"/>
        <v>1</v>
      </c>
      <c r="J514">
        <f>_xlfn.XLOOKUP($A514,[1]Sheet1!$B$9:$B$2584,[1]Sheet1!$C$9:$C$2584,"N/A",0)</f>
        <v>97.78</v>
      </c>
      <c r="K514">
        <f>_xlfn.XLOOKUP($A514,[1]Sheet1!$E$9:$E$2584,[1]Sheet1!$F$9:$F$2584,"N/A",0)</f>
        <v>129.73</v>
      </c>
      <c r="L514">
        <f>_xlfn.XLOOKUP($A514,[1]Sheet1!$H$9:$H$2584,[1]Sheet1!$I$9:$I$2584,"N/A",0)</f>
        <v>99.05</v>
      </c>
      <c r="M514">
        <f>_xlfn.XLOOKUP($A514,[1]Sheet1!$K$9:$K$2584,[1]Sheet1!$L$9:$L$2584,"N/A",0)</f>
        <v>125.07</v>
      </c>
      <c r="N514">
        <f>_xlfn.XLOOKUP($A514,[1]Sheet1!$N$9:$N$2584,[1]Sheet1!$O$9:$O$2584,"N/A",0)</f>
        <v>96.54</v>
      </c>
      <c r="O514">
        <v>97.78</v>
      </c>
      <c r="P514">
        <v>129.73</v>
      </c>
      <c r="Q514">
        <v>99.05</v>
      </c>
      <c r="R514">
        <v>96.54</v>
      </c>
      <c r="S514">
        <v>125.07</v>
      </c>
    </row>
    <row r="515" spans="1:19">
      <c r="A515" s="1">
        <v>43116</v>
      </c>
      <c r="B515" t="s">
        <v>294</v>
      </c>
      <c r="C515" t="s">
        <v>315</v>
      </c>
      <c r="D515">
        <v>11.775</v>
      </c>
      <c r="E515">
        <v>12.075</v>
      </c>
      <c r="F515" s="2" t="s">
        <v>324</v>
      </c>
      <c r="G515">
        <f ca="1" t="shared" ref="G515:G578" si="24">IF(ROW()-ROW($A$3)+1&gt;252,(F515-AVERAGE(OFFSET(F515,-252,0,252,1)))/_xlfn.STDEV.S(OFFSET(F515,-252,0,252,1)),"N/A")</f>
        <v>-0.817030437933314</v>
      </c>
      <c r="H515" t="str">
        <f ca="1" t="shared" ref="H515:H578" si="25">IF(G515&lt;&gt;"N/A",IF(G765&gt;-0.5,"Risk-On","Risk-Off"),"N/A")</f>
        <v>Risk-On</v>
      </c>
      <c r="I515">
        <f ca="1" t="shared" si="23"/>
        <v>1</v>
      </c>
      <c r="J515">
        <f>_xlfn.XLOOKUP($A515,[1]Sheet1!$B$9:$B$2584,[1]Sheet1!$C$9:$C$2584,"N/A",0)</f>
        <v>97.86</v>
      </c>
      <c r="K515">
        <f>_xlfn.XLOOKUP($A515,[1]Sheet1!$E$9:$E$2584,[1]Sheet1!$F$9:$F$2584,"N/A",0)</f>
        <v>130.42</v>
      </c>
      <c r="L515">
        <f>_xlfn.XLOOKUP($A515,[1]Sheet1!$H$9:$H$2584,[1]Sheet1!$I$9:$I$2584,"N/A",0)</f>
        <v>99.52</v>
      </c>
      <c r="M515">
        <f>_xlfn.XLOOKUP($A515,[1]Sheet1!$K$9:$K$2584,[1]Sheet1!$L$9:$L$2584,"N/A",0)</f>
        <v>124.91</v>
      </c>
      <c r="N515">
        <f>_xlfn.XLOOKUP($A515,[1]Sheet1!$N$9:$N$2584,[1]Sheet1!$O$9:$O$2584,"N/A",0)</f>
        <v>96.91</v>
      </c>
      <c r="O515">
        <v>97.86</v>
      </c>
      <c r="P515">
        <v>130.42</v>
      </c>
      <c r="Q515">
        <v>99.52</v>
      </c>
      <c r="R515">
        <v>96.91</v>
      </c>
      <c r="S515">
        <v>124.91</v>
      </c>
    </row>
    <row r="516" spans="1:19">
      <c r="A516" s="1">
        <v>43117</v>
      </c>
      <c r="B516" t="s">
        <v>294</v>
      </c>
      <c r="C516" t="s">
        <v>315</v>
      </c>
      <c r="D516">
        <v>12.61</v>
      </c>
      <c r="E516">
        <v>12.125</v>
      </c>
      <c r="F516">
        <v>-0.0384615384615384</v>
      </c>
      <c r="G516">
        <f ca="1" t="shared" si="24"/>
        <v>-2.33969517683532</v>
      </c>
      <c r="H516" t="str">
        <f ca="1" t="shared" si="25"/>
        <v>Risk-On</v>
      </c>
      <c r="I516">
        <f ca="1" t="shared" ref="I516:I579" si="26">IF(H516&lt;&gt;"N/A",IF(H766&gt;-0.5,1,0),0)</f>
        <v>1</v>
      </c>
      <c r="J516">
        <f>_xlfn.XLOOKUP($A516,[1]Sheet1!$B$9:$B$2584,[1]Sheet1!$C$9:$C$2584,"N/A",0)</f>
        <v>98.04</v>
      </c>
      <c r="K516">
        <f>_xlfn.XLOOKUP($A516,[1]Sheet1!$E$9:$E$2584,[1]Sheet1!$F$9:$F$2584,"N/A",0)</f>
        <v>132.28</v>
      </c>
      <c r="L516">
        <f>_xlfn.XLOOKUP($A516,[1]Sheet1!$H$9:$H$2584,[1]Sheet1!$I$9:$I$2584,"N/A",0)</f>
        <v>99.67</v>
      </c>
      <c r="M516">
        <f>_xlfn.XLOOKUP($A516,[1]Sheet1!$K$9:$K$2584,[1]Sheet1!$L$9:$L$2584,"N/A",0)</f>
        <v>125.91</v>
      </c>
      <c r="N516">
        <f>_xlfn.XLOOKUP($A516,[1]Sheet1!$N$9:$N$2584,[1]Sheet1!$O$9:$O$2584,"N/A",0)</f>
        <v>96.67</v>
      </c>
      <c r="O516">
        <v>98.04</v>
      </c>
      <c r="P516">
        <v>132.28</v>
      </c>
      <c r="Q516">
        <v>99.67</v>
      </c>
      <c r="R516">
        <v>96.67</v>
      </c>
      <c r="S516">
        <v>125.91</v>
      </c>
    </row>
    <row r="517" spans="1:19">
      <c r="A517" s="1">
        <v>43118</v>
      </c>
      <c r="B517" t="s">
        <v>315</v>
      </c>
      <c r="C517" t="s">
        <v>325</v>
      </c>
      <c r="D517">
        <v>12.075</v>
      </c>
      <c r="E517">
        <v>12.775</v>
      </c>
      <c r="F517" s="2" t="s">
        <v>326</v>
      </c>
      <c r="G517">
        <f ca="1" t="shared" si="24"/>
        <v>-0.0227985149918112</v>
      </c>
      <c r="H517" t="str">
        <f ca="1" t="shared" si="25"/>
        <v>Risk-On</v>
      </c>
      <c r="I517">
        <f ca="1" t="shared" si="26"/>
        <v>1</v>
      </c>
      <c r="J517">
        <f>_xlfn.XLOOKUP($A517,[1]Sheet1!$B$9:$B$2584,[1]Sheet1!$C$9:$C$2584,"N/A",0)</f>
        <v>98.16</v>
      </c>
      <c r="K517">
        <f>_xlfn.XLOOKUP($A517,[1]Sheet1!$E$9:$E$2584,[1]Sheet1!$F$9:$F$2584,"N/A",0)</f>
        <v>132.17</v>
      </c>
      <c r="L517">
        <f>_xlfn.XLOOKUP($A517,[1]Sheet1!$H$9:$H$2584,[1]Sheet1!$I$9:$I$2584,"N/A",0)</f>
        <v>99.53</v>
      </c>
      <c r="M517">
        <f>_xlfn.XLOOKUP($A517,[1]Sheet1!$K$9:$K$2584,[1]Sheet1!$L$9:$L$2584,"N/A",0)</f>
        <v>126.31</v>
      </c>
      <c r="N517">
        <f>_xlfn.XLOOKUP($A517,[1]Sheet1!$N$9:$N$2584,[1]Sheet1!$O$9:$O$2584,"N/A",0)</f>
        <v>96.9</v>
      </c>
      <c r="O517">
        <v>98.16</v>
      </c>
      <c r="P517">
        <v>132.17</v>
      </c>
      <c r="Q517">
        <v>99.53</v>
      </c>
      <c r="R517">
        <v>96.9</v>
      </c>
      <c r="S517">
        <v>126.31</v>
      </c>
    </row>
    <row r="518" spans="1:19">
      <c r="A518" s="1">
        <v>43119</v>
      </c>
      <c r="B518" t="s">
        <v>315</v>
      </c>
      <c r="C518" t="s">
        <v>325</v>
      </c>
      <c r="D518">
        <v>11.925</v>
      </c>
      <c r="E518">
        <v>12.525</v>
      </c>
      <c r="F518">
        <v>0.050314465408805</v>
      </c>
      <c r="G518">
        <f ca="1" t="shared" si="24"/>
        <v>-0.188603673433451</v>
      </c>
      <c r="H518" t="str">
        <f ca="1" t="shared" si="25"/>
        <v>Risk-On</v>
      </c>
      <c r="I518">
        <f ca="1" t="shared" si="26"/>
        <v>1</v>
      </c>
      <c r="J518">
        <f>_xlfn.XLOOKUP($A518,[1]Sheet1!$B$9:$B$2584,[1]Sheet1!$C$9:$C$2584,"N/A",0)</f>
        <v>97.98</v>
      </c>
      <c r="K518">
        <f>_xlfn.XLOOKUP($A518,[1]Sheet1!$E$9:$E$2584,[1]Sheet1!$F$9:$F$2584,"N/A",0)</f>
        <v>132.45</v>
      </c>
      <c r="L518">
        <f>_xlfn.XLOOKUP($A518,[1]Sheet1!$H$9:$H$2584,[1]Sheet1!$I$9:$I$2584,"N/A",0)</f>
        <v>99.51</v>
      </c>
      <c r="M518">
        <f>_xlfn.XLOOKUP($A518,[1]Sheet1!$K$9:$K$2584,[1]Sheet1!$L$9:$L$2584,"N/A",0)</f>
        <v>127.18</v>
      </c>
      <c r="N518">
        <f>_xlfn.XLOOKUP($A518,[1]Sheet1!$N$9:$N$2584,[1]Sheet1!$O$9:$O$2584,"N/A",0)</f>
        <v>96.09</v>
      </c>
      <c r="O518">
        <v>97.98</v>
      </c>
      <c r="P518">
        <v>132.45</v>
      </c>
      <c r="Q518">
        <v>99.51</v>
      </c>
      <c r="R518">
        <v>96.09</v>
      </c>
      <c r="S518">
        <v>127.18</v>
      </c>
    </row>
    <row r="519" spans="1:19">
      <c r="A519" s="1">
        <v>43122</v>
      </c>
      <c r="B519" t="s">
        <v>315</v>
      </c>
      <c r="C519" t="s">
        <v>325</v>
      </c>
      <c r="D519">
        <v>11.825</v>
      </c>
      <c r="E519">
        <v>12.475</v>
      </c>
      <c r="F519" s="2" t="s">
        <v>327</v>
      </c>
      <c r="G519">
        <f ca="1" t="shared" si="24"/>
        <v>-0.0700534699550427</v>
      </c>
      <c r="H519" t="str">
        <f ca="1" t="shared" si="25"/>
        <v>Risk-On</v>
      </c>
      <c r="I519">
        <f ca="1" t="shared" si="26"/>
        <v>1</v>
      </c>
      <c r="J519">
        <f>_xlfn.XLOOKUP($A519,[1]Sheet1!$B$9:$B$2584,[1]Sheet1!$C$9:$C$2584,"N/A",0)</f>
        <v>98</v>
      </c>
      <c r="K519">
        <f>_xlfn.XLOOKUP($A519,[1]Sheet1!$E$9:$E$2584,[1]Sheet1!$F$9:$F$2584,"N/A",0)</f>
        <v>132.22</v>
      </c>
      <c r="L519">
        <f>_xlfn.XLOOKUP($A519,[1]Sheet1!$H$9:$H$2584,[1]Sheet1!$I$9:$I$2584,"N/A",0)</f>
        <v>99.2</v>
      </c>
      <c r="M519">
        <f>_xlfn.XLOOKUP($A519,[1]Sheet1!$K$9:$K$2584,[1]Sheet1!$L$9:$L$2584,"N/A",0)</f>
        <v>127.42</v>
      </c>
      <c r="N519">
        <f>_xlfn.XLOOKUP($A519,[1]Sheet1!$N$9:$N$2584,[1]Sheet1!$O$9:$O$2584,"N/A",0)</f>
        <v>96.38</v>
      </c>
      <c r="O519">
        <v>98</v>
      </c>
      <c r="P519">
        <v>132.22</v>
      </c>
      <c r="Q519">
        <v>99.2</v>
      </c>
      <c r="R519">
        <v>96.38</v>
      </c>
      <c r="S519">
        <v>127.42</v>
      </c>
    </row>
    <row r="520" spans="1:19">
      <c r="A520" s="1">
        <v>43123</v>
      </c>
      <c r="B520" t="s">
        <v>315</v>
      </c>
      <c r="C520" t="s">
        <v>325</v>
      </c>
      <c r="D520">
        <v>11.975</v>
      </c>
      <c r="E520">
        <v>12.725</v>
      </c>
      <c r="F520">
        <v>0.0626304801670146</v>
      </c>
      <c r="G520">
        <f ca="1" t="shared" si="24"/>
        <v>0.111139163533088</v>
      </c>
      <c r="H520" t="str">
        <f ca="1" t="shared" si="25"/>
        <v>Risk-On</v>
      </c>
      <c r="I520">
        <f ca="1" t="shared" si="26"/>
        <v>1</v>
      </c>
      <c r="J520">
        <f>_xlfn.XLOOKUP($A520,[1]Sheet1!$B$9:$B$2584,[1]Sheet1!$C$9:$C$2584,"N/A",0)</f>
        <v>98.01</v>
      </c>
      <c r="K520">
        <f>_xlfn.XLOOKUP($A520,[1]Sheet1!$E$9:$E$2584,[1]Sheet1!$F$9:$F$2584,"N/A",0)</f>
        <v>132.01</v>
      </c>
      <c r="L520">
        <f>_xlfn.XLOOKUP($A520,[1]Sheet1!$H$9:$H$2584,[1]Sheet1!$I$9:$I$2584,"N/A",0)</f>
        <v>98.41</v>
      </c>
      <c r="M520">
        <f>_xlfn.XLOOKUP($A520,[1]Sheet1!$K$9:$K$2584,[1]Sheet1!$L$9:$L$2584,"N/A",0)</f>
        <v>127</v>
      </c>
      <c r="N520">
        <f>_xlfn.XLOOKUP($A520,[1]Sheet1!$N$9:$N$2584,[1]Sheet1!$O$9:$O$2584,"N/A",0)</f>
        <v>96.68</v>
      </c>
      <c r="O520">
        <v>98.01</v>
      </c>
      <c r="P520">
        <v>132.01</v>
      </c>
      <c r="Q520">
        <v>98.41</v>
      </c>
      <c r="R520">
        <v>96.68</v>
      </c>
      <c r="S520">
        <v>127</v>
      </c>
    </row>
    <row r="521" spans="1:19">
      <c r="A521" s="1">
        <v>43124</v>
      </c>
      <c r="B521" t="s">
        <v>315</v>
      </c>
      <c r="C521" t="s">
        <v>325</v>
      </c>
      <c r="D521">
        <v>12.225</v>
      </c>
      <c r="E521">
        <v>12.925</v>
      </c>
      <c r="F521">
        <v>0.0572597137014315</v>
      </c>
      <c r="G521">
        <f ca="1" t="shared" si="24"/>
        <v>-0.0168886560080021</v>
      </c>
      <c r="H521" t="str">
        <f ca="1" t="shared" si="25"/>
        <v>Risk-On</v>
      </c>
      <c r="I521">
        <f ca="1" t="shared" si="26"/>
        <v>1</v>
      </c>
      <c r="J521">
        <f>_xlfn.XLOOKUP($A521,[1]Sheet1!$B$9:$B$2584,[1]Sheet1!$C$9:$C$2584,"N/A",0)</f>
        <v>98.05</v>
      </c>
      <c r="K521">
        <f>_xlfn.XLOOKUP($A521,[1]Sheet1!$E$9:$E$2584,[1]Sheet1!$F$9:$F$2584,"N/A",0)</f>
        <v>131.33</v>
      </c>
      <c r="L521">
        <f>_xlfn.XLOOKUP($A521,[1]Sheet1!$H$9:$H$2584,[1]Sheet1!$I$9:$I$2584,"N/A",0)</f>
        <v>98.14</v>
      </c>
      <c r="M521">
        <f>_xlfn.XLOOKUP($A521,[1]Sheet1!$K$9:$K$2584,[1]Sheet1!$L$9:$L$2584,"N/A",0)</f>
        <v>126.79</v>
      </c>
      <c r="N521">
        <f>_xlfn.XLOOKUP($A521,[1]Sheet1!$N$9:$N$2584,[1]Sheet1!$O$9:$O$2584,"N/A",0)</f>
        <v>97.15</v>
      </c>
      <c r="O521">
        <v>98.05</v>
      </c>
      <c r="P521">
        <v>131.33</v>
      </c>
      <c r="Q521">
        <v>98.14</v>
      </c>
      <c r="R521">
        <v>97.15</v>
      </c>
      <c r="S521">
        <v>126.79</v>
      </c>
    </row>
    <row r="522" spans="1:19">
      <c r="A522" s="1">
        <v>43125</v>
      </c>
      <c r="B522" t="s">
        <v>315</v>
      </c>
      <c r="C522" t="s">
        <v>325</v>
      </c>
      <c r="D522">
        <v>12.425</v>
      </c>
      <c r="E522">
        <v>13.025</v>
      </c>
      <c r="F522">
        <v>0.0482897384305834</v>
      </c>
      <c r="G522">
        <f ca="1" t="shared" si="24"/>
        <v>-0.230761024785122</v>
      </c>
      <c r="H522" t="str">
        <f ca="1" t="shared" si="25"/>
        <v>Risk-On</v>
      </c>
      <c r="I522">
        <f ca="1" t="shared" si="26"/>
        <v>1</v>
      </c>
      <c r="J522">
        <f>_xlfn.XLOOKUP($A522,[1]Sheet1!$B$9:$B$2584,[1]Sheet1!$C$9:$C$2584,"N/A",0)</f>
        <v>97.86</v>
      </c>
      <c r="K522">
        <f>_xlfn.XLOOKUP($A522,[1]Sheet1!$E$9:$E$2584,[1]Sheet1!$F$9:$F$2584,"N/A",0)</f>
        <v>132.15</v>
      </c>
      <c r="L522">
        <f>_xlfn.XLOOKUP($A522,[1]Sheet1!$H$9:$H$2584,[1]Sheet1!$I$9:$I$2584,"N/A",0)</f>
        <v>97.36</v>
      </c>
      <c r="M522">
        <f>_xlfn.XLOOKUP($A522,[1]Sheet1!$K$9:$K$2584,[1]Sheet1!$L$9:$L$2584,"N/A",0)</f>
        <v>127.28</v>
      </c>
      <c r="N522">
        <f>_xlfn.XLOOKUP($A522,[1]Sheet1!$N$9:$N$2584,[1]Sheet1!$O$9:$O$2584,"N/A",0)</f>
        <v>96.89</v>
      </c>
      <c r="O522">
        <v>97.86</v>
      </c>
      <c r="P522">
        <v>132.15</v>
      </c>
      <c r="Q522">
        <v>97.36</v>
      </c>
      <c r="R522">
        <v>96.89</v>
      </c>
      <c r="S522">
        <v>127.28</v>
      </c>
    </row>
    <row r="523" spans="1:19">
      <c r="A523" s="1">
        <v>43126</v>
      </c>
      <c r="B523" t="s">
        <v>315</v>
      </c>
      <c r="C523" t="s">
        <v>325</v>
      </c>
      <c r="D523">
        <v>12.325</v>
      </c>
      <c r="E523">
        <v>13.075</v>
      </c>
      <c r="F523">
        <v>0.0608519269776876</v>
      </c>
      <c r="G523">
        <f ca="1" t="shared" si="24"/>
        <v>0.0710856359698518</v>
      </c>
      <c r="H523" t="str">
        <f ca="1" t="shared" si="25"/>
        <v>Risk-On</v>
      </c>
      <c r="I523">
        <f ca="1" t="shared" si="26"/>
        <v>1</v>
      </c>
      <c r="J523">
        <f>_xlfn.XLOOKUP($A523,[1]Sheet1!$B$9:$B$2584,[1]Sheet1!$C$9:$C$2584,"N/A",0)</f>
        <v>97.7</v>
      </c>
      <c r="K523">
        <f>_xlfn.XLOOKUP($A523,[1]Sheet1!$E$9:$E$2584,[1]Sheet1!$F$9:$F$2584,"N/A",0)</f>
        <v>132.78</v>
      </c>
      <c r="L523">
        <f>_xlfn.XLOOKUP($A523,[1]Sheet1!$H$9:$H$2584,[1]Sheet1!$I$9:$I$2584,"N/A",0)</f>
        <v>97.93</v>
      </c>
      <c r="M523">
        <f>_xlfn.XLOOKUP($A523,[1]Sheet1!$K$9:$K$2584,[1]Sheet1!$L$9:$L$2584,"N/A",0)</f>
        <v>128.16</v>
      </c>
      <c r="N523">
        <f>_xlfn.XLOOKUP($A523,[1]Sheet1!$N$9:$N$2584,[1]Sheet1!$O$9:$O$2584,"N/A",0)</f>
        <v>97.51</v>
      </c>
      <c r="O523">
        <v>97.7</v>
      </c>
      <c r="P523">
        <v>132.78</v>
      </c>
      <c r="Q523">
        <v>97.93</v>
      </c>
      <c r="R523">
        <v>97.51</v>
      </c>
      <c r="S523">
        <v>128.16</v>
      </c>
    </row>
    <row r="524" spans="1:19">
      <c r="A524" s="1">
        <v>43129</v>
      </c>
      <c r="B524" t="s">
        <v>315</v>
      </c>
      <c r="C524" t="s">
        <v>325</v>
      </c>
      <c r="D524">
        <v>13.525</v>
      </c>
      <c r="E524">
        <v>13.825</v>
      </c>
      <c r="F524" s="2" t="s">
        <v>328</v>
      </c>
      <c r="G524">
        <f ca="1" t="shared" si="24"/>
        <v>-0.859169862486632</v>
      </c>
      <c r="H524" t="str">
        <f ca="1" t="shared" si="25"/>
        <v>Risk-On</v>
      </c>
      <c r="I524">
        <f ca="1" t="shared" si="26"/>
        <v>1</v>
      </c>
      <c r="J524">
        <f>_xlfn.XLOOKUP($A524,[1]Sheet1!$B$9:$B$2584,[1]Sheet1!$C$9:$C$2584,"N/A",0)</f>
        <v>97.59</v>
      </c>
      <c r="K524">
        <f>_xlfn.XLOOKUP($A524,[1]Sheet1!$E$9:$E$2584,[1]Sheet1!$F$9:$F$2584,"N/A",0)</f>
        <v>131.78</v>
      </c>
      <c r="L524">
        <f>_xlfn.XLOOKUP($A524,[1]Sheet1!$H$9:$H$2584,[1]Sheet1!$I$9:$I$2584,"N/A",0)</f>
        <v>97.88</v>
      </c>
      <c r="M524">
        <f>_xlfn.XLOOKUP($A524,[1]Sheet1!$K$9:$K$2584,[1]Sheet1!$L$9:$L$2584,"N/A",0)</f>
        <v>128.65</v>
      </c>
      <c r="N524">
        <f>_xlfn.XLOOKUP($A524,[1]Sheet1!$N$9:$N$2584,[1]Sheet1!$O$9:$O$2584,"N/A",0)</f>
        <v>97.49</v>
      </c>
      <c r="O524">
        <v>97.59</v>
      </c>
      <c r="P524">
        <v>131.78</v>
      </c>
      <c r="Q524">
        <v>97.88</v>
      </c>
      <c r="R524">
        <v>97.49</v>
      </c>
      <c r="S524">
        <v>128.65</v>
      </c>
    </row>
    <row r="525" spans="1:19">
      <c r="A525" s="1">
        <v>43130</v>
      </c>
      <c r="B525" t="s">
        <v>315</v>
      </c>
      <c r="C525" t="s">
        <v>325</v>
      </c>
      <c r="D525">
        <v>13.975</v>
      </c>
      <c r="E525">
        <v>14.075</v>
      </c>
      <c r="F525">
        <v>0.00715563506261178</v>
      </c>
      <c r="G525">
        <f ca="1" t="shared" si="24"/>
        <v>-1.2205051937231</v>
      </c>
      <c r="H525" t="str">
        <f ca="1" t="shared" si="25"/>
        <v>Risk-On</v>
      </c>
      <c r="I525">
        <f ca="1" t="shared" si="26"/>
        <v>1</v>
      </c>
      <c r="J525">
        <f>_xlfn.XLOOKUP($A525,[1]Sheet1!$B$9:$B$2584,[1]Sheet1!$C$9:$C$2584,"N/A",0)</f>
        <v>97.29</v>
      </c>
      <c r="K525">
        <f>_xlfn.XLOOKUP($A525,[1]Sheet1!$E$9:$E$2584,[1]Sheet1!$F$9:$F$2584,"N/A",0)</f>
        <v>132.6</v>
      </c>
      <c r="L525">
        <f>_xlfn.XLOOKUP($A525,[1]Sheet1!$H$9:$H$2584,[1]Sheet1!$I$9:$I$2584,"N/A",0)</f>
        <v>97.49</v>
      </c>
      <c r="M525">
        <f>_xlfn.XLOOKUP($A525,[1]Sheet1!$K$9:$K$2584,[1]Sheet1!$L$9:$L$2584,"N/A",0)</f>
        <v>128.55</v>
      </c>
      <c r="N525">
        <f>_xlfn.XLOOKUP($A525,[1]Sheet1!$N$9:$N$2584,[1]Sheet1!$O$9:$O$2584,"N/A",0)</f>
        <v>97.22</v>
      </c>
      <c r="O525">
        <v>97.29</v>
      </c>
      <c r="P525">
        <v>132.6</v>
      </c>
      <c r="Q525">
        <v>97.49</v>
      </c>
      <c r="R525">
        <v>97.22</v>
      </c>
      <c r="S525">
        <v>128.55</v>
      </c>
    </row>
    <row r="526" spans="1:19">
      <c r="A526" s="1">
        <v>43131</v>
      </c>
      <c r="B526" t="s">
        <v>315</v>
      </c>
      <c r="C526" t="s">
        <v>325</v>
      </c>
      <c r="D526">
        <v>13.475</v>
      </c>
      <c r="E526">
        <v>13.675</v>
      </c>
      <c r="F526" s="2" t="s">
        <v>329</v>
      </c>
      <c r="G526">
        <f ca="1" t="shared" si="24"/>
        <v>-1.02353487085871</v>
      </c>
      <c r="H526" t="str">
        <f ca="1" t="shared" si="25"/>
        <v>Risk-On</v>
      </c>
      <c r="I526">
        <f ca="1" t="shared" si="26"/>
        <v>1</v>
      </c>
      <c r="J526">
        <f>_xlfn.XLOOKUP($A526,[1]Sheet1!$B$9:$B$2584,[1]Sheet1!$C$9:$C$2584,"N/A",0)</f>
        <v>97.3</v>
      </c>
      <c r="K526">
        <f>_xlfn.XLOOKUP($A526,[1]Sheet1!$E$9:$E$2584,[1]Sheet1!$F$9:$F$2584,"N/A",0)</f>
        <v>133.06</v>
      </c>
      <c r="L526">
        <f>_xlfn.XLOOKUP($A526,[1]Sheet1!$H$9:$H$2584,[1]Sheet1!$I$9:$I$2584,"N/A",0)</f>
        <v>96.85</v>
      </c>
      <c r="M526">
        <f>_xlfn.XLOOKUP($A526,[1]Sheet1!$K$9:$K$2584,[1]Sheet1!$L$9:$L$2584,"N/A",0)</f>
        <v>128.03</v>
      </c>
      <c r="N526">
        <f>_xlfn.XLOOKUP($A526,[1]Sheet1!$N$9:$N$2584,[1]Sheet1!$O$9:$O$2584,"N/A",0)</f>
        <v>97.92</v>
      </c>
      <c r="O526">
        <v>97.3</v>
      </c>
      <c r="P526">
        <v>133.06</v>
      </c>
      <c r="Q526">
        <v>96.85</v>
      </c>
      <c r="R526">
        <v>97.92</v>
      </c>
      <c r="S526">
        <v>128.03</v>
      </c>
    </row>
    <row r="527" spans="1:19">
      <c r="A527" s="1">
        <v>43132</v>
      </c>
      <c r="B527" t="s">
        <v>315</v>
      </c>
      <c r="C527" t="s">
        <v>325</v>
      </c>
      <c r="D527">
        <v>13.275</v>
      </c>
      <c r="E527">
        <v>13.425</v>
      </c>
      <c r="F527" s="2" t="s">
        <v>330</v>
      </c>
      <c r="G527">
        <f ca="1" t="shared" si="24"/>
        <v>-1.10856519180534</v>
      </c>
      <c r="H527" t="str">
        <f ca="1" t="shared" si="25"/>
        <v>Risk-On</v>
      </c>
      <c r="I527">
        <f ca="1" t="shared" si="26"/>
        <v>1</v>
      </c>
      <c r="J527">
        <f>_xlfn.XLOOKUP($A527,[1]Sheet1!$B$9:$B$2584,[1]Sheet1!$C$9:$C$2584,"N/A",0)</f>
        <v>97.52</v>
      </c>
      <c r="K527">
        <f>_xlfn.XLOOKUP($A527,[1]Sheet1!$E$9:$E$2584,[1]Sheet1!$F$9:$F$2584,"N/A",0)</f>
        <v>132.67</v>
      </c>
      <c r="L527">
        <f>_xlfn.XLOOKUP($A527,[1]Sheet1!$H$9:$H$2584,[1]Sheet1!$I$9:$I$2584,"N/A",0)</f>
        <v>96.94</v>
      </c>
      <c r="M527">
        <f>_xlfn.XLOOKUP($A527,[1]Sheet1!$K$9:$K$2584,[1]Sheet1!$L$9:$L$2584,"N/A",0)</f>
        <v>128.13</v>
      </c>
      <c r="N527">
        <f>_xlfn.XLOOKUP($A527,[1]Sheet1!$N$9:$N$2584,[1]Sheet1!$O$9:$O$2584,"N/A",0)</f>
        <v>97.96</v>
      </c>
      <c r="O527">
        <v>97.52</v>
      </c>
      <c r="P527">
        <v>132.67</v>
      </c>
      <c r="Q527">
        <v>96.94</v>
      </c>
      <c r="R527">
        <v>97.96</v>
      </c>
      <c r="S527">
        <v>128.13</v>
      </c>
    </row>
    <row r="528" spans="1:19">
      <c r="A528" s="1">
        <v>43133</v>
      </c>
      <c r="B528" t="s">
        <v>315</v>
      </c>
      <c r="C528" t="s">
        <v>325</v>
      </c>
      <c r="D528">
        <v>15.625</v>
      </c>
      <c r="E528">
        <v>14.975</v>
      </c>
      <c r="F528">
        <v>-0.0416</v>
      </c>
      <c r="G528">
        <f ca="1" t="shared" si="24"/>
        <v>-2.37817475004839</v>
      </c>
      <c r="H528" t="str">
        <f ca="1" t="shared" si="25"/>
        <v>Risk-On</v>
      </c>
      <c r="I528">
        <f ca="1" t="shared" si="26"/>
        <v>1</v>
      </c>
      <c r="J528">
        <f>_xlfn.XLOOKUP($A528,[1]Sheet1!$B$9:$B$2584,[1]Sheet1!$C$9:$C$2584,"N/A",0)</f>
        <v>97.82</v>
      </c>
      <c r="K528">
        <f>_xlfn.XLOOKUP($A528,[1]Sheet1!$E$9:$E$2584,[1]Sheet1!$F$9:$F$2584,"N/A",0)</f>
        <v>132.63</v>
      </c>
      <c r="L528">
        <f>_xlfn.XLOOKUP($A528,[1]Sheet1!$H$9:$H$2584,[1]Sheet1!$I$9:$I$2584,"N/A",0)</f>
        <v>96.37</v>
      </c>
      <c r="M528">
        <f>_xlfn.XLOOKUP($A528,[1]Sheet1!$K$9:$K$2584,[1]Sheet1!$L$9:$L$2584,"N/A",0)</f>
        <v>127.99</v>
      </c>
      <c r="N528">
        <f>_xlfn.XLOOKUP($A528,[1]Sheet1!$N$9:$N$2584,[1]Sheet1!$O$9:$O$2584,"N/A",0)</f>
        <v>98.01</v>
      </c>
      <c r="O528">
        <v>97.82</v>
      </c>
      <c r="P528">
        <v>132.63</v>
      </c>
      <c r="Q528">
        <v>96.37</v>
      </c>
      <c r="R528">
        <v>98.01</v>
      </c>
      <c r="S528">
        <v>127.99</v>
      </c>
    </row>
    <row r="529" spans="1:19">
      <c r="A529" s="1">
        <v>43136</v>
      </c>
      <c r="B529" t="s">
        <v>315</v>
      </c>
      <c r="C529" t="s">
        <v>325</v>
      </c>
      <c r="D529">
        <v>33.225</v>
      </c>
      <c r="E529">
        <v>27.975</v>
      </c>
      <c r="F529">
        <v>-0.158013544018058</v>
      </c>
      <c r="G529">
        <f ca="1" t="shared" si="24"/>
        <v>-5.04726761423376</v>
      </c>
      <c r="H529" t="str">
        <f ca="1" t="shared" si="25"/>
        <v>Risk-On</v>
      </c>
      <c r="I529">
        <f ca="1" t="shared" si="26"/>
        <v>1</v>
      </c>
      <c r="J529">
        <f>_xlfn.XLOOKUP($A529,[1]Sheet1!$B$9:$B$2584,[1]Sheet1!$C$9:$C$2584,"N/A",0)</f>
        <v>97.74</v>
      </c>
      <c r="K529">
        <f>_xlfn.XLOOKUP($A529,[1]Sheet1!$E$9:$E$2584,[1]Sheet1!$F$9:$F$2584,"N/A",0)</f>
        <v>132.18</v>
      </c>
      <c r="L529">
        <f>_xlfn.XLOOKUP($A529,[1]Sheet1!$H$9:$H$2584,[1]Sheet1!$I$9:$I$2584,"N/A",0)</f>
        <v>96.5</v>
      </c>
      <c r="M529">
        <f>_xlfn.XLOOKUP($A529,[1]Sheet1!$K$9:$K$2584,[1]Sheet1!$L$9:$L$2584,"N/A",0)</f>
        <v>127.13</v>
      </c>
      <c r="N529">
        <f>_xlfn.XLOOKUP($A529,[1]Sheet1!$N$9:$N$2584,[1]Sheet1!$O$9:$O$2584,"N/A",0)</f>
        <v>97.33</v>
      </c>
      <c r="O529">
        <v>97.74</v>
      </c>
      <c r="P529">
        <v>132.18</v>
      </c>
      <c r="Q529">
        <v>96.5</v>
      </c>
      <c r="R529">
        <v>97.33</v>
      </c>
      <c r="S529">
        <v>127.13</v>
      </c>
    </row>
    <row r="530" spans="1:19">
      <c r="A530" s="1">
        <v>43137</v>
      </c>
      <c r="B530" t="s">
        <v>315</v>
      </c>
      <c r="C530" t="s">
        <v>325</v>
      </c>
      <c r="D530">
        <v>23.875</v>
      </c>
      <c r="E530">
        <v>21.025</v>
      </c>
      <c r="F530">
        <v>-0.119371727748691</v>
      </c>
      <c r="G530">
        <f ca="1" t="shared" si="24"/>
        <v>-3.73830764811321</v>
      </c>
      <c r="H530" t="str">
        <f ca="1" t="shared" si="25"/>
        <v>Risk-On</v>
      </c>
      <c r="I530">
        <f ca="1" t="shared" si="26"/>
        <v>1</v>
      </c>
      <c r="J530">
        <f>_xlfn.XLOOKUP($A530,[1]Sheet1!$B$9:$B$2584,[1]Sheet1!$C$9:$C$2584,"N/A",0)</f>
        <v>97.55</v>
      </c>
      <c r="K530">
        <f>_xlfn.XLOOKUP($A530,[1]Sheet1!$E$9:$E$2584,[1]Sheet1!$F$9:$F$2584,"N/A",0)</f>
        <v>133.09</v>
      </c>
      <c r="L530">
        <f>_xlfn.XLOOKUP($A530,[1]Sheet1!$H$9:$H$2584,[1]Sheet1!$I$9:$I$2584,"N/A",0)</f>
        <v>97.12</v>
      </c>
      <c r="M530">
        <f>_xlfn.XLOOKUP($A530,[1]Sheet1!$K$9:$K$2584,[1]Sheet1!$L$9:$L$2584,"N/A",0)</f>
        <v>128.13</v>
      </c>
      <c r="N530">
        <f>_xlfn.XLOOKUP($A530,[1]Sheet1!$N$9:$N$2584,[1]Sheet1!$O$9:$O$2584,"N/A",0)</f>
        <v>97.84</v>
      </c>
      <c r="O530">
        <v>97.55</v>
      </c>
      <c r="P530">
        <v>133.09</v>
      </c>
      <c r="Q530">
        <v>97.12</v>
      </c>
      <c r="R530">
        <v>97.84</v>
      </c>
      <c r="S530">
        <v>128.13</v>
      </c>
    </row>
    <row r="531" spans="1:19">
      <c r="A531" s="1">
        <v>43138</v>
      </c>
      <c r="B531" t="s">
        <v>315</v>
      </c>
      <c r="C531" t="s">
        <v>325</v>
      </c>
      <c r="D531">
        <v>23.425</v>
      </c>
      <c r="E531">
        <v>19.875</v>
      </c>
      <c r="F531">
        <v>-0.151547491995731</v>
      </c>
      <c r="G531">
        <f ca="1" t="shared" si="24"/>
        <v>-4.18432140818632</v>
      </c>
      <c r="H531" t="str">
        <f ca="1" t="shared" si="25"/>
        <v>Risk-On</v>
      </c>
      <c r="I531">
        <f ca="1" t="shared" si="26"/>
        <v>1</v>
      </c>
      <c r="J531">
        <f>_xlfn.XLOOKUP($A531,[1]Sheet1!$B$9:$B$2584,[1]Sheet1!$C$9:$C$2584,"N/A",0)</f>
        <v>97.46</v>
      </c>
      <c r="K531">
        <f>_xlfn.XLOOKUP($A531,[1]Sheet1!$E$9:$E$2584,[1]Sheet1!$F$9:$F$2584,"N/A",0)</f>
        <v>133.03</v>
      </c>
      <c r="L531">
        <f>_xlfn.XLOOKUP($A531,[1]Sheet1!$H$9:$H$2584,[1]Sheet1!$I$9:$I$2584,"N/A",0)</f>
        <v>97.29</v>
      </c>
      <c r="M531">
        <f>_xlfn.XLOOKUP($A531,[1]Sheet1!$K$9:$K$2584,[1]Sheet1!$L$9:$L$2584,"N/A",0)</f>
        <v>128.48</v>
      </c>
      <c r="N531">
        <f>_xlfn.XLOOKUP($A531,[1]Sheet1!$N$9:$N$2584,[1]Sheet1!$O$9:$O$2584,"N/A",0)</f>
        <v>97.37</v>
      </c>
      <c r="O531">
        <v>97.46</v>
      </c>
      <c r="P531">
        <v>133.03</v>
      </c>
      <c r="Q531">
        <v>97.29</v>
      </c>
      <c r="R531">
        <v>97.37</v>
      </c>
      <c r="S531">
        <v>128.48</v>
      </c>
    </row>
    <row r="532" spans="1:19">
      <c r="A532" s="1">
        <v>43139</v>
      </c>
      <c r="B532" t="s">
        <v>315</v>
      </c>
      <c r="C532" t="s">
        <v>325</v>
      </c>
      <c r="D532">
        <v>28.1</v>
      </c>
      <c r="E532">
        <v>21.65</v>
      </c>
      <c r="F532">
        <v>-0.229537366548042</v>
      </c>
      <c r="G532">
        <f ca="1" t="shared" si="24"/>
        <v>-5.39675933392464</v>
      </c>
      <c r="H532" t="str">
        <f ca="1" t="shared" si="25"/>
        <v>Risk-On</v>
      </c>
      <c r="I532">
        <f ca="1" t="shared" si="26"/>
        <v>1</v>
      </c>
      <c r="J532">
        <f>_xlfn.XLOOKUP($A532,[1]Sheet1!$B$9:$B$2584,[1]Sheet1!$C$9:$C$2584,"N/A",0)</f>
        <v>97.44</v>
      </c>
      <c r="K532">
        <f>_xlfn.XLOOKUP($A532,[1]Sheet1!$E$9:$E$2584,[1]Sheet1!$F$9:$F$2584,"N/A",0)</f>
        <v>131.42</v>
      </c>
      <c r="L532">
        <f>_xlfn.XLOOKUP($A532,[1]Sheet1!$H$9:$H$2584,[1]Sheet1!$I$9:$I$2584,"N/A",0)</f>
        <v>97.56</v>
      </c>
      <c r="M532">
        <f>_xlfn.XLOOKUP($A532,[1]Sheet1!$K$9:$K$2584,[1]Sheet1!$L$9:$L$2584,"N/A",0)</f>
        <v>127.91</v>
      </c>
      <c r="N532">
        <f>_xlfn.XLOOKUP($A532,[1]Sheet1!$N$9:$N$2584,[1]Sheet1!$O$9:$O$2584,"N/A",0)</f>
        <v>96.47</v>
      </c>
      <c r="O532">
        <v>97.44</v>
      </c>
      <c r="P532">
        <v>131.42</v>
      </c>
      <c r="Q532">
        <v>97.56</v>
      </c>
      <c r="R532">
        <v>96.47</v>
      </c>
      <c r="S532">
        <v>127.91</v>
      </c>
    </row>
    <row r="533" spans="1:19">
      <c r="A533" s="1">
        <v>43140</v>
      </c>
      <c r="B533" t="s">
        <v>315</v>
      </c>
      <c r="C533" t="s">
        <v>325</v>
      </c>
      <c r="D533">
        <v>27.175</v>
      </c>
      <c r="E533">
        <v>20.425</v>
      </c>
      <c r="F533">
        <v>-0.248390064397424</v>
      </c>
      <c r="G533">
        <f ca="1" t="shared" si="24"/>
        <v>-5.16421056763199</v>
      </c>
      <c r="H533" t="str">
        <f ca="1" t="shared" si="25"/>
        <v>Risk-On</v>
      </c>
      <c r="I533">
        <f ca="1" t="shared" si="26"/>
        <v>1</v>
      </c>
      <c r="J533">
        <f>_xlfn.XLOOKUP($A533,[1]Sheet1!$B$9:$B$2584,[1]Sheet1!$C$9:$C$2584,"N/A",0)</f>
        <v>97.54</v>
      </c>
      <c r="K533">
        <f>_xlfn.XLOOKUP($A533,[1]Sheet1!$E$9:$E$2584,[1]Sheet1!$F$9:$F$2584,"N/A",0)</f>
        <v>132.14</v>
      </c>
      <c r="L533">
        <f>_xlfn.XLOOKUP($A533,[1]Sheet1!$H$9:$H$2584,[1]Sheet1!$I$9:$I$2584,"N/A",0)</f>
        <v>97.45</v>
      </c>
      <c r="M533">
        <f>_xlfn.XLOOKUP($A533,[1]Sheet1!$K$9:$K$2584,[1]Sheet1!$L$9:$L$2584,"N/A",0)</f>
        <v>128.7</v>
      </c>
      <c r="N533">
        <f>_xlfn.XLOOKUP($A533,[1]Sheet1!$N$9:$N$2584,[1]Sheet1!$O$9:$O$2584,"N/A",0)</f>
        <v>97.12</v>
      </c>
      <c r="O533">
        <v>97.54</v>
      </c>
      <c r="P533">
        <v>132.14</v>
      </c>
      <c r="Q533">
        <v>97.45</v>
      </c>
      <c r="R533">
        <v>97.12</v>
      </c>
      <c r="S533">
        <v>128.7</v>
      </c>
    </row>
    <row r="534" spans="1:19">
      <c r="A534" s="1">
        <v>43143</v>
      </c>
      <c r="B534" t="s">
        <v>315</v>
      </c>
      <c r="C534" t="s">
        <v>325</v>
      </c>
      <c r="D534">
        <v>25.825</v>
      </c>
      <c r="E534">
        <v>19.825</v>
      </c>
      <c r="F534">
        <v>-0.232333010648596</v>
      </c>
      <c r="G534">
        <f ca="1" t="shared" si="24"/>
        <v>-4.41581229472863</v>
      </c>
      <c r="H534" t="str">
        <f ca="1" t="shared" si="25"/>
        <v>Risk-On</v>
      </c>
      <c r="I534">
        <f ca="1" t="shared" si="26"/>
        <v>1</v>
      </c>
      <c r="J534">
        <f>_xlfn.XLOOKUP($A534,[1]Sheet1!$B$9:$B$2584,[1]Sheet1!$C$9:$C$2584,"N/A",0)</f>
        <v>97.45</v>
      </c>
      <c r="K534">
        <f>_xlfn.XLOOKUP($A534,[1]Sheet1!$E$9:$E$2584,[1]Sheet1!$F$9:$F$2584,"N/A",0)</f>
        <v>132.69</v>
      </c>
      <c r="L534">
        <f>_xlfn.XLOOKUP($A534,[1]Sheet1!$H$9:$H$2584,[1]Sheet1!$I$9:$I$2584,"N/A",0)</f>
        <v>97.38</v>
      </c>
      <c r="M534">
        <f>_xlfn.XLOOKUP($A534,[1]Sheet1!$K$9:$K$2584,[1]Sheet1!$L$9:$L$2584,"N/A",0)</f>
        <v>128.02</v>
      </c>
      <c r="N534">
        <f>_xlfn.XLOOKUP($A534,[1]Sheet1!$N$9:$N$2584,[1]Sheet1!$O$9:$O$2584,"N/A",0)</f>
        <v>97.38</v>
      </c>
      <c r="O534">
        <v>97.45</v>
      </c>
      <c r="P534">
        <v>132.69</v>
      </c>
      <c r="Q534">
        <v>97.38</v>
      </c>
      <c r="R534">
        <v>97.38</v>
      </c>
      <c r="S534">
        <v>128.02</v>
      </c>
    </row>
    <row r="535" spans="1:19">
      <c r="A535" s="1">
        <v>43144</v>
      </c>
      <c r="B535" t="s">
        <v>315</v>
      </c>
      <c r="C535" t="s">
        <v>325</v>
      </c>
      <c r="D535">
        <v>25.225</v>
      </c>
      <c r="E535">
        <v>19.825</v>
      </c>
      <c r="F535">
        <v>-0.214073339940535</v>
      </c>
      <c r="G535">
        <f ca="1" t="shared" si="24"/>
        <v>-3.82340286519737</v>
      </c>
      <c r="H535" t="str">
        <f ca="1" t="shared" si="25"/>
        <v>Risk-On</v>
      </c>
      <c r="I535">
        <f ca="1" t="shared" si="26"/>
        <v>1</v>
      </c>
      <c r="J535">
        <f>_xlfn.XLOOKUP($A535,[1]Sheet1!$B$9:$B$2584,[1]Sheet1!$C$9:$C$2584,"N/A",0)</f>
        <v>97.26</v>
      </c>
      <c r="K535">
        <f>_xlfn.XLOOKUP($A535,[1]Sheet1!$E$9:$E$2584,[1]Sheet1!$F$9:$F$2584,"N/A",0)</f>
        <v>133.25</v>
      </c>
      <c r="L535">
        <f>_xlfn.XLOOKUP($A535,[1]Sheet1!$H$9:$H$2584,[1]Sheet1!$I$9:$I$2584,"N/A",0)</f>
        <v>97.42</v>
      </c>
      <c r="M535">
        <f>_xlfn.XLOOKUP($A535,[1]Sheet1!$K$9:$K$2584,[1]Sheet1!$L$9:$L$2584,"N/A",0)</f>
        <v>128.63</v>
      </c>
      <c r="N535">
        <f>_xlfn.XLOOKUP($A535,[1]Sheet1!$N$9:$N$2584,[1]Sheet1!$O$9:$O$2584,"N/A",0)</f>
        <v>97.55</v>
      </c>
      <c r="O535">
        <v>97.26</v>
      </c>
      <c r="P535">
        <v>133.25</v>
      </c>
      <c r="Q535">
        <v>97.42</v>
      </c>
      <c r="R535">
        <v>97.55</v>
      </c>
      <c r="S535">
        <v>128.63</v>
      </c>
    </row>
    <row r="536" spans="1:19">
      <c r="A536" s="1">
        <v>43145</v>
      </c>
      <c r="B536" t="s">
        <v>315</v>
      </c>
      <c r="C536" t="s">
        <v>325</v>
      </c>
      <c r="D536">
        <v>21.87</v>
      </c>
      <c r="E536">
        <v>17.875</v>
      </c>
      <c r="F536">
        <v>-0.182670324645633</v>
      </c>
      <c r="G536">
        <f ca="1" t="shared" si="24"/>
        <v>-3.16552621440046</v>
      </c>
      <c r="H536" t="str">
        <f ca="1" t="shared" si="25"/>
        <v>Risk-On</v>
      </c>
      <c r="I536">
        <f ca="1" t="shared" si="26"/>
        <v>1</v>
      </c>
      <c r="J536">
        <f>_xlfn.XLOOKUP($A536,[1]Sheet1!$B$9:$B$2584,[1]Sheet1!$C$9:$C$2584,"N/A",0)</f>
        <v>97.19</v>
      </c>
      <c r="K536">
        <f>_xlfn.XLOOKUP($A536,[1]Sheet1!$E$9:$E$2584,[1]Sheet1!$F$9:$F$2584,"N/A",0)</f>
        <v>132.75</v>
      </c>
      <c r="L536">
        <f>_xlfn.XLOOKUP($A536,[1]Sheet1!$H$9:$H$2584,[1]Sheet1!$I$9:$I$2584,"N/A",0)</f>
        <v>97.08</v>
      </c>
      <c r="M536">
        <f>_xlfn.XLOOKUP($A536,[1]Sheet1!$K$9:$K$2584,[1]Sheet1!$L$9:$L$2584,"N/A",0)</f>
        <v>128.43</v>
      </c>
      <c r="N536">
        <f>_xlfn.XLOOKUP($A536,[1]Sheet1!$N$9:$N$2584,[1]Sheet1!$O$9:$O$2584,"N/A",0)</f>
        <v>97.47</v>
      </c>
      <c r="O536">
        <v>97.19</v>
      </c>
      <c r="P536">
        <v>132.75</v>
      </c>
      <c r="Q536">
        <v>97.08</v>
      </c>
      <c r="R536">
        <v>97.47</v>
      </c>
      <c r="S536">
        <v>128.43</v>
      </c>
    </row>
    <row r="537" spans="1:19">
      <c r="A537" s="1">
        <v>43146</v>
      </c>
      <c r="B537" t="s">
        <v>325</v>
      </c>
      <c r="C537" t="s">
        <v>331</v>
      </c>
      <c r="D537">
        <v>17.525</v>
      </c>
      <c r="E537">
        <v>17.325</v>
      </c>
      <c r="F537">
        <v>-0.0114122681883023</v>
      </c>
      <c r="G537">
        <f ca="1" t="shared" si="24"/>
        <v>-0.711011252863882</v>
      </c>
      <c r="H537" t="str">
        <f ca="1" t="shared" si="25"/>
        <v>Risk-On</v>
      </c>
      <c r="I537">
        <f ca="1" t="shared" si="26"/>
        <v>1</v>
      </c>
      <c r="J537">
        <f>_xlfn.XLOOKUP($A537,[1]Sheet1!$B$9:$B$2584,[1]Sheet1!$C$9:$C$2584,"N/A",0)</f>
        <v>97.09</v>
      </c>
      <c r="K537">
        <f>_xlfn.XLOOKUP($A537,[1]Sheet1!$E$9:$E$2584,[1]Sheet1!$F$9:$F$2584,"N/A",0)</f>
        <v>133.03</v>
      </c>
      <c r="L537">
        <f>_xlfn.XLOOKUP($A537,[1]Sheet1!$H$9:$H$2584,[1]Sheet1!$I$9:$I$2584,"N/A",0)</f>
        <v>96.84</v>
      </c>
      <c r="M537">
        <f>_xlfn.XLOOKUP($A537,[1]Sheet1!$K$9:$K$2584,[1]Sheet1!$L$9:$L$2584,"N/A",0)</f>
        <v>128.73</v>
      </c>
      <c r="N537">
        <f>_xlfn.XLOOKUP($A537,[1]Sheet1!$N$9:$N$2584,[1]Sheet1!$O$9:$O$2584,"N/A",0)</f>
        <v>97.57</v>
      </c>
      <c r="O537">
        <v>97.09</v>
      </c>
      <c r="P537">
        <v>133.03</v>
      </c>
      <c r="Q537">
        <v>96.84</v>
      </c>
      <c r="R537">
        <v>97.57</v>
      </c>
      <c r="S537">
        <v>128.73</v>
      </c>
    </row>
    <row r="538" spans="1:19">
      <c r="A538" s="1">
        <v>43147</v>
      </c>
      <c r="B538" t="s">
        <v>325</v>
      </c>
      <c r="C538" t="s">
        <v>331</v>
      </c>
      <c r="D538">
        <v>17.775</v>
      </c>
      <c r="E538">
        <v>17.375</v>
      </c>
      <c r="F538">
        <v>-0.0225035161744021</v>
      </c>
      <c r="G538">
        <f ca="1" t="shared" si="24"/>
        <v>-0.85353467338497</v>
      </c>
      <c r="H538" t="str">
        <f ca="1" t="shared" si="25"/>
        <v>Risk-On</v>
      </c>
      <c r="I538">
        <f ca="1" t="shared" si="26"/>
        <v>1</v>
      </c>
      <c r="J538">
        <f>_xlfn.XLOOKUP($A538,[1]Sheet1!$B$9:$B$2584,[1]Sheet1!$C$9:$C$2584,"N/A",0)</f>
        <v>97.18</v>
      </c>
      <c r="K538">
        <f>_xlfn.XLOOKUP($A538,[1]Sheet1!$E$9:$E$2584,[1]Sheet1!$F$9:$F$2584,"N/A",0)</f>
        <v>132.52</v>
      </c>
      <c r="L538">
        <f>_xlfn.XLOOKUP($A538,[1]Sheet1!$H$9:$H$2584,[1]Sheet1!$I$9:$I$2584,"N/A",0)</f>
        <v>96.87</v>
      </c>
      <c r="M538">
        <f>_xlfn.XLOOKUP($A538,[1]Sheet1!$K$9:$K$2584,[1]Sheet1!$L$9:$L$2584,"N/A",0)</f>
        <v>129.14</v>
      </c>
      <c r="N538">
        <f>_xlfn.XLOOKUP($A538,[1]Sheet1!$N$9:$N$2584,[1]Sheet1!$O$9:$O$2584,"N/A",0)</f>
        <v>97.18</v>
      </c>
      <c r="O538">
        <v>97.18</v>
      </c>
      <c r="P538">
        <v>132.52</v>
      </c>
      <c r="Q538">
        <v>96.87</v>
      </c>
      <c r="R538">
        <v>97.18</v>
      </c>
      <c r="S538">
        <v>129.14</v>
      </c>
    </row>
    <row r="539" spans="1:19">
      <c r="A539" s="1">
        <v>43151</v>
      </c>
      <c r="B539" t="s">
        <v>325</v>
      </c>
      <c r="C539" t="s">
        <v>331</v>
      </c>
      <c r="D539">
        <v>18.375</v>
      </c>
      <c r="E539">
        <v>17.825</v>
      </c>
      <c r="F539">
        <v>-0.0299319727891156</v>
      </c>
      <c r="G539">
        <f ca="1" t="shared" si="24"/>
        <v>-0.941359274824662</v>
      </c>
      <c r="H539" t="str">
        <f ca="1" t="shared" si="25"/>
        <v>Risk-On</v>
      </c>
      <c r="I539">
        <f ca="1" t="shared" si="26"/>
        <v>1</v>
      </c>
      <c r="J539">
        <f>_xlfn.XLOOKUP($A539,[1]Sheet1!$B$9:$B$2584,[1]Sheet1!$C$9:$C$2584,"N/A",0)</f>
        <v>97.02</v>
      </c>
      <c r="K539">
        <f>_xlfn.XLOOKUP($A539,[1]Sheet1!$E$9:$E$2584,[1]Sheet1!$F$9:$F$2584,"N/A",0)</f>
        <v>132.67</v>
      </c>
      <c r="L539">
        <f>_xlfn.XLOOKUP($A539,[1]Sheet1!$H$9:$H$2584,[1]Sheet1!$I$9:$I$2584,"N/A",0)</f>
        <v>96.39</v>
      </c>
      <c r="M539">
        <f>_xlfn.XLOOKUP($A539,[1]Sheet1!$K$9:$K$2584,[1]Sheet1!$L$9:$L$2584,"N/A",0)</f>
        <v>129.12</v>
      </c>
      <c r="N539">
        <f>_xlfn.XLOOKUP($A539,[1]Sheet1!$N$9:$N$2584,[1]Sheet1!$O$9:$O$2584,"N/A",0)</f>
        <v>97.5</v>
      </c>
      <c r="O539">
        <v>97.02</v>
      </c>
      <c r="P539">
        <v>132.67</v>
      </c>
      <c r="Q539">
        <v>96.39</v>
      </c>
      <c r="R539">
        <v>97.5</v>
      </c>
      <c r="S539">
        <v>129.12</v>
      </c>
    </row>
    <row r="540" spans="1:19">
      <c r="A540" s="1">
        <v>43152</v>
      </c>
      <c r="B540" t="s">
        <v>325</v>
      </c>
      <c r="C540" t="s">
        <v>331</v>
      </c>
      <c r="D540">
        <v>18.575</v>
      </c>
      <c r="E540">
        <v>18.075</v>
      </c>
      <c r="F540">
        <v>-0.0269179004037685</v>
      </c>
      <c r="G540">
        <f ca="1" t="shared" si="24"/>
        <v>-0.886440646839343</v>
      </c>
      <c r="H540" t="str">
        <f ca="1" t="shared" si="25"/>
        <v>Risk-On</v>
      </c>
      <c r="I540">
        <f ca="1" t="shared" si="26"/>
        <v>1</v>
      </c>
      <c r="J540">
        <f>_xlfn.XLOOKUP($A540,[1]Sheet1!$B$9:$B$2584,[1]Sheet1!$C$9:$C$2584,"N/A",0)</f>
        <v>97.02</v>
      </c>
      <c r="K540">
        <f>_xlfn.XLOOKUP($A540,[1]Sheet1!$E$9:$E$2584,[1]Sheet1!$F$9:$F$2584,"N/A",0)</f>
        <v>132.97</v>
      </c>
      <c r="L540">
        <f>_xlfn.XLOOKUP($A540,[1]Sheet1!$H$9:$H$2584,[1]Sheet1!$I$9:$I$2584,"N/A",0)</f>
        <v>96.4</v>
      </c>
      <c r="M540">
        <f>_xlfn.XLOOKUP($A540,[1]Sheet1!$K$9:$K$2584,[1]Sheet1!$L$9:$L$2584,"N/A",0)</f>
        <v>128.89</v>
      </c>
      <c r="N540">
        <f>_xlfn.XLOOKUP($A540,[1]Sheet1!$N$9:$N$2584,[1]Sheet1!$O$9:$O$2584,"N/A",0)</f>
        <v>96.75</v>
      </c>
      <c r="O540">
        <v>97.02</v>
      </c>
      <c r="P540">
        <v>132.97</v>
      </c>
      <c r="Q540">
        <v>96.4</v>
      </c>
      <c r="R540">
        <v>96.75</v>
      </c>
      <c r="S540">
        <v>128.89</v>
      </c>
    </row>
    <row r="541" spans="1:19">
      <c r="A541" s="1">
        <v>43153</v>
      </c>
      <c r="B541" t="s">
        <v>325</v>
      </c>
      <c r="C541" t="s">
        <v>331</v>
      </c>
      <c r="D541">
        <v>18.075</v>
      </c>
      <c r="E541">
        <v>17.625</v>
      </c>
      <c r="F541">
        <v>-0.0248962655601659</v>
      </c>
      <c r="G541">
        <f ca="1" t="shared" si="24"/>
        <v>-0.85300685953916</v>
      </c>
      <c r="H541" t="str">
        <f ca="1" t="shared" si="25"/>
        <v>Risk-On</v>
      </c>
      <c r="I541">
        <f ca="1" t="shared" si="26"/>
        <v>1</v>
      </c>
      <c r="J541">
        <f>_xlfn.XLOOKUP($A541,[1]Sheet1!$B$9:$B$2584,[1]Sheet1!$C$9:$C$2584,"N/A",0)</f>
        <v>96.48</v>
      </c>
      <c r="K541">
        <f>_xlfn.XLOOKUP($A541,[1]Sheet1!$E$9:$E$2584,[1]Sheet1!$F$9:$F$2584,"N/A",0)</f>
        <v>134.29</v>
      </c>
      <c r="L541">
        <f>_xlfn.XLOOKUP($A541,[1]Sheet1!$H$9:$H$2584,[1]Sheet1!$I$9:$I$2584,"N/A",0)</f>
        <v>96.32</v>
      </c>
      <c r="M541">
        <f>_xlfn.XLOOKUP($A541,[1]Sheet1!$K$9:$K$2584,[1]Sheet1!$L$9:$L$2584,"N/A",0)</f>
        <v>129.06</v>
      </c>
      <c r="N541">
        <f>_xlfn.XLOOKUP($A541,[1]Sheet1!$N$9:$N$2584,[1]Sheet1!$O$9:$O$2584,"N/A",0)</f>
        <v>97.03</v>
      </c>
      <c r="O541">
        <v>96.48</v>
      </c>
      <c r="P541">
        <v>134.29</v>
      </c>
      <c r="Q541">
        <v>96.32</v>
      </c>
      <c r="R541">
        <v>97.03</v>
      </c>
      <c r="S541">
        <v>129.06</v>
      </c>
    </row>
    <row r="542" spans="1:19">
      <c r="A542" s="1">
        <v>43154</v>
      </c>
      <c r="B542" t="s">
        <v>325</v>
      </c>
      <c r="C542" t="s">
        <v>331</v>
      </c>
      <c r="D542">
        <v>16.775</v>
      </c>
      <c r="E542">
        <v>16.9</v>
      </c>
      <c r="F542">
        <v>0.00745156482861401</v>
      </c>
      <c r="G542">
        <f ca="1" t="shared" si="24"/>
        <v>-0.409038948148573</v>
      </c>
      <c r="H542" t="str">
        <f ca="1" t="shared" si="25"/>
        <v>Risk-On</v>
      </c>
      <c r="I542">
        <f ca="1" t="shared" si="26"/>
        <v>1</v>
      </c>
      <c r="J542">
        <f>_xlfn.XLOOKUP($A542,[1]Sheet1!$B$9:$B$2584,[1]Sheet1!$C$9:$C$2584,"N/A",0)</f>
        <v>96.2</v>
      </c>
      <c r="K542">
        <f>_xlfn.XLOOKUP($A542,[1]Sheet1!$E$9:$E$2584,[1]Sheet1!$F$9:$F$2584,"N/A",0)</f>
        <v>134.24</v>
      </c>
      <c r="L542">
        <f>_xlfn.XLOOKUP($A542,[1]Sheet1!$H$9:$H$2584,[1]Sheet1!$I$9:$I$2584,"N/A",0)</f>
        <v>96.04</v>
      </c>
      <c r="M542">
        <f>_xlfn.XLOOKUP($A542,[1]Sheet1!$K$9:$K$2584,[1]Sheet1!$L$9:$L$2584,"N/A",0)</f>
        <v>128.94</v>
      </c>
      <c r="N542">
        <f>_xlfn.XLOOKUP($A542,[1]Sheet1!$N$9:$N$2584,[1]Sheet1!$O$9:$O$2584,"N/A",0)</f>
        <v>97.36</v>
      </c>
      <c r="O542">
        <v>96.2</v>
      </c>
      <c r="P542">
        <v>134.24</v>
      </c>
      <c r="Q542">
        <v>96.04</v>
      </c>
      <c r="R542">
        <v>97.36</v>
      </c>
      <c r="S542">
        <v>128.94</v>
      </c>
    </row>
    <row r="543" spans="1:19">
      <c r="A543" s="1">
        <v>43157</v>
      </c>
      <c r="B543" t="s">
        <v>325</v>
      </c>
      <c r="C543" t="s">
        <v>331</v>
      </c>
      <c r="D543">
        <v>16.175</v>
      </c>
      <c r="E543">
        <v>16.175</v>
      </c>
      <c r="F543">
        <v>0</v>
      </c>
      <c r="G543">
        <f ca="1" t="shared" si="24"/>
        <v>-0.508541596509552</v>
      </c>
      <c r="H543" t="str">
        <f ca="1" t="shared" si="25"/>
        <v>Risk-On</v>
      </c>
      <c r="I543">
        <f ca="1" t="shared" si="26"/>
        <v>1</v>
      </c>
      <c r="J543">
        <f>_xlfn.XLOOKUP($A543,[1]Sheet1!$B$9:$B$2584,[1]Sheet1!$C$9:$C$2584,"N/A",0)</f>
        <v>96.24</v>
      </c>
      <c r="K543">
        <f>_xlfn.XLOOKUP($A543,[1]Sheet1!$E$9:$E$2584,[1]Sheet1!$F$9:$F$2584,"N/A",0)</f>
        <v>134.24</v>
      </c>
      <c r="L543">
        <f>_xlfn.XLOOKUP($A543,[1]Sheet1!$H$9:$H$2584,[1]Sheet1!$I$9:$I$2584,"N/A",0)</f>
        <v>96.73</v>
      </c>
      <c r="M543">
        <f>_xlfn.XLOOKUP($A543,[1]Sheet1!$K$9:$K$2584,[1]Sheet1!$L$9:$L$2584,"N/A",0)</f>
        <v>129.28</v>
      </c>
      <c r="N543">
        <f>_xlfn.XLOOKUP($A543,[1]Sheet1!$N$9:$N$2584,[1]Sheet1!$O$9:$O$2584,"N/A",0)</f>
        <v>97.62</v>
      </c>
      <c r="O543">
        <v>96.24</v>
      </c>
      <c r="P543">
        <v>134.24</v>
      </c>
      <c r="Q543">
        <v>96.73</v>
      </c>
      <c r="R543">
        <v>97.62</v>
      </c>
      <c r="S543">
        <v>129.28</v>
      </c>
    </row>
    <row r="544" spans="1:19">
      <c r="A544" s="1">
        <v>43158</v>
      </c>
      <c r="B544" t="s">
        <v>325</v>
      </c>
      <c r="C544" t="s">
        <v>331</v>
      </c>
      <c r="D544">
        <v>17.525</v>
      </c>
      <c r="E544">
        <v>17.175</v>
      </c>
      <c r="F544">
        <v>-0.0199714693295291</v>
      </c>
      <c r="G544">
        <f ca="1" t="shared" si="24"/>
        <v>-0.778422493247706</v>
      </c>
      <c r="H544" t="str">
        <f ca="1" t="shared" si="25"/>
        <v>Risk-On</v>
      </c>
      <c r="I544">
        <f ca="1" t="shared" si="26"/>
        <v>1</v>
      </c>
      <c r="J544">
        <f>_xlfn.XLOOKUP($A544,[1]Sheet1!$B$9:$B$2584,[1]Sheet1!$C$9:$C$2584,"N/A",0)</f>
        <v>96.15</v>
      </c>
      <c r="K544">
        <f>_xlfn.XLOOKUP($A544,[1]Sheet1!$E$9:$E$2584,[1]Sheet1!$F$9:$F$2584,"N/A",0)</f>
        <v>134.26</v>
      </c>
      <c r="L544">
        <f>_xlfn.XLOOKUP($A544,[1]Sheet1!$H$9:$H$2584,[1]Sheet1!$I$9:$I$2584,"N/A",0)</f>
        <v>96.6</v>
      </c>
      <c r="M544">
        <f>_xlfn.XLOOKUP($A544,[1]Sheet1!$K$9:$K$2584,[1]Sheet1!$L$9:$L$2584,"N/A",0)</f>
        <v>129.16</v>
      </c>
      <c r="N544">
        <f>_xlfn.XLOOKUP($A544,[1]Sheet1!$N$9:$N$2584,[1]Sheet1!$O$9:$O$2584,"N/A",0)</f>
        <v>97.81</v>
      </c>
      <c r="O544">
        <v>96.15</v>
      </c>
      <c r="P544">
        <v>134.26</v>
      </c>
      <c r="Q544">
        <v>96.6</v>
      </c>
      <c r="R544">
        <v>97.81</v>
      </c>
      <c r="S544">
        <v>129.16</v>
      </c>
    </row>
    <row r="545" spans="1:19">
      <c r="A545" s="1">
        <v>43159</v>
      </c>
      <c r="B545" t="s">
        <v>325</v>
      </c>
      <c r="C545" t="s">
        <v>331</v>
      </c>
      <c r="D545">
        <v>18.575</v>
      </c>
      <c r="E545">
        <v>17.875</v>
      </c>
      <c r="F545">
        <v>-0.0376850605652758</v>
      </c>
      <c r="G545">
        <f ca="1" t="shared" si="24"/>
        <v>-1.01563136959462</v>
      </c>
      <c r="H545" t="str">
        <f ca="1" t="shared" si="25"/>
        <v>Risk-On</v>
      </c>
      <c r="I545">
        <f ca="1" t="shared" si="26"/>
        <v>1</v>
      </c>
      <c r="J545">
        <f>_xlfn.XLOOKUP($A545,[1]Sheet1!$B$9:$B$2584,[1]Sheet1!$C$9:$C$2584,"N/A",0)</f>
        <v>96.18</v>
      </c>
      <c r="K545">
        <f>_xlfn.XLOOKUP($A545,[1]Sheet1!$E$9:$E$2584,[1]Sheet1!$F$9:$F$2584,"N/A",0)</f>
        <v>134.84</v>
      </c>
      <c r="L545">
        <f>_xlfn.XLOOKUP($A545,[1]Sheet1!$H$9:$H$2584,[1]Sheet1!$I$9:$I$2584,"N/A",0)</f>
        <v>96.75</v>
      </c>
      <c r="M545">
        <f>_xlfn.XLOOKUP($A545,[1]Sheet1!$K$9:$K$2584,[1]Sheet1!$L$9:$L$2584,"N/A",0)</f>
        <v>129.8</v>
      </c>
      <c r="N545">
        <f>_xlfn.XLOOKUP($A545,[1]Sheet1!$N$9:$N$2584,[1]Sheet1!$O$9:$O$2584,"N/A",0)</f>
        <v>98.36</v>
      </c>
      <c r="O545">
        <v>96.18</v>
      </c>
      <c r="P545">
        <v>134.84</v>
      </c>
      <c r="Q545">
        <v>96.75</v>
      </c>
      <c r="R545">
        <v>98.36</v>
      </c>
      <c r="S545">
        <v>129.8</v>
      </c>
    </row>
    <row r="546" spans="1:19">
      <c r="A546" s="1">
        <v>43160</v>
      </c>
      <c r="B546" t="s">
        <v>325</v>
      </c>
      <c r="C546" t="s">
        <v>331</v>
      </c>
      <c r="D546">
        <v>19.975</v>
      </c>
      <c r="E546">
        <v>18.675</v>
      </c>
      <c r="F546">
        <v>-0.065081351689612</v>
      </c>
      <c r="G546">
        <f ca="1" t="shared" si="24"/>
        <v>-1.38204836326277</v>
      </c>
      <c r="H546" t="str">
        <f ca="1" t="shared" si="25"/>
        <v>Risk-On</v>
      </c>
      <c r="I546">
        <f ca="1" t="shared" si="26"/>
        <v>1</v>
      </c>
      <c r="J546">
        <f>_xlfn.XLOOKUP($A546,[1]Sheet1!$B$9:$B$2584,[1]Sheet1!$C$9:$C$2584,"N/A",0)</f>
        <v>96.38</v>
      </c>
      <c r="K546">
        <f>_xlfn.XLOOKUP($A546,[1]Sheet1!$E$9:$E$2584,[1]Sheet1!$F$9:$F$2584,"N/A",0)</f>
        <v>134.6</v>
      </c>
      <c r="L546">
        <f>_xlfn.XLOOKUP($A546,[1]Sheet1!$H$9:$H$2584,[1]Sheet1!$I$9:$I$2584,"N/A",0)</f>
        <v>96.48</v>
      </c>
      <c r="M546">
        <f>_xlfn.XLOOKUP($A546,[1]Sheet1!$K$9:$K$2584,[1]Sheet1!$L$9:$L$2584,"N/A",0)</f>
        <v>129.36</v>
      </c>
      <c r="N546">
        <f>_xlfn.XLOOKUP($A546,[1]Sheet1!$N$9:$N$2584,[1]Sheet1!$O$9:$O$2584,"N/A",0)</f>
        <v>97.79</v>
      </c>
      <c r="O546">
        <v>96.38</v>
      </c>
      <c r="P546">
        <v>134.6</v>
      </c>
      <c r="Q546">
        <v>96.48</v>
      </c>
      <c r="R546">
        <v>97.79</v>
      </c>
      <c r="S546">
        <v>129.36</v>
      </c>
    </row>
    <row r="547" spans="1:19">
      <c r="A547" s="1">
        <v>43161</v>
      </c>
      <c r="B547" t="s">
        <v>325</v>
      </c>
      <c r="C547" t="s">
        <v>331</v>
      </c>
      <c r="D547">
        <v>19.025</v>
      </c>
      <c r="E547">
        <v>18.275</v>
      </c>
      <c r="F547">
        <v>-0.0394218134034165</v>
      </c>
      <c r="G547">
        <f ca="1" t="shared" si="24"/>
        <v>-1.01819408368588</v>
      </c>
      <c r="H547" t="str">
        <f ca="1" t="shared" si="25"/>
        <v>Risk-On</v>
      </c>
      <c r="I547">
        <f ca="1" t="shared" si="26"/>
        <v>1</v>
      </c>
      <c r="J547">
        <f>_xlfn.XLOOKUP($A547,[1]Sheet1!$B$9:$B$2584,[1]Sheet1!$C$9:$C$2584,"N/A",0)</f>
        <v>96.22</v>
      </c>
      <c r="K547">
        <f>_xlfn.XLOOKUP($A547,[1]Sheet1!$E$9:$E$2584,[1]Sheet1!$F$9:$F$2584,"N/A",0)</f>
        <v>133.75</v>
      </c>
      <c r="L547">
        <f>_xlfn.XLOOKUP($A547,[1]Sheet1!$H$9:$H$2584,[1]Sheet1!$I$9:$I$2584,"N/A",0)</f>
        <v>96.1</v>
      </c>
      <c r="M547">
        <f>_xlfn.XLOOKUP($A547,[1]Sheet1!$K$9:$K$2584,[1]Sheet1!$L$9:$L$2584,"N/A",0)</f>
        <v>129.38</v>
      </c>
      <c r="N547">
        <f>_xlfn.XLOOKUP($A547,[1]Sheet1!$N$9:$N$2584,[1]Sheet1!$O$9:$O$2584,"N/A",0)</f>
        <v>96.9</v>
      </c>
      <c r="O547">
        <v>96.22</v>
      </c>
      <c r="P547">
        <v>133.75</v>
      </c>
      <c r="Q547">
        <v>96.1</v>
      </c>
      <c r="R547">
        <v>96.9</v>
      </c>
      <c r="S547">
        <v>129.38</v>
      </c>
    </row>
    <row r="548" spans="1:19">
      <c r="A548" s="1">
        <v>43164</v>
      </c>
      <c r="B548" t="s">
        <v>325</v>
      </c>
      <c r="C548" t="s">
        <v>331</v>
      </c>
      <c r="D548">
        <v>18.275</v>
      </c>
      <c r="E548">
        <v>17.825</v>
      </c>
      <c r="F548">
        <v>-0.0246238030095758</v>
      </c>
      <c r="G548">
        <f ca="1" t="shared" si="24"/>
        <v>-0.80931144553157</v>
      </c>
      <c r="H548" t="str">
        <f ca="1" t="shared" si="25"/>
        <v>Risk-On</v>
      </c>
      <c r="I548">
        <f ca="1" t="shared" si="26"/>
        <v>1</v>
      </c>
      <c r="J548">
        <f>_xlfn.XLOOKUP($A548,[1]Sheet1!$B$9:$B$2584,[1]Sheet1!$C$9:$C$2584,"N/A",0)</f>
        <v>96.43</v>
      </c>
      <c r="K548">
        <f>_xlfn.XLOOKUP($A548,[1]Sheet1!$E$9:$E$2584,[1]Sheet1!$F$9:$F$2584,"N/A",0)</f>
        <v>132.49</v>
      </c>
      <c r="L548">
        <f>_xlfn.XLOOKUP($A548,[1]Sheet1!$H$9:$H$2584,[1]Sheet1!$I$9:$I$2584,"N/A",0)</f>
        <v>95.76</v>
      </c>
      <c r="M548">
        <f>_xlfn.XLOOKUP($A548,[1]Sheet1!$K$9:$K$2584,[1]Sheet1!$L$9:$L$2584,"N/A",0)</f>
        <v>129.23</v>
      </c>
      <c r="N548">
        <f>_xlfn.XLOOKUP($A548,[1]Sheet1!$N$9:$N$2584,[1]Sheet1!$O$9:$O$2584,"N/A",0)</f>
        <v>97.6</v>
      </c>
      <c r="O548">
        <v>96.43</v>
      </c>
      <c r="P548">
        <v>132.49</v>
      </c>
      <c r="Q548">
        <v>95.76</v>
      </c>
      <c r="R548">
        <v>97.6</v>
      </c>
      <c r="S548">
        <v>129.23</v>
      </c>
    </row>
    <row r="549" spans="1:19">
      <c r="A549" s="1">
        <v>43165</v>
      </c>
      <c r="B549" t="s">
        <v>325</v>
      </c>
      <c r="C549" t="s">
        <v>331</v>
      </c>
      <c r="D549">
        <v>18.325</v>
      </c>
      <c r="E549">
        <v>17.975</v>
      </c>
      <c r="F549">
        <v>-0.0190995907230558</v>
      </c>
      <c r="G549">
        <f ca="1" t="shared" si="24"/>
        <v>-0.729215681583592</v>
      </c>
      <c r="H549" t="str">
        <f ca="1" t="shared" si="25"/>
        <v>Risk-On</v>
      </c>
      <c r="I549">
        <f ca="1" t="shared" si="26"/>
        <v>1</v>
      </c>
      <c r="J549">
        <f>_xlfn.XLOOKUP($A549,[1]Sheet1!$B$9:$B$2584,[1]Sheet1!$C$9:$C$2584,"N/A",0)</f>
        <v>96.25</v>
      </c>
      <c r="K549">
        <f>_xlfn.XLOOKUP($A549,[1]Sheet1!$E$9:$E$2584,[1]Sheet1!$F$9:$F$2584,"N/A",0)</f>
        <v>132.56</v>
      </c>
      <c r="L549">
        <f>_xlfn.XLOOKUP($A549,[1]Sheet1!$H$9:$H$2584,[1]Sheet1!$I$9:$I$2584,"N/A",0)</f>
        <v>96.16</v>
      </c>
      <c r="M549">
        <f>_xlfn.XLOOKUP($A549,[1]Sheet1!$K$9:$K$2584,[1]Sheet1!$L$9:$L$2584,"N/A",0)</f>
        <v>129.28</v>
      </c>
      <c r="N549">
        <f>_xlfn.XLOOKUP($A549,[1]Sheet1!$N$9:$N$2584,[1]Sheet1!$O$9:$O$2584,"N/A",0)</f>
        <v>97.12</v>
      </c>
      <c r="O549">
        <v>96.25</v>
      </c>
      <c r="P549">
        <v>132.56</v>
      </c>
      <c r="Q549">
        <v>96.16</v>
      </c>
      <c r="R549">
        <v>97.12</v>
      </c>
      <c r="S549">
        <v>129.28</v>
      </c>
    </row>
    <row r="550" spans="1:19">
      <c r="A550" s="1">
        <v>43166</v>
      </c>
      <c r="B550" t="s">
        <v>325</v>
      </c>
      <c r="C550" t="s">
        <v>331</v>
      </c>
      <c r="D550">
        <v>17.875</v>
      </c>
      <c r="E550">
        <v>17.775</v>
      </c>
      <c r="F550">
        <v>-0.00559440559440567</v>
      </c>
      <c r="G550">
        <f ca="1" t="shared" si="24"/>
        <v>-0.540908451432668</v>
      </c>
      <c r="H550" t="str">
        <f ca="1" t="shared" si="25"/>
        <v>Risk-On</v>
      </c>
      <c r="I550">
        <f ca="1" t="shared" si="26"/>
        <v>1</v>
      </c>
      <c r="J550">
        <f>_xlfn.XLOOKUP($A550,[1]Sheet1!$B$9:$B$2584,[1]Sheet1!$C$9:$C$2584,"N/A",0)</f>
        <v>96.44</v>
      </c>
      <c r="K550">
        <f>_xlfn.XLOOKUP($A550,[1]Sheet1!$E$9:$E$2584,[1]Sheet1!$F$9:$F$2584,"N/A",0)</f>
        <v>133.22</v>
      </c>
      <c r="L550">
        <f>_xlfn.XLOOKUP($A550,[1]Sheet1!$H$9:$H$2584,[1]Sheet1!$I$9:$I$2584,"N/A",0)</f>
        <v>95.49</v>
      </c>
      <c r="M550">
        <f>_xlfn.XLOOKUP($A550,[1]Sheet1!$K$9:$K$2584,[1]Sheet1!$L$9:$L$2584,"N/A",0)</f>
        <v>129.2</v>
      </c>
      <c r="N550">
        <f>_xlfn.XLOOKUP($A550,[1]Sheet1!$N$9:$N$2584,[1]Sheet1!$O$9:$O$2584,"N/A",0)</f>
        <v>96.58</v>
      </c>
      <c r="O550">
        <v>96.44</v>
      </c>
      <c r="P550">
        <v>133.22</v>
      </c>
      <c r="Q550">
        <v>95.49</v>
      </c>
      <c r="R550">
        <v>96.58</v>
      </c>
      <c r="S550">
        <v>129.2</v>
      </c>
    </row>
    <row r="551" spans="1:19">
      <c r="A551" s="1">
        <v>43167</v>
      </c>
      <c r="B551" t="s">
        <v>325</v>
      </c>
      <c r="C551" t="s">
        <v>331</v>
      </c>
      <c r="D551">
        <v>17.225</v>
      </c>
      <c r="E551">
        <v>17.275</v>
      </c>
      <c r="F551">
        <v>0.00290275761973858</v>
      </c>
      <c r="G551">
        <f ca="1" t="shared" si="24"/>
        <v>-0.422164568814996</v>
      </c>
      <c r="H551" t="str">
        <f ca="1" t="shared" si="25"/>
        <v>Risk-On</v>
      </c>
      <c r="I551">
        <f ca="1" t="shared" si="26"/>
        <v>1</v>
      </c>
      <c r="J551">
        <f>_xlfn.XLOOKUP($A551,[1]Sheet1!$B$9:$B$2584,[1]Sheet1!$C$9:$C$2584,"N/A",0)</f>
        <v>96.4</v>
      </c>
      <c r="K551">
        <f>_xlfn.XLOOKUP($A551,[1]Sheet1!$E$9:$E$2584,[1]Sheet1!$F$9:$F$2584,"N/A",0)</f>
        <v>133.85</v>
      </c>
      <c r="L551">
        <f>_xlfn.XLOOKUP($A551,[1]Sheet1!$H$9:$H$2584,[1]Sheet1!$I$9:$I$2584,"N/A",0)</f>
        <v>95.59</v>
      </c>
      <c r="M551">
        <f>_xlfn.XLOOKUP($A551,[1]Sheet1!$K$9:$K$2584,[1]Sheet1!$L$9:$L$2584,"N/A",0)</f>
        <v>129.33</v>
      </c>
      <c r="N551">
        <f>_xlfn.XLOOKUP($A551,[1]Sheet1!$N$9:$N$2584,[1]Sheet1!$O$9:$O$2584,"N/A",0)</f>
        <v>97.28</v>
      </c>
      <c r="O551">
        <v>96.4</v>
      </c>
      <c r="P551">
        <v>133.85</v>
      </c>
      <c r="Q551">
        <v>95.59</v>
      </c>
      <c r="R551">
        <v>97.28</v>
      </c>
      <c r="S551">
        <v>129.33</v>
      </c>
    </row>
    <row r="552" spans="1:19">
      <c r="A552" s="1">
        <v>43168</v>
      </c>
      <c r="B552" t="s">
        <v>325</v>
      </c>
      <c r="C552" t="s">
        <v>331</v>
      </c>
      <c r="D552">
        <v>15.775</v>
      </c>
      <c r="E552">
        <v>16.225</v>
      </c>
      <c r="F552" s="2" t="s">
        <v>332</v>
      </c>
      <c r="G552">
        <f ca="1" t="shared" si="24"/>
        <v>-0.0687998996094534</v>
      </c>
      <c r="H552" t="str">
        <f ca="1" t="shared" si="25"/>
        <v>Risk-On</v>
      </c>
      <c r="I552">
        <f ca="1" t="shared" si="26"/>
        <v>1</v>
      </c>
      <c r="J552">
        <f>_xlfn.XLOOKUP($A552,[1]Sheet1!$B$9:$B$2584,[1]Sheet1!$C$9:$C$2584,"N/A",0)</f>
        <v>96.41</v>
      </c>
      <c r="K552">
        <f>_xlfn.XLOOKUP($A552,[1]Sheet1!$E$9:$E$2584,[1]Sheet1!$F$9:$F$2584,"N/A",0)</f>
        <v>135.2</v>
      </c>
      <c r="L552">
        <f>_xlfn.XLOOKUP($A552,[1]Sheet1!$H$9:$H$2584,[1]Sheet1!$I$9:$I$2584,"N/A",0)</f>
        <v>95.5</v>
      </c>
      <c r="M552">
        <f>_xlfn.XLOOKUP($A552,[1]Sheet1!$K$9:$K$2584,[1]Sheet1!$L$9:$L$2584,"N/A",0)</f>
        <v>129.55</v>
      </c>
      <c r="N552">
        <f>_xlfn.XLOOKUP($A552,[1]Sheet1!$N$9:$N$2584,[1]Sheet1!$O$9:$O$2584,"N/A",0)</f>
        <v>97.39</v>
      </c>
      <c r="O552">
        <v>96.41</v>
      </c>
      <c r="P552">
        <v>135.2</v>
      </c>
      <c r="Q552">
        <v>95.5</v>
      </c>
      <c r="R552">
        <v>97.39</v>
      </c>
      <c r="S552">
        <v>129.55</v>
      </c>
    </row>
    <row r="553" spans="1:19">
      <c r="A553" s="1">
        <v>43171</v>
      </c>
      <c r="B553" t="s">
        <v>325</v>
      </c>
      <c r="C553" t="s">
        <v>331</v>
      </c>
      <c r="D553">
        <v>16.175</v>
      </c>
      <c r="E553">
        <v>16.575</v>
      </c>
      <c r="F553" s="2" t="s">
        <v>333</v>
      </c>
      <c r="G553">
        <f ca="1" t="shared" si="24"/>
        <v>-0.120897823262943</v>
      </c>
      <c r="H553" t="str">
        <f ca="1" t="shared" si="25"/>
        <v>Risk-On</v>
      </c>
      <c r="I553">
        <f ca="1" t="shared" si="26"/>
        <v>1</v>
      </c>
      <c r="J553">
        <f>_xlfn.XLOOKUP($A553,[1]Sheet1!$B$9:$B$2584,[1]Sheet1!$C$9:$C$2584,"N/A",0)</f>
        <v>96.5</v>
      </c>
      <c r="K553">
        <f>_xlfn.XLOOKUP($A553,[1]Sheet1!$E$9:$E$2584,[1]Sheet1!$F$9:$F$2584,"N/A",0)</f>
        <v>134.73</v>
      </c>
      <c r="L553">
        <f>_xlfn.XLOOKUP($A553,[1]Sheet1!$H$9:$H$2584,[1]Sheet1!$I$9:$I$2584,"N/A",0)</f>
        <v>95.8</v>
      </c>
      <c r="M553">
        <f>_xlfn.XLOOKUP($A553,[1]Sheet1!$K$9:$K$2584,[1]Sheet1!$L$9:$L$2584,"N/A",0)</f>
        <v>129</v>
      </c>
      <c r="N553">
        <f>_xlfn.XLOOKUP($A553,[1]Sheet1!$N$9:$N$2584,[1]Sheet1!$O$9:$O$2584,"N/A",0)</f>
        <v>96.99</v>
      </c>
      <c r="O553">
        <v>96.5</v>
      </c>
      <c r="P553">
        <v>134.73</v>
      </c>
      <c r="Q553">
        <v>95.8</v>
      </c>
      <c r="R553">
        <v>96.99</v>
      </c>
      <c r="S553">
        <v>129</v>
      </c>
    </row>
    <row r="554" spans="1:19">
      <c r="A554" s="1">
        <v>43172</v>
      </c>
      <c r="B554" t="s">
        <v>325</v>
      </c>
      <c r="C554" t="s">
        <v>331</v>
      </c>
      <c r="D554">
        <v>16.775</v>
      </c>
      <c r="E554">
        <v>16.925</v>
      </c>
      <c r="F554">
        <v>0.00894187779433693</v>
      </c>
      <c r="G554">
        <f ca="1" t="shared" si="24"/>
        <v>-0.337538326568503</v>
      </c>
      <c r="H554" t="str">
        <f ca="1" t="shared" si="25"/>
        <v>Risk-On</v>
      </c>
      <c r="I554">
        <f ca="1" t="shared" si="26"/>
        <v>1</v>
      </c>
      <c r="J554">
        <f>_xlfn.XLOOKUP($A554,[1]Sheet1!$B$9:$B$2584,[1]Sheet1!$C$9:$C$2584,"N/A",0)</f>
        <v>96.62</v>
      </c>
      <c r="K554">
        <f>_xlfn.XLOOKUP($A554,[1]Sheet1!$E$9:$E$2584,[1]Sheet1!$F$9:$F$2584,"N/A",0)</f>
        <v>134.71</v>
      </c>
      <c r="L554">
        <f>_xlfn.XLOOKUP($A554,[1]Sheet1!$H$9:$H$2584,[1]Sheet1!$I$9:$I$2584,"N/A",0)</f>
        <v>96.09</v>
      </c>
      <c r="M554">
        <f>_xlfn.XLOOKUP($A554,[1]Sheet1!$K$9:$K$2584,[1]Sheet1!$L$9:$L$2584,"N/A",0)</f>
        <v>129.16</v>
      </c>
      <c r="N554">
        <f>_xlfn.XLOOKUP($A554,[1]Sheet1!$N$9:$N$2584,[1]Sheet1!$O$9:$O$2584,"N/A",0)</f>
        <v>97.08</v>
      </c>
      <c r="O554">
        <v>96.62</v>
      </c>
      <c r="P554">
        <v>134.71</v>
      </c>
      <c r="Q554">
        <v>96.09</v>
      </c>
      <c r="R554">
        <v>97.08</v>
      </c>
      <c r="S554">
        <v>129.16</v>
      </c>
    </row>
    <row r="555" spans="1:19">
      <c r="A555" s="1">
        <v>43173</v>
      </c>
      <c r="B555" t="s">
        <v>325</v>
      </c>
      <c r="C555" t="s">
        <v>331</v>
      </c>
      <c r="D555">
        <v>17.375</v>
      </c>
      <c r="E555">
        <v>17.275</v>
      </c>
      <c r="F555">
        <v>-0.00575539568345331</v>
      </c>
      <c r="G555">
        <f ca="1" t="shared" si="24"/>
        <v>-0.538535906867629</v>
      </c>
      <c r="H555" t="str">
        <f ca="1" t="shared" si="25"/>
        <v>Risk-On</v>
      </c>
      <c r="I555">
        <f ca="1" t="shared" si="26"/>
        <v>1</v>
      </c>
      <c r="J555">
        <f>_xlfn.XLOOKUP($A555,[1]Sheet1!$B$9:$B$2584,[1]Sheet1!$C$9:$C$2584,"N/A",0)</f>
        <v>96.86</v>
      </c>
      <c r="K555">
        <f>_xlfn.XLOOKUP($A555,[1]Sheet1!$E$9:$E$2584,[1]Sheet1!$F$9:$F$2584,"N/A",0)</f>
        <v>135.72</v>
      </c>
      <c r="L555">
        <f>_xlfn.XLOOKUP($A555,[1]Sheet1!$H$9:$H$2584,[1]Sheet1!$I$9:$I$2584,"N/A",0)</f>
        <v>95.71</v>
      </c>
      <c r="M555">
        <f>_xlfn.XLOOKUP($A555,[1]Sheet1!$K$9:$K$2584,[1]Sheet1!$L$9:$L$2584,"N/A",0)</f>
        <v>129.43</v>
      </c>
      <c r="N555">
        <f>_xlfn.XLOOKUP($A555,[1]Sheet1!$N$9:$N$2584,[1]Sheet1!$O$9:$O$2584,"N/A",0)</f>
        <v>97.2</v>
      </c>
      <c r="O555">
        <v>96.86</v>
      </c>
      <c r="P555">
        <v>135.72</v>
      </c>
      <c r="Q555">
        <v>95.71</v>
      </c>
      <c r="R555">
        <v>97.2</v>
      </c>
      <c r="S555">
        <v>129.43</v>
      </c>
    </row>
    <row r="556" spans="1:19">
      <c r="A556" s="1">
        <v>43174</v>
      </c>
      <c r="B556" t="s">
        <v>325</v>
      </c>
      <c r="C556" t="s">
        <v>331</v>
      </c>
      <c r="D556">
        <v>16.775</v>
      </c>
      <c r="E556">
        <v>16.725</v>
      </c>
      <c r="F556">
        <v>-0.00298062593144543</v>
      </c>
      <c r="G556">
        <f ca="1" t="shared" si="24"/>
        <v>-0.497823429481726</v>
      </c>
      <c r="H556" t="str">
        <f ca="1" t="shared" si="25"/>
        <v>Risk-On</v>
      </c>
      <c r="I556">
        <f ca="1" t="shared" si="26"/>
        <v>1</v>
      </c>
      <c r="J556">
        <f>_xlfn.XLOOKUP($A556,[1]Sheet1!$B$9:$B$2584,[1]Sheet1!$C$9:$C$2584,"N/A",0)</f>
        <v>97.01</v>
      </c>
      <c r="K556">
        <f>_xlfn.XLOOKUP($A556,[1]Sheet1!$E$9:$E$2584,[1]Sheet1!$F$9:$F$2584,"N/A",0)</f>
        <v>136.28</v>
      </c>
      <c r="L556">
        <f>_xlfn.XLOOKUP($A556,[1]Sheet1!$H$9:$H$2584,[1]Sheet1!$I$9:$I$2584,"N/A",0)</f>
        <v>95.7</v>
      </c>
      <c r="M556">
        <f>_xlfn.XLOOKUP($A556,[1]Sheet1!$K$9:$K$2584,[1]Sheet1!$L$9:$L$2584,"N/A",0)</f>
        <v>129.65</v>
      </c>
      <c r="N556">
        <f>_xlfn.XLOOKUP($A556,[1]Sheet1!$N$9:$N$2584,[1]Sheet1!$O$9:$O$2584,"N/A",0)</f>
        <v>97.53</v>
      </c>
      <c r="O556">
        <v>97.01</v>
      </c>
      <c r="P556">
        <v>136.28</v>
      </c>
      <c r="Q556">
        <v>95.7</v>
      </c>
      <c r="R556">
        <v>97.53</v>
      </c>
      <c r="S556">
        <v>129.65</v>
      </c>
    </row>
    <row r="557" spans="1:19">
      <c r="A557" s="1">
        <v>43175</v>
      </c>
      <c r="B557" t="s">
        <v>325</v>
      </c>
      <c r="C557" t="s">
        <v>331</v>
      </c>
      <c r="D557">
        <v>16.275</v>
      </c>
      <c r="E557">
        <v>16.475</v>
      </c>
      <c r="F557" s="2" t="s">
        <v>334</v>
      </c>
      <c r="G557">
        <f ca="1" t="shared" si="24"/>
        <v>-0.284396684555661</v>
      </c>
      <c r="H557" t="str">
        <f ca="1" t="shared" si="25"/>
        <v>Risk-On</v>
      </c>
      <c r="I557">
        <f ca="1" t="shared" si="26"/>
        <v>1</v>
      </c>
      <c r="J557">
        <f>_xlfn.XLOOKUP($A557,[1]Sheet1!$B$9:$B$2584,[1]Sheet1!$C$9:$C$2584,"N/A",0)</f>
        <v>97.09</v>
      </c>
      <c r="K557">
        <f>_xlfn.XLOOKUP($A557,[1]Sheet1!$E$9:$E$2584,[1]Sheet1!$F$9:$F$2584,"N/A",0)</f>
        <v>135.87</v>
      </c>
      <c r="L557">
        <f>_xlfn.XLOOKUP($A557,[1]Sheet1!$H$9:$H$2584,[1]Sheet1!$I$9:$I$2584,"N/A",0)</f>
        <v>95.61</v>
      </c>
      <c r="M557">
        <f>_xlfn.XLOOKUP($A557,[1]Sheet1!$K$9:$K$2584,[1]Sheet1!$L$9:$L$2584,"N/A",0)</f>
        <v>129.99</v>
      </c>
      <c r="N557">
        <f>_xlfn.XLOOKUP($A557,[1]Sheet1!$N$9:$N$2584,[1]Sheet1!$O$9:$O$2584,"N/A",0)</f>
        <v>97.27</v>
      </c>
      <c r="O557">
        <v>97.09</v>
      </c>
      <c r="P557">
        <v>135.87</v>
      </c>
      <c r="Q557">
        <v>95.61</v>
      </c>
      <c r="R557">
        <v>97.27</v>
      </c>
      <c r="S557">
        <v>129.99</v>
      </c>
    </row>
    <row r="558" spans="1:19">
      <c r="A558" s="1">
        <v>43178</v>
      </c>
      <c r="B558" t="s">
        <v>325</v>
      </c>
      <c r="C558" t="s">
        <v>331</v>
      </c>
      <c r="D558">
        <v>18.175</v>
      </c>
      <c r="E558">
        <v>17.475</v>
      </c>
      <c r="F558">
        <v>-0.0385144429160934</v>
      </c>
      <c r="G558">
        <f ca="1" t="shared" si="24"/>
        <v>-0.987344659386251</v>
      </c>
      <c r="H558" t="str">
        <f ca="1" t="shared" si="25"/>
        <v>Risk-On</v>
      </c>
      <c r="I558">
        <f ca="1" t="shared" si="26"/>
        <v>1</v>
      </c>
      <c r="J558">
        <f>_xlfn.XLOOKUP($A558,[1]Sheet1!$B$9:$B$2584,[1]Sheet1!$C$9:$C$2584,"N/A",0)</f>
        <v>97.28</v>
      </c>
      <c r="K558">
        <f>_xlfn.XLOOKUP($A558,[1]Sheet1!$E$9:$E$2584,[1]Sheet1!$F$9:$F$2584,"N/A",0)</f>
        <v>136.48</v>
      </c>
      <c r="L558">
        <f>_xlfn.XLOOKUP($A558,[1]Sheet1!$H$9:$H$2584,[1]Sheet1!$I$9:$I$2584,"N/A",0)</f>
        <v>95.47</v>
      </c>
      <c r="M558">
        <f>_xlfn.XLOOKUP($A558,[1]Sheet1!$K$9:$K$2584,[1]Sheet1!$L$9:$L$2584,"N/A",0)</f>
        <v>130.2</v>
      </c>
      <c r="N558">
        <f>_xlfn.XLOOKUP($A558,[1]Sheet1!$N$9:$N$2584,[1]Sheet1!$O$9:$O$2584,"N/A",0)</f>
        <v>96.89</v>
      </c>
      <c r="O558">
        <v>97.28</v>
      </c>
      <c r="P558">
        <v>136.48</v>
      </c>
      <c r="Q558">
        <v>95.47</v>
      </c>
      <c r="R558">
        <v>96.89</v>
      </c>
      <c r="S558">
        <v>130.2</v>
      </c>
    </row>
    <row r="559" spans="1:19">
      <c r="A559" s="1">
        <v>43179</v>
      </c>
      <c r="B559" t="s">
        <v>325</v>
      </c>
      <c r="C559" t="s">
        <v>331</v>
      </c>
      <c r="D559">
        <v>18.375</v>
      </c>
      <c r="E559">
        <v>17.375</v>
      </c>
      <c r="F559">
        <v>-0.0544217687074829</v>
      </c>
      <c r="G559">
        <f ca="1" t="shared" si="24"/>
        <v>-1.20077284545983</v>
      </c>
      <c r="H559" t="str">
        <f ca="1" t="shared" si="25"/>
        <v>Risk-On</v>
      </c>
      <c r="I559">
        <f ca="1" t="shared" si="26"/>
        <v>1</v>
      </c>
      <c r="J559">
        <f>_xlfn.XLOOKUP($A559,[1]Sheet1!$B$9:$B$2584,[1]Sheet1!$C$9:$C$2584,"N/A",0)</f>
        <v>97.31</v>
      </c>
      <c r="K559">
        <f>_xlfn.XLOOKUP($A559,[1]Sheet1!$E$9:$E$2584,[1]Sheet1!$F$9:$F$2584,"N/A",0)</f>
        <v>138.83</v>
      </c>
      <c r="L559">
        <f>_xlfn.XLOOKUP($A559,[1]Sheet1!$H$9:$H$2584,[1]Sheet1!$I$9:$I$2584,"N/A",0)</f>
        <v>95.12</v>
      </c>
      <c r="M559">
        <f>_xlfn.XLOOKUP($A559,[1]Sheet1!$K$9:$K$2584,[1]Sheet1!$L$9:$L$2584,"N/A",0)</f>
        <v>131.06</v>
      </c>
      <c r="N559">
        <f>_xlfn.XLOOKUP($A559,[1]Sheet1!$N$9:$N$2584,[1]Sheet1!$O$9:$O$2584,"N/A",0)</f>
        <v>96.95</v>
      </c>
      <c r="O559">
        <v>97.31</v>
      </c>
      <c r="P559">
        <v>138.83</v>
      </c>
      <c r="Q559">
        <v>95.12</v>
      </c>
      <c r="R559">
        <v>96.95</v>
      </c>
      <c r="S559">
        <v>131.06</v>
      </c>
    </row>
    <row r="560" spans="1:19">
      <c r="A560" s="1">
        <v>43180</v>
      </c>
      <c r="B560" t="s">
        <v>325</v>
      </c>
      <c r="C560" t="s">
        <v>331</v>
      </c>
      <c r="D560">
        <v>17.76</v>
      </c>
      <c r="E560">
        <v>17.325</v>
      </c>
      <c r="F560">
        <v>-0.0244932432432433</v>
      </c>
      <c r="G560">
        <f ca="1" t="shared" si="24"/>
        <v>-0.777234241728382</v>
      </c>
      <c r="H560" t="str">
        <f ca="1" t="shared" si="25"/>
        <v>Risk-On</v>
      </c>
      <c r="I560">
        <f ca="1" t="shared" si="26"/>
        <v>1</v>
      </c>
      <c r="J560">
        <f>_xlfn.XLOOKUP($A560,[1]Sheet1!$B$9:$B$2584,[1]Sheet1!$C$9:$C$2584,"N/A",0)</f>
        <v>97.27</v>
      </c>
      <c r="K560">
        <f>_xlfn.XLOOKUP($A560,[1]Sheet1!$E$9:$E$2584,[1]Sheet1!$F$9:$F$2584,"N/A",0)</f>
        <v>137.78</v>
      </c>
      <c r="L560">
        <f>_xlfn.XLOOKUP($A560,[1]Sheet1!$H$9:$H$2584,[1]Sheet1!$I$9:$I$2584,"N/A",0)</f>
        <v>95.23</v>
      </c>
      <c r="M560">
        <f>_xlfn.XLOOKUP($A560,[1]Sheet1!$K$9:$K$2584,[1]Sheet1!$L$9:$L$2584,"N/A",0)</f>
        <v>130.12</v>
      </c>
      <c r="N560">
        <f>_xlfn.XLOOKUP($A560,[1]Sheet1!$N$9:$N$2584,[1]Sheet1!$O$9:$O$2584,"N/A",0)</f>
        <v>96.49</v>
      </c>
      <c r="O560">
        <v>97.27</v>
      </c>
      <c r="P560">
        <v>137.78</v>
      </c>
      <c r="Q560">
        <v>95.23</v>
      </c>
      <c r="R560">
        <v>96.49</v>
      </c>
      <c r="S560">
        <v>130.12</v>
      </c>
    </row>
    <row r="561" spans="1:19">
      <c r="A561" s="1">
        <v>43181</v>
      </c>
      <c r="B561" t="s">
        <v>331</v>
      </c>
      <c r="C561" t="s">
        <v>335</v>
      </c>
      <c r="D561">
        <v>19.375</v>
      </c>
      <c r="E561">
        <v>18.425</v>
      </c>
      <c r="F561">
        <v>-0.049032258064516</v>
      </c>
      <c r="G561">
        <f ca="1" t="shared" si="24"/>
        <v>-1.11254342749085</v>
      </c>
      <c r="H561" t="str">
        <f ca="1" t="shared" si="25"/>
        <v>Risk-On</v>
      </c>
      <c r="I561">
        <f ca="1" t="shared" si="26"/>
        <v>1</v>
      </c>
      <c r="J561">
        <f>_xlfn.XLOOKUP($A561,[1]Sheet1!$B$9:$B$2584,[1]Sheet1!$C$9:$C$2584,"N/A",0)</f>
        <v>97.15</v>
      </c>
      <c r="K561">
        <f>_xlfn.XLOOKUP($A561,[1]Sheet1!$E$9:$E$2584,[1]Sheet1!$F$9:$F$2584,"N/A",0)</f>
        <v>137.3</v>
      </c>
      <c r="L561">
        <f>_xlfn.XLOOKUP($A561,[1]Sheet1!$H$9:$H$2584,[1]Sheet1!$I$9:$I$2584,"N/A",0)</f>
        <v>94.82</v>
      </c>
      <c r="M561">
        <f>_xlfn.XLOOKUP($A561,[1]Sheet1!$K$9:$K$2584,[1]Sheet1!$L$9:$L$2584,"N/A",0)</f>
        <v>129.65</v>
      </c>
      <c r="N561">
        <f>_xlfn.XLOOKUP($A561,[1]Sheet1!$N$9:$N$2584,[1]Sheet1!$O$9:$O$2584,"N/A",0)</f>
        <v>96.19</v>
      </c>
      <c r="O561">
        <v>97.15</v>
      </c>
      <c r="P561">
        <v>137.3</v>
      </c>
      <c r="Q561">
        <v>94.82</v>
      </c>
      <c r="R561">
        <v>96.19</v>
      </c>
      <c r="S561">
        <v>129.65</v>
      </c>
    </row>
    <row r="562" spans="1:19">
      <c r="A562" s="1">
        <v>43182</v>
      </c>
      <c r="B562" t="s">
        <v>331</v>
      </c>
      <c r="C562" t="s">
        <v>335</v>
      </c>
      <c r="D562">
        <v>20.425</v>
      </c>
      <c r="E562">
        <v>19.325</v>
      </c>
      <c r="F562">
        <v>-0.0538555691554468</v>
      </c>
      <c r="G562">
        <f ca="1" t="shared" si="24"/>
        <v>-1.16398345620233</v>
      </c>
      <c r="H562" t="str">
        <f ca="1" t="shared" si="25"/>
        <v>Risk-On</v>
      </c>
      <c r="I562">
        <f ca="1" t="shared" si="26"/>
        <v>1</v>
      </c>
      <c r="J562">
        <f>_xlfn.XLOOKUP($A562,[1]Sheet1!$B$9:$B$2584,[1]Sheet1!$C$9:$C$2584,"N/A",0)</f>
        <v>97.18</v>
      </c>
      <c r="K562">
        <f>_xlfn.XLOOKUP($A562,[1]Sheet1!$E$9:$E$2584,[1]Sheet1!$F$9:$F$2584,"N/A",0)</f>
        <v>136.94</v>
      </c>
      <c r="L562">
        <f>_xlfn.XLOOKUP($A562,[1]Sheet1!$H$9:$H$2584,[1]Sheet1!$I$9:$I$2584,"N/A",0)</f>
        <v>94.14</v>
      </c>
      <c r="M562">
        <f>_xlfn.XLOOKUP($A562,[1]Sheet1!$K$9:$K$2584,[1]Sheet1!$L$9:$L$2584,"N/A",0)</f>
        <v>128.68</v>
      </c>
      <c r="N562">
        <f>_xlfn.XLOOKUP($A562,[1]Sheet1!$N$9:$N$2584,[1]Sheet1!$O$9:$O$2584,"N/A",0)</f>
        <v>96.16</v>
      </c>
      <c r="O562">
        <v>97.18</v>
      </c>
      <c r="P562">
        <v>136.94</v>
      </c>
      <c r="Q562">
        <v>94.14</v>
      </c>
      <c r="R562">
        <v>96.16</v>
      </c>
      <c r="S562">
        <v>128.68</v>
      </c>
    </row>
    <row r="563" spans="1:19">
      <c r="A563" s="1">
        <v>43185</v>
      </c>
      <c r="B563" t="s">
        <v>331</v>
      </c>
      <c r="C563" t="s">
        <v>335</v>
      </c>
      <c r="D563">
        <v>19.325</v>
      </c>
      <c r="E563">
        <v>18.625</v>
      </c>
      <c r="F563">
        <v>-0.0362225097024579</v>
      </c>
      <c r="G563">
        <f ca="1" t="shared" si="24"/>
        <v>-0.907894300517891</v>
      </c>
      <c r="H563" t="str">
        <f ca="1" t="shared" si="25"/>
        <v>Risk-On</v>
      </c>
      <c r="I563">
        <f ca="1" t="shared" si="26"/>
        <v>1</v>
      </c>
      <c r="J563">
        <f>_xlfn.XLOOKUP($A563,[1]Sheet1!$B$9:$B$2584,[1]Sheet1!$C$9:$C$2584,"N/A",0)</f>
        <v>97.38</v>
      </c>
      <c r="K563">
        <f>_xlfn.XLOOKUP($A563,[1]Sheet1!$E$9:$E$2584,[1]Sheet1!$F$9:$F$2584,"N/A",0)</f>
        <v>137.68</v>
      </c>
      <c r="L563">
        <f>_xlfn.XLOOKUP($A563,[1]Sheet1!$H$9:$H$2584,[1]Sheet1!$I$9:$I$2584,"N/A",0)</f>
        <v>94.04</v>
      </c>
      <c r="M563">
        <f>_xlfn.XLOOKUP($A563,[1]Sheet1!$K$9:$K$2584,[1]Sheet1!$L$9:$L$2584,"N/A",0)</f>
        <v>129.55</v>
      </c>
      <c r="N563">
        <f>_xlfn.XLOOKUP($A563,[1]Sheet1!$N$9:$N$2584,[1]Sheet1!$O$9:$O$2584,"N/A",0)</f>
        <v>96.26</v>
      </c>
      <c r="O563">
        <v>97.38</v>
      </c>
      <c r="P563">
        <v>137.68</v>
      </c>
      <c r="Q563">
        <v>94.04</v>
      </c>
      <c r="R563">
        <v>96.26</v>
      </c>
      <c r="S563">
        <v>129.55</v>
      </c>
    </row>
    <row r="564" spans="1:19">
      <c r="A564" s="1">
        <v>43186</v>
      </c>
      <c r="B564" t="s">
        <v>331</v>
      </c>
      <c r="C564" t="s">
        <v>335</v>
      </c>
      <c r="D564">
        <v>20.425</v>
      </c>
      <c r="E564">
        <v>19.525</v>
      </c>
      <c r="F564">
        <v>-0.0440636474908201</v>
      </c>
      <c r="G564">
        <f ca="1" t="shared" si="24"/>
        <v>-1.00633381075369</v>
      </c>
      <c r="H564" t="str">
        <f ca="1" t="shared" si="25"/>
        <v>Risk-On</v>
      </c>
      <c r="I564">
        <f ca="1" t="shared" si="26"/>
        <v>1</v>
      </c>
      <c r="J564">
        <f>_xlfn.XLOOKUP($A564,[1]Sheet1!$B$9:$B$2584,[1]Sheet1!$C$9:$C$2584,"N/A",0)</f>
        <v>97.25</v>
      </c>
      <c r="K564">
        <f>_xlfn.XLOOKUP($A564,[1]Sheet1!$E$9:$E$2584,[1]Sheet1!$F$9:$F$2584,"N/A",0)</f>
        <v>136.48</v>
      </c>
      <c r="L564">
        <f>_xlfn.XLOOKUP($A564,[1]Sheet1!$H$9:$H$2584,[1]Sheet1!$I$9:$I$2584,"N/A",0)</f>
        <v>94.21</v>
      </c>
      <c r="M564">
        <f>_xlfn.XLOOKUP($A564,[1]Sheet1!$K$9:$K$2584,[1]Sheet1!$L$9:$L$2584,"N/A",0)</f>
        <v>129.51</v>
      </c>
      <c r="N564">
        <f>_xlfn.XLOOKUP($A564,[1]Sheet1!$N$9:$N$2584,[1]Sheet1!$O$9:$O$2584,"N/A",0)</f>
        <v>96.44</v>
      </c>
      <c r="O564">
        <v>97.25</v>
      </c>
      <c r="P564">
        <v>136.48</v>
      </c>
      <c r="Q564">
        <v>94.21</v>
      </c>
      <c r="R564">
        <v>96.44</v>
      </c>
      <c r="S564">
        <v>129.51</v>
      </c>
    </row>
    <row r="565" spans="1:19">
      <c r="A565" s="1">
        <v>43187</v>
      </c>
      <c r="B565" t="s">
        <v>331</v>
      </c>
      <c r="C565" t="s">
        <v>335</v>
      </c>
      <c r="D565">
        <v>21.025</v>
      </c>
      <c r="E565">
        <v>19.875</v>
      </c>
      <c r="F565">
        <v>-0.0546967895362662</v>
      </c>
      <c r="G565">
        <f ca="1" t="shared" si="24"/>
        <v>-1.14071964709129</v>
      </c>
      <c r="H565" t="str">
        <f ca="1" t="shared" si="25"/>
        <v>Risk-On</v>
      </c>
      <c r="I565">
        <f ca="1" t="shared" si="26"/>
        <v>1</v>
      </c>
      <c r="J565">
        <f>_xlfn.XLOOKUP($A565,[1]Sheet1!$B$9:$B$2584,[1]Sheet1!$C$9:$C$2584,"N/A",0)</f>
        <v>97.21</v>
      </c>
      <c r="K565">
        <f>_xlfn.XLOOKUP($A565,[1]Sheet1!$E$9:$E$2584,[1]Sheet1!$F$9:$F$2584,"N/A",0)</f>
        <v>135.04</v>
      </c>
      <c r="L565">
        <f>_xlfn.XLOOKUP($A565,[1]Sheet1!$H$9:$H$2584,[1]Sheet1!$I$9:$I$2584,"N/A",0)</f>
        <v>94.61</v>
      </c>
      <c r="M565">
        <f>_xlfn.XLOOKUP($A565,[1]Sheet1!$K$9:$K$2584,[1]Sheet1!$L$9:$L$2584,"N/A",0)</f>
        <v>130.31</v>
      </c>
      <c r="N565">
        <f>_xlfn.XLOOKUP($A565,[1]Sheet1!$N$9:$N$2584,[1]Sheet1!$O$9:$O$2584,"N/A",0)</f>
        <v>96.07</v>
      </c>
      <c r="O565">
        <v>97.21</v>
      </c>
      <c r="P565">
        <v>135.04</v>
      </c>
      <c r="Q565">
        <v>94.61</v>
      </c>
      <c r="R565">
        <v>96.07</v>
      </c>
      <c r="S565">
        <v>130.31</v>
      </c>
    </row>
    <row r="566" spans="1:19">
      <c r="A566" s="1">
        <v>43188</v>
      </c>
      <c r="B566" t="s">
        <v>331</v>
      </c>
      <c r="C566" t="s">
        <v>335</v>
      </c>
      <c r="D566">
        <v>19.775</v>
      </c>
      <c r="E566">
        <v>19.225</v>
      </c>
      <c r="F566">
        <v>-0.027812895069532</v>
      </c>
      <c r="G566">
        <f ca="1" t="shared" si="24"/>
        <v>-0.764852934246899</v>
      </c>
      <c r="H566" t="str">
        <f ca="1" t="shared" si="25"/>
        <v>Risk-On</v>
      </c>
      <c r="I566">
        <f ca="1" t="shared" si="26"/>
        <v>1</v>
      </c>
      <c r="J566">
        <f>_xlfn.XLOOKUP($A566,[1]Sheet1!$B$9:$B$2584,[1]Sheet1!$C$9:$C$2584,"N/A",0)</f>
        <v>97.27</v>
      </c>
      <c r="K566">
        <f>_xlfn.XLOOKUP($A566,[1]Sheet1!$E$9:$E$2584,[1]Sheet1!$F$9:$F$2584,"N/A",0)</f>
        <v>135.81</v>
      </c>
      <c r="L566">
        <f>_xlfn.XLOOKUP($A566,[1]Sheet1!$H$9:$H$2584,[1]Sheet1!$I$9:$I$2584,"N/A",0)</f>
        <v>94.88</v>
      </c>
      <c r="M566">
        <f>_xlfn.XLOOKUP($A566,[1]Sheet1!$K$9:$K$2584,[1]Sheet1!$L$9:$L$2584,"N/A",0)</f>
        <v>130.61</v>
      </c>
      <c r="N566">
        <f>_xlfn.XLOOKUP($A566,[1]Sheet1!$N$9:$N$2584,[1]Sheet1!$O$9:$O$2584,"N/A",0)</f>
        <v>96.32</v>
      </c>
      <c r="O566">
        <v>97.27</v>
      </c>
      <c r="P566">
        <v>135.81</v>
      </c>
      <c r="Q566">
        <v>94.88</v>
      </c>
      <c r="R566">
        <v>96.32</v>
      </c>
      <c r="S566">
        <v>130.61</v>
      </c>
    </row>
    <row r="567" spans="1:19">
      <c r="A567" s="1">
        <v>43192</v>
      </c>
      <c r="B567" t="s">
        <v>331</v>
      </c>
      <c r="C567" t="s">
        <v>335</v>
      </c>
      <c r="D567">
        <v>21.425</v>
      </c>
      <c r="E567">
        <v>20.025</v>
      </c>
      <c r="F567">
        <v>-0.0653442240373396</v>
      </c>
      <c r="G567">
        <f ca="1" t="shared" si="24"/>
        <v>-1.27392239554125</v>
      </c>
      <c r="H567" t="str">
        <f ca="1" t="shared" si="25"/>
        <v>Risk-On</v>
      </c>
      <c r="I567">
        <f ca="1" t="shared" si="26"/>
        <v>1</v>
      </c>
      <c r="J567">
        <f>_xlfn.XLOOKUP($A567,[1]Sheet1!$B$9:$B$2584,[1]Sheet1!$C$9:$C$2584,"N/A",0)</f>
        <v>97.29</v>
      </c>
      <c r="K567">
        <f>_xlfn.XLOOKUP($A567,[1]Sheet1!$E$9:$E$2584,[1]Sheet1!$F$9:$F$2584,"N/A",0)</f>
        <v>135.42</v>
      </c>
      <c r="L567">
        <f>_xlfn.XLOOKUP($A567,[1]Sheet1!$H$9:$H$2584,[1]Sheet1!$I$9:$I$2584,"N/A",0)</f>
        <v>95.07</v>
      </c>
      <c r="M567">
        <f>_xlfn.XLOOKUP($A567,[1]Sheet1!$K$9:$K$2584,[1]Sheet1!$L$9:$L$2584,"N/A",0)</f>
        <v>130.33</v>
      </c>
      <c r="N567">
        <f>_xlfn.XLOOKUP($A567,[1]Sheet1!$N$9:$N$2584,[1]Sheet1!$O$9:$O$2584,"N/A",0)</f>
        <v>96.43</v>
      </c>
      <c r="O567">
        <v>97.29</v>
      </c>
      <c r="P567">
        <v>135.42</v>
      </c>
      <c r="Q567">
        <v>95.07</v>
      </c>
      <c r="R567">
        <v>96.43</v>
      </c>
      <c r="S567">
        <v>130.33</v>
      </c>
    </row>
    <row r="568" spans="1:19">
      <c r="A568" s="1">
        <v>43193</v>
      </c>
      <c r="B568" t="s">
        <v>331</v>
      </c>
      <c r="C568" t="s">
        <v>335</v>
      </c>
      <c r="D568">
        <v>20.475</v>
      </c>
      <c r="E568">
        <v>19.675</v>
      </c>
      <c r="F568">
        <v>-0.0390720390720391</v>
      </c>
      <c r="G568">
        <f ca="1" t="shared" si="24"/>
        <v>-0.904382865698985</v>
      </c>
      <c r="H568" t="str">
        <f ca="1" t="shared" si="25"/>
        <v>Risk-On</v>
      </c>
      <c r="I568">
        <f ca="1" t="shared" si="26"/>
        <v>1</v>
      </c>
      <c r="J568">
        <f>_xlfn.XLOOKUP($A568,[1]Sheet1!$B$9:$B$2584,[1]Sheet1!$C$9:$C$2584,"N/A",0)</f>
        <v>97.13</v>
      </c>
      <c r="K568">
        <f>_xlfn.XLOOKUP($A568,[1]Sheet1!$E$9:$E$2584,[1]Sheet1!$F$9:$F$2584,"N/A",0)</f>
        <v>135.05</v>
      </c>
      <c r="L568">
        <f>_xlfn.XLOOKUP($A568,[1]Sheet1!$H$9:$H$2584,[1]Sheet1!$I$9:$I$2584,"N/A",0)</f>
        <v>95.43</v>
      </c>
      <c r="M568">
        <f>_xlfn.XLOOKUP($A568,[1]Sheet1!$K$9:$K$2584,[1]Sheet1!$L$9:$L$2584,"N/A",0)</f>
        <v>130.7</v>
      </c>
      <c r="N568">
        <f>_xlfn.XLOOKUP($A568,[1]Sheet1!$N$9:$N$2584,[1]Sheet1!$O$9:$O$2584,"N/A",0)</f>
        <v>96.39</v>
      </c>
      <c r="O568">
        <v>97.13</v>
      </c>
      <c r="P568">
        <v>135.05</v>
      </c>
      <c r="Q568">
        <v>95.43</v>
      </c>
      <c r="R568">
        <v>96.39</v>
      </c>
      <c r="S568">
        <v>130.7</v>
      </c>
    </row>
    <row r="569" spans="1:19">
      <c r="A569" s="1">
        <v>43194</v>
      </c>
      <c r="B569" t="s">
        <v>331</v>
      </c>
      <c r="C569" t="s">
        <v>335</v>
      </c>
      <c r="D569">
        <v>19.975</v>
      </c>
      <c r="E569">
        <v>19.225</v>
      </c>
      <c r="F569">
        <v>-0.0375469336670838</v>
      </c>
      <c r="G569">
        <f ca="1" t="shared" si="24"/>
        <v>-0.878134185710094</v>
      </c>
      <c r="H569" t="str">
        <f ca="1" t="shared" si="25"/>
        <v>Risk-On</v>
      </c>
      <c r="I569">
        <f ca="1" t="shared" si="26"/>
        <v>1</v>
      </c>
      <c r="J569">
        <f>_xlfn.XLOOKUP($A569,[1]Sheet1!$B$9:$B$2584,[1]Sheet1!$C$9:$C$2584,"N/A",0)</f>
        <v>97.7</v>
      </c>
      <c r="K569">
        <f>_xlfn.XLOOKUP($A569,[1]Sheet1!$E$9:$E$2584,[1]Sheet1!$F$9:$F$2584,"N/A",0)</f>
        <v>134.76</v>
      </c>
      <c r="L569">
        <f>_xlfn.XLOOKUP($A569,[1]Sheet1!$H$9:$H$2584,[1]Sheet1!$I$9:$I$2584,"N/A",0)</f>
        <v>95.43</v>
      </c>
      <c r="M569">
        <f>_xlfn.XLOOKUP($A569,[1]Sheet1!$K$9:$K$2584,[1]Sheet1!$L$9:$L$2584,"N/A",0)</f>
        <v>130.83</v>
      </c>
      <c r="N569">
        <f>_xlfn.XLOOKUP($A569,[1]Sheet1!$N$9:$N$2584,[1]Sheet1!$O$9:$O$2584,"N/A",0)</f>
        <v>96.28</v>
      </c>
      <c r="O569">
        <v>97.7</v>
      </c>
      <c r="P569">
        <v>134.76</v>
      </c>
      <c r="Q569">
        <v>95.43</v>
      </c>
      <c r="R569">
        <v>96.28</v>
      </c>
      <c r="S569">
        <v>130.83</v>
      </c>
    </row>
    <row r="570" spans="1:19">
      <c r="A570" s="1">
        <v>43195</v>
      </c>
      <c r="B570" t="s">
        <v>331</v>
      </c>
      <c r="C570" t="s">
        <v>335</v>
      </c>
      <c r="D570">
        <v>19.075</v>
      </c>
      <c r="E570">
        <v>18.675</v>
      </c>
      <c r="F570">
        <v>-0.020969855832241</v>
      </c>
      <c r="G570">
        <f ca="1" t="shared" si="24"/>
        <v>-0.646246990650575</v>
      </c>
      <c r="H570" t="str">
        <f ca="1" t="shared" si="25"/>
        <v>Risk-On</v>
      </c>
      <c r="I570">
        <f ca="1" t="shared" si="26"/>
        <v>1</v>
      </c>
      <c r="J570">
        <f>_xlfn.XLOOKUP($A570,[1]Sheet1!$B$9:$B$2584,[1]Sheet1!$C$9:$C$2584,"N/A",0)</f>
        <v>97.91</v>
      </c>
      <c r="K570">
        <f>_xlfn.XLOOKUP($A570,[1]Sheet1!$E$9:$E$2584,[1]Sheet1!$F$9:$F$2584,"N/A",0)</f>
        <v>134.72</v>
      </c>
      <c r="L570">
        <f>_xlfn.XLOOKUP($A570,[1]Sheet1!$H$9:$H$2584,[1]Sheet1!$I$9:$I$2584,"N/A",0)</f>
        <v>95.53</v>
      </c>
      <c r="M570">
        <f>_xlfn.XLOOKUP($A570,[1]Sheet1!$K$9:$K$2584,[1]Sheet1!$L$9:$L$2584,"N/A",0)</f>
        <v>130.05</v>
      </c>
      <c r="N570">
        <f>_xlfn.XLOOKUP($A570,[1]Sheet1!$N$9:$N$2584,[1]Sheet1!$O$9:$O$2584,"N/A",0)</f>
        <v>96.22</v>
      </c>
      <c r="O570">
        <v>97.91</v>
      </c>
      <c r="P570">
        <v>134.72</v>
      </c>
      <c r="Q570">
        <v>95.53</v>
      </c>
      <c r="R570">
        <v>96.22</v>
      </c>
      <c r="S570">
        <v>130.05</v>
      </c>
    </row>
    <row r="571" spans="1:19">
      <c r="A571" s="1">
        <v>43196</v>
      </c>
      <c r="B571" t="s">
        <v>331</v>
      </c>
      <c r="C571" t="s">
        <v>335</v>
      </c>
      <c r="D571">
        <v>20.625</v>
      </c>
      <c r="E571">
        <v>19.525</v>
      </c>
      <c r="F571">
        <v>-0.0533333333333334</v>
      </c>
      <c r="G571">
        <f ca="1" t="shared" si="24"/>
        <v>-1.08491475561415</v>
      </c>
      <c r="H571" t="str">
        <f ca="1" t="shared" si="25"/>
        <v>Risk-On</v>
      </c>
      <c r="I571">
        <f ca="1" t="shared" si="26"/>
        <v>1</v>
      </c>
      <c r="J571">
        <f>_xlfn.XLOOKUP($A571,[1]Sheet1!$B$9:$B$2584,[1]Sheet1!$C$9:$C$2584,"N/A",0)</f>
        <v>97.94</v>
      </c>
      <c r="K571">
        <f>_xlfn.XLOOKUP($A571,[1]Sheet1!$E$9:$E$2584,[1]Sheet1!$F$9:$F$2584,"N/A",0)</f>
        <v>134.43</v>
      </c>
      <c r="L571">
        <f>_xlfn.XLOOKUP($A571,[1]Sheet1!$H$9:$H$2584,[1]Sheet1!$I$9:$I$2584,"N/A",0)</f>
        <v>95.67</v>
      </c>
      <c r="M571">
        <f>_xlfn.XLOOKUP($A571,[1]Sheet1!$K$9:$K$2584,[1]Sheet1!$L$9:$L$2584,"N/A",0)</f>
        <v>130.04</v>
      </c>
      <c r="N571">
        <f>_xlfn.XLOOKUP($A571,[1]Sheet1!$N$9:$N$2584,[1]Sheet1!$O$9:$O$2584,"N/A",0)</f>
        <v>95.72</v>
      </c>
      <c r="O571">
        <v>97.94</v>
      </c>
      <c r="P571">
        <v>134.43</v>
      </c>
      <c r="Q571">
        <v>95.67</v>
      </c>
      <c r="R571">
        <v>95.72</v>
      </c>
      <c r="S571">
        <v>130.04</v>
      </c>
    </row>
    <row r="572" spans="1:19">
      <c r="A572" s="1">
        <v>43199</v>
      </c>
      <c r="B572" t="s">
        <v>331</v>
      </c>
      <c r="C572" t="s">
        <v>335</v>
      </c>
      <c r="D572">
        <v>20.825</v>
      </c>
      <c r="E572">
        <v>19.825</v>
      </c>
      <c r="F572">
        <v>-0.0480192076830732</v>
      </c>
      <c r="G572">
        <f ca="1" t="shared" si="24"/>
        <v>-1.00413105583571</v>
      </c>
      <c r="H572" t="str">
        <f ca="1" t="shared" si="25"/>
        <v>Risk-On</v>
      </c>
      <c r="I572">
        <f ca="1" t="shared" si="26"/>
        <v>1</v>
      </c>
      <c r="J572">
        <f>_xlfn.XLOOKUP($A572,[1]Sheet1!$B$9:$B$2584,[1]Sheet1!$C$9:$C$2584,"N/A",0)</f>
        <v>97.82</v>
      </c>
      <c r="K572">
        <f>_xlfn.XLOOKUP($A572,[1]Sheet1!$E$9:$E$2584,[1]Sheet1!$F$9:$F$2584,"N/A",0)</f>
        <v>134.89</v>
      </c>
      <c r="L572">
        <f>_xlfn.XLOOKUP($A572,[1]Sheet1!$H$9:$H$2584,[1]Sheet1!$I$9:$I$2584,"N/A",0)</f>
        <v>95.68</v>
      </c>
      <c r="M572">
        <f>_xlfn.XLOOKUP($A572,[1]Sheet1!$K$9:$K$2584,[1]Sheet1!$L$9:$L$2584,"N/A",0)</f>
        <v>130.32</v>
      </c>
      <c r="N572">
        <f>_xlfn.XLOOKUP($A572,[1]Sheet1!$N$9:$N$2584,[1]Sheet1!$O$9:$O$2584,"N/A",0)</f>
        <v>96.24</v>
      </c>
      <c r="O572">
        <v>97.82</v>
      </c>
      <c r="P572">
        <v>134.89</v>
      </c>
      <c r="Q572">
        <v>95.68</v>
      </c>
      <c r="R572">
        <v>96.24</v>
      </c>
      <c r="S572">
        <v>130.32</v>
      </c>
    </row>
    <row r="573" spans="1:19">
      <c r="A573" s="1">
        <v>43200</v>
      </c>
      <c r="B573" t="s">
        <v>331</v>
      </c>
      <c r="C573" t="s">
        <v>335</v>
      </c>
      <c r="D573">
        <v>20.175</v>
      </c>
      <c r="E573">
        <v>19.425</v>
      </c>
      <c r="F573">
        <v>-0.037174721189591</v>
      </c>
      <c r="G573">
        <f ca="1" t="shared" si="24"/>
        <v>-0.850301106457862</v>
      </c>
      <c r="H573" t="str">
        <f ca="1" t="shared" si="25"/>
        <v>Risk-On</v>
      </c>
      <c r="I573">
        <f ca="1" t="shared" si="26"/>
        <v>1</v>
      </c>
      <c r="J573">
        <f>_xlfn.XLOOKUP($A573,[1]Sheet1!$B$9:$B$2584,[1]Sheet1!$C$9:$C$2584,"N/A",0)</f>
        <v>97.41</v>
      </c>
      <c r="K573">
        <f>_xlfn.XLOOKUP($A573,[1]Sheet1!$E$9:$E$2584,[1]Sheet1!$F$9:$F$2584,"N/A",0)</f>
        <v>134.72</v>
      </c>
      <c r="L573">
        <f>_xlfn.XLOOKUP($A573,[1]Sheet1!$H$9:$H$2584,[1]Sheet1!$I$9:$I$2584,"N/A",0)</f>
        <v>95.8</v>
      </c>
      <c r="M573">
        <f>_xlfn.XLOOKUP($A573,[1]Sheet1!$K$9:$K$2584,[1]Sheet1!$L$9:$L$2584,"N/A",0)</f>
        <v>131.02</v>
      </c>
      <c r="N573">
        <f>_xlfn.XLOOKUP($A573,[1]Sheet1!$N$9:$N$2584,[1]Sheet1!$O$9:$O$2584,"N/A",0)</f>
        <v>96.09</v>
      </c>
      <c r="O573">
        <v>97.41</v>
      </c>
      <c r="P573">
        <v>134.72</v>
      </c>
      <c r="Q573">
        <v>95.8</v>
      </c>
      <c r="R573">
        <v>96.09</v>
      </c>
      <c r="S573">
        <v>131.02</v>
      </c>
    </row>
    <row r="574" spans="1:19">
      <c r="A574" s="1">
        <v>43201</v>
      </c>
      <c r="B574" t="s">
        <v>331</v>
      </c>
      <c r="C574" t="s">
        <v>335</v>
      </c>
      <c r="D574">
        <v>20.075</v>
      </c>
      <c r="E574">
        <v>19.475</v>
      </c>
      <c r="F574">
        <v>-0.029887920298879</v>
      </c>
      <c r="G574">
        <f ca="1" t="shared" si="24"/>
        <v>-0.747922519125843</v>
      </c>
      <c r="H574" t="str">
        <f ca="1" t="shared" si="25"/>
        <v>Risk-On</v>
      </c>
      <c r="I574">
        <f ca="1" t="shared" si="26"/>
        <v>1</v>
      </c>
      <c r="J574">
        <f>_xlfn.XLOOKUP($A574,[1]Sheet1!$B$9:$B$2584,[1]Sheet1!$C$9:$C$2584,"N/A",0)</f>
        <v>97.46</v>
      </c>
      <c r="K574">
        <f>_xlfn.XLOOKUP($A574,[1]Sheet1!$E$9:$E$2584,[1]Sheet1!$F$9:$F$2584,"N/A",0)</f>
        <v>133.98</v>
      </c>
      <c r="L574">
        <f>_xlfn.XLOOKUP($A574,[1]Sheet1!$H$9:$H$2584,[1]Sheet1!$I$9:$I$2584,"N/A",0)</f>
        <v>95.55</v>
      </c>
      <c r="M574">
        <f>_xlfn.XLOOKUP($A574,[1]Sheet1!$K$9:$K$2584,[1]Sheet1!$L$9:$L$2584,"N/A",0)</f>
        <v>130.36</v>
      </c>
      <c r="N574">
        <f>_xlfn.XLOOKUP($A574,[1]Sheet1!$N$9:$N$2584,[1]Sheet1!$O$9:$O$2584,"N/A",0)</f>
        <v>95.46</v>
      </c>
      <c r="O574">
        <v>97.46</v>
      </c>
      <c r="P574">
        <v>133.98</v>
      </c>
      <c r="Q574">
        <v>95.55</v>
      </c>
      <c r="R574">
        <v>95.46</v>
      </c>
      <c r="S574">
        <v>130.36</v>
      </c>
    </row>
    <row r="575" spans="1:19">
      <c r="A575" s="1">
        <v>43202</v>
      </c>
      <c r="B575" t="s">
        <v>331</v>
      </c>
      <c r="C575" t="s">
        <v>335</v>
      </c>
      <c r="D575">
        <v>18.825</v>
      </c>
      <c r="E575">
        <v>18.725</v>
      </c>
      <c r="F575">
        <v>-0.00531208499335978</v>
      </c>
      <c r="G575">
        <f ca="1" t="shared" si="24"/>
        <v>-0.417173379819652</v>
      </c>
      <c r="H575" t="str">
        <f ca="1" t="shared" si="25"/>
        <v>Risk-On</v>
      </c>
      <c r="I575">
        <f ca="1" t="shared" si="26"/>
        <v>1</v>
      </c>
      <c r="J575">
        <f>_xlfn.XLOOKUP($A575,[1]Sheet1!$B$9:$B$2584,[1]Sheet1!$C$9:$C$2584,"N/A",0)</f>
        <v>97.42</v>
      </c>
      <c r="K575">
        <f>_xlfn.XLOOKUP($A575,[1]Sheet1!$E$9:$E$2584,[1]Sheet1!$F$9:$F$2584,"N/A",0)</f>
        <v>134.52</v>
      </c>
      <c r="L575">
        <f>_xlfn.XLOOKUP($A575,[1]Sheet1!$H$9:$H$2584,[1]Sheet1!$I$9:$I$2584,"N/A",0)</f>
        <v>95.5</v>
      </c>
      <c r="M575">
        <f>_xlfn.XLOOKUP($A575,[1]Sheet1!$K$9:$K$2584,[1]Sheet1!$L$9:$L$2584,"N/A",0)</f>
        <v>130.62</v>
      </c>
      <c r="N575">
        <f>_xlfn.XLOOKUP($A575,[1]Sheet1!$N$9:$N$2584,[1]Sheet1!$O$9:$O$2584,"N/A",0)</f>
        <v>95.57</v>
      </c>
      <c r="O575">
        <v>97.42</v>
      </c>
      <c r="P575">
        <v>134.52</v>
      </c>
      <c r="Q575">
        <v>95.5</v>
      </c>
      <c r="R575">
        <v>95.57</v>
      </c>
      <c r="S575">
        <v>130.62</v>
      </c>
    </row>
    <row r="576" spans="1:19">
      <c r="A576" s="1">
        <v>43203</v>
      </c>
      <c r="B576" t="s">
        <v>331</v>
      </c>
      <c r="C576" t="s">
        <v>335</v>
      </c>
      <c r="D576">
        <v>17.925</v>
      </c>
      <c r="E576">
        <v>18.125</v>
      </c>
      <c r="F576" s="2" t="s">
        <v>336</v>
      </c>
      <c r="G576">
        <f ca="1" t="shared" si="24"/>
        <v>-0.203059857290476</v>
      </c>
      <c r="H576" t="str">
        <f ca="1" t="shared" si="25"/>
        <v>Risk-On</v>
      </c>
      <c r="I576">
        <f ca="1" t="shared" si="26"/>
        <v>1</v>
      </c>
      <c r="J576">
        <f>_xlfn.XLOOKUP($A576,[1]Sheet1!$B$9:$B$2584,[1]Sheet1!$C$9:$C$2584,"N/A",0)</f>
        <v>97.53</v>
      </c>
      <c r="K576">
        <f>_xlfn.XLOOKUP($A576,[1]Sheet1!$E$9:$E$2584,[1]Sheet1!$F$9:$F$2584,"N/A",0)</f>
        <v>134.18</v>
      </c>
      <c r="L576">
        <f>_xlfn.XLOOKUP($A576,[1]Sheet1!$H$9:$H$2584,[1]Sheet1!$I$9:$I$2584,"N/A",0)</f>
        <v>95.51</v>
      </c>
      <c r="M576">
        <f>_xlfn.XLOOKUP($A576,[1]Sheet1!$K$9:$K$2584,[1]Sheet1!$L$9:$L$2584,"N/A",0)</f>
        <v>130.08</v>
      </c>
      <c r="N576">
        <f>_xlfn.XLOOKUP($A576,[1]Sheet1!$N$9:$N$2584,[1]Sheet1!$O$9:$O$2584,"N/A",0)</f>
        <v>95.69</v>
      </c>
      <c r="O576">
        <v>97.53</v>
      </c>
      <c r="P576">
        <v>134.18</v>
      </c>
      <c r="Q576">
        <v>95.51</v>
      </c>
      <c r="R576">
        <v>95.69</v>
      </c>
      <c r="S576">
        <v>130.08</v>
      </c>
    </row>
    <row r="577" spans="1:19">
      <c r="A577" s="1">
        <v>43206</v>
      </c>
      <c r="B577" t="s">
        <v>331</v>
      </c>
      <c r="C577" t="s">
        <v>335</v>
      </c>
      <c r="D577">
        <v>16.825</v>
      </c>
      <c r="E577">
        <v>17.275</v>
      </c>
      <c r="F577">
        <v>0.0267459138187221</v>
      </c>
      <c r="G577">
        <f ca="1" t="shared" si="24"/>
        <v>7.19617384704288e-5</v>
      </c>
      <c r="H577" t="str">
        <f ca="1" t="shared" si="25"/>
        <v>Risk-On</v>
      </c>
      <c r="I577">
        <f ca="1" t="shared" si="26"/>
        <v>1</v>
      </c>
      <c r="J577">
        <f>_xlfn.XLOOKUP($A577,[1]Sheet1!$B$9:$B$2584,[1]Sheet1!$C$9:$C$2584,"N/A",0)</f>
        <v>97.85</v>
      </c>
      <c r="K577">
        <f>_xlfn.XLOOKUP($A577,[1]Sheet1!$E$9:$E$2584,[1]Sheet1!$F$9:$F$2584,"N/A",0)</f>
        <v>134.1</v>
      </c>
      <c r="L577">
        <f>_xlfn.XLOOKUP($A577,[1]Sheet1!$H$9:$H$2584,[1]Sheet1!$I$9:$I$2584,"N/A",0)</f>
        <v>95.63</v>
      </c>
      <c r="M577">
        <f>_xlfn.XLOOKUP($A577,[1]Sheet1!$K$9:$K$2584,[1]Sheet1!$L$9:$L$2584,"N/A",0)</f>
        <v>130.85</v>
      </c>
      <c r="N577">
        <f>_xlfn.XLOOKUP($A577,[1]Sheet1!$N$9:$N$2584,[1]Sheet1!$O$9:$O$2584,"N/A",0)</f>
        <v>95.4</v>
      </c>
      <c r="O577">
        <v>97.85</v>
      </c>
      <c r="P577">
        <v>134.1</v>
      </c>
      <c r="Q577">
        <v>95.63</v>
      </c>
      <c r="R577">
        <v>95.4</v>
      </c>
      <c r="S577">
        <v>130.85</v>
      </c>
    </row>
    <row r="578" spans="1:19">
      <c r="A578" s="1">
        <v>43207</v>
      </c>
      <c r="B578" t="s">
        <v>331</v>
      </c>
      <c r="C578" t="s">
        <v>335</v>
      </c>
      <c r="D578">
        <v>15.325</v>
      </c>
      <c r="E578">
        <v>16.375</v>
      </c>
      <c r="F578">
        <v>0.0685154975530179</v>
      </c>
      <c r="G578">
        <f ca="1" t="shared" si="24"/>
        <v>0.56778370391941</v>
      </c>
      <c r="H578" t="str">
        <f ca="1" t="shared" si="25"/>
        <v>Risk-On</v>
      </c>
      <c r="I578">
        <f ca="1" t="shared" si="26"/>
        <v>1</v>
      </c>
      <c r="J578">
        <f>_xlfn.XLOOKUP($A578,[1]Sheet1!$B$9:$B$2584,[1]Sheet1!$C$9:$C$2584,"N/A",0)</f>
        <v>98.07</v>
      </c>
      <c r="K578">
        <f>_xlfn.XLOOKUP($A578,[1]Sheet1!$E$9:$E$2584,[1]Sheet1!$F$9:$F$2584,"N/A",0)</f>
        <v>135.52</v>
      </c>
      <c r="L578">
        <f>_xlfn.XLOOKUP($A578,[1]Sheet1!$H$9:$H$2584,[1]Sheet1!$I$9:$I$2584,"N/A",0)</f>
        <v>95.14</v>
      </c>
      <c r="M578">
        <f>_xlfn.XLOOKUP($A578,[1]Sheet1!$K$9:$K$2584,[1]Sheet1!$L$9:$L$2584,"N/A",0)</f>
        <v>131.08</v>
      </c>
      <c r="N578">
        <f>_xlfn.XLOOKUP($A578,[1]Sheet1!$N$9:$N$2584,[1]Sheet1!$O$9:$O$2584,"N/A",0)</f>
        <v>95.27</v>
      </c>
      <c r="O578">
        <v>98.07</v>
      </c>
      <c r="P578">
        <v>135.52</v>
      </c>
      <c r="Q578">
        <v>95.14</v>
      </c>
      <c r="R578">
        <v>95.27</v>
      </c>
      <c r="S578">
        <v>131.08</v>
      </c>
    </row>
    <row r="579" spans="1:19">
      <c r="A579" s="1">
        <v>43208</v>
      </c>
      <c r="B579" t="s">
        <v>331</v>
      </c>
      <c r="C579" t="s">
        <v>335</v>
      </c>
      <c r="D579">
        <v>17.26</v>
      </c>
      <c r="E579">
        <v>16.425</v>
      </c>
      <c r="F579">
        <v>-0.04837775202781</v>
      </c>
      <c r="G579">
        <f ca="1" t="shared" ref="G579:G642" si="27">IF(ROW()-ROW($A$3)+1&gt;252,(F579-AVERAGE(OFFSET(F579,-252,0,252,1)))/_xlfn.STDEV.S(OFFSET(F579,-252,0,252,1)),"N/A")</f>
        <v>-1.05877074559251</v>
      </c>
      <c r="H579" t="str">
        <f ca="1" t="shared" ref="H579:H642" si="28">IF(G579&lt;&gt;"N/A",IF(G829&gt;-0.5,"Risk-On","Risk-Off"),"N/A")</f>
        <v>Risk-On</v>
      </c>
      <c r="I579">
        <f ca="1" t="shared" si="26"/>
        <v>1</v>
      </c>
      <c r="J579">
        <f>_xlfn.XLOOKUP($A579,[1]Sheet1!$B$9:$B$2584,[1]Sheet1!$C$9:$C$2584,"N/A",0)</f>
        <v>97.99</v>
      </c>
      <c r="K579">
        <f>_xlfn.XLOOKUP($A579,[1]Sheet1!$E$9:$E$2584,[1]Sheet1!$F$9:$F$2584,"N/A",0)</f>
        <v>135.68</v>
      </c>
      <c r="L579">
        <f>_xlfn.XLOOKUP($A579,[1]Sheet1!$H$9:$H$2584,[1]Sheet1!$I$9:$I$2584,"N/A",0)</f>
        <v>95.33</v>
      </c>
      <c r="M579">
        <f>_xlfn.XLOOKUP($A579,[1]Sheet1!$K$9:$K$2584,[1]Sheet1!$L$9:$L$2584,"N/A",0)</f>
        <v>130.72</v>
      </c>
      <c r="N579">
        <f>_xlfn.XLOOKUP($A579,[1]Sheet1!$N$9:$N$2584,[1]Sheet1!$O$9:$O$2584,"N/A",0)</f>
        <v>95.24</v>
      </c>
      <c r="O579">
        <v>97.99</v>
      </c>
      <c r="P579">
        <v>135.68</v>
      </c>
      <c r="Q579">
        <v>95.33</v>
      </c>
      <c r="R579">
        <v>95.24</v>
      </c>
      <c r="S579">
        <v>130.72</v>
      </c>
    </row>
    <row r="580" spans="1:19">
      <c r="A580" s="1">
        <v>43209</v>
      </c>
      <c r="B580" t="s">
        <v>335</v>
      </c>
      <c r="C580" t="s">
        <v>337</v>
      </c>
      <c r="D580">
        <v>16.575</v>
      </c>
      <c r="E580">
        <v>16.825</v>
      </c>
      <c r="F580" s="2" t="s">
        <v>338</v>
      </c>
      <c r="G580">
        <f ca="1" t="shared" si="27"/>
        <v>-0.178491026053244</v>
      </c>
      <c r="H580" t="str">
        <f ca="1" t="shared" si="28"/>
        <v>Risk-On</v>
      </c>
      <c r="I580">
        <f ca="1" t="shared" ref="I580:I643" si="29">IF(H580&lt;&gt;"N/A",IF(H830&gt;-0.5,1,0),0)</f>
        <v>1</v>
      </c>
      <c r="J580">
        <f>_xlfn.XLOOKUP($A580,[1]Sheet1!$B$9:$B$2584,[1]Sheet1!$C$9:$C$2584,"N/A",0)</f>
        <v>97.93</v>
      </c>
      <c r="K580">
        <f>_xlfn.XLOOKUP($A580,[1]Sheet1!$E$9:$E$2584,[1]Sheet1!$F$9:$F$2584,"N/A",0)</f>
        <v>135.85</v>
      </c>
      <c r="L580">
        <f>_xlfn.XLOOKUP($A580,[1]Sheet1!$H$9:$H$2584,[1]Sheet1!$I$9:$I$2584,"N/A",0)</f>
        <v>94.81</v>
      </c>
      <c r="M580">
        <f>_xlfn.XLOOKUP($A580,[1]Sheet1!$K$9:$K$2584,[1]Sheet1!$L$9:$L$2584,"N/A",0)</f>
        <v>130.67</v>
      </c>
      <c r="N580">
        <f>_xlfn.XLOOKUP($A580,[1]Sheet1!$N$9:$N$2584,[1]Sheet1!$O$9:$O$2584,"N/A",0)</f>
        <v>95.44</v>
      </c>
      <c r="O580">
        <v>97.93</v>
      </c>
      <c r="P580">
        <v>135.85</v>
      </c>
      <c r="Q580">
        <v>94.81</v>
      </c>
      <c r="R580">
        <v>95.44</v>
      </c>
      <c r="S580">
        <v>130.67</v>
      </c>
    </row>
    <row r="581" spans="1:19">
      <c r="A581" s="1">
        <v>43210</v>
      </c>
      <c r="B581" t="s">
        <v>335</v>
      </c>
      <c r="C581" t="s">
        <v>337</v>
      </c>
      <c r="D581">
        <v>17.025</v>
      </c>
      <c r="E581">
        <v>17.075</v>
      </c>
      <c r="F581">
        <v>0.00293685756240826</v>
      </c>
      <c r="G581">
        <f ca="1" t="shared" si="27"/>
        <v>-0.346241047905086</v>
      </c>
      <c r="H581" t="str">
        <f ca="1" t="shared" si="28"/>
        <v>Risk-On</v>
      </c>
      <c r="I581">
        <f ca="1" t="shared" si="29"/>
        <v>1</v>
      </c>
      <c r="J581">
        <f>_xlfn.XLOOKUP($A581,[1]Sheet1!$B$9:$B$2584,[1]Sheet1!$C$9:$C$2584,"N/A",0)</f>
        <v>98.07</v>
      </c>
      <c r="K581">
        <f>_xlfn.XLOOKUP($A581,[1]Sheet1!$E$9:$E$2584,[1]Sheet1!$F$9:$F$2584,"N/A",0)</f>
        <v>136.52</v>
      </c>
      <c r="L581">
        <f>_xlfn.XLOOKUP($A581,[1]Sheet1!$H$9:$H$2584,[1]Sheet1!$I$9:$I$2584,"N/A",0)</f>
        <v>94.65</v>
      </c>
      <c r="M581">
        <f>_xlfn.XLOOKUP($A581,[1]Sheet1!$K$9:$K$2584,[1]Sheet1!$L$9:$L$2584,"N/A",0)</f>
        <v>130.51</v>
      </c>
      <c r="N581">
        <f>_xlfn.XLOOKUP($A581,[1]Sheet1!$N$9:$N$2584,[1]Sheet1!$O$9:$O$2584,"N/A",0)</f>
        <v>95.47</v>
      </c>
      <c r="O581">
        <v>98.07</v>
      </c>
      <c r="P581">
        <v>136.52</v>
      </c>
      <c r="Q581">
        <v>94.65</v>
      </c>
      <c r="R581">
        <v>95.47</v>
      </c>
      <c r="S581">
        <v>130.51</v>
      </c>
    </row>
    <row r="582" spans="1:19">
      <c r="A582" s="1">
        <v>43213</v>
      </c>
      <c r="B582" t="s">
        <v>335</v>
      </c>
      <c r="C582" t="s">
        <v>337</v>
      </c>
      <c r="D582">
        <v>16.825</v>
      </c>
      <c r="E582">
        <v>17.025</v>
      </c>
      <c r="F582" s="2" t="s">
        <v>339</v>
      </c>
      <c r="G582">
        <f ca="1" t="shared" si="27"/>
        <v>-0.222920157579517</v>
      </c>
      <c r="H582" t="str">
        <f ca="1" t="shared" si="28"/>
        <v>Risk-On</v>
      </c>
      <c r="I582">
        <f ca="1" t="shared" si="29"/>
        <v>1</v>
      </c>
      <c r="J582">
        <f>_xlfn.XLOOKUP($A582,[1]Sheet1!$B$9:$B$2584,[1]Sheet1!$C$9:$C$2584,"N/A",0)</f>
        <v>98.52</v>
      </c>
      <c r="K582">
        <f>_xlfn.XLOOKUP($A582,[1]Sheet1!$E$9:$E$2584,[1]Sheet1!$F$9:$F$2584,"N/A",0)</f>
        <v>135.69</v>
      </c>
      <c r="L582">
        <f>_xlfn.XLOOKUP($A582,[1]Sheet1!$H$9:$H$2584,[1]Sheet1!$I$9:$I$2584,"N/A",0)</f>
        <v>94.4</v>
      </c>
      <c r="M582">
        <f>_xlfn.XLOOKUP($A582,[1]Sheet1!$K$9:$K$2584,[1]Sheet1!$L$9:$L$2584,"N/A",0)</f>
        <v>130.82</v>
      </c>
      <c r="N582">
        <f>_xlfn.XLOOKUP($A582,[1]Sheet1!$N$9:$N$2584,[1]Sheet1!$O$9:$O$2584,"N/A",0)</f>
        <v>95.5</v>
      </c>
      <c r="O582">
        <v>98.52</v>
      </c>
      <c r="P582">
        <v>135.69</v>
      </c>
      <c r="Q582">
        <v>94.4</v>
      </c>
      <c r="R582">
        <v>95.5</v>
      </c>
      <c r="S582">
        <v>130.82</v>
      </c>
    </row>
    <row r="583" spans="1:19">
      <c r="A583" s="1">
        <v>43214</v>
      </c>
      <c r="B583" t="s">
        <v>335</v>
      </c>
      <c r="C583" t="s">
        <v>337</v>
      </c>
      <c r="D583">
        <v>17.675</v>
      </c>
      <c r="E583">
        <v>17.475</v>
      </c>
      <c r="F583">
        <v>-0.0113154172560112</v>
      </c>
      <c r="G583">
        <f ca="1" t="shared" si="27"/>
        <v>-0.545228330856529</v>
      </c>
      <c r="H583" t="str">
        <f ca="1" t="shared" si="28"/>
        <v>Risk-On</v>
      </c>
      <c r="I583">
        <f ca="1" t="shared" si="29"/>
        <v>1</v>
      </c>
      <c r="J583">
        <f>_xlfn.XLOOKUP($A583,[1]Sheet1!$B$9:$B$2584,[1]Sheet1!$C$9:$C$2584,"N/A",0)</f>
        <v>98.21</v>
      </c>
      <c r="K583">
        <f>_xlfn.XLOOKUP($A583,[1]Sheet1!$E$9:$E$2584,[1]Sheet1!$F$9:$F$2584,"N/A",0)</f>
        <v>134.01</v>
      </c>
      <c r="L583">
        <f>_xlfn.XLOOKUP($A583,[1]Sheet1!$H$9:$H$2584,[1]Sheet1!$I$9:$I$2584,"N/A",0)</f>
        <v>94.43</v>
      </c>
      <c r="M583">
        <f>_xlfn.XLOOKUP($A583,[1]Sheet1!$K$9:$K$2584,[1]Sheet1!$L$9:$L$2584,"N/A",0)</f>
        <v>131.18</v>
      </c>
      <c r="N583">
        <f>_xlfn.XLOOKUP($A583,[1]Sheet1!$N$9:$N$2584,[1]Sheet1!$O$9:$O$2584,"N/A",0)</f>
        <v>95</v>
      </c>
      <c r="O583">
        <v>98.21</v>
      </c>
      <c r="P583">
        <v>134.01</v>
      </c>
      <c r="Q583">
        <v>94.43</v>
      </c>
      <c r="R583">
        <v>95</v>
      </c>
      <c r="S583">
        <v>131.18</v>
      </c>
    </row>
    <row r="584" spans="1:19">
      <c r="A584" s="1">
        <v>43215</v>
      </c>
      <c r="B584" t="s">
        <v>335</v>
      </c>
      <c r="C584" t="s">
        <v>337</v>
      </c>
      <c r="D584">
        <v>17.725</v>
      </c>
      <c r="E584">
        <v>17.675</v>
      </c>
      <c r="F584">
        <v>-0.00282087447108607</v>
      </c>
      <c r="G584">
        <f ca="1" t="shared" si="27"/>
        <v>-0.422177379521008</v>
      </c>
      <c r="H584" t="str">
        <f ca="1" t="shared" si="28"/>
        <v>Risk-On</v>
      </c>
      <c r="I584">
        <f ca="1" t="shared" si="29"/>
        <v>1</v>
      </c>
      <c r="J584">
        <f>_xlfn.XLOOKUP($A584,[1]Sheet1!$B$9:$B$2584,[1]Sheet1!$C$9:$C$2584,"N/A",0)</f>
        <v>97.87</v>
      </c>
      <c r="K584">
        <f>_xlfn.XLOOKUP($A584,[1]Sheet1!$E$9:$E$2584,[1]Sheet1!$F$9:$F$2584,"N/A",0)</f>
        <v>133.07</v>
      </c>
      <c r="L584">
        <f>_xlfn.XLOOKUP($A584,[1]Sheet1!$H$9:$H$2584,[1]Sheet1!$I$9:$I$2584,"N/A",0)</f>
        <v>94.91</v>
      </c>
      <c r="M584">
        <f>_xlfn.XLOOKUP($A584,[1]Sheet1!$K$9:$K$2584,[1]Sheet1!$L$9:$L$2584,"N/A",0)</f>
        <v>131.81</v>
      </c>
      <c r="N584">
        <f>_xlfn.XLOOKUP($A584,[1]Sheet1!$N$9:$N$2584,[1]Sheet1!$O$9:$O$2584,"N/A",0)</f>
        <v>95.19</v>
      </c>
      <c r="O584">
        <v>97.87</v>
      </c>
      <c r="P584">
        <v>133.07</v>
      </c>
      <c r="Q584">
        <v>94.91</v>
      </c>
      <c r="R584">
        <v>95.19</v>
      </c>
      <c r="S584">
        <v>131.81</v>
      </c>
    </row>
    <row r="585" spans="1:19">
      <c r="A585" s="1">
        <v>43216</v>
      </c>
      <c r="B585" t="s">
        <v>335</v>
      </c>
      <c r="C585" t="s">
        <v>337</v>
      </c>
      <c r="D585">
        <v>16.875</v>
      </c>
      <c r="E585">
        <v>17.025</v>
      </c>
      <c r="F585">
        <v>0.0088888888888888</v>
      </c>
      <c r="G585">
        <f ca="1" t="shared" si="27"/>
        <v>-0.255859241971208</v>
      </c>
      <c r="H585" t="str">
        <f ca="1" t="shared" si="28"/>
        <v>Risk-On</v>
      </c>
      <c r="I585">
        <f ca="1" t="shared" si="29"/>
        <v>1</v>
      </c>
      <c r="J585">
        <f>_xlfn.XLOOKUP($A585,[1]Sheet1!$B$9:$B$2584,[1]Sheet1!$C$9:$C$2584,"N/A",0)</f>
        <v>98.22</v>
      </c>
      <c r="K585">
        <f>_xlfn.XLOOKUP($A585,[1]Sheet1!$E$9:$E$2584,[1]Sheet1!$F$9:$F$2584,"N/A",0)</f>
        <v>133.32</v>
      </c>
      <c r="L585">
        <f>_xlfn.XLOOKUP($A585,[1]Sheet1!$H$9:$H$2584,[1]Sheet1!$I$9:$I$2584,"N/A",0)</f>
        <v>93.94</v>
      </c>
      <c r="M585">
        <f>_xlfn.XLOOKUP($A585,[1]Sheet1!$K$9:$K$2584,[1]Sheet1!$L$9:$L$2584,"N/A",0)</f>
        <v>132.87</v>
      </c>
      <c r="N585">
        <f>_xlfn.XLOOKUP($A585,[1]Sheet1!$N$9:$N$2584,[1]Sheet1!$O$9:$O$2584,"N/A",0)</f>
        <v>95.2</v>
      </c>
      <c r="O585">
        <v>98.22</v>
      </c>
      <c r="P585">
        <v>133.32</v>
      </c>
      <c r="Q585">
        <v>93.94</v>
      </c>
      <c r="R585">
        <v>95.2</v>
      </c>
      <c r="S585">
        <v>132.87</v>
      </c>
    </row>
    <row r="586" spans="1:19">
      <c r="A586" s="1">
        <v>43217</v>
      </c>
      <c r="B586" t="s">
        <v>335</v>
      </c>
      <c r="C586" t="s">
        <v>337</v>
      </c>
      <c r="D586">
        <v>16.425</v>
      </c>
      <c r="E586">
        <v>16.825</v>
      </c>
      <c r="F586" s="2" t="s">
        <v>340</v>
      </c>
      <c r="G586">
        <f ca="1" t="shared" si="27"/>
        <v>-0.0378976922390002</v>
      </c>
      <c r="H586" t="str">
        <f ca="1" t="shared" si="28"/>
        <v>Risk-On</v>
      </c>
      <c r="I586">
        <f ca="1" t="shared" si="29"/>
        <v>1</v>
      </c>
      <c r="J586">
        <f>_xlfn.XLOOKUP($A586,[1]Sheet1!$B$9:$B$2584,[1]Sheet1!$C$9:$C$2584,"N/A",0)</f>
        <v>98.64</v>
      </c>
      <c r="K586">
        <f>_xlfn.XLOOKUP($A586,[1]Sheet1!$E$9:$E$2584,[1]Sheet1!$F$9:$F$2584,"N/A",0)</f>
        <v>132.46</v>
      </c>
      <c r="L586">
        <f>_xlfn.XLOOKUP($A586,[1]Sheet1!$H$9:$H$2584,[1]Sheet1!$I$9:$I$2584,"N/A",0)</f>
        <v>93.74</v>
      </c>
      <c r="M586">
        <f>_xlfn.XLOOKUP($A586,[1]Sheet1!$K$9:$K$2584,[1]Sheet1!$L$9:$L$2584,"N/A",0)</f>
        <v>134.36</v>
      </c>
      <c r="N586">
        <f>_xlfn.XLOOKUP($A586,[1]Sheet1!$N$9:$N$2584,[1]Sheet1!$O$9:$O$2584,"N/A",0)</f>
        <v>95.1</v>
      </c>
      <c r="O586">
        <v>98.64</v>
      </c>
      <c r="P586">
        <v>132.46</v>
      </c>
      <c r="Q586">
        <v>93.74</v>
      </c>
      <c r="R586">
        <v>95.1</v>
      </c>
      <c r="S586">
        <v>134.36</v>
      </c>
    </row>
    <row r="587" spans="1:19">
      <c r="A587" s="1">
        <v>43220</v>
      </c>
      <c r="B587" t="s">
        <v>335</v>
      </c>
      <c r="C587" t="s">
        <v>337</v>
      </c>
      <c r="D587">
        <v>16.625</v>
      </c>
      <c r="E587">
        <v>16.925</v>
      </c>
      <c r="F587">
        <v>0.0180451127819549</v>
      </c>
      <c r="G587">
        <f ca="1" t="shared" si="27"/>
        <v>-0.121369070885922</v>
      </c>
      <c r="H587" t="str">
        <f ca="1" t="shared" si="28"/>
        <v>Risk-On</v>
      </c>
      <c r="I587">
        <f ca="1" t="shared" si="29"/>
        <v>1</v>
      </c>
      <c r="J587">
        <f>_xlfn.XLOOKUP($A587,[1]Sheet1!$B$9:$B$2584,[1]Sheet1!$C$9:$C$2584,"N/A",0)</f>
        <v>98.78</v>
      </c>
      <c r="K587">
        <f>_xlfn.XLOOKUP($A587,[1]Sheet1!$E$9:$E$2584,[1]Sheet1!$F$9:$F$2584,"N/A",0)</f>
        <v>134.18</v>
      </c>
      <c r="L587">
        <f>_xlfn.XLOOKUP($A587,[1]Sheet1!$H$9:$H$2584,[1]Sheet1!$I$9:$I$2584,"N/A",0)</f>
        <v>93.1</v>
      </c>
      <c r="M587">
        <f>_xlfn.XLOOKUP($A587,[1]Sheet1!$K$9:$K$2584,[1]Sheet1!$L$9:$L$2584,"N/A",0)</f>
        <v>134.08</v>
      </c>
      <c r="N587">
        <f>_xlfn.XLOOKUP($A587,[1]Sheet1!$N$9:$N$2584,[1]Sheet1!$O$9:$O$2584,"N/A",0)</f>
        <v>95.15</v>
      </c>
      <c r="O587">
        <v>98.78</v>
      </c>
      <c r="P587">
        <v>134.18</v>
      </c>
      <c r="Q587">
        <v>93.1</v>
      </c>
      <c r="R587">
        <v>95.15</v>
      </c>
      <c r="S587">
        <v>134.08</v>
      </c>
    </row>
    <row r="588" spans="1:19">
      <c r="A588" s="1">
        <v>43221</v>
      </c>
      <c r="B588" t="s">
        <v>335</v>
      </c>
      <c r="C588" t="s">
        <v>337</v>
      </c>
      <c r="D588">
        <v>16.275</v>
      </c>
      <c r="E588">
        <v>16.475</v>
      </c>
      <c r="F588" s="2" t="s">
        <v>334</v>
      </c>
      <c r="G588">
        <f ca="1" t="shared" si="27"/>
        <v>-0.195946420199409</v>
      </c>
      <c r="H588" t="str">
        <f ca="1" t="shared" si="28"/>
        <v>Risk-On</v>
      </c>
      <c r="I588">
        <f ca="1" t="shared" si="29"/>
        <v>1</v>
      </c>
      <c r="J588">
        <f>_xlfn.XLOOKUP($A588,[1]Sheet1!$B$9:$B$2584,[1]Sheet1!$C$9:$C$2584,"N/A",0)</f>
        <v>98.91</v>
      </c>
      <c r="K588">
        <f>_xlfn.XLOOKUP($A588,[1]Sheet1!$E$9:$E$2584,[1]Sheet1!$F$9:$F$2584,"N/A",0)</f>
        <v>133.64</v>
      </c>
      <c r="L588">
        <f>_xlfn.XLOOKUP($A588,[1]Sheet1!$H$9:$H$2584,[1]Sheet1!$I$9:$I$2584,"N/A",0)</f>
        <v>93.2</v>
      </c>
      <c r="M588">
        <f>_xlfn.XLOOKUP($A588,[1]Sheet1!$K$9:$K$2584,[1]Sheet1!$L$9:$L$2584,"N/A",0)</f>
        <v>133.79</v>
      </c>
      <c r="N588">
        <f>_xlfn.XLOOKUP($A588,[1]Sheet1!$N$9:$N$2584,[1]Sheet1!$O$9:$O$2584,"N/A",0)</f>
        <v>94.58</v>
      </c>
      <c r="O588">
        <v>98.91</v>
      </c>
      <c r="P588">
        <v>133.64</v>
      </c>
      <c r="Q588">
        <v>93.2</v>
      </c>
      <c r="R588">
        <v>94.58</v>
      </c>
      <c r="S588">
        <v>133.79</v>
      </c>
    </row>
    <row r="589" spans="1:19">
      <c r="A589" s="1">
        <v>43222</v>
      </c>
      <c r="B589" t="s">
        <v>335</v>
      </c>
      <c r="C589" t="s">
        <v>337</v>
      </c>
      <c r="D589">
        <v>16.625</v>
      </c>
      <c r="E589">
        <v>16.775</v>
      </c>
      <c r="F589">
        <v>0.00902255639097735</v>
      </c>
      <c r="G589">
        <f ca="1" t="shared" si="27"/>
        <v>-0.236502385848663</v>
      </c>
      <c r="H589" t="str">
        <f ca="1" t="shared" si="28"/>
        <v>Risk-On</v>
      </c>
      <c r="I589">
        <f ca="1" t="shared" si="29"/>
        <v>1</v>
      </c>
      <c r="J589">
        <f>_xlfn.XLOOKUP($A589,[1]Sheet1!$B$9:$B$2584,[1]Sheet1!$C$9:$C$2584,"N/A",0)</f>
        <v>98.79</v>
      </c>
      <c r="K589">
        <f>_xlfn.XLOOKUP($A589,[1]Sheet1!$E$9:$E$2584,[1]Sheet1!$F$9:$F$2584,"N/A",0)</f>
        <v>134.44</v>
      </c>
      <c r="L589">
        <f>_xlfn.XLOOKUP($A589,[1]Sheet1!$H$9:$H$2584,[1]Sheet1!$I$9:$I$2584,"N/A",0)</f>
        <v>93.09</v>
      </c>
      <c r="M589">
        <f>_xlfn.XLOOKUP($A589,[1]Sheet1!$K$9:$K$2584,[1]Sheet1!$L$9:$L$2584,"N/A",0)</f>
        <v>133.49</v>
      </c>
      <c r="N589">
        <f>_xlfn.XLOOKUP($A589,[1]Sheet1!$N$9:$N$2584,[1]Sheet1!$O$9:$O$2584,"N/A",0)</f>
        <v>93.77</v>
      </c>
      <c r="O589">
        <v>98.79</v>
      </c>
      <c r="P589">
        <v>134.44</v>
      </c>
      <c r="Q589">
        <v>93.09</v>
      </c>
      <c r="R589">
        <v>93.77</v>
      </c>
      <c r="S589">
        <v>133.49</v>
      </c>
    </row>
    <row r="590" spans="1:19">
      <c r="A590" s="1">
        <v>43223</v>
      </c>
      <c r="B590" t="s">
        <v>335</v>
      </c>
      <c r="C590" t="s">
        <v>337</v>
      </c>
      <c r="D590">
        <v>16.525</v>
      </c>
      <c r="E590">
        <v>16.525</v>
      </c>
      <c r="F590">
        <v>0</v>
      </c>
      <c r="G590">
        <f ca="1" t="shared" si="27"/>
        <v>-0.354016843599615</v>
      </c>
      <c r="H590" t="str">
        <f ca="1" t="shared" si="28"/>
        <v>Risk-On</v>
      </c>
      <c r="I590">
        <f ca="1" t="shared" si="29"/>
        <v>1</v>
      </c>
      <c r="J590">
        <f>_xlfn.XLOOKUP($A590,[1]Sheet1!$B$9:$B$2584,[1]Sheet1!$C$9:$C$2584,"N/A",0)</f>
        <v>98.95</v>
      </c>
      <c r="K590">
        <f>_xlfn.XLOOKUP($A590,[1]Sheet1!$E$9:$E$2584,[1]Sheet1!$F$9:$F$2584,"N/A",0)</f>
        <v>137.16</v>
      </c>
      <c r="L590">
        <f>_xlfn.XLOOKUP($A590,[1]Sheet1!$H$9:$H$2584,[1]Sheet1!$I$9:$I$2584,"N/A",0)</f>
        <v>92.63</v>
      </c>
      <c r="M590">
        <f>_xlfn.XLOOKUP($A590,[1]Sheet1!$K$9:$K$2584,[1]Sheet1!$L$9:$L$2584,"N/A",0)</f>
        <v>133.55</v>
      </c>
      <c r="N590">
        <f>_xlfn.XLOOKUP($A590,[1]Sheet1!$N$9:$N$2584,[1]Sheet1!$O$9:$O$2584,"N/A",0)</f>
        <v>93.95</v>
      </c>
      <c r="O590">
        <v>98.95</v>
      </c>
      <c r="P590">
        <v>137.16</v>
      </c>
      <c r="Q590">
        <v>92.63</v>
      </c>
      <c r="R590">
        <v>93.95</v>
      </c>
      <c r="S590">
        <v>133.55</v>
      </c>
    </row>
    <row r="591" spans="1:19">
      <c r="A591" s="1">
        <v>43224</v>
      </c>
      <c r="B591" t="s">
        <v>335</v>
      </c>
      <c r="C591" t="s">
        <v>337</v>
      </c>
      <c r="D591">
        <v>15.875</v>
      </c>
      <c r="E591">
        <v>16.375</v>
      </c>
      <c r="F591" s="2" t="s">
        <v>341</v>
      </c>
      <c r="G591">
        <f ca="1" t="shared" si="27"/>
        <v>0.0860589299979987</v>
      </c>
      <c r="H591" t="str">
        <f ca="1" t="shared" si="28"/>
        <v>Risk-On</v>
      </c>
      <c r="I591">
        <f ca="1" t="shared" si="29"/>
        <v>1</v>
      </c>
      <c r="J591">
        <f>_xlfn.XLOOKUP($A591,[1]Sheet1!$B$9:$B$2584,[1]Sheet1!$C$9:$C$2584,"N/A",0)</f>
        <v>99.04</v>
      </c>
      <c r="K591">
        <f>_xlfn.XLOOKUP($A591,[1]Sheet1!$E$9:$E$2584,[1]Sheet1!$F$9:$F$2584,"N/A",0)</f>
        <v>136.37</v>
      </c>
      <c r="L591">
        <f>_xlfn.XLOOKUP($A591,[1]Sheet1!$H$9:$H$2584,[1]Sheet1!$I$9:$I$2584,"N/A",0)</f>
        <v>92.57</v>
      </c>
      <c r="M591">
        <f>_xlfn.XLOOKUP($A591,[1]Sheet1!$K$9:$K$2584,[1]Sheet1!$L$9:$L$2584,"N/A",0)</f>
        <v>133.24</v>
      </c>
      <c r="N591">
        <f>_xlfn.XLOOKUP($A591,[1]Sheet1!$N$9:$N$2584,[1]Sheet1!$O$9:$O$2584,"N/A",0)</f>
        <v>93.8</v>
      </c>
      <c r="O591">
        <v>99.04</v>
      </c>
      <c r="P591">
        <v>136.37</v>
      </c>
      <c r="Q591">
        <v>92.57</v>
      </c>
      <c r="R591">
        <v>93.8</v>
      </c>
      <c r="S591">
        <v>133.24</v>
      </c>
    </row>
    <row r="592" spans="1:19">
      <c r="A592" s="1">
        <v>43227</v>
      </c>
      <c r="B592" t="s">
        <v>335</v>
      </c>
      <c r="C592" t="s">
        <v>337</v>
      </c>
      <c r="D592">
        <v>15.725</v>
      </c>
      <c r="E592">
        <v>16.325</v>
      </c>
      <c r="F592">
        <v>0.0381558028616851</v>
      </c>
      <c r="G592">
        <f ca="1" t="shared" si="27"/>
        <v>0.182699348801339</v>
      </c>
      <c r="H592" t="str">
        <f ca="1" t="shared" si="28"/>
        <v>Risk-On</v>
      </c>
      <c r="I592">
        <f ca="1" t="shared" si="29"/>
        <v>1</v>
      </c>
      <c r="J592">
        <f>_xlfn.XLOOKUP($A592,[1]Sheet1!$B$9:$B$2584,[1]Sheet1!$C$9:$C$2584,"N/A",0)</f>
        <v>99.38</v>
      </c>
      <c r="K592">
        <f>_xlfn.XLOOKUP($A592,[1]Sheet1!$E$9:$E$2584,[1]Sheet1!$F$9:$F$2584,"N/A",0)</f>
        <v>137.04</v>
      </c>
      <c r="L592">
        <f>_xlfn.XLOOKUP($A592,[1]Sheet1!$H$9:$H$2584,[1]Sheet1!$I$9:$I$2584,"N/A",0)</f>
        <v>92.07</v>
      </c>
      <c r="M592">
        <f>_xlfn.XLOOKUP($A592,[1]Sheet1!$K$9:$K$2584,[1]Sheet1!$L$9:$L$2584,"N/A",0)</f>
        <v>132.85</v>
      </c>
      <c r="N592">
        <f>_xlfn.XLOOKUP($A592,[1]Sheet1!$N$9:$N$2584,[1]Sheet1!$O$9:$O$2584,"N/A",0)</f>
        <v>93.34</v>
      </c>
      <c r="O592">
        <v>99.38</v>
      </c>
      <c r="P592">
        <v>137.04</v>
      </c>
      <c r="Q592">
        <v>92.07</v>
      </c>
      <c r="R592">
        <v>93.34</v>
      </c>
      <c r="S592">
        <v>132.85</v>
      </c>
    </row>
    <row r="593" spans="1:19">
      <c r="A593" s="1">
        <v>43228</v>
      </c>
      <c r="B593" t="s">
        <v>335</v>
      </c>
      <c r="C593" t="s">
        <v>337</v>
      </c>
      <c r="D593">
        <v>15.775</v>
      </c>
      <c r="E593">
        <v>16.225</v>
      </c>
      <c r="F593" s="2" t="s">
        <v>332</v>
      </c>
      <c r="G593">
        <f ca="1" t="shared" si="27"/>
        <v>0.0539976273019449</v>
      </c>
      <c r="H593" t="str">
        <f ca="1" t="shared" si="28"/>
        <v>Risk-On</v>
      </c>
      <c r="I593">
        <f ca="1" t="shared" si="29"/>
        <v>1</v>
      </c>
      <c r="J593">
        <f>_xlfn.XLOOKUP($A593,[1]Sheet1!$B$9:$B$2584,[1]Sheet1!$C$9:$C$2584,"N/A",0)</f>
        <v>99.89</v>
      </c>
      <c r="K593">
        <f>_xlfn.XLOOKUP($A593,[1]Sheet1!$E$9:$E$2584,[1]Sheet1!$F$9:$F$2584,"N/A",0)</f>
        <v>138.31</v>
      </c>
      <c r="L593">
        <f>_xlfn.XLOOKUP($A593,[1]Sheet1!$H$9:$H$2584,[1]Sheet1!$I$9:$I$2584,"N/A",0)</f>
        <v>92.12</v>
      </c>
      <c r="M593">
        <f>_xlfn.XLOOKUP($A593,[1]Sheet1!$K$9:$K$2584,[1]Sheet1!$L$9:$L$2584,"N/A",0)</f>
        <v>133.13</v>
      </c>
      <c r="N593">
        <f>_xlfn.XLOOKUP($A593,[1]Sheet1!$N$9:$N$2584,[1]Sheet1!$O$9:$O$2584,"N/A",0)</f>
        <v>92.88</v>
      </c>
      <c r="O593">
        <v>99.89</v>
      </c>
      <c r="P593">
        <v>138.31</v>
      </c>
      <c r="Q593">
        <v>92.12</v>
      </c>
      <c r="R593">
        <v>92.88</v>
      </c>
      <c r="S593">
        <v>133.13</v>
      </c>
    </row>
    <row r="594" spans="1:19">
      <c r="A594" s="1">
        <v>43229</v>
      </c>
      <c r="B594" t="s">
        <v>335</v>
      </c>
      <c r="C594" t="s">
        <v>337</v>
      </c>
      <c r="D594">
        <v>14.825</v>
      </c>
      <c r="E594">
        <v>15.625</v>
      </c>
      <c r="F594" s="2" t="s">
        <v>342</v>
      </c>
      <c r="G594">
        <f ca="1" t="shared" si="27"/>
        <v>0.410368507393504</v>
      </c>
      <c r="H594" t="str">
        <f ca="1" t="shared" si="28"/>
        <v>Risk-Off</v>
      </c>
      <c r="I594">
        <f ca="1" t="shared" si="29"/>
        <v>1</v>
      </c>
      <c r="J594">
        <f>_xlfn.XLOOKUP($A594,[1]Sheet1!$B$9:$B$2584,[1]Sheet1!$C$9:$C$2584,"N/A",0)</f>
        <v>99.91</v>
      </c>
      <c r="K594">
        <f>_xlfn.XLOOKUP($A594,[1]Sheet1!$E$9:$E$2584,[1]Sheet1!$F$9:$F$2584,"N/A",0)</f>
        <v>139.13</v>
      </c>
      <c r="L594">
        <f>_xlfn.XLOOKUP($A594,[1]Sheet1!$H$9:$H$2584,[1]Sheet1!$I$9:$I$2584,"N/A",0)</f>
        <v>92.08</v>
      </c>
      <c r="M594">
        <f>_xlfn.XLOOKUP($A594,[1]Sheet1!$K$9:$K$2584,[1]Sheet1!$L$9:$L$2584,"N/A",0)</f>
        <v>133.32</v>
      </c>
      <c r="N594">
        <f>_xlfn.XLOOKUP($A594,[1]Sheet1!$N$9:$N$2584,[1]Sheet1!$O$9:$O$2584,"N/A",0)</f>
        <v>93.14</v>
      </c>
      <c r="O594">
        <v>99.91</v>
      </c>
      <c r="P594">
        <v>139.13</v>
      </c>
      <c r="Q594">
        <v>92.08</v>
      </c>
      <c r="R594">
        <v>93.14</v>
      </c>
      <c r="S594">
        <v>133.32</v>
      </c>
    </row>
    <row r="595" spans="1:19">
      <c r="A595" s="1">
        <v>43230</v>
      </c>
      <c r="B595" t="s">
        <v>335</v>
      </c>
      <c r="C595" t="s">
        <v>337</v>
      </c>
      <c r="D595">
        <v>14.175</v>
      </c>
      <c r="E595">
        <v>15.075</v>
      </c>
      <c r="F595">
        <v>0.0634920634920633</v>
      </c>
      <c r="G595">
        <f ca="1" t="shared" si="27"/>
        <v>0.5477002536289</v>
      </c>
      <c r="H595" t="str">
        <f ca="1" t="shared" si="28"/>
        <v>Risk-Off</v>
      </c>
      <c r="I595">
        <f ca="1" t="shared" si="29"/>
        <v>1</v>
      </c>
      <c r="J595">
        <f>_xlfn.XLOOKUP($A595,[1]Sheet1!$B$9:$B$2584,[1]Sheet1!$C$9:$C$2584,"N/A",0)</f>
        <v>99.56</v>
      </c>
      <c r="K595">
        <f>_xlfn.XLOOKUP($A595,[1]Sheet1!$E$9:$E$2584,[1]Sheet1!$F$9:$F$2584,"N/A",0)</f>
        <v>138.87</v>
      </c>
      <c r="L595">
        <f>_xlfn.XLOOKUP($A595,[1]Sheet1!$H$9:$H$2584,[1]Sheet1!$I$9:$I$2584,"N/A",0)</f>
        <v>92.45</v>
      </c>
      <c r="M595">
        <f>_xlfn.XLOOKUP($A595,[1]Sheet1!$K$9:$K$2584,[1]Sheet1!$L$9:$L$2584,"N/A",0)</f>
        <v>133.33</v>
      </c>
      <c r="N595">
        <f>_xlfn.XLOOKUP($A595,[1]Sheet1!$N$9:$N$2584,[1]Sheet1!$O$9:$O$2584,"N/A",0)</f>
        <v>93.63</v>
      </c>
      <c r="O595">
        <v>99.56</v>
      </c>
      <c r="P595">
        <v>138.87</v>
      </c>
      <c r="Q595">
        <v>92.45</v>
      </c>
      <c r="R595">
        <v>93.63</v>
      </c>
      <c r="S595">
        <v>133.33</v>
      </c>
    </row>
    <row r="596" spans="1:19">
      <c r="A596" s="1">
        <v>43231</v>
      </c>
      <c r="B596" t="s">
        <v>335</v>
      </c>
      <c r="C596" t="s">
        <v>337</v>
      </c>
      <c r="D596">
        <v>13.675</v>
      </c>
      <c r="E596">
        <v>14.7</v>
      </c>
      <c r="F596">
        <v>0.0749542961608774</v>
      </c>
      <c r="G596">
        <f ca="1" t="shared" si="27"/>
        <v>0.708038358797388</v>
      </c>
      <c r="H596" t="str">
        <f ca="1" t="shared" si="28"/>
        <v>Risk-Off</v>
      </c>
      <c r="I596">
        <f ca="1" t="shared" si="29"/>
        <v>1</v>
      </c>
      <c r="J596">
        <f>_xlfn.XLOOKUP($A596,[1]Sheet1!$B$9:$B$2584,[1]Sheet1!$C$9:$C$2584,"N/A",0)</f>
        <v>99.44</v>
      </c>
      <c r="K596">
        <f>_xlfn.XLOOKUP($A596,[1]Sheet1!$E$9:$E$2584,[1]Sheet1!$F$9:$F$2584,"N/A",0)</f>
        <v>139.29</v>
      </c>
      <c r="L596">
        <f>_xlfn.XLOOKUP($A596,[1]Sheet1!$H$9:$H$2584,[1]Sheet1!$I$9:$I$2584,"N/A",0)</f>
        <v>92.71</v>
      </c>
      <c r="M596">
        <f>_xlfn.XLOOKUP($A596,[1]Sheet1!$K$9:$K$2584,[1]Sheet1!$L$9:$L$2584,"N/A",0)</f>
        <v>133.82</v>
      </c>
      <c r="N596">
        <f>_xlfn.XLOOKUP($A596,[1]Sheet1!$N$9:$N$2584,[1]Sheet1!$O$9:$O$2584,"N/A",0)</f>
        <v>93.9</v>
      </c>
      <c r="O596">
        <v>99.44</v>
      </c>
      <c r="P596">
        <v>139.29</v>
      </c>
      <c r="Q596">
        <v>92.71</v>
      </c>
      <c r="R596">
        <v>93.9</v>
      </c>
      <c r="S596">
        <v>133.82</v>
      </c>
    </row>
    <row r="597" spans="1:19">
      <c r="A597" s="1">
        <v>43234</v>
      </c>
      <c r="B597" t="s">
        <v>335</v>
      </c>
      <c r="C597" t="s">
        <v>337</v>
      </c>
      <c r="D597">
        <v>13.375</v>
      </c>
      <c r="E597">
        <v>14.475</v>
      </c>
      <c r="F597">
        <v>0.0822429906542055</v>
      </c>
      <c r="G597">
        <f ca="1" t="shared" si="27"/>
        <v>0.804968497883131</v>
      </c>
      <c r="H597" t="str">
        <f ca="1" t="shared" si="28"/>
        <v>Risk-On</v>
      </c>
      <c r="I597">
        <f ca="1" t="shared" si="29"/>
        <v>1</v>
      </c>
      <c r="J597">
        <f>_xlfn.XLOOKUP($A597,[1]Sheet1!$B$9:$B$2584,[1]Sheet1!$C$9:$C$2584,"N/A",0)</f>
        <v>99.13</v>
      </c>
      <c r="K597">
        <f>_xlfn.XLOOKUP($A597,[1]Sheet1!$E$9:$E$2584,[1]Sheet1!$F$9:$F$2584,"N/A",0)</f>
        <v>138.53</v>
      </c>
      <c r="L597">
        <f>_xlfn.XLOOKUP($A597,[1]Sheet1!$H$9:$H$2584,[1]Sheet1!$I$9:$I$2584,"N/A",0)</f>
        <v>93.13</v>
      </c>
      <c r="M597">
        <f>_xlfn.XLOOKUP($A597,[1]Sheet1!$K$9:$K$2584,[1]Sheet1!$L$9:$L$2584,"N/A",0)</f>
        <v>133.88</v>
      </c>
      <c r="N597">
        <f>_xlfn.XLOOKUP($A597,[1]Sheet1!$N$9:$N$2584,[1]Sheet1!$O$9:$O$2584,"N/A",0)</f>
        <v>94.33</v>
      </c>
      <c r="O597">
        <v>99.13</v>
      </c>
      <c r="P597">
        <v>138.53</v>
      </c>
      <c r="Q597">
        <v>93.13</v>
      </c>
      <c r="R597">
        <v>94.33</v>
      </c>
      <c r="S597">
        <v>133.88</v>
      </c>
    </row>
    <row r="598" spans="1:19">
      <c r="A598" s="1">
        <v>43235</v>
      </c>
      <c r="B598" t="s">
        <v>335</v>
      </c>
      <c r="C598" t="s">
        <v>337</v>
      </c>
      <c r="D598">
        <v>14.875</v>
      </c>
      <c r="E598">
        <v>15.325</v>
      </c>
      <c r="F598" s="2" t="s">
        <v>343</v>
      </c>
      <c r="G598">
        <f ca="1" t="shared" si="27"/>
        <v>0.0822968174791562</v>
      </c>
      <c r="H598" t="str">
        <f ca="1" t="shared" si="28"/>
        <v>Risk-Off</v>
      </c>
      <c r="I598">
        <f ca="1" t="shared" si="29"/>
        <v>1</v>
      </c>
      <c r="J598">
        <f>_xlfn.XLOOKUP($A598,[1]Sheet1!$B$9:$B$2584,[1]Sheet1!$C$9:$C$2584,"N/A",0)</f>
        <v>98.69</v>
      </c>
      <c r="K598">
        <f>_xlfn.XLOOKUP($A598,[1]Sheet1!$E$9:$E$2584,[1]Sheet1!$F$9:$F$2584,"N/A",0)</f>
        <v>138.45</v>
      </c>
      <c r="L598">
        <f>_xlfn.XLOOKUP($A598,[1]Sheet1!$H$9:$H$2584,[1]Sheet1!$I$9:$I$2584,"N/A",0)</f>
        <v>93.19</v>
      </c>
      <c r="M598">
        <f>_xlfn.XLOOKUP($A598,[1]Sheet1!$K$9:$K$2584,[1]Sheet1!$L$9:$L$2584,"N/A",0)</f>
        <v>133.97</v>
      </c>
      <c r="N598">
        <f>_xlfn.XLOOKUP($A598,[1]Sheet1!$N$9:$N$2584,[1]Sheet1!$O$9:$O$2584,"N/A",0)</f>
        <v>93.88</v>
      </c>
      <c r="O598">
        <v>98.69</v>
      </c>
      <c r="P598">
        <v>138.45</v>
      </c>
      <c r="Q598">
        <v>93.19</v>
      </c>
      <c r="R598">
        <v>93.88</v>
      </c>
      <c r="S598">
        <v>133.97</v>
      </c>
    </row>
    <row r="599" spans="1:19">
      <c r="A599" s="1">
        <v>43236</v>
      </c>
      <c r="B599" t="s">
        <v>335</v>
      </c>
      <c r="C599" t="s">
        <v>337</v>
      </c>
      <c r="D599">
        <v>13.79</v>
      </c>
      <c r="E599">
        <v>14.675</v>
      </c>
      <c r="F599">
        <v>0.0641769398114577</v>
      </c>
      <c r="G599">
        <f ca="1" t="shared" si="27"/>
        <v>0.550915785900754</v>
      </c>
      <c r="H599" t="str">
        <f ca="1" t="shared" si="28"/>
        <v>Risk-Off</v>
      </c>
      <c r="I599">
        <f ca="1" t="shared" si="29"/>
        <v>1</v>
      </c>
      <c r="J599">
        <f>_xlfn.XLOOKUP($A599,[1]Sheet1!$B$9:$B$2584,[1]Sheet1!$C$9:$C$2584,"N/A",0)</f>
        <v>98.67</v>
      </c>
      <c r="K599">
        <f>_xlfn.XLOOKUP($A599,[1]Sheet1!$E$9:$E$2584,[1]Sheet1!$F$9:$F$2584,"N/A",0)</f>
        <v>137.74</v>
      </c>
      <c r="L599">
        <f>_xlfn.XLOOKUP($A599,[1]Sheet1!$H$9:$H$2584,[1]Sheet1!$I$9:$I$2584,"N/A",0)</f>
        <v>93.4</v>
      </c>
      <c r="M599">
        <f>_xlfn.XLOOKUP($A599,[1]Sheet1!$K$9:$K$2584,[1]Sheet1!$L$9:$L$2584,"N/A",0)</f>
        <v>134.15</v>
      </c>
      <c r="N599">
        <f>_xlfn.XLOOKUP($A599,[1]Sheet1!$N$9:$N$2584,[1]Sheet1!$O$9:$O$2584,"N/A",0)</f>
        <v>93.52</v>
      </c>
      <c r="O599">
        <v>98.67</v>
      </c>
      <c r="P599">
        <v>137.74</v>
      </c>
      <c r="Q599">
        <v>93.4</v>
      </c>
      <c r="R599">
        <v>93.52</v>
      </c>
      <c r="S599">
        <v>134.15</v>
      </c>
    </row>
    <row r="600" spans="1:19">
      <c r="A600" s="1">
        <v>43237</v>
      </c>
      <c r="B600" t="s">
        <v>337</v>
      </c>
      <c r="C600" t="s">
        <v>344</v>
      </c>
      <c r="D600">
        <v>14.375</v>
      </c>
      <c r="E600">
        <v>15.075</v>
      </c>
      <c r="F600" s="2" t="s">
        <v>345</v>
      </c>
      <c r="G600">
        <f ca="1" t="shared" si="27"/>
        <v>0.340136195816969</v>
      </c>
      <c r="H600" t="str">
        <f ca="1" t="shared" si="28"/>
        <v>Risk-On</v>
      </c>
      <c r="I600">
        <f ca="1" t="shared" si="29"/>
        <v>1</v>
      </c>
      <c r="J600">
        <f>_xlfn.XLOOKUP($A600,[1]Sheet1!$B$9:$B$2584,[1]Sheet1!$C$9:$C$2584,"N/A",0)</f>
        <v>98.61</v>
      </c>
      <c r="K600">
        <f>_xlfn.XLOOKUP($A600,[1]Sheet1!$E$9:$E$2584,[1]Sheet1!$F$9:$F$2584,"N/A",0)</f>
        <v>137.81</v>
      </c>
      <c r="L600">
        <f>_xlfn.XLOOKUP($A600,[1]Sheet1!$H$9:$H$2584,[1]Sheet1!$I$9:$I$2584,"N/A",0)</f>
        <v>93.57</v>
      </c>
      <c r="M600">
        <f>_xlfn.XLOOKUP($A600,[1]Sheet1!$K$9:$K$2584,[1]Sheet1!$L$9:$L$2584,"N/A",0)</f>
        <v>134.57</v>
      </c>
      <c r="N600">
        <f>_xlfn.XLOOKUP($A600,[1]Sheet1!$N$9:$N$2584,[1]Sheet1!$O$9:$O$2584,"N/A",0)</f>
        <v>92.88</v>
      </c>
      <c r="O600">
        <v>98.61</v>
      </c>
      <c r="P600">
        <v>137.81</v>
      </c>
      <c r="Q600">
        <v>93.57</v>
      </c>
      <c r="R600">
        <v>92.88</v>
      </c>
      <c r="S600">
        <v>134.57</v>
      </c>
    </row>
    <row r="601" spans="1:19">
      <c r="A601" s="1">
        <v>43238</v>
      </c>
      <c r="B601" t="s">
        <v>337</v>
      </c>
      <c r="C601" t="s">
        <v>344</v>
      </c>
      <c r="D601">
        <v>14.525</v>
      </c>
      <c r="E601">
        <v>15.325</v>
      </c>
      <c r="F601">
        <v>0.055077452667814</v>
      </c>
      <c r="G601">
        <f ca="1" t="shared" si="27"/>
        <v>0.435247402302136</v>
      </c>
      <c r="H601" t="str">
        <f ca="1" t="shared" si="28"/>
        <v>Risk-On</v>
      </c>
      <c r="I601">
        <f ca="1" t="shared" si="29"/>
        <v>1</v>
      </c>
      <c r="J601">
        <f>_xlfn.XLOOKUP($A601,[1]Sheet1!$B$9:$B$2584,[1]Sheet1!$C$9:$C$2584,"N/A",0)</f>
        <v>98.7</v>
      </c>
      <c r="K601">
        <f>_xlfn.XLOOKUP($A601,[1]Sheet1!$E$9:$E$2584,[1]Sheet1!$F$9:$F$2584,"N/A",0)</f>
        <v>139.15</v>
      </c>
      <c r="L601">
        <f>_xlfn.XLOOKUP($A601,[1]Sheet1!$H$9:$H$2584,[1]Sheet1!$I$9:$I$2584,"N/A",0)</f>
        <v>93.12</v>
      </c>
      <c r="M601">
        <f>_xlfn.XLOOKUP($A601,[1]Sheet1!$K$9:$K$2584,[1]Sheet1!$L$9:$L$2584,"N/A",0)</f>
        <v>134.54</v>
      </c>
      <c r="N601">
        <f>_xlfn.XLOOKUP($A601,[1]Sheet1!$N$9:$N$2584,[1]Sheet1!$O$9:$O$2584,"N/A",0)</f>
        <v>92.77</v>
      </c>
      <c r="O601">
        <v>98.7</v>
      </c>
      <c r="P601">
        <v>139.15</v>
      </c>
      <c r="Q601">
        <v>93.12</v>
      </c>
      <c r="R601">
        <v>92.77</v>
      </c>
      <c r="S601">
        <v>134.54</v>
      </c>
    </row>
    <row r="602" spans="1:19">
      <c r="A602" s="1">
        <v>43241</v>
      </c>
      <c r="B602" t="s">
        <v>337</v>
      </c>
      <c r="C602" t="s">
        <v>344</v>
      </c>
      <c r="D602">
        <v>14.075</v>
      </c>
      <c r="E602">
        <v>14.775</v>
      </c>
      <c r="F602" s="2" t="s">
        <v>346</v>
      </c>
      <c r="G602">
        <f ca="1" t="shared" si="27"/>
        <v>0.357838869821232</v>
      </c>
      <c r="H602" t="str">
        <f ca="1" t="shared" si="28"/>
        <v>Risk-On</v>
      </c>
      <c r="I602">
        <f ca="1" t="shared" si="29"/>
        <v>1</v>
      </c>
      <c r="J602">
        <f>_xlfn.XLOOKUP($A602,[1]Sheet1!$B$9:$B$2584,[1]Sheet1!$C$9:$C$2584,"N/A",0)</f>
        <v>98.62</v>
      </c>
      <c r="K602">
        <f>_xlfn.XLOOKUP($A602,[1]Sheet1!$E$9:$E$2584,[1]Sheet1!$F$9:$F$2584,"N/A",0)</f>
        <v>139.81</v>
      </c>
      <c r="L602">
        <f>_xlfn.XLOOKUP($A602,[1]Sheet1!$H$9:$H$2584,[1]Sheet1!$I$9:$I$2584,"N/A",0)</f>
        <v>93.47</v>
      </c>
      <c r="M602">
        <f>_xlfn.XLOOKUP($A602,[1]Sheet1!$K$9:$K$2584,[1]Sheet1!$L$9:$L$2584,"N/A",0)</f>
        <v>135.13</v>
      </c>
      <c r="N602">
        <f>_xlfn.XLOOKUP($A602,[1]Sheet1!$N$9:$N$2584,[1]Sheet1!$O$9:$O$2584,"N/A",0)</f>
        <v>92.66</v>
      </c>
      <c r="O602">
        <v>98.62</v>
      </c>
      <c r="P602">
        <v>139.81</v>
      </c>
      <c r="Q602">
        <v>93.47</v>
      </c>
      <c r="R602">
        <v>92.66</v>
      </c>
      <c r="S602">
        <v>135.13</v>
      </c>
    </row>
    <row r="603" spans="1:19">
      <c r="A603" s="1">
        <v>43242</v>
      </c>
      <c r="B603" t="s">
        <v>337</v>
      </c>
      <c r="C603" t="s">
        <v>344</v>
      </c>
      <c r="D603">
        <v>14.225</v>
      </c>
      <c r="E603">
        <v>14.975</v>
      </c>
      <c r="F603">
        <v>0.0527240773286467</v>
      </c>
      <c r="G603">
        <f ca="1" t="shared" si="27"/>
        <v>0.401479176401018</v>
      </c>
      <c r="H603" t="str">
        <f ca="1" t="shared" si="28"/>
        <v>Risk-On</v>
      </c>
      <c r="I603">
        <f ca="1" t="shared" si="29"/>
        <v>1</v>
      </c>
      <c r="J603">
        <f>_xlfn.XLOOKUP($A603,[1]Sheet1!$B$9:$B$2584,[1]Sheet1!$C$9:$C$2584,"N/A",0)</f>
        <v>98.49</v>
      </c>
      <c r="K603">
        <f>_xlfn.XLOOKUP($A603,[1]Sheet1!$E$9:$E$2584,[1]Sheet1!$F$9:$F$2584,"N/A",0)</f>
        <v>138.83</v>
      </c>
      <c r="L603">
        <f>_xlfn.XLOOKUP($A603,[1]Sheet1!$H$9:$H$2584,[1]Sheet1!$I$9:$I$2584,"N/A",0)</f>
        <v>93.75</v>
      </c>
      <c r="M603">
        <f>_xlfn.XLOOKUP($A603,[1]Sheet1!$K$9:$K$2584,[1]Sheet1!$L$9:$L$2584,"N/A",0)</f>
        <v>135.28</v>
      </c>
      <c r="N603">
        <f>_xlfn.XLOOKUP($A603,[1]Sheet1!$N$9:$N$2584,[1]Sheet1!$O$9:$O$2584,"N/A",0)</f>
        <v>93.12</v>
      </c>
      <c r="O603">
        <v>98.49</v>
      </c>
      <c r="P603">
        <v>138.83</v>
      </c>
      <c r="Q603">
        <v>93.75</v>
      </c>
      <c r="R603">
        <v>93.12</v>
      </c>
      <c r="S603">
        <v>135.28</v>
      </c>
    </row>
    <row r="604" spans="1:19">
      <c r="A604" s="1">
        <v>43243</v>
      </c>
      <c r="B604" t="s">
        <v>337</v>
      </c>
      <c r="C604" t="s">
        <v>344</v>
      </c>
      <c r="D604">
        <v>13.875</v>
      </c>
      <c r="E604">
        <v>14.725</v>
      </c>
      <c r="F604">
        <v>0.0612612612612612</v>
      </c>
      <c r="G604">
        <f ca="1" t="shared" si="27"/>
        <v>0.522327147806745</v>
      </c>
      <c r="H604" t="str">
        <f ca="1" t="shared" si="28"/>
        <v>Risk-On</v>
      </c>
      <c r="I604">
        <f ca="1" t="shared" si="29"/>
        <v>1</v>
      </c>
      <c r="J604">
        <f>_xlfn.XLOOKUP($A604,[1]Sheet1!$B$9:$B$2584,[1]Sheet1!$C$9:$C$2584,"N/A",0)</f>
        <v>98.94</v>
      </c>
      <c r="K604">
        <f>_xlfn.XLOOKUP($A604,[1]Sheet1!$E$9:$E$2584,[1]Sheet1!$F$9:$F$2584,"N/A",0)</f>
        <v>140.38</v>
      </c>
      <c r="L604">
        <f>_xlfn.XLOOKUP($A604,[1]Sheet1!$H$9:$H$2584,[1]Sheet1!$I$9:$I$2584,"N/A",0)</f>
        <v>93.35</v>
      </c>
      <c r="M604">
        <f>_xlfn.XLOOKUP($A604,[1]Sheet1!$K$9:$K$2584,[1]Sheet1!$L$9:$L$2584,"N/A",0)</f>
        <v>136.14</v>
      </c>
      <c r="N604">
        <f>_xlfn.XLOOKUP($A604,[1]Sheet1!$N$9:$N$2584,[1]Sheet1!$O$9:$O$2584,"N/A",0)</f>
        <v>93.33</v>
      </c>
      <c r="O604">
        <v>98.94</v>
      </c>
      <c r="P604">
        <v>140.38</v>
      </c>
      <c r="Q604">
        <v>93.35</v>
      </c>
      <c r="R604">
        <v>93.33</v>
      </c>
      <c r="S604">
        <v>136.14</v>
      </c>
    </row>
    <row r="605" spans="1:19">
      <c r="A605" s="1">
        <v>43244</v>
      </c>
      <c r="B605" t="s">
        <v>337</v>
      </c>
      <c r="C605" t="s">
        <v>344</v>
      </c>
      <c r="D605">
        <v>13.825</v>
      </c>
      <c r="E605">
        <v>14.6</v>
      </c>
      <c r="F605">
        <v>0.0560578661844484</v>
      </c>
      <c r="G605">
        <f ca="1" t="shared" si="27"/>
        <v>0.452922379923379</v>
      </c>
      <c r="H605" t="str">
        <f ca="1" t="shared" si="28"/>
        <v>Risk-On</v>
      </c>
      <c r="I605">
        <f ca="1" t="shared" si="29"/>
        <v>1</v>
      </c>
      <c r="J605">
        <f>_xlfn.XLOOKUP($A605,[1]Sheet1!$B$9:$B$2584,[1]Sheet1!$C$9:$C$2584,"N/A",0)</f>
        <v>99.06</v>
      </c>
      <c r="K605">
        <f>_xlfn.XLOOKUP($A605,[1]Sheet1!$E$9:$E$2584,[1]Sheet1!$F$9:$F$2584,"N/A",0)</f>
        <v>141.15</v>
      </c>
      <c r="L605">
        <f>_xlfn.XLOOKUP($A605,[1]Sheet1!$H$9:$H$2584,[1]Sheet1!$I$9:$I$2584,"N/A",0)</f>
        <v>93.68</v>
      </c>
      <c r="M605">
        <f>_xlfn.XLOOKUP($A605,[1]Sheet1!$K$9:$K$2584,[1]Sheet1!$L$9:$L$2584,"N/A",0)</f>
        <v>136.52</v>
      </c>
      <c r="N605">
        <f>_xlfn.XLOOKUP($A605,[1]Sheet1!$N$9:$N$2584,[1]Sheet1!$O$9:$O$2584,"N/A",0)</f>
        <v>93.14</v>
      </c>
      <c r="O605">
        <v>99.06</v>
      </c>
      <c r="P605">
        <v>141.15</v>
      </c>
      <c r="Q605">
        <v>93.68</v>
      </c>
      <c r="R605">
        <v>93.14</v>
      </c>
      <c r="S605">
        <v>136.52</v>
      </c>
    </row>
    <row r="606" spans="1:19">
      <c r="A606" s="1">
        <v>43245</v>
      </c>
      <c r="B606" t="s">
        <v>337</v>
      </c>
      <c r="C606" t="s">
        <v>344</v>
      </c>
      <c r="D606">
        <v>14.125</v>
      </c>
      <c r="E606">
        <v>14.825</v>
      </c>
      <c r="F606" s="2" t="s">
        <v>347</v>
      </c>
      <c r="G606">
        <f ca="1" t="shared" si="27"/>
        <v>0.36626760871332</v>
      </c>
      <c r="H606" t="str">
        <f ca="1" t="shared" si="28"/>
        <v>Risk-On</v>
      </c>
      <c r="I606">
        <f ca="1" t="shared" si="29"/>
        <v>1</v>
      </c>
      <c r="J606">
        <f>_xlfn.XLOOKUP($A606,[1]Sheet1!$B$9:$B$2584,[1]Sheet1!$C$9:$C$2584,"N/A",0)</f>
        <v>99.37</v>
      </c>
      <c r="K606">
        <f>_xlfn.XLOOKUP($A606,[1]Sheet1!$E$9:$E$2584,[1]Sheet1!$F$9:$F$2584,"N/A",0)</f>
        <v>140.39</v>
      </c>
      <c r="L606">
        <f>_xlfn.XLOOKUP($A606,[1]Sheet1!$H$9:$H$2584,[1]Sheet1!$I$9:$I$2584,"N/A",0)</f>
        <v>93.27</v>
      </c>
      <c r="M606">
        <f>_xlfn.XLOOKUP($A606,[1]Sheet1!$K$9:$K$2584,[1]Sheet1!$L$9:$L$2584,"N/A",0)</f>
        <v>136.16</v>
      </c>
      <c r="N606">
        <f>_xlfn.XLOOKUP($A606,[1]Sheet1!$N$9:$N$2584,[1]Sheet1!$O$9:$O$2584,"N/A",0)</f>
        <v>93.13</v>
      </c>
      <c r="O606">
        <v>99.37</v>
      </c>
      <c r="P606">
        <v>140.39</v>
      </c>
      <c r="Q606">
        <v>93.27</v>
      </c>
      <c r="R606">
        <v>93.13</v>
      </c>
      <c r="S606">
        <v>136.16</v>
      </c>
    </row>
    <row r="607" spans="1:19">
      <c r="A607" s="1">
        <v>43249</v>
      </c>
      <c r="B607" t="s">
        <v>337</v>
      </c>
      <c r="C607" t="s">
        <v>344</v>
      </c>
      <c r="D607">
        <v>15.925</v>
      </c>
      <c r="E607">
        <v>16.125</v>
      </c>
      <c r="F607">
        <v>0.0125588697017268</v>
      </c>
      <c r="G607">
        <f ca="1" t="shared" si="27"/>
        <v>-0.140343336268611</v>
      </c>
      <c r="H607" t="str">
        <f ca="1" t="shared" si="28"/>
        <v>Risk-On</v>
      </c>
      <c r="I607">
        <f ca="1" t="shared" si="29"/>
        <v>1</v>
      </c>
      <c r="J607">
        <f>_xlfn.XLOOKUP($A607,[1]Sheet1!$B$9:$B$2584,[1]Sheet1!$C$9:$C$2584,"N/A",0)</f>
        <v>99.58</v>
      </c>
      <c r="K607">
        <f>_xlfn.XLOOKUP($A607,[1]Sheet1!$E$9:$E$2584,[1]Sheet1!$F$9:$F$2584,"N/A",0)</f>
        <v>140.81</v>
      </c>
      <c r="L607">
        <f>_xlfn.XLOOKUP($A607,[1]Sheet1!$H$9:$H$2584,[1]Sheet1!$I$9:$I$2584,"N/A",0)</f>
        <v>92.96</v>
      </c>
      <c r="M607">
        <f>_xlfn.XLOOKUP($A607,[1]Sheet1!$K$9:$K$2584,[1]Sheet1!$L$9:$L$2584,"N/A",0)</f>
        <v>136.58</v>
      </c>
      <c r="N607">
        <f>_xlfn.XLOOKUP($A607,[1]Sheet1!$N$9:$N$2584,[1]Sheet1!$O$9:$O$2584,"N/A",0)</f>
        <v>92.21</v>
      </c>
      <c r="O607">
        <v>99.58</v>
      </c>
      <c r="P607">
        <v>140.81</v>
      </c>
      <c r="Q607">
        <v>92.96</v>
      </c>
      <c r="R607">
        <v>92.21</v>
      </c>
      <c r="S607">
        <v>136.58</v>
      </c>
    </row>
    <row r="608" spans="1:19">
      <c r="A608" s="1">
        <v>43250</v>
      </c>
      <c r="B608" t="s">
        <v>337</v>
      </c>
      <c r="C608" t="s">
        <v>344</v>
      </c>
      <c r="D608">
        <v>15.175</v>
      </c>
      <c r="E608">
        <v>15.675</v>
      </c>
      <c r="F608" s="2" t="s">
        <v>348</v>
      </c>
      <c r="G608">
        <f ca="1" t="shared" si="27"/>
        <v>0.149036038760755</v>
      </c>
      <c r="H608" t="str">
        <f ca="1" t="shared" si="28"/>
        <v>Risk-On</v>
      </c>
      <c r="I608">
        <f ca="1" t="shared" si="29"/>
        <v>1</v>
      </c>
      <c r="J608">
        <f>_xlfn.XLOOKUP($A608,[1]Sheet1!$B$9:$B$2584,[1]Sheet1!$C$9:$C$2584,"N/A",0)</f>
        <v>99.72</v>
      </c>
      <c r="K608">
        <f>_xlfn.XLOOKUP($A608,[1]Sheet1!$E$9:$E$2584,[1]Sheet1!$F$9:$F$2584,"N/A",0)</f>
        <v>141.15</v>
      </c>
      <c r="L608">
        <f>_xlfn.XLOOKUP($A608,[1]Sheet1!$H$9:$H$2584,[1]Sheet1!$I$9:$I$2584,"N/A",0)</f>
        <v>93.08</v>
      </c>
      <c r="M608">
        <f>_xlfn.XLOOKUP($A608,[1]Sheet1!$K$9:$K$2584,[1]Sheet1!$L$9:$L$2584,"N/A",0)</f>
        <v>136.92</v>
      </c>
      <c r="N608">
        <f>_xlfn.XLOOKUP($A608,[1]Sheet1!$N$9:$N$2584,[1]Sheet1!$O$9:$O$2584,"N/A",0)</f>
        <v>92.13</v>
      </c>
      <c r="O608">
        <v>99.72</v>
      </c>
      <c r="P608">
        <v>141.15</v>
      </c>
      <c r="Q608">
        <v>93.08</v>
      </c>
      <c r="R608">
        <v>92.13</v>
      </c>
      <c r="S608">
        <v>136.92</v>
      </c>
    </row>
    <row r="609" spans="1:19">
      <c r="A609" s="1">
        <v>43251</v>
      </c>
      <c r="B609" t="s">
        <v>337</v>
      </c>
      <c r="C609" t="s">
        <v>344</v>
      </c>
      <c r="D609">
        <v>15.425</v>
      </c>
      <c r="E609">
        <v>15.875</v>
      </c>
      <c r="F609" s="2" t="s">
        <v>349</v>
      </c>
      <c r="G609">
        <f ca="1" t="shared" si="27"/>
        <v>0.101733841995754</v>
      </c>
      <c r="H609" t="str">
        <f ca="1" t="shared" si="28"/>
        <v>Risk-On</v>
      </c>
      <c r="I609">
        <f ca="1" t="shared" si="29"/>
        <v>1</v>
      </c>
      <c r="J609">
        <f>_xlfn.XLOOKUP($A609,[1]Sheet1!$B$9:$B$2584,[1]Sheet1!$C$9:$C$2584,"N/A",0)</f>
        <v>99.7</v>
      </c>
      <c r="K609">
        <f>_xlfn.XLOOKUP($A609,[1]Sheet1!$E$9:$E$2584,[1]Sheet1!$F$9:$F$2584,"N/A",0)</f>
        <v>141.38</v>
      </c>
      <c r="L609">
        <f>_xlfn.XLOOKUP($A609,[1]Sheet1!$H$9:$H$2584,[1]Sheet1!$I$9:$I$2584,"N/A",0)</f>
        <v>92.51</v>
      </c>
      <c r="M609">
        <f>_xlfn.XLOOKUP($A609,[1]Sheet1!$K$9:$K$2584,[1]Sheet1!$L$9:$L$2584,"N/A",0)</f>
        <v>136.33</v>
      </c>
      <c r="N609">
        <f>_xlfn.XLOOKUP($A609,[1]Sheet1!$N$9:$N$2584,[1]Sheet1!$O$9:$O$2584,"N/A",0)</f>
        <v>91.77</v>
      </c>
      <c r="O609">
        <v>99.7</v>
      </c>
      <c r="P609">
        <v>141.38</v>
      </c>
      <c r="Q609">
        <v>92.51</v>
      </c>
      <c r="R609">
        <v>91.77</v>
      </c>
      <c r="S609">
        <v>136.33</v>
      </c>
    </row>
    <row r="610" spans="1:19">
      <c r="A610" s="1">
        <v>43252</v>
      </c>
      <c r="B610" t="s">
        <v>337</v>
      </c>
      <c r="C610" t="s">
        <v>344</v>
      </c>
      <c r="D610">
        <v>14.425</v>
      </c>
      <c r="E610">
        <v>15.175</v>
      </c>
      <c r="F610">
        <v>0.0519930675909878</v>
      </c>
      <c r="G610">
        <f ca="1" t="shared" si="27"/>
        <v>0.421920149066204</v>
      </c>
      <c r="H610" t="str">
        <f ca="1" t="shared" si="28"/>
        <v>Risk-On</v>
      </c>
      <c r="I610">
        <f ca="1" t="shared" si="29"/>
        <v>1</v>
      </c>
      <c r="J610">
        <f>_xlfn.XLOOKUP($A610,[1]Sheet1!$B$9:$B$2584,[1]Sheet1!$C$9:$C$2584,"N/A",0)</f>
        <v>99.55</v>
      </c>
      <c r="K610">
        <f>_xlfn.XLOOKUP($A610,[1]Sheet1!$E$9:$E$2584,[1]Sheet1!$F$9:$F$2584,"N/A",0)</f>
        <v>142.29</v>
      </c>
      <c r="L610">
        <f>_xlfn.XLOOKUP($A610,[1]Sheet1!$H$9:$H$2584,[1]Sheet1!$I$9:$I$2584,"N/A",0)</f>
        <v>92.74</v>
      </c>
      <c r="M610">
        <f>_xlfn.XLOOKUP($A610,[1]Sheet1!$K$9:$K$2584,[1]Sheet1!$L$9:$L$2584,"N/A",0)</f>
        <v>136.72</v>
      </c>
      <c r="N610">
        <f>_xlfn.XLOOKUP($A610,[1]Sheet1!$N$9:$N$2584,[1]Sheet1!$O$9:$O$2584,"N/A",0)</f>
        <v>92.19</v>
      </c>
      <c r="O610">
        <v>99.55</v>
      </c>
      <c r="P610">
        <v>142.29</v>
      </c>
      <c r="Q610">
        <v>92.74</v>
      </c>
      <c r="R610">
        <v>92.19</v>
      </c>
      <c r="S610">
        <v>136.72</v>
      </c>
    </row>
    <row r="611" spans="1:19">
      <c r="A611" s="1">
        <v>43255</v>
      </c>
      <c r="B611" t="s">
        <v>337</v>
      </c>
      <c r="C611" t="s">
        <v>344</v>
      </c>
      <c r="D611">
        <v>13.925</v>
      </c>
      <c r="E611">
        <v>14.675</v>
      </c>
      <c r="F611">
        <v>0.0538599640933572</v>
      </c>
      <c r="G611">
        <f ca="1" t="shared" si="27"/>
        <v>0.449769585860109</v>
      </c>
      <c r="H611" t="str">
        <f ca="1" t="shared" si="28"/>
        <v>Risk-On</v>
      </c>
      <c r="I611">
        <f ca="1" t="shared" si="29"/>
        <v>1</v>
      </c>
      <c r="J611">
        <f>_xlfn.XLOOKUP($A611,[1]Sheet1!$B$9:$B$2584,[1]Sheet1!$C$9:$C$2584,"N/A",0)</f>
        <v>99.35</v>
      </c>
      <c r="K611">
        <f>_xlfn.XLOOKUP($A611,[1]Sheet1!$E$9:$E$2584,[1]Sheet1!$F$9:$F$2584,"N/A",0)</f>
        <v>143.05</v>
      </c>
      <c r="L611">
        <f>_xlfn.XLOOKUP($A611,[1]Sheet1!$H$9:$H$2584,[1]Sheet1!$I$9:$I$2584,"N/A",0)</f>
        <v>92.87</v>
      </c>
      <c r="M611">
        <f>_xlfn.XLOOKUP($A611,[1]Sheet1!$K$9:$K$2584,[1]Sheet1!$L$9:$L$2584,"N/A",0)</f>
        <v>137.74</v>
      </c>
      <c r="N611">
        <f>_xlfn.XLOOKUP($A611,[1]Sheet1!$N$9:$N$2584,[1]Sheet1!$O$9:$O$2584,"N/A",0)</f>
        <v>91.87</v>
      </c>
      <c r="O611">
        <v>99.35</v>
      </c>
      <c r="P611">
        <v>143.05</v>
      </c>
      <c r="Q611">
        <v>92.87</v>
      </c>
      <c r="R611">
        <v>91.87</v>
      </c>
      <c r="S611">
        <v>137.74</v>
      </c>
    </row>
    <row r="612" spans="1:19">
      <c r="A612" s="1">
        <v>43256</v>
      </c>
      <c r="B612" t="s">
        <v>337</v>
      </c>
      <c r="C612" t="s">
        <v>344</v>
      </c>
      <c r="D612">
        <v>13.625</v>
      </c>
      <c r="E612">
        <v>14.525</v>
      </c>
      <c r="F612">
        <v>0.0660550458715596</v>
      </c>
      <c r="G612">
        <f ca="1" t="shared" si="27"/>
        <v>0.621704794503469</v>
      </c>
      <c r="H612" t="str">
        <f ca="1" t="shared" si="28"/>
        <v>Risk-On</v>
      </c>
      <c r="I612">
        <f ca="1" t="shared" si="29"/>
        <v>1</v>
      </c>
      <c r="J612">
        <f>_xlfn.XLOOKUP($A612,[1]Sheet1!$B$9:$B$2584,[1]Sheet1!$C$9:$C$2584,"N/A",0)</f>
        <v>99.22</v>
      </c>
      <c r="K612">
        <f>_xlfn.XLOOKUP($A612,[1]Sheet1!$E$9:$E$2584,[1]Sheet1!$F$9:$F$2584,"N/A",0)</f>
        <v>143.11</v>
      </c>
      <c r="L612">
        <f>_xlfn.XLOOKUP($A612,[1]Sheet1!$H$9:$H$2584,[1]Sheet1!$I$9:$I$2584,"N/A",0)</f>
        <v>93.4</v>
      </c>
      <c r="M612">
        <f>_xlfn.XLOOKUP($A612,[1]Sheet1!$K$9:$K$2584,[1]Sheet1!$L$9:$L$2584,"N/A",0)</f>
        <v>138.02</v>
      </c>
      <c r="N612">
        <f>_xlfn.XLOOKUP($A612,[1]Sheet1!$N$9:$N$2584,[1]Sheet1!$O$9:$O$2584,"N/A",0)</f>
        <v>91.06</v>
      </c>
      <c r="O612">
        <v>99.22</v>
      </c>
      <c r="P612">
        <v>143.11</v>
      </c>
      <c r="Q612">
        <v>93.4</v>
      </c>
      <c r="R612">
        <v>91.06</v>
      </c>
      <c r="S612">
        <v>138.02</v>
      </c>
    </row>
    <row r="613" spans="1:19">
      <c r="A613" s="1">
        <v>43257</v>
      </c>
      <c r="B613" t="s">
        <v>337</v>
      </c>
      <c r="C613" t="s">
        <v>344</v>
      </c>
      <c r="D613">
        <v>13.075</v>
      </c>
      <c r="E613">
        <v>14.075</v>
      </c>
      <c r="F613">
        <v>0.0764818355640535</v>
      </c>
      <c r="G613">
        <f ca="1" t="shared" si="27"/>
        <v>0.767102158373305</v>
      </c>
      <c r="H613" t="str">
        <f ca="1" t="shared" si="28"/>
        <v>Risk-On</v>
      </c>
      <c r="I613">
        <f ca="1" t="shared" si="29"/>
        <v>1</v>
      </c>
      <c r="J613">
        <f>_xlfn.XLOOKUP($A613,[1]Sheet1!$B$9:$B$2584,[1]Sheet1!$C$9:$C$2584,"N/A",0)</f>
        <v>99.06</v>
      </c>
      <c r="K613">
        <f>_xlfn.XLOOKUP($A613,[1]Sheet1!$E$9:$E$2584,[1]Sheet1!$F$9:$F$2584,"N/A",0)</f>
        <v>142.56</v>
      </c>
      <c r="L613">
        <f>_xlfn.XLOOKUP($A613,[1]Sheet1!$H$9:$H$2584,[1]Sheet1!$I$9:$I$2584,"N/A",0)</f>
        <v>93.37</v>
      </c>
      <c r="M613">
        <f>_xlfn.XLOOKUP($A613,[1]Sheet1!$K$9:$K$2584,[1]Sheet1!$L$9:$L$2584,"N/A",0)</f>
        <v>137.03</v>
      </c>
      <c r="N613">
        <f>_xlfn.XLOOKUP($A613,[1]Sheet1!$N$9:$N$2584,[1]Sheet1!$O$9:$O$2584,"N/A",0)</f>
        <v>91.23</v>
      </c>
      <c r="O613">
        <v>99.06</v>
      </c>
      <c r="P613">
        <v>142.56</v>
      </c>
      <c r="Q613">
        <v>93.37</v>
      </c>
      <c r="R613">
        <v>91.23</v>
      </c>
      <c r="S613">
        <v>137.03</v>
      </c>
    </row>
    <row r="614" spans="1:19">
      <c r="A614" s="1">
        <v>43258</v>
      </c>
      <c r="B614" t="s">
        <v>337</v>
      </c>
      <c r="C614" t="s">
        <v>344</v>
      </c>
      <c r="D614">
        <v>13.175</v>
      </c>
      <c r="E614">
        <v>14.175</v>
      </c>
      <c r="F614">
        <v>0.0759013282732447</v>
      </c>
      <c r="G614">
        <f ca="1" t="shared" si="27"/>
        <v>0.758218639512903</v>
      </c>
      <c r="H614" t="str">
        <f ca="1" t="shared" si="28"/>
        <v>Risk-On</v>
      </c>
      <c r="I614">
        <f ca="1" t="shared" si="29"/>
        <v>1</v>
      </c>
      <c r="J614">
        <f>_xlfn.XLOOKUP($A614,[1]Sheet1!$B$9:$B$2584,[1]Sheet1!$C$9:$C$2584,"N/A",0)</f>
        <v>98.94</v>
      </c>
      <c r="K614">
        <f>_xlfn.XLOOKUP($A614,[1]Sheet1!$E$9:$E$2584,[1]Sheet1!$F$9:$F$2584,"N/A",0)</f>
        <v>141.28</v>
      </c>
      <c r="L614">
        <f>_xlfn.XLOOKUP($A614,[1]Sheet1!$H$9:$H$2584,[1]Sheet1!$I$9:$I$2584,"N/A",0)</f>
        <v>93.42</v>
      </c>
      <c r="M614">
        <f>_xlfn.XLOOKUP($A614,[1]Sheet1!$K$9:$K$2584,[1]Sheet1!$L$9:$L$2584,"N/A",0)</f>
        <v>137.15</v>
      </c>
      <c r="N614">
        <f>_xlfn.XLOOKUP($A614,[1]Sheet1!$N$9:$N$2584,[1]Sheet1!$O$9:$O$2584,"N/A",0)</f>
        <v>91.85</v>
      </c>
      <c r="O614">
        <v>98.94</v>
      </c>
      <c r="P614">
        <v>141.28</v>
      </c>
      <c r="Q614">
        <v>93.42</v>
      </c>
      <c r="R614">
        <v>91.85</v>
      </c>
      <c r="S614">
        <v>137.15</v>
      </c>
    </row>
    <row r="615" spans="1:19">
      <c r="A615" s="1">
        <v>43259</v>
      </c>
      <c r="B615" t="s">
        <v>337</v>
      </c>
      <c r="C615" t="s">
        <v>344</v>
      </c>
      <c r="D615">
        <v>13.325</v>
      </c>
      <c r="E615">
        <v>14.225</v>
      </c>
      <c r="F615">
        <v>0.0675422138836773</v>
      </c>
      <c r="G615">
        <f ca="1" t="shared" si="27"/>
        <v>0.641759172211423</v>
      </c>
      <c r="H615" t="str">
        <f ca="1" t="shared" si="28"/>
        <v>Risk-On</v>
      </c>
      <c r="I615">
        <f ca="1" t="shared" si="29"/>
        <v>1</v>
      </c>
      <c r="J615">
        <f>_xlfn.XLOOKUP($A615,[1]Sheet1!$B$9:$B$2584,[1]Sheet1!$C$9:$C$2584,"N/A",0)</f>
        <v>99.06</v>
      </c>
      <c r="K615">
        <f>_xlfn.XLOOKUP($A615,[1]Sheet1!$E$9:$E$2584,[1]Sheet1!$F$9:$F$2584,"N/A",0)</f>
        <v>141.6</v>
      </c>
      <c r="L615">
        <f>_xlfn.XLOOKUP($A615,[1]Sheet1!$H$9:$H$2584,[1]Sheet1!$I$9:$I$2584,"N/A",0)</f>
        <v>93.34</v>
      </c>
      <c r="M615">
        <f>_xlfn.XLOOKUP($A615,[1]Sheet1!$K$9:$K$2584,[1]Sheet1!$L$9:$L$2584,"N/A",0)</f>
        <v>137.32</v>
      </c>
      <c r="N615">
        <f>_xlfn.XLOOKUP($A615,[1]Sheet1!$N$9:$N$2584,[1]Sheet1!$O$9:$O$2584,"N/A",0)</f>
        <v>91.81</v>
      </c>
      <c r="O615">
        <v>99.06</v>
      </c>
      <c r="P615">
        <v>141.6</v>
      </c>
      <c r="Q615">
        <v>93.34</v>
      </c>
      <c r="R615">
        <v>91.81</v>
      </c>
      <c r="S615">
        <v>137.32</v>
      </c>
    </row>
    <row r="616" spans="1:19">
      <c r="A616" s="1">
        <v>43262</v>
      </c>
      <c r="B616" t="s">
        <v>337</v>
      </c>
      <c r="C616" t="s">
        <v>344</v>
      </c>
      <c r="D616">
        <v>12.875</v>
      </c>
      <c r="E616">
        <v>13.975</v>
      </c>
      <c r="F616">
        <v>0.0854368932038834</v>
      </c>
      <c r="G616">
        <f ca="1" t="shared" si="27"/>
        <v>0.891242412911737</v>
      </c>
      <c r="H616" t="str">
        <f ca="1" t="shared" si="28"/>
        <v>Risk-On</v>
      </c>
      <c r="I616">
        <f ca="1" t="shared" si="29"/>
        <v>1</v>
      </c>
      <c r="J616">
        <f>_xlfn.XLOOKUP($A616,[1]Sheet1!$B$9:$B$2584,[1]Sheet1!$C$9:$C$2584,"N/A",0)</f>
        <v>99.06</v>
      </c>
      <c r="K616">
        <f>_xlfn.XLOOKUP($A616,[1]Sheet1!$E$9:$E$2584,[1]Sheet1!$F$9:$F$2584,"N/A",0)</f>
        <v>140.56</v>
      </c>
      <c r="L616">
        <f>_xlfn.XLOOKUP($A616,[1]Sheet1!$H$9:$H$2584,[1]Sheet1!$I$9:$I$2584,"N/A",0)</f>
        <v>93.46</v>
      </c>
      <c r="M616">
        <f>_xlfn.XLOOKUP($A616,[1]Sheet1!$K$9:$K$2584,[1]Sheet1!$L$9:$L$2584,"N/A",0)</f>
        <v>136.92</v>
      </c>
      <c r="N616">
        <f>_xlfn.XLOOKUP($A616,[1]Sheet1!$N$9:$N$2584,[1]Sheet1!$O$9:$O$2584,"N/A",0)</f>
        <v>91.75</v>
      </c>
      <c r="O616">
        <v>99.06</v>
      </c>
      <c r="P616">
        <v>140.56</v>
      </c>
      <c r="Q616">
        <v>93.46</v>
      </c>
      <c r="R616">
        <v>91.75</v>
      </c>
      <c r="S616">
        <v>136.92</v>
      </c>
    </row>
    <row r="617" spans="1:19">
      <c r="A617" s="1">
        <v>43263</v>
      </c>
      <c r="B617" t="s">
        <v>337</v>
      </c>
      <c r="C617" t="s">
        <v>344</v>
      </c>
      <c r="D617">
        <v>12.775</v>
      </c>
      <c r="E617">
        <v>13.925</v>
      </c>
      <c r="F617">
        <v>0.0900195694716242</v>
      </c>
      <c r="G617">
        <f ca="1" t="shared" si="27"/>
        <v>0.952538774640237</v>
      </c>
      <c r="H617" t="str">
        <f ca="1" t="shared" si="28"/>
        <v>Risk-On</v>
      </c>
      <c r="I617">
        <f ca="1" t="shared" si="29"/>
        <v>1</v>
      </c>
      <c r="J617">
        <f>_xlfn.XLOOKUP($A617,[1]Sheet1!$B$9:$B$2584,[1]Sheet1!$C$9:$C$2584,"N/A",0)</f>
        <v>99.06</v>
      </c>
      <c r="K617">
        <f>_xlfn.XLOOKUP($A617,[1]Sheet1!$E$9:$E$2584,[1]Sheet1!$F$9:$F$2584,"N/A",0)</f>
        <v>140.59</v>
      </c>
      <c r="L617">
        <f>_xlfn.XLOOKUP($A617,[1]Sheet1!$H$9:$H$2584,[1]Sheet1!$I$9:$I$2584,"N/A",0)</f>
        <v>93</v>
      </c>
      <c r="M617">
        <f>_xlfn.XLOOKUP($A617,[1]Sheet1!$K$9:$K$2584,[1]Sheet1!$L$9:$L$2584,"N/A",0)</f>
        <v>136.64</v>
      </c>
      <c r="N617">
        <f>_xlfn.XLOOKUP($A617,[1]Sheet1!$N$9:$N$2584,[1]Sheet1!$O$9:$O$2584,"N/A",0)</f>
        <v>91.41</v>
      </c>
      <c r="O617">
        <v>99.06</v>
      </c>
      <c r="P617">
        <v>140.59</v>
      </c>
      <c r="Q617">
        <v>93</v>
      </c>
      <c r="R617">
        <v>91.41</v>
      </c>
      <c r="S617">
        <v>136.64</v>
      </c>
    </row>
    <row r="618" spans="1:19">
      <c r="A618" s="1">
        <v>43264</v>
      </c>
      <c r="B618" t="s">
        <v>337</v>
      </c>
      <c r="C618" t="s">
        <v>344</v>
      </c>
      <c r="D618">
        <v>13.225</v>
      </c>
      <c r="E618">
        <v>14.175</v>
      </c>
      <c r="F618">
        <v>0.0718336483931948</v>
      </c>
      <c r="G618">
        <f ca="1" t="shared" si="27"/>
        <v>0.697241280637678</v>
      </c>
      <c r="H618" t="str">
        <f ca="1" t="shared" si="28"/>
        <v>Risk-On</v>
      </c>
      <c r="I618">
        <f ca="1" t="shared" si="29"/>
        <v>1</v>
      </c>
      <c r="J618">
        <f>_xlfn.XLOOKUP($A618,[1]Sheet1!$B$9:$B$2584,[1]Sheet1!$C$9:$C$2584,"N/A",0)</f>
        <v>98.76</v>
      </c>
      <c r="K618">
        <f>_xlfn.XLOOKUP($A618,[1]Sheet1!$E$9:$E$2584,[1]Sheet1!$F$9:$F$2584,"N/A",0)</f>
        <v>140.39</v>
      </c>
      <c r="L618">
        <f>_xlfn.XLOOKUP($A618,[1]Sheet1!$H$9:$H$2584,[1]Sheet1!$I$9:$I$2584,"N/A",0)</f>
        <v>93.2</v>
      </c>
      <c r="M618">
        <f>_xlfn.XLOOKUP($A618,[1]Sheet1!$K$9:$K$2584,[1]Sheet1!$L$9:$L$2584,"N/A",0)</f>
        <v>136.07</v>
      </c>
      <c r="N618">
        <f>_xlfn.XLOOKUP($A618,[1]Sheet1!$N$9:$N$2584,[1]Sheet1!$O$9:$O$2584,"N/A",0)</f>
        <v>91.47</v>
      </c>
      <c r="O618">
        <v>98.76</v>
      </c>
      <c r="P618">
        <v>140.39</v>
      </c>
      <c r="Q618">
        <v>93.2</v>
      </c>
      <c r="R618">
        <v>91.47</v>
      </c>
      <c r="S618">
        <v>136.07</v>
      </c>
    </row>
    <row r="619" spans="1:19">
      <c r="A619" s="1">
        <v>43265</v>
      </c>
      <c r="B619" t="s">
        <v>337</v>
      </c>
      <c r="C619" t="s">
        <v>344</v>
      </c>
      <c r="D619">
        <v>12.675</v>
      </c>
      <c r="E619">
        <v>13.675</v>
      </c>
      <c r="F619">
        <v>0.0788954635108481</v>
      </c>
      <c r="G619">
        <f ca="1" t="shared" si="27"/>
        <v>0.795260638993098</v>
      </c>
      <c r="H619" t="str">
        <f ca="1" t="shared" si="28"/>
        <v>Risk-On</v>
      </c>
      <c r="I619">
        <f ca="1" t="shared" si="29"/>
        <v>1</v>
      </c>
      <c r="J619">
        <f>_xlfn.XLOOKUP($A619,[1]Sheet1!$B$9:$B$2584,[1]Sheet1!$C$9:$C$2584,"N/A",0)</f>
        <v>98.77</v>
      </c>
      <c r="K619">
        <f>_xlfn.XLOOKUP($A619,[1]Sheet1!$E$9:$E$2584,[1]Sheet1!$F$9:$F$2584,"N/A",0)</f>
        <v>139.97</v>
      </c>
      <c r="L619">
        <f>_xlfn.XLOOKUP($A619,[1]Sheet1!$H$9:$H$2584,[1]Sheet1!$I$9:$I$2584,"N/A",0)</f>
        <v>93</v>
      </c>
      <c r="M619">
        <f>_xlfn.XLOOKUP($A619,[1]Sheet1!$K$9:$K$2584,[1]Sheet1!$L$9:$L$2584,"N/A",0)</f>
        <v>135.45</v>
      </c>
      <c r="N619">
        <f>_xlfn.XLOOKUP($A619,[1]Sheet1!$N$9:$N$2584,[1]Sheet1!$O$9:$O$2584,"N/A",0)</f>
        <v>91.5</v>
      </c>
      <c r="O619">
        <v>98.77</v>
      </c>
      <c r="P619">
        <v>139.97</v>
      </c>
      <c r="Q619">
        <v>93</v>
      </c>
      <c r="R619">
        <v>91.5</v>
      </c>
      <c r="S619">
        <v>135.45</v>
      </c>
    </row>
    <row r="620" spans="1:19">
      <c r="A620" s="1">
        <v>43266</v>
      </c>
      <c r="B620" t="s">
        <v>337</v>
      </c>
      <c r="C620" t="s">
        <v>344</v>
      </c>
      <c r="D620">
        <v>12.575</v>
      </c>
      <c r="E620">
        <v>13.725</v>
      </c>
      <c r="F620">
        <v>0.0914512922465209</v>
      </c>
      <c r="G620">
        <f ca="1" t="shared" si="27"/>
        <v>0.967340641009592</v>
      </c>
      <c r="H620" t="str">
        <f ca="1" t="shared" si="28"/>
        <v>Risk-On</v>
      </c>
      <c r="I620">
        <f ca="1" t="shared" si="29"/>
        <v>1</v>
      </c>
      <c r="J620">
        <f>_xlfn.XLOOKUP($A620,[1]Sheet1!$B$9:$B$2584,[1]Sheet1!$C$9:$C$2584,"N/A",0)</f>
        <v>98.86</v>
      </c>
      <c r="K620">
        <f>_xlfn.XLOOKUP($A620,[1]Sheet1!$E$9:$E$2584,[1]Sheet1!$F$9:$F$2584,"N/A",0)</f>
        <v>139.51</v>
      </c>
      <c r="L620">
        <f>_xlfn.XLOOKUP($A620,[1]Sheet1!$H$9:$H$2584,[1]Sheet1!$I$9:$I$2584,"N/A",0)</f>
        <v>92.92</v>
      </c>
      <c r="M620">
        <f>_xlfn.XLOOKUP($A620,[1]Sheet1!$K$9:$K$2584,[1]Sheet1!$L$9:$L$2584,"N/A",0)</f>
        <v>136.17</v>
      </c>
      <c r="N620">
        <f>_xlfn.XLOOKUP($A620,[1]Sheet1!$N$9:$N$2584,[1]Sheet1!$O$9:$O$2584,"N/A",0)</f>
        <v>91.46</v>
      </c>
      <c r="O620">
        <v>98.86</v>
      </c>
      <c r="P620">
        <v>139.51</v>
      </c>
      <c r="Q620">
        <v>92.92</v>
      </c>
      <c r="R620">
        <v>91.46</v>
      </c>
      <c r="S620">
        <v>136.17</v>
      </c>
    </row>
    <row r="621" spans="1:19">
      <c r="A621" s="1">
        <v>43269</v>
      </c>
      <c r="B621" t="s">
        <v>337</v>
      </c>
      <c r="C621" t="s">
        <v>344</v>
      </c>
      <c r="D621">
        <v>12.675</v>
      </c>
      <c r="E621">
        <v>13.675</v>
      </c>
      <c r="F621">
        <v>0.0788954635108481</v>
      </c>
      <c r="G621">
        <f ca="1" t="shared" si="27"/>
        <v>0.791638614680909</v>
      </c>
      <c r="H621" t="str">
        <f ca="1" t="shared" si="28"/>
        <v>Risk-On</v>
      </c>
      <c r="I621">
        <f ca="1" t="shared" si="29"/>
        <v>1</v>
      </c>
      <c r="J621">
        <f>_xlfn.XLOOKUP($A621,[1]Sheet1!$B$9:$B$2584,[1]Sheet1!$C$9:$C$2584,"N/A",0)</f>
        <v>98.66</v>
      </c>
      <c r="K621">
        <f>_xlfn.XLOOKUP($A621,[1]Sheet1!$E$9:$E$2584,[1]Sheet1!$F$9:$F$2584,"N/A",0)</f>
        <v>140.03</v>
      </c>
      <c r="L621">
        <f>_xlfn.XLOOKUP($A621,[1]Sheet1!$H$9:$H$2584,[1]Sheet1!$I$9:$I$2584,"N/A",0)</f>
        <v>92.41</v>
      </c>
      <c r="M621">
        <f>_xlfn.XLOOKUP($A621,[1]Sheet1!$K$9:$K$2584,[1]Sheet1!$L$9:$L$2584,"N/A",0)</f>
        <v>136.3</v>
      </c>
      <c r="N621">
        <f>_xlfn.XLOOKUP($A621,[1]Sheet1!$N$9:$N$2584,[1]Sheet1!$O$9:$O$2584,"N/A",0)</f>
        <v>90.67</v>
      </c>
      <c r="O621">
        <v>98.66</v>
      </c>
      <c r="P621">
        <v>140.03</v>
      </c>
      <c r="Q621">
        <v>92.41</v>
      </c>
      <c r="R621">
        <v>90.67</v>
      </c>
      <c r="S621">
        <v>136.3</v>
      </c>
    </row>
    <row r="622" spans="1:19">
      <c r="A622" s="1">
        <v>43270</v>
      </c>
      <c r="B622" t="s">
        <v>337</v>
      </c>
      <c r="C622" t="s">
        <v>344</v>
      </c>
      <c r="D622">
        <v>13.575</v>
      </c>
      <c r="E622">
        <v>14.225</v>
      </c>
      <c r="F622" s="2" t="s">
        <v>350</v>
      </c>
      <c r="G622">
        <f ca="1" t="shared" si="27"/>
        <v>0.364788923549613</v>
      </c>
      <c r="H622" t="str">
        <f ca="1" t="shared" si="28"/>
        <v>Risk-On</v>
      </c>
      <c r="I622">
        <f ca="1" t="shared" si="29"/>
        <v>1</v>
      </c>
      <c r="J622">
        <f>_xlfn.XLOOKUP($A622,[1]Sheet1!$B$9:$B$2584,[1]Sheet1!$C$9:$C$2584,"N/A",0)</f>
        <v>98.83</v>
      </c>
      <c r="K622">
        <f>_xlfn.XLOOKUP($A622,[1]Sheet1!$E$9:$E$2584,[1]Sheet1!$F$9:$F$2584,"N/A",0)</f>
        <v>139.27</v>
      </c>
      <c r="L622">
        <f>_xlfn.XLOOKUP($A622,[1]Sheet1!$H$9:$H$2584,[1]Sheet1!$I$9:$I$2584,"N/A",0)</f>
        <v>92.44</v>
      </c>
      <c r="M622">
        <f>_xlfn.XLOOKUP($A622,[1]Sheet1!$K$9:$K$2584,[1]Sheet1!$L$9:$L$2584,"N/A",0)</f>
        <v>136.78</v>
      </c>
      <c r="N622">
        <f>_xlfn.XLOOKUP($A622,[1]Sheet1!$N$9:$N$2584,[1]Sheet1!$O$9:$O$2584,"N/A",0)</f>
        <v>90.18</v>
      </c>
      <c r="O622">
        <v>98.83</v>
      </c>
      <c r="P622">
        <v>139.27</v>
      </c>
      <c r="Q622">
        <v>92.44</v>
      </c>
      <c r="R622">
        <v>90.18</v>
      </c>
      <c r="S622">
        <v>136.78</v>
      </c>
    </row>
    <row r="623" spans="1:19">
      <c r="A623" s="1">
        <v>43271</v>
      </c>
      <c r="B623" t="s">
        <v>337</v>
      </c>
      <c r="C623" t="s">
        <v>344</v>
      </c>
      <c r="D623">
        <v>12.27</v>
      </c>
      <c r="E623">
        <v>13.925</v>
      </c>
      <c r="F623" s="2" t="s">
        <v>351</v>
      </c>
      <c r="G623">
        <f ca="1" t="shared" si="27"/>
        <v>1.56652339149077</v>
      </c>
      <c r="H623" t="str">
        <f ca="1" t="shared" si="28"/>
        <v>Risk-On</v>
      </c>
      <c r="I623">
        <f ca="1" t="shared" si="29"/>
        <v>1</v>
      </c>
      <c r="J623">
        <f>_xlfn.XLOOKUP($A623,[1]Sheet1!$B$9:$B$2584,[1]Sheet1!$C$9:$C$2584,"N/A",0)</f>
        <v>99.12</v>
      </c>
      <c r="K623">
        <f>_xlfn.XLOOKUP($A623,[1]Sheet1!$E$9:$E$2584,[1]Sheet1!$F$9:$F$2584,"N/A",0)</f>
        <v>138.91</v>
      </c>
      <c r="L623">
        <f>_xlfn.XLOOKUP($A623,[1]Sheet1!$H$9:$H$2584,[1]Sheet1!$I$9:$I$2584,"N/A",0)</f>
        <v>92</v>
      </c>
      <c r="M623">
        <f>_xlfn.XLOOKUP($A623,[1]Sheet1!$K$9:$K$2584,[1]Sheet1!$L$9:$L$2584,"N/A",0)</f>
        <v>136.8</v>
      </c>
      <c r="N623">
        <f>_xlfn.XLOOKUP($A623,[1]Sheet1!$N$9:$N$2584,[1]Sheet1!$O$9:$O$2584,"N/A",0)</f>
        <v>89.58</v>
      </c>
      <c r="O623">
        <v>99.12</v>
      </c>
      <c r="P623">
        <v>138.91</v>
      </c>
      <c r="Q623">
        <v>92</v>
      </c>
      <c r="R623">
        <v>89.58</v>
      </c>
      <c r="S623">
        <v>136.8</v>
      </c>
    </row>
    <row r="624" spans="1:19">
      <c r="A624" s="1">
        <v>43272</v>
      </c>
      <c r="B624" t="s">
        <v>344</v>
      </c>
      <c r="C624" t="s">
        <v>352</v>
      </c>
      <c r="D624">
        <v>14.875</v>
      </c>
      <c r="E624">
        <v>15.275</v>
      </c>
      <c r="F624">
        <v>0.026890756302521</v>
      </c>
      <c r="G624">
        <f ca="1" t="shared" si="27"/>
        <v>0.0810328898875866</v>
      </c>
      <c r="H624" t="str">
        <f ca="1" t="shared" si="28"/>
        <v>Risk-On</v>
      </c>
      <c r="I624">
        <f ca="1" t="shared" si="29"/>
        <v>1</v>
      </c>
      <c r="J624">
        <f>_xlfn.XLOOKUP($A624,[1]Sheet1!$B$9:$B$2584,[1]Sheet1!$C$9:$C$2584,"N/A",0)</f>
        <v>98.99</v>
      </c>
      <c r="K624">
        <f>_xlfn.XLOOKUP($A624,[1]Sheet1!$E$9:$E$2584,[1]Sheet1!$F$9:$F$2584,"N/A",0)</f>
        <v>139.11</v>
      </c>
      <c r="L624">
        <f>_xlfn.XLOOKUP($A624,[1]Sheet1!$H$9:$H$2584,[1]Sheet1!$I$9:$I$2584,"N/A",0)</f>
        <v>92.25</v>
      </c>
      <c r="M624">
        <f>_xlfn.XLOOKUP($A624,[1]Sheet1!$K$9:$K$2584,[1]Sheet1!$L$9:$L$2584,"N/A",0)</f>
        <v>137.38</v>
      </c>
      <c r="N624">
        <f>_xlfn.XLOOKUP($A624,[1]Sheet1!$N$9:$N$2584,[1]Sheet1!$O$9:$O$2584,"N/A",0)</f>
        <v>89.93</v>
      </c>
      <c r="O624">
        <v>98.99</v>
      </c>
      <c r="P624">
        <v>139.11</v>
      </c>
      <c r="Q624">
        <v>92.25</v>
      </c>
      <c r="R624">
        <v>89.93</v>
      </c>
      <c r="S624">
        <v>137.38</v>
      </c>
    </row>
    <row r="625" spans="1:19">
      <c r="A625" s="1">
        <v>43273</v>
      </c>
      <c r="B625" t="s">
        <v>344</v>
      </c>
      <c r="C625" t="s">
        <v>352</v>
      </c>
      <c r="D625">
        <v>14.425</v>
      </c>
      <c r="E625">
        <v>15.075</v>
      </c>
      <c r="F625">
        <v>0.045060658578856</v>
      </c>
      <c r="G625">
        <f ca="1" t="shared" si="27"/>
        <v>0.332425507224176</v>
      </c>
      <c r="H625" t="str">
        <f ca="1" t="shared" si="28"/>
        <v>Risk-On</v>
      </c>
      <c r="I625">
        <f ca="1" t="shared" si="29"/>
        <v>1</v>
      </c>
      <c r="J625">
        <f>_xlfn.XLOOKUP($A625,[1]Sheet1!$B$9:$B$2584,[1]Sheet1!$C$9:$C$2584,"N/A",0)</f>
        <v>98.76</v>
      </c>
      <c r="K625">
        <f>_xlfn.XLOOKUP($A625,[1]Sheet1!$E$9:$E$2584,[1]Sheet1!$F$9:$F$2584,"N/A",0)</f>
        <v>137.24</v>
      </c>
      <c r="L625">
        <f>_xlfn.XLOOKUP($A625,[1]Sheet1!$H$9:$H$2584,[1]Sheet1!$I$9:$I$2584,"N/A",0)</f>
        <v>91.81</v>
      </c>
      <c r="M625">
        <f>_xlfn.XLOOKUP($A625,[1]Sheet1!$K$9:$K$2584,[1]Sheet1!$L$9:$L$2584,"N/A",0)</f>
        <v>135.74</v>
      </c>
      <c r="N625">
        <f>_xlfn.XLOOKUP($A625,[1]Sheet1!$N$9:$N$2584,[1]Sheet1!$O$9:$O$2584,"N/A",0)</f>
        <v>90.15</v>
      </c>
      <c r="O625">
        <v>98.76</v>
      </c>
      <c r="P625">
        <v>137.24</v>
      </c>
      <c r="Q625">
        <v>91.81</v>
      </c>
      <c r="R625">
        <v>90.15</v>
      </c>
      <c r="S625">
        <v>135.74</v>
      </c>
    </row>
    <row r="626" spans="1:19">
      <c r="A626" s="1">
        <v>43276</v>
      </c>
      <c r="B626" t="s">
        <v>344</v>
      </c>
      <c r="C626" t="s">
        <v>352</v>
      </c>
      <c r="D626">
        <v>16.325</v>
      </c>
      <c r="E626">
        <v>16.275</v>
      </c>
      <c r="F626">
        <v>-0.00306278713629407</v>
      </c>
      <c r="G626">
        <f ca="1" t="shared" si="27"/>
        <v>-0.332698343852933</v>
      </c>
      <c r="H626" t="str">
        <f ca="1" t="shared" si="28"/>
        <v>Risk-On</v>
      </c>
      <c r="I626">
        <f ca="1" t="shared" si="29"/>
        <v>1</v>
      </c>
      <c r="J626">
        <f>_xlfn.XLOOKUP($A626,[1]Sheet1!$B$9:$B$2584,[1]Sheet1!$C$9:$C$2584,"N/A",0)</f>
        <v>98.58</v>
      </c>
      <c r="K626">
        <f>_xlfn.XLOOKUP($A626,[1]Sheet1!$E$9:$E$2584,[1]Sheet1!$F$9:$F$2584,"N/A",0)</f>
        <v>135.96</v>
      </c>
      <c r="L626">
        <f>_xlfn.XLOOKUP($A626,[1]Sheet1!$H$9:$H$2584,[1]Sheet1!$I$9:$I$2584,"N/A",0)</f>
        <v>91.78</v>
      </c>
      <c r="M626">
        <f>_xlfn.XLOOKUP($A626,[1]Sheet1!$K$9:$K$2584,[1]Sheet1!$L$9:$L$2584,"N/A",0)</f>
        <v>136.2</v>
      </c>
      <c r="N626">
        <f>_xlfn.XLOOKUP($A626,[1]Sheet1!$N$9:$N$2584,[1]Sheet1!$O$9:$O$2584,"N/A",0)</f>
        <v>90.5</v>
      </c>
      <c r="O626">
        <v>98.58</v>
      </c>
      <c r="P626">
        <v>135.96</v>
      </c>
      <c r="Q626">
        <v>91.78</v>
      </c>
      <c r="R626">
        <v>90.5</v>
      </c>
      <c r="S626">
        <v>136.2</v>
      </c>
    </row>
    <row r="627" spans="1:19">
      <c r="A627" s="1">
        <v>43277</v>
      </c>
      <c r="B627" t="s">
        <v>344</v>
      </c>
      <c r="C627" t="s">
        <v>352</v>
      </c>
      <c r="D627">
        <v>15.875</v>
      </c>
      <c r="E627">
        <v>16.125</v>
      </c>
      <c r="F627" s="2" t="s">
        <v>353</v>
      </c>
      <c r="G627">
        <f ca="1" t="shared" si="27"/>
        <v>-0.0655283246579445</v>
      </c>
      <c r="H627" t="str">
        <f ca="1" t="shared" si="28"/>
        <v>Risk-On</v>
      </c>
      <c r="I627">
        <f ca="1" t="shared" si="29"/>
        <v>1</v>
      </c>
      <c r="J627">
        <f>_xlfn.XLOOKUP($A627,[1]Sheet1!$B$9:$B$2584,[1]Sheet1!$C$9:$C$2584,"N/A",0)</f>
        <v>98.56</v>
      </c>
      <c r="K627">
        <f>_xlfn.XLOOKUP($A627,[1]Sheet1!$E$9:$E$2584,[1]Sheet1!$F$9:$F$2584,"N/A",0)</f>
        <v>136.48</v>
      </c>
      <c r="L627">
        <f>_xlfn.XLOOKUP($A627,[1]Sheet1!$H$9:$H$2584,[1]Sheet1!$I$9:$I$2584,"N/A",0)</f>
        <v>91.71</v>
      </c>
      <c r="M627">
        <f>_xlfn.XLOOKUP($A627,[1]Sheet1!$K$9:$K$2584,[1]Sheet1!$L$9:$L$2584,"N/A",0)</f>
        <v>135.81</v>
      </c>
      <c r="N627">
        <f>_xlfn.XLOOKUP($A627,[1]Sheet1!$N$9:$N$2584,[1]Sheet1!$O$9:$O$2584,"N/A",0)</f>
        <v>90.32</v>
      </c>
      <c r="O627">
        <v>98.56</v>
      </c>
      <c r="P627">
        <v>136.48</v>
      </c>
      <c r="Q627">
        <v>91.71</v>
      </c>
      <c r="R627">
        <v>90.32</v>
      </c>
      <c r="S627">
        <v>135.81</v>
      </c>
    </row>
    <row r="628" spans="1:19">
      <c r="A628" s="1">
        <v>43278</v>
      </c>
      <c r="B628" t="s">
        <v>344</v>
      </c>
      <c r="C628" t="s">
        <v>352</v>
      </c>
      <c r="D628">
        <v>16.925</v>
      </c>
      <c r="E628">
        <v>16.875</v>
      </c>
      <c r="F628">
        <v>-0.00295420974889221</v>
      </c>
      <c r="G628">
        <f ca="1" t="shared" si="27"/>
        <v>-0.319956733580265</v>
      </c>
      <c r="H628" t="str">
        <f ca="1" t="shared" si="28"/>
        <v>Risk-On</v>
      </c>
      <c r="I628">
        <f ca="1" t="shared" si="29"/>
        <v>1</v>
      </c>
      <c r="J628">
        <f>_xlfn.XLOOKUP($A628,[1]Sheet1!$B$9:$B$2584,[1]Sheet1!$C$9:$C$2584,"N/A",0)</f>
        <v>98.65</v>
      </c>
      <c r="K628">
        <f>_xlfn.XLOOKUP($A628,[1]Sheet1!$E$9:$E$2584,[1]Sheet1!$F$9:$F$2584,"N/A",0)</f>
        <v>136.12</v>
      </c>
      <c r="L628">
        <f>_xlfn.XLOOKUP($A628,[1]Sheet1!$H$9:$H$2584,[1]Sheet1!$I$9:$I$2584,"N/A",0)</f>
        <v>91.56</v>
      </c>
      <c r="M628">
        <f>_xlfn.XLOOKUP($A628,[1]Sheet1!$K$9:$K$2584,[1]Sheet1!$L$9:$L$2584,"N/A",0)</f>
        <v>135.76</v>
      </c>
      <c r="N628">
        <f>_xlfn.XLOOKUP($A628,[1]Sheet1!$N$9:$N$2584,[1]Sheet1!$O$9:$O$2584,"N/A",0)</f>
        <v>91.15</v>
      </c>
      <c r="O628">
        <v>98.65</v>
      </c>
      <c r="P628">
        <v>136.12</v>
      </c>
      <c r="Q628">
        <v>91.56</v>
      </c>
      <c r="R628">
        <v>91.15</v>
      </c>
      <c r="S628">
        <v>135.76</v>
      </c>
    </row>
    <row r="629" spans="1:19">
      <c r="A629" s="1">
        <v>43279</v>
      </c>
      <c r="B629" t="s">
        <v>344</v>
      </c>
      <c r="C629" t="s">
        <v>352</v>
      </c>
      <c r="D629">
        <v>16.525</v>
      </c>
      <c r="E629">
        <v>16.575</v>
      </c>
      <c r="F629">
        <v>0.00302571860816948</v>
      </c>
      <c r="G629">
        <f ca="1" t="shared" si="27"/>
        <v>-0.235674353966254</v>
      </c>
      <c r="H629" t="str">
        <f ca="1" t="shared" si="28"/>
        <v>Risk-On</v>
      </c>
      <c r="I629">
        <f ca="1" t="shared" si="29"/>
        <v>1</v>
      </c>
      <c r="J629">
        <f>_xlfn.XLOOKUP($A629,[1]Sheet1!$B$9:$B$2584,[1]Sheet1!$C$9:$C$2584,"N/A",0)</f>
        <v>98.47</v>
      </c>
      <c r="K629">
        <f>_xlfn.XLOOKUP($A629,[1]Sheet1!$E$9:$E$2584,[1]Sheet1!$F$9:$F$2584,"N/A",0)</f>
        <v>136.43</v>
      </c>
      <c r="L629">
        <f>_xlfn.XLOOKUP($A629,[1]Sheet1!$H$9:$H$2584,[1]Sheet1!$I$9:$I$2584,"N/A",0)</f>
        <v>91.08</v>
      </c>
      <c r="M629">
        <f>_xlfn.XLOOKUP($A629,[1]Sheet1!$K$9:$K$2584,[1]Sheet1!$L$9:$L$2584,"N/A",0)</f>
        <v>136.12</v>
      </c>
      <c r="N629">
        <f>_xlfn.XLOOKUP($A629,[1]Sheet1!$N$9:$N$2584,[1]Sheet1!$O$9:$O$2584,"N/A",0)</f>
        <v>91.35</v>
      </c>
      <c r="O629">
        <v>98.47</v>
      </c>
      <c r="P629">
        <v>136.43</v>
      </c>
      <c r="Q629">
        <v>91.08</v>
      </c>
      <c r="R629">
        <v>91.35</v>
      </c>
      <c r="S629">
        <v>136.12</v>
      </c>
    </row>
    <row r="630" spans="1:19">
      <c r="A630" s="1">
        <v>43280</v>
      </c>
      <c r="B630" t="s">
        <v>344</v>
      </c>
      <c r="C630" t="s">
        <v>352</v>
      </c>
      <c r="D630">
        <v>16.025</v>
      </c>
      <c r="E630">
        <v>16.375</v>
      </c>
      <c r="F630">
        <v>0.0218408736349454</v>
      </c>
      <c r="G630">
        <f ca="1" t="shared" si="27"/>
        <v>0.0320722187285288</v>
      </c>
      <c r="H630" t="str">
        <f ca="1" t="shared" si="28"/>
        <v>Risk-On</v>
      </c>
      <c r="I630">
        <f ca="1" t="shared" si="29"/>
        <v>1</v>
      </c>
      <c r="J630">
        <f>_xlfn.XLOOKUP($A630,[1]Sheet1!$B$9:$B$2584,[1]Sheet1!$C$9:$C$2584,"N/A",0)</f>
        <v>98.19</v>
      </c>
      <c r="K630">
        <f>_xlfn.XLOOKUP($A630,[1]Sheet1!$E$9:$E$2584,[1]Sheet1!$F$9:$F$2584,"N/A",0)</f>
        <v>136.3</v>
      </c>
      <c r="L630">
        <f>_xlfn.XLOOKUP($A630,[1]Sheet1!$H$9:$H$2584,[1]Sheet1!$I$9:$I$2584,"N/A",0)</f>
        <v>90.9</v>
      </c>
      <c r="M630">
        <f>_xlfn.XLOOKUP($A630,[1]Sheet1!$K$9:$K$2584,[1]Sheet1!$L$9:$L$2584,"N/A",0)</f>
        <v>135.71</v>
      </c>
      <c r="N630">
        <f>_xlfn.XLOOKUP($A630,[1]Sheet1!$N$9:$N$2584,[1]Sheet1!$O$9:$O$2584,"N/A",0)</f>
        <v>91.7</v>
      </c>
      <c r="O630">
        <v>98.19</v>
      </c>
      <c r="P630">
        <v>136.3</v>
      </c>
      <c r="Q630">
        <v>90.9</v>
      </c>
      <c r="R630">
        <v>91.7</v>
      </c>
      <c r="S630">
        <v>135.71</v>
      </c>
    </row>
    <row r="631" spans="1:19">
      <c r="A631" s="1">
        <v>43283</v>
      </c>
      <c r="B631" t="s">
        <v>344</v>
      </c>
      <c r="C631" t="s">
        <v>352</v>
      </c>
      <c r="D631">
        <v>16.025</v>
      </c>
      <c r="E631">
        <v>16.325</v>
      </c>
      <c r="F631" s="2" t="s">
        <v>354</v>
      </c>
      <c r="G631">
        <f ca="1" t="shared" si="27"/>
        <v>-0.0115858246422185</v>
      </c>
      <c r="H631" t="str">
        <f ca="1" t="shared" si="28"/>
        <v>Risk-On</v>
      </c>
      <c r="I631">
        <f ca="1" t="shared" si="29"/>
        <v>1</v>
      </c>
      <c r="J631">
        <f>_xlfn.XLOOKUP($A631,[1]Sheet1!$B$9:$B$2584,[1]Sheet1!$C$9:$C$2584,"N/A",0)</f>
        <v>98.53</v>
      </c>
      <c r="K631">
        <f>_xlfn.XLOOKUP($A631,[1]Sheet1!$E$9:$E$2584,[1]Sheet1!$F$9:$F$2584,"N/A",0)</f>
        <v>136.56</v>
      </c>
      <c r="L631">
        <f>_xlfn.XLOOKUP($A631,[1]Sheet1!$H$9:$H$2584,[1]Sheet1!$I$9:$I$2584,"N/A",0)</f>
        <v>90.79</v>
      </c>
      <c r="M631">
        <f>_xlfn.XLOOKUP($A631,[1]Sheet1!$K$9:$K$2584,[1]Sheet1!$L$9:$L$2584,"N/A",0)</f>
        <v>135.84</v>
      </c>
      <c r="N631">
        <f>_xlfn.XLOOKUP($A631,[1]Sheet1!$N$9:$N$2584,[1]Sheet1!$O$9:$O$2584,"N/A",0)</f>
        <v>91.22</v>
      </c>
      <c r="O631">
        <v>98.53</v>
      </c>
      <c r="P631">
        <v>136.56</v>
      </c>
      <c r="Q631">
        <v>90.79</v>
      </c>
      <c r="R631">
        <v>91.22</v>
      </c>
      <c r="S631">
        <v>135.84</v>
      </c>
    </row>
    <row r="632" spans="1:19">
      <c r="A632" s="1">
        <v>43284</v>
      </c>
      <c r="B632" t="s">
        <v>344</v>
      </c>
      <c r="C632" t="s">
        <v>352</v>
      </c>
      <c r="D632">
        <v>16.375</v>
      </c>
      <c r="E632">
        <v>16.725</v>
      </c>
      <c r="F632" s="2" t="s">
        <v>355</v>
      </c>
      <c r="G632">
        <f ca="1" t="shared" si="27"/>
        <v>0.0262233234437741</v>
      </c>
      <c r="H632" t="str">
        <f ca="1" t="shared" si="28"/>
        <v>Risk-On</v>
      </c>
      <c r="I632">
        <f ca="1" t="shared" si="29"/>
        <v>1</v>
      </c>
      <c r="J632">
        <f>_xlfn.XLOOKUP($A632,[1]Sheet1!$B$9:$B$2584,[1]Sheet1!$C$9:$C$2584,"N/A",0)</f>
        <v>98.45</v>
      </c>
      <c r="K632">
        <f>_xlfn.XLOOKUP($A632,[1]Sheet1!$E$9:$E$2584,[1]Sheet1!$F$9:$F$2584,"N/A",0)</f>
        <v>135.15</v>
      </c>
      <c r="L632">
        <f>_xlfn.XLOOKUP($A632,[1]Sheet1!$H$9:$H$2584,[1]Sheet1!$I$9:$I$2584,"N/A",0)</f>
        <v>91.05</v>
      </c>
      <c r="M632">
        <f>_xlfn.XLOOKUP($A632,[1]Sheet1!$K$9:$K$2584,[1]Sheet1!$L$9:$L$2584,"N/A",0)</f>
        <v>135.72</v>
      </c>
      <c r="N632">
        <f>_xlfn.XLOOKUP($A632,[1]Sheet1!$N$9:$N$2584,[1]Sheet1!$O$9:$O$2584,"N/A",0)</f>
        <v>90.65</v>
      </c>
      <c r="O632">
        <v>98.45</v>
      </c>
      <c r="P632">
        <v>135.15</v>
      </c>
      <c r="Q632">
        <v>91.05</v>
      </c>
      <c r="R632">
        <v>90.65</v>
      </c>
      <c r="S632">
        <v>135.72</v>
      </c>
    </row>
    <row r="633" spans="1:19">
      <c r="A633" s="1">
        <v>43286</v>
      </c>
      <c r="B633" t="s">
        <v>344</v>
      </c>
      <c r="C633" t="s">
        <v>352</v>
      </c>
      <c r="D633">
        <v>15.475</v>
      </c>
      <c r="E633">
        <v>16.075</v>
      </c>
      <c r="F633">
        <v>0.0387722132471728</v>
      </c>
      <c r="G633">
        <f ca="1" t="shared" si="27"/>
        <v>0.268199431836572</v>
      </c>
      <c r="H633" t="str">
        <f ca="1" t="shared" si="28"/>
        <v>Risk-On</v>
      </c>
      <c r="I633">
        <f ca="1" t="shared" si="29"/>
        <v>1</v>
      </c>
      <c r="J633">
        <f>_xlfn.XLOOKUP($A633,[1]Sheet1!$B$9:$B$2584,[1]Sheet1!$C$9:$C$2584,"N/A",0)</f>
        <v>98.42</v>
      </c>
      <c r="K633">
        <f>_xlfn.XLOOKUP($A633,[1]Sheet1!$E$9:$E$2584,[1]Sheet1!$F$9:$F$2584,"N/A",0)</f>
        <v>134.24</v>
      </c>
      <c r="L633">
        <f>_xlfn.XLOOKUP($A633,[1]Sheet1!$H$9:$H$2584,[1]Sheet1!$I$9:$I$2584,"N/A",0)</f>
        <v>90.82</v>
      </c>
      <c r="M633">
        <f>_xlfn.XLOOKUP($A633,[1]Sheet1!$K$9:$K$2584,[1]Sheet1!$L$9:$L$2584,"N/A",0)</f>
        <v>135.52</v>
      </c>
      <c r="N633">
        <f>_xlfn.XLOOKUP($A633,[1]Sheet1!$N$9:$N$2584,[1]Sheet1!$O$9:$O$2584,"N/A",0)</f>
        <v>90.2</v>
      </c>
      <c r="O633">
        <v>98.42</v>
      </c>
      <c r="P633">
        <v>134.24</v>
      </c>
      <c r="Q633">
        <v>90.82</v>
      </c>
      <c r="R633">
        <v>90.2</v>
      </c>
      <c r="S633">
        <v>135.52</v>
      </c>
    </row>
    <row r="634" spans="1:19">
      <c r="A634" s="1">
        <v>43287</v>
      </c>
      <c r="B634" t="s">
        <v>344</v>
      </c>
      <c r="C634" t="s">
        <v>352</v>
      </c>
      <c r="D634">
        <v>14.575</v>
      </c>
      <c r="E634">
        <v>15.525</v>
      </c>
      <c r="F634">
        <v>0.065180102915952</v>
      </c>
      <c r="G634">
        <f ca="1" t="shared" si="27"/>
        <v>0.636664685374177</v>
      </c>
      <c r="H634" t="str">
        <f ca="1" t="shared" si="28"/>
        <v>Risk-On</v>
      </c>
      <c r="I634">
        <f ca="1" t="shared" si="29"/>
        <v>1</v>
      </c>
      <c r="J634">
        <f>_xlfn.XLOOKUP($A634,[1]Sheet1!$B$9:$B$2584,[1]Sheet1!$C$9:$C$2584,"N/A",0)</f>
        <v>98.14</v>
      </c>
      <c r="K634">
        <f>_xlfn.XLOOKUP($A634,[1]Sheet1!$E$9:$E$2584,[1]Sheet1!$F$9:$F$2584,"N/A",0)</f>
        <v>133.79</v>
      </c>
      <c r="L634">
        <f>_xlfn.XLOOKUP($A634,[1]Sheet1!$H$9:$H$2584,[1]Sheet1!$I$9:$I$2584,"N/A",0)</f>
        <v>90.61</v>
      </c>
      <c r="M634">
        <f>_xlfn.XLOOKUP($A634,[1]Sheet1!$K$9:$K$2584,[1]Sheet1!$L$9:$L$2584,"N/A",0)</f>
        <v>135.12</v>
      </c>
      <c r="N634">
        <f>_xlfn.XLOOKUP($A634,[1]Sheet1!$N$9:$N$2584,[1]Sheet1!$O$9:$O$2584,"N/A",0)</f>
        <v>90.3</v>
      </c>
      <c r="O634">
        <v>98.14</v>
      </c>
      <c r="P634">
        <v>133.79</v>
      </c>
      <c r="Q634">
        <v>90.61</v>
      </c>
      <c r="R634">
        <v>90.3</v>
      </c>
      <c r="S634">
        <v>135.12</v>
      </c>
    </row>
    <row r="635" spans="1:19">
      <c r="A635" s="1">
        <v>43290</v>
      </c>
      <c r="B635" t="s">
        <v>344</v>
      </c>
      <c r="C635" t="s">
        <v>352</v>
      </c>
      <c r="D635">
        <v>13.775</v>
      </c>
      <c r="E635">
        <v>14.625</v>
      </c>
      <c r="F635">
        <v>0.0617059891107077</v>
      </c>
      <c r="G635">
        <f ca="1" t="shared" si="27"/>
        <v>0.585110360009055</v>
      </c>
      <c r="H635" t="str">
        <f ca="1" t="shared" si="28"/>
        <v>Risk-On</v>
      </c>
      <c r="I635">
        <f ca="1" t="shared" si="29"/>
        <v>1</v>
      </c>
      <c r="J635">
        <f>_xlfn.XLOOKUP($A635,[1]Sheet1!$B$9:$B$2584,[1]Sheet1!$C$9:$C$2584,"N/A",0)</f>
        <v>97.92</v>
      </c>
      <c r="K635">
        <f>_xlfn.XLOOKUP($A635,[1]Sheet1!$E$9:$E$2584,[1]Sheet1!$F$9:$F$2584,"N/A",0)</f>
        <v>133.59</v>
      </c>
      <c r="L635">
        <f>_xlfn.XLOOKUP($A635,[1]Sheet1!$H$9:$H$2584,[1]Sheet1!$I$9:$I$2584,"N/A",0)</f>
        <v>90.94</v>
      </c>
      <c r="M635">
        <f>_xlfn.XLOOKUP($A635,[1]Sheet1!$K$9:$K$2584,[1]Sheet1!$L$9:$L$2584,"N/A",0)</f>
        <v>134.4</v>
      </c>
      <c r="N635">
        <f>_xlfn.XLOOKUP($A635,[1]Sheet1!$N$9:$N$2584,[1]Sheet1!$O$9:$O$2584,"N/A",0)</f>
        <v>90.6</v>
      </c>
      <c r="O635">
        <v>97.92</v>
      </c>
      <c r="P635">
        <v>133.59</v>
      </c>
      <c r="Q635">
        <v>90.94</v>
      </c>
      <c r="R635">
        <v>90.6</v>
      </c>
      <c r="S635">
        <v>134.4</v>
      </c>
    </row>
    <row r="636" spans="1:19">
      <c r="A636" s="1">
        <v>43291</v>
      </c>
      <c r="B636" t="s">
        <v>344</v>
      </c>
      <c r="C636" t="s">
        <v>352</v>
      </c>
      <c r="D636">
        <v>13.425</v>
      </c>
      <c r="E636">
        <v>14.425</v>
      </c>
      <c r="F636">
        <v>0.0744878957169459</v>
      </c>
      <c r="G636">
        <f ca="1" t="shared" si="27"/>
        <v>0.761011890463525</v>
      </c>
      <c r="H636" t="str">
        <f ca="1" t="shared" si="28"/>
        <v>Risk-On</v>
      </c>
      <c r="I636">
        <f ca="1" t="shared" si="29"/>
        <v>1</v>
      </c>
      <c r="J636">
        <f>_xlfn.XLOOKUP($A636,[1]Sheet1!$B$9:$B$2584,[1]Sheet1!$C$9:$C$2584,"N/A",0)</f>
        <v>97.89</v>
      </c>
      <c r="K636">
        <f>_xlfn.XLOOKUP($A636,[1]Sheet1!$E$9:$E$2584,[1]Sheet1!$F$9:$F$2584,"N/A",0)</f>
        <v>133.79</v>
      </c>
      <c r="L636">
        <f>_xlfn.XLOOKUP($A636,[1]Sheet1!$H$9:$H$2584,[1]Sheet1!$I$9:$I$2584,"N/A",0)</f>
        <v>90.88</v>
      </c>
      <c r="M636">
        <f>_xlfn.XLOOKUP($A636,[1]Sheet1!$K$9:$K$2584,[1]Sheet1!$L$9:$L$2584,"N/A",0)</f>
        <v>134.45</v>
      </c>
      <c r="N636">
        <f>_xlfn.XLOOKUP($A636,[1]Sheet1!$N$9:$N$2584,[1]Sheet1!$O$9:$O$2584,"N/A",0)</f>
        <v>91.24</v>
      </c>
      <c r="O636">
        <v>97.89</v>
      </c>
      <c r="P636">
        <v>133.79</v>
      </c>
      <c r="Q636">
        <v>90.88</v>
      </c>
      <c r="R636">
        <v>91.24</v>
      </c>
      <c r="S636">
        <v>134.45</v>
      </c>
    </row>
    <row r="637" spans="1:19">
      <c r="A637" s="1">
        <v>43292</v>
      </c>
      <c r="B637" t="s">
        <v>344</v>
      </c>
      <c r="C637" t="s">
        <v>352</v>
      </c>
      <c r="D637">
        <v>14.175</v>
      </c>
      <c r="E637">
        <v>14.875</v>
      </c>
      <c r="F637" s="2" t="s">
        <v>356</v>
      </c>
      <c r="G637">
        <f ca="1" t="shared" si="27"/>
        <v>0.407128711139293</v>
      </c>
      <c r="H637" t="str">
        <f ca="1" t="shared" si="28"/>
        <v>Risk-On</v>
      </c>
      <c r="I637">
        <f ca="1" t="shared" si="29"/>
        <v>1</v>
      </c>
      <c r="J637">
        <f>_xlfn.XLOOKUP($A637,[1]Sheet1!$B$9:$B$2584,[1]Sheet1!$C$9:$C$2584,"N/A",0)</f>
        <v>98.01</v>
      </c>
      <c r="K637">
        <f>_xlfn.XLOOKUP($A637,[1]Sheet1!$E$9:$E$2584,[1]Sheet1!$F$9:$F$2584,"N/A",0)</f>
        <v>134.14</v>
      </c>
      <c r="L637">
        <f>_xlfn.XLOOKUP($A637,[1]Sheet1!$H$9:$H$2584,[1]Sheet1!$I$9:$I$2584,"N/A",0)</f>
        <v>90.2</v>
      </c>
      <c r="M637">
        <f>_xlfn.XLOOKUP($A637,[1]Sheet1!$K$9:$K$2584,[1]Sheet1!$L$9:$L$2584,"N/A",0)</f>
        <v>135.23</v>
      </c>
      <c r="N637">
        <f>_xlfn.XLOOKUP($A637,[1]Sheet1!$N$9:$N$2584,[1]Sheet1!$O$9:$O$2584,"N/A",0)</f>
        <v>91.24</v>
      </c>
      <c r="O637">
        <v>98.01</v>
      </c>
      <c r="P637">
        <v>134.14</v>
      </c>
      <c r="Q637">
        <v>90.2</v>
      </c>
      <c r="R637">
        <v>91.24</v>
      </c>
      <c r="S637">
        <v>135.23</v>
      </c>
    </row>
    <row r="638" spans="1:19">
      <c r="A638" s="1">
        <v>43293</v>
      </c>
      <c r="B638" t="s">
        <v>344</v>
      </c>
      <c r="C638" t="s">
        <v>352</v>
      </c>
      <c r="D638">
        <v>13.325</v>
      </c>
      <c r="E638">
        <v>14.475</v>
      </c>
      <c r="F638">
        <v>0.0863039399624765</v>
      </c>
      <c r="G638">
        <f ca="1" t="shared" si="27"/>
        <v>0.921951020066306</v>
      </c>
      <c r="H638" t="str">
        <f ca="1" t="shared" si="28"/>
        <v>Risk-On</v>
      </c>
      <c r="I638">
        <f ca="1" t="shared" si="29"/>
        <v>1</v>
      </c>
      <c r="J638">
        <f>_xlfn.XLOOKUP($A638,[1]Sheet1!$B$9:$B$2584,[1]Sheet1!$C$9:$C$2584,"N/A",0)</f>
        <v>97.89</v>
      </c>
      <c r="K638">
        <f>_xlfn.XLOOKUP($A638,[1]Sheet1!$E$9:$E$2584,[1]Sheet1!$F$9:$F$2584,"N/A",0)</f>
        <v>135.02</v>
      </c>
      <c r="L638">
        <f>_xlfn.XLOOKUP($A638,[1]Sheet1!$H$9:$H$2584,[1]Sheet1!$I$9:$I$2584,"N/A",0)</f>
        <v>89.87</v>
      </c>
      <c r="M638">
        <f>_xlfn.XLOOKUP($A638,[1]Sheet1!$K$9:$K$2584,[1]Sheet1!$L$9:$L$2584,"N/A",0)</f>
        <v>135.03</v>
      </c>
      <c r="N638">
        <f>_xlfn.XLOOKUP($A638,[1]Sheet1!$N$9:$N$2584,[1]Sheet1!$O$9:$O$2584,"N/A",0)</f>
        <v>91.77</v>
      </c>
      <c r="O638">
        <v>97.89</v>
      </c>
      <c r="P638">
        <v>135.02</v>
      </c>
      <c r="Q638">
        <v>89.87</v>
      </c>
      <c r="R638">
        <v>91.77</v>
      </c>
      <c r="S638">
        <v>135.03</v>
      </c>
    </row>
    <row r="639" spans="1:19">
      <c r="A639" s="1">
        <v>43294</v>
      </c>
      <c r="B639" t="s">
        <v>344</v>
      </c>
      <c r="C639" t="s">
        <v>352</v>
      </c>
      <c r="D639">
        <v>12.975</v>
      </c>
      <c r="E639">
        <v>14.225</v>
      </c>
      <c r="F639">
        <v>0.0963391136801541</v>
      </c>
      <c r="G639">
        <f ca="1" t="shared" si="27"/>
        <v>1.06001817397378</v>
      </c>
      <c r="H639" t="str">
        <f ca="1" t="shared" si="28"/>
        <v>Risk-On</v>
      </c>
      <c r="I639">
        <f ca="1" t="shared" si="29"/>
        <v>1</v>
      </c>
      <c r="J639">
        <f>_xlfn.XLOOKUP($A639,[1]Sheet1!$B$9:$B$2584,[1]Sheet1!$C$9:$C$2584,"N/A",0)</f>
        <v>97.53</v>
      </c>
      <c r="K639">
        <f>_xlfn.XLOOKUP($A639,[1]Sheet1!$E$9:$E$2584,[1]Sheet1!$F$9:$F$2584,"N/A",0)</f>
        <v>135.04</v>
      </c>
      <c r="L639">
        <f>_xlfn.XLOOKUP($A639,[1]Sheet1!$H$9:$H$2584,[1]Sheet1!$I$9:$I$2584,"N/A",0)</f>
        <v>89.94</v>
      </c>
      <c r="M639">
        <f>_xlfn.XLOOKUP($A639,[1]Sheet1!$K$9:$K$2584,[1]Sheet1!$L$9:$L$2584,"N/A",0)</f>
        <v>135.37</v>
      </c>
      <c r="N639">
        <f>_xlfn.XLOOKUP($A639,[1]Sheet1!$N$9:$N$2584,[1]Sheet1!$O$9:$O$2584,"N/A",0)</f>
        <v>91.85</v>
      </c>
      <c r="O639">
        <v>97.53</v>
      </c>
      <c r="P639">
        <v>135.04</v>
      </c>
      <c r="Q639">
        <v>89.94</v>
      </c>
      <c r="R639">
        <v>91.85</v>
      </c>
      <c r="S639">
        <v>135.37</v>
      </c>
    </row>
    <row r="640" spans="1:19">
      <c r="A640" s="1">
        <v>43297</v>
      </c>
      <c r="B640" t="s">
        <v>344</v>
      </c>
      <c r="C640" t="s">
        <v>352</v>
      </c>
      <c r="D640">
        <v>12.975</v>
      </c>
      <c r="E640">
        <v>14.275</v>
      </c>
      <c r="F640" s="2" t="s">
        <v>357</v>
      </c>
      <c r="G640">
        <f ca="1" t="shared" si="27"/>
        <v>1.10578031902955</v>
      </c>
      <c r="H640" t="str">
        <f ca="1" t="shared" si="28"/>
        <v>Risk-On</v>
      </c>
      <c r="I640">
        <f ca="1" t="shared" si="29"/>
        <v>1</v>
      </c>
      <c r="J640">
        <f>_xlfn.XLOOKUP($A640,[1]Sheet1!$B$9:$B$2584,[1]Sheet1!$C$9:$C$2584,"N/A",0)</f>
        <v>97.84</v>
      </c>
      <c r="K640">
        <f>_xlfn.XLOOKUP($A640,[1]Sheet1!$E$9:$E$2584,[1]Sheet1!$F$9:$F$2584,"N/A",0)</f>
        <v>135.43</v>
      </c>
      <c r="L640">
        <f>_xlfn.XLOOKUP($A640,[1]Sheet1!$H$9:$H$2584,[1]Sheet1!$I$9:$I$2584,"N/A",0)</f>
        <v>89.69</v>
      </c>
      <c r="M640">
        <f>_xlfn.XLOOKUP($A640,[1]Sheet1!$K$9:$K$2584,[1]Sheet1!$L$9:$L$2584,"N/A",0)</f>
        <v>135.43</v>
      </c>
      <c r="N640">
        <f>_xlfn.XLOOKUP($A640,[1]Sheet1!$N$9:$N$2584,[1]Sheet1!$O$9:$O$2584,"N/A",0)</f>
        <v>92.2</v>
      </c>
      <c r="O640">
        <v>97.84</v>
      </c>
      <c r="P640">
        <v>135.43</v>
      </c>
      <c r="Q640">
        <v>89.69</v>
      </c>
      <c r="R640">
        <v>92.2</v>
      </c>
      <c r="S640">
        <v>135.43</v>
      </c>
    </row>
    <row r="641" spans="1:19">
      <c r="A641" s="1">
        <v>43298</v>
      </c>
      <c r="B641" t="s">
        <v>344</v>
      </c>
      <c r="C641" t="s">
        <v>352</v>
      </c>
      <c r="D641">
        <v>12.125</v>
      </c>
      <c r="E641">
        <v>13.975</v>
      </c>
      <c r="F641" s="2" t="s">
        <v>358</v>
      </c>
      <c r="G641">
        <f ca="1" t="shared" si="27"/>
        <v>1.83372187414036</v>
      </c>
      <c r="H641" t="str">
        <f ca="1" t="shared" si="28"/>
        <v>Risk-On</v>
      </c>
      <c r="I641">
        <f ca="1" t="shared" si="29"/>
        <v>1</v>
      </c>
      <c r="J641">
        <f>_xlfn.XLOOKUP($A641,[1]Sheet1!$B$9:$B$2584,[1]Sheet1!$C$9:$C$2584,"N/A",0)</f>
        <v>97.92</v>
      </c>
      <c r="K641">
        <f>_xlfn.XLOOKUP($A641,[1]Sheet1!$E$9:$E$2584,[1]Sheet1!$F$9:$F$2584,"N/A",0)</f>
        <v>136.2</v>
      </c>
      <c r="L641">
        <f>_xlfn.XLOOKUP($A641,[1]Sheet1!$H$9:$H$2584,[1]Sheet1!$I$9:$I$2584,"N/A",0)</f>
        <v>89.44</v>
      </c>
      <c r="M641">
        <f>_xlfn.XLOOKUP($A641,[1]Sheet1!$K$9:$K$2584,[1]Sheet1!$L$9:$L$2584,"N/A",0)</f>
        <v>135.47</v>
      </c>
      <c r="N641">
        <f>_xlfn.XLOOKUP($A641,[1]Sheet1!$N$9:$N$2584,[1]Sheet1!$O$9:$O$2584,"N/A",0)</f>
        <v>91.93</v>
      </c>
      <c r="O641">
        <v>97.92</v>
      </c>
      <c r="P641">
        <v>136.2</v>
      </c>
      <c r="Q641">
        <v>89.44</v>
      </c>
      <c r="R641">
        <v>91.93</v>
      </c>
      <c r="S641">
        <v>135.47</v>
      </c>
    </row>
    <row r="642" spans="1:19">
      <c r="A642" s="1">
        <v>43299</v>
      </c>
      <c r="B642" t="s">
        <v>344</v>
      </c>
      <c r="C642" t="s">
        <v>352</v>
      </c>
      <c r="D642">
        <v>12.38</v>
      </c>
      <c r="E642">
        <v>13.925</v>
      </c>
      <c r="F642" s="2" t="s">
        <v>359</v>
      </c>
      <c r="G642">
        <f ca="1" t="shared" si="27"/>
        <v>1.44769887412368</v>
      </c>
      <c r="H642" t="str">
        <f ca="1" t="shared" si="28"/>
        <v>Risk-On</v>
      </c>
      <c r="I642">
        <f ca="1" t="shared" si="29"/>
        <v>1</v>
      </c>
      <c r="J642">
        <f>_xlfn.XLOOKUP($A642,[1]Sheet1!$B$9:$B$2584,[1]Sheet1!$C$9:$C$2584,"N/A",0)</f>
        <v>98.11</v>
      </c>
      <c r="K642">
        <f>_xlfn.XLOOKUP($A642,[1]Sheet1!$E$9:$E$2584,[1]Sheet1!$F$9:$F$2584,"N/A",0)</f>
        <v>136.61</v>
      </c>
      <c r="L642">
        <f>_xlfn.XLOOKUP($A642,[1]Sheet1!$H$9:$H$2584,[1]Sheet1!$I$9:$I$2584,"N/A",0)</f>
        <v>89.74</v>
      </c>
      <c r="M642">
        <f>_xlfn.XLOOKUP($A642,[1]Sheet1!$K$9:$K$2584,[1]Sheet1!$L$9:$L$2584,"N/A",0)</f>
        <v>135.75</v>
      </c>
      <c r="N642">
        <f>_xlfn.XLOOKUP($A642,[1]Sheet1!$N$9:$N$2584,[1]Sheet1!$O$9:$O$2584,"N/A",0)</f>
        <v>91.97</v>
      </c>
      <c r="O642">
        <v>98.11</v>
      </c>
      <c r="P642">
        <v>136.61</v>
      </c>
      <c r="Q642">
        <v>89.74</v>
      </c>
      <c r="R642">
        <v>91.97</v>
      </c>
      <c r="S642">
        <v>135.75</v>
      </c>
    </row>
    <row r="643" spans="1:19">
      <c r="A643" s="1">
        <v>43300</v>
      </c>
      <c r="B643" t="s">
        <v>352</v>
      </c>
      <c r="C643" t="s">
        <v>360</v>
      </c>
      <c r="D643">
        <v>14.175</v>
      </c>
      <c r="E643">
        <v>15.025</v>
      </c>
      <c r="F643">
        <v>0.0599647266313932</v>
      </c>
      <c r="G643">
        <f ca="1" t="shared" ref="G643:G706" si="30">IF(ROW()-ROW($A$3)+1&gt;252,(F643-AVERAGE(OFFSET(F643,-252,0,252,1)))/_xlfn.STDEV.S(OFFSET(F643,-252,0,252,1)),"N/A")</f>
        <v>0.566496778597478</v>
      </c>
      <c r="H643" t="str">
        <f ca="1" t="shared" ref="H643:H706" si="31">IF(G643&lt;&gt;"N/A",IF(G893&gt;-0.5,"Risk-On","Risk-Off"),"N/A")</f>
        <v>Risk-On</v>
      </c>
      <c r="I643">
        <f ca="1" t="shared" si="29"/>
        <v>1</v>
      </c>
      <c r="J643">
        <f>_xlfn.XLOOKUP($A643,[1]Sheet1!$B$9:$B$2584,[1]Sheet1!$C$9:$C$2584,"N/A",0)</f>
        <v>98.26</v>
      </c>
      <c r="K643">
        <f>_xlfn.XLOOKUP($A643,[1]Sheet1!$E$9:$E$2584,[1]Sheet1!$F$9:$F$2584,"N/A",0)</f>
        <v>136.27</v>
      </c>
      <c r="L643">
        <f>_xlfn.XLOOKUP($A643,[1]Sheet1!$H$9:$H$2584,[1]Sheet1!$I$9:$I$2584,"N/A",0)</f>
        <v>89.75</v>
      </c>
      <c r="M643">
        <f>_xlfn.XLOOKUP($A643,[1]Sheet1!$K$9:$K$2584,[1]Sheet1!$L$9:$L$2584,"N/A",0)</f>
        <v>136.37</v>
      </c>
      <c r="N643">
        <f>_xlfn.XLOOKUP($A643,[1]Sheet1!$N$9:$N$2584,[1]Sheet1!$O$9:$O$2584,"N/A",0)</f>
        <v>90.8</v>
      </c>
      <c r="O643">
        <v>98.26</v>
      </c>
      <c r="P643">
        <v>136.27</v>
      </c>
      <c r="Q643">
        <v>89.75</v>
      </c>
      <c r="R643">
        <v>90.8</v>
      </c>
      <c r="S643">
        <v>136.37</v>
      </c>
    </row>
    <row r="644" spans="1:19">
      <c r="A644" s="1">
        <v>43301</v>
      </c>
      <c r="B644" t="s">
        <v>352</v>
      </c>
      <c r="C644" t="s">
        <v>360</v>
      </c>
      <c r="D644">
        <v>14.275</v>
      </c>
      <c r="E644">
        <v>15.175</v>
      </c>
      <c r="F644">
        <v>0.0630472854640981</v>
      </c>
      <c r="G644">
        <f ca="1" t="shared" si="30"/>
        <v>0.607297158789151</v>
      </c>
      <c r="H644" t="str">
        <f ca="1" t="shared" si="31"/>
        <v>Risk-On</v>
      </c>
      <c r="I644">
        <f ca="1" t="shared" ref="I644:I707" si="32">IF(H644&lt;&gt;"N/A",IF(H894&gt;-0.5,1,0),0)</f>
        <v>1</v>
      </c>
      <c r="J644">
        <f>_xlfn.XLOOKUP($A644,[1]Sheet1!$B$9:$B$2584,[1]Sheet1!$C$9:$C$2584,"N/A",0)</f>
        <v>98.22</v>
      </c>
      <c r="K644">
        <f>_xlfn.XLOOKUP($A644,[1]Sheet1!$E$9:$E$2584,[1]Sheet1!$F$9:$F$2584,"N/A",0)</f>
        <v>136.9</v>
      </c>
      <c r="L644">
        <f>_xlfn.XLOOKUP($A644,[1]Sheet1!$H$9:$H$2584,[1]Sheet1!$I$9:$I$2584,"N/A",0)</f>
        <v>89.55</v>
      </c>
      <c r="M644">
        <f>_xlfn.XLOOKUP($A644,[1]Sheet1!$K$9:$K$2584,[1]Sheet1!$L$9:$L$2584,"N/A",0)</f>
        <v>136.13</v>
      </c>
      <c r="N644">
        <f>_xlfn.XLOOKUP($A644,[1]Sheet1!$N$9:$N$2584,[1]Sheet1!$O$9:$O$2584,"N/A",0)</f>
        <v>90.84</v>
      </c>
      <c r="O644">
        <v>98.22</v>
      </c>
      <c r="P644">
        <v>136.9</v>
      </c>
      <c r="Q644">
        <v>89.55</v>
      </c>
      <c r="R644">
        <v>90.84</v>
      </c>
      <c r="S644">
        <v>136.13</v>
      </c>
    </row>
    <row r="645" spans="1:19">
      <c r="A645" s="1">
        <v>43304</v>
      </c>
      <c r="B645" t="s">
        <v>352</v>
      </c>
      <c r="C645" t="s">
        <v>360</v>
      </c>
      <c r="D645">
        <v>14.075</v>
      </c>
      <c r="E645">
        <v>15.025</v>
      </c>
      <c r="F645">
        <v>0.0674955595026643</v>
      </c>
      <c r="G645">
        <f ca="1" t="shared" si="30"/>
        <v>0.66719160704459</v>
      </c>
      <c r="H645" t="str">
        <f ca="1" t="shared" si="31"/>
        <v>Risk-On</v>
      </c>
      <c r="I645">
        <f ca="1" t="shared" si="32"/>
        <v>1</v>
      </c>
      <c r="J645">
        <f>_xlfn.XLOOKUP($A645,[1]Sheet1!$B$9:$B$2584,[1]Sheet1!$C$9:$C$2584,"N/A",0)</f>
        <v>98.04</v>
      </c>
      <c r="K645">
        <f>_xlfn.XLOOKUP($A645,[1]Sheet1!$E$9:$E$2584,[1]Sheet1!$F$9:$F$2584,"N/A",0)</f>
        <v>137.1</v>
      </c>
      <c r="L645">
        <f>_xlfn.XLOOKUP($A645,[1]Sheet1!$H$9:$H$2584,[1]Sheet1!$I$9:$I$2584,"N/A",0)</f>
        <v>90.04</v>
      </c>
      <c r="M645">
        <f>_xlfn.XLOOKUP($A645,[1]Sheet1!$K$9:$K$2584,[1]Sheet1!$L$9:$L$2584,"N/A",0)</f>
        <v>136.63</v>
      </c>
      <c r="N645">
        <f>_xlfn.XLOOKUP($A645,[1]Sheet1!$N$9:$N$2584,[1]Sheet1!$O$9:$O$2584,"N/A",0)</f>
        <v>90.92</v>
      </c>
      <c r="O645">
        <v>98.04</v>
      </c>
      <c r="P645">
        <v>137.1</v>
      </c>
      <c r="Q645">
        <v>90.04</v>
      </c>
      <c r="R645">
        <v>90.92</v>
      </c>
      <c r="S645">
        <v>136.63</v>
      </c>
    </row>
    <row r="646" spans="1:19">
      <c r="A646" s="1">
        <v>43305</v>
      </c>
      <c r="B646" t="s">
        <v>352</v>
      </c>
      <c r="C646" t="s">
        <v>360</v>
      </c>
      <c r="D646">
        <v>14.075</v>
      </c>
      <c r="E646">
        <v>14.975</v>
      </c>
      <c r="F646">
        <v>0.063943161634103</v>
      </c>
      <c r="G646">
        <f ca="1" t="shared" si="30"/>
        <v>0.613690374888798</v>
      </c>
      <c r="H646" t="str">
        <f ca="1" t="shared" si="31"/>
        <v>Risk-On</v>
      </c>
      <c r="I646">
        <f ca="1" t="shared" si="32"/>
        <v>1</v>
      </c>
      <c r="J646">
        <f>_xlfn.XLOOKUP($A646,[1]Sheet1!$B$9:$B$2584,[1]Sheet1!$C$9:$C$2584,"N/A",0)</f>
        <v>98.14</v>
      </c>
      <c r="K646">
        <f>_xlfn.XLOOKUP($A646,[1]Sheet1!$E$9:$E$2584,[1]Sheet1!$F$9:$F$2584,"N/A",0)</f>
        <v>136.41</v>
      </c>
      <c r="L646">
        <f>_xlfn.XLOOKUP($A646,[1]Sheet1!$H$9:$H$2584,[1]Sheet1!$I$9:$I$2584,"N/A",0)</f>
        <v>89.98</v>
      </c>
      <c r="M646">
        <f>_xlfn.XLOOKUP($A646,[1]Sheet1!$K$9:$K$2584,[1]Sheet1!$L$9:$L$2584,"N/A",0)</f>
        <v>136.82</v>
      </c>
      <c r="N646">
        <f>_xlfn.XLOOKUP($A646,[1]Sheet1!$N$9:$N$2584,[1]Sheet1!$O$9:$O$2584,"N/A",0)</f>
        <v>92.06</v>
      </c>
      <c r="O646">
        <v>98.14</v>
      </c>
      <c r="P646">
        <v>136.41</v>
      </c>
      <c r="Q646">
        <v>89.98</v>
      </c>
      <c r="R646">
        <v>92.06</v>
      </c>
      <c r="S646">
        <v>136.82</v>
      </c>
    </row>
    <row r="647" spans="1:19">
      <c r="A647" s="1">
        <v>43306</v>
      </c>
      <c r="B647" t="s">
        <v>352</v>
      </c>
      <c r="C647" t="s">
        <v>360</v>
      </c>
      <c r="D647">
        <v>13.825</v>
      </c>
      <c r="E647">
        <v>14.875</v>
      </c>
      <c r="F647">
        <v>0.0759493670886076</v>
      </c>
      <c r="G647">
        <f ca="1" t="shared" si="30"/>
        <v>0.78088802311907</v>
      </c>
      <c r="H647" t="str">
        <f ca="1" t="shared" si="31"/>
        <v>Risk-On</v>
      </c>
      <c r="I647">
        <f ca="1" t="shared" si="32"/>
        <v>1</v>
      </c>
      <c r="J647">
        <f>_xlfn.XLOOKUP($A647,[1]Sheet1!$B$9:$B$2584,[1]Sheet1!$C$9:$C$2584,"N/A",0)</f>
        <v>98.08</v>
      </c>
      <c r="K647">
        <f>_xlfn.XLOOKUP($A647,[1]Sheet1!$E$9:$E$2584,[1]Sheet1!$F$9:$F$2584,"N/A",0)</f>
        <v>137.51</v>
      </c>
      <c r="L647">
        <f>_xlfn.XLOOKUP($A647,[1]Sheet1!$H$9:$H$2584,[1]Sheet1!$I$9:$I$2584,"N/A",0)</f>
        <v>89.44</v>
      </c>
      <c r="M647">
        <f>_xlfn.XLOOKUP($A647,[1]Sheet1!$K$9:$K$2584,[1]Sheet1!$L$9:$L$2584,"N/A",0)</f>
        <v>137.59</v>
      </c>
      <c r="N647">
        <f>_xlfn.XLOOKUP($A647,[1]Sheet1!$N$9:$N$2584,[1]Sheet1!$O$9:$O$2584,"N/A",0)</f>
        <v>92.67</v>
      </c>
      <c r="O647">
        <v>98.08</v>
      </c>
      <c r="P647">
        <v>137.51</v>
      </c>
      <c r="Q647">
        <v>89.44</v>
      </c>
      <c r="R647">
        <v>92.67</v>
      </c>
      <c r="S647">
        <v>137.59</v>
      </c>
    </row>
    <row r="648" spans="1:19">
      <c r="A648" s="1">
        <v>43307</v>
      </c>
      <c r="B648" t="s">
        <v>352</v>
      </c>
      <c r="C648" t="s">
        <v>360</v>
      </c>
      <c r="D648">
        <v>13.85</v>
      </c>
      <c r="E648">
        <v>14.925</v>
      </c>
      <c r="F648">
        <v>0.0776173285198556</v>
      </c>
      <c r="G648">
        <f ca="1" t="shared" si="30"/>
        <v>0.800311708961587</v>
      </c>
      <c r="H648" t="str">
        <f ca="1" t="shared" si="31"/>
        <v>Risk-On</v>
      </c>
      <c r="I648">
        <f ca="1" t="shared" si="32"/>
        <v>1</v>
      </c>
      <c r="J648">
        <f>_xlfn.XLOOKUP($A648,[1]Sheet1!$B$9:$B$2584,[1]Sheet1!$C$9:$C$2584,"N/A",0)</f>
        <v>97.59</v>
      </c>
      <c r="K648">
        <f>_xlfn.XLOOKUP($A648,[1]Sheet1!$E$9:$E$2584,[1]Sheet1!$F$9:$F$2584,"N/A",0)</f>
        <v>136.8</v>
      </c>
      <c r="L648">
        <f>_xlfn.XLOOKUP($A648,[1]Sheet1!$H$9:$H$2584,[1]Sheet1!$I$9:$I$2584,"N/A",0)</f>
        <v>89.56</v>
      </c>
      <c r="M648">
        <f>_xlfn.XLOOKUP($A648,[1]Sheet1!$K$9:$K$2584,[1]Sheet1!$L$9:$L$2584,"N/A",0)</f>
        <v>138.3</v>
      </c>
      <c r="N648">
        <f>_xlfn.XLOOKUP($A648,[1]Sheet1!$N$9:$N$2584,[1]Sheet1!$O$9:$O$2584,"N/A",0)</f>
        <v>92.18</v>
      </c>
      <c r="O648">
        <v>97.59</v>
      </c>
      <c r="P648">
        <v>136.8</v>
      </c>
      <c r="Q648">
        <v>89.56</v>
      </c>
      <c r="R648">
        <v>92.18</v>
      </c>
      <c r="S648">
        <v>138.3</v>
      </c>
    </row>
    <row r="649" spans="1:19">
      <c r="A649" s="1">
        <v>43308</v>
      </c>
      <c r="B649" t="s">
        <v>352</v>
      </c>
      <c r="C649" t="s">
        <v>360</v>
      </c>
      <c r="D649">
        <v>14.325</v>
      </c>
      <c r="E649">
        <v>15.175</v>
      </c>
      <c r="F649" s="2" t="s">
        <v>361</v>
      </c>
      <c r="G649">
        <f ca="1" t="shared" si="30"/>
        <v>0.536318288887912</v>
      </c>
      <c r="H649" t="str">
        <f ca="1" t="shared" si="31"/>
        <v>Risk-On</v>
      </c>
      <c r="I649">
        <f ca="1" t="shared" si="32"/>
        <v>1</v>
      </c>
      <c r="J649">
        <f>_xlfn.XLOOKUP($A649,[1]Sheet1!$B$9:$B$2584,[1]Sheet1!$C$9:$C$2584,"N/A",0)</f>
        <v>97.36</v>
      </c>
      <c r="K649">
        <f>_xlfn.XLOOKUP($A649,[1]Sheet1!$E$9:$E$2584,[1]Sheet1!$F$9:$F$2584,"N/A",0)</f>
        <v>135.16</v>
      </c>
      <c r="L649">
        <f>_xlfn.XLOOKUP($A649,[1]Sheet1!$H$9:$H$2584,[1]Sheet1!$I$9:$I$2584,"N/A",0)</f>
        <v>90.38</v>
      </c>
      <c r="M649">
        <f>_xlfn.XLOOKUP($A649,[1]Sheet1!$K$9:$K$2584,[1]Sheet1!$L$9:$L$2584,"N/A",0)</f>
        <v>138.27</v>
      </c>
      <c r="N649">
        <f>_xlfn.XLOOKUP($A649,[1]Sheet1!$N$9:$N$2584,[1]Sheet1!$O$9:$O$2584,"N/A",0)</f>
        <v>92.89</v>
      </c>
      <c r="O649">
        <v>97.36</v>
      </c>
      <c r="P649">
        <v>135.16</v>
      </c>
      <c r="Q649">
        <v>90.38</v>
      </c>
      <c r="R649">
        <v>92.89</v>
      </c>
      <c r="S649">
        <v>138.27</v>
      </c>
    </row>
    <row r="650" spans="1:19">
      <c r="A650" s="1">
        <v>43311</v>
      </c>
      <c r="B650" t="s">
        <v>352</v>
      </c>
      <c r="C650" t="s">
        <v>360</v>
      </c>
      <c r="D650">
        <v>14.875</v>
      </c>
      <c r="E650">
        <v>15.625</v>
      </c>
      <c r="F650">
        <v>0.0504201680672268</v>
      </c>
      <c r="G650">
        <f ca="1" t="shared" si="30"/>
        <v>0.409693065952807</v>
      </c>
      <c r="H650" t="str">
        <f ca="1" t="shared" si="31"/>
        <v>Risk-On</v>
      </c>
      <c r="I650">
        <f ca="1" t="shared" si="32"/>
        <v>1</v>
      </c>
      <c r="J650">
        <f>_xlfn.XLOOKUP($A650,[1]Sheet1!$B$9:$B$2584,[1]Sheet1!$C$9:$C$2584,"N/A",0)</f>
        <v>97.1</v>
      </c>
      <c r="K650">
        <f>_xlfn.XLOOKUP($A650,[1]Sheet1!$E$9:$E$2584,[1]Sheet1!$F$9:$F$2584,"N/A",0)</f>
        <v>132.7</v>
      </c>
      <c r="L650">
        <f>_xlfn.XLOOKUP($A650,[1]Sheet1!$H$9:$H$2584,[1]Sheet1!$I$9:$I$2584,"N/A",0)</f>
        <v>91.54</v>
      </c>
      <c r="M650">
        <f>_xlfn.XLOOKUP($A650,[1]Sheet1!$K$9:$K$2584,[1]Sheet1!$L$9:$L$2584,"N/A",0)</f>
        <v>138.21</v>
      </c>
      <c r="N650">
        <f>_xlfn.XLOOKUP($A650,[1]Sheet1!$N$9:$N$2584,[1]Sheet1!$O$9:$O$2584,"N/A",0)</f>
        <v>92.71</v>
      </c>
      <c r="O650">
        <v>97.1</v>
      </c>
      <c r="P650">
        <v>132.7</v>
      </c>
      <c r="Q650">
        <v>91.54</v>
      </c>
      <c r="R650">
        <v>92.71</v>
      </c>
      <c r="S650">
        <v>138.21</v>
      </c>
    </row>
    <row r="651" spans="1:19">
      <c r="A651" s="1">
        <v>43312</v>
      </c>
      <c r="B651" t="s">
        <v>352</v>
      </c>
      <c r="C651" t="s">
        <v>360</v>
      </c>
      <c r="D651">
        <v>14.075</v>
      </c>
      <c r="E651">
        <v>15.025</v>
      </c>
      <c r="F651">
        <v>0.0674955595026643</v>
      </c>
      <c r="G651">
        <f ca="1" t="shared" si="30"/>
        <v>0.651272669961402</v>
      </c>
      <c r="H651" t="str">
        <f ca="1" t="shared" si="31"/>
        <v>Risk-On</v>
      </c>
      <c r="I651">
        <f ca="1" t="shared" si="32"/>
        <v>1</v>
      </c>
      <c r="J651">
        <f>_xlfn.XLOOKUP($A651,[1]Sheet1!$B$9:$B$2584,[1]Sheet1!$C$9:$C$2584,"N/A",0)</f>
        <v>97.05</v>
      </c>
      <c r="K651">
        <f>_xlfn.XLOOKUP($A651,[1]Sheet1!$E$9:$E$2584,[1]Sheet1!$F$9:$F$2584,"N/A",0)</f>
        <v>132.45</v>
      </c>
      <c r="L651">
        <f>_xlfn.XLOOKUP($A651,[1]Sheet1!$H$9:$H$2584,[1]Sheet1!$I$9:$I$2584,"N/A",0)</f>
        <v>91.4</v>
      </c>
      <c r="M651">
        <f>_xlfn.XLOOKUP($A651,[1]Sheet1!$K$9:$K$2584,[1]Sheet1!$L$9:$L$2584,"N/A",0)</f>
        <v>138.59</v>
      </c>
      <c r="N651">
        <f>_xlfn.XLOOKUP($A651,[1]Sheet1!$N$9:$N$2584,[1]Sheet1!$O$9:$O$2584,"N/A",0)</f>
        <v>92.25</v>
      </c>
      <c r="O651">
        <v>97.05</v>
      </c>
      <c r="P651">
        <v>132.45</v>
      </c>
      <c r="Q651">
        <v>91.4</v>
      </c>
      <c r="R651">
        <v>92.25</v>
      </c>
      <c r="S651">
        <v>138.59</v>
      </c>
    </row>
    <row r="652" spans="1:19">
      <c r="A652" s="1">
        <v>43313</v>
      </c>
      <c r="B652" t="s">
        <v>352</v>
      </c>
      <c r="C652" t="s">
        <v>360</v>
      </c>
      <c r="D652">
        <v>14.275</v>
      </c>
      <c r="E652">
        <v>15.125</v>
      </c>
      <c r="F652" s="2" t="s">
        <v>362</v>
      </c>
      <c r="G652">
        <f ca="1" t="shared" si="30"/>
        <v>0.53476446407174</v>
      </c>
      <c r="H652" t="str">
        <f ca="1" t="shared" si="31"/>
        <v>Risk-On</v>
      </c>
      <c r="I652">
        <f ca="1" t="shared" si="32"/>
        <v>1</v>
      </c>
      <c r="J652">
        <f>_xlfn.XLOOKUP($A652,[1]Sheet1!$B$9:$B$2584,[1]Sheet1!$C$9:$C$2584,"N/A",0)</f>
        <v>97.3</v>
      </c>
      <c r="K652">
        <f>_xlfn.XLOOKUP($A652,[1]Sheet1!$E$9:$E$2584,[1]Sheet1!$F$9:$F$2584,"N/A",0)</f>
        <v>133.27</v>
      </c>
      <c r="L652">
        <f>_xlfn.XLOOKUP($A652,[1]Sheet1!$H$9:$H$2584,[1]Sheet1!$I$9:$I$2584,"N/A",0)</f>
        <v>90.85</v>
      </c>
      <c r="M652">
        <f>_xlfn.XLOOKUP($A652,[1]Sheet1!$K$9:$K$2584,[1]Sheet1!$L$9:$L$2584,"N/A",0)</f>
        <v>138.39</v>
      </c>
      <c r="N652">
        <f>_xlfn.XLOOKUP($A652,[1]Sheet1!$N$9:$N$2584,[1]Sheet1!$O$9:$O$2584,"N/A",0)</f>
        <v>92.09</v>
      </c>
      <c r="O652">
        <v>97.3</v>
      </c>
      <c r="P652">
        <v>133.27</v>
      </c>
      <c r="Q652">
        <v>90.85</v>
      </c>
      <c r="R652">
        <v>92.09</v>
      </c>
      <c r="S652">
        <v>138.39</v>
      </c>
    </row>
    <row r="653" spans="1:19">
      <c r="A653" s="1">
        <v>43314</v>
      </c>
      <c r="B653" t="s">
        <v>352</v>
      </c>
      <c r="C653" t="s">
        <v>360</v>
      </c>
      <c r="D653">
        <v>13.925</v>
      </c>
      <c r="E653">
        <v>14.975</v>
      </c>
      <c r="F653">
        <v>0.0754039497307001</v>
      </c>
      <c r="G653">
        <f ca="1" t="shared" si="30"/>
        <v>0.761051198063967</v>
      </c>
      <c r="H653" t="str">
        <f ca="1" t="shared" si="31"/>
        <v>Risk-On</v>
      </c>
      <c r="I653">
        <f ca="1" t="shared" si="32"/>
        <v>1</v>
      </c>
      <c r="J653">
        <f>_xlfn.XLOOKUP($A653,[1]Sheet1!$B$9:$B$2584,[1]Sheet1!$C$9:$C$2584,"N/A",0)</f>
        <v>97.73</v>
      </c>
      <c r="K653">
        <f>_xlfn.XLOOKUP($A653,[1]Sheet1!$E$9:$E$2584,[1]Sheet1!$F$9:$F$2584,"N/A",0)</f>
        <v>134.22</v>
      </c>
      <c r="L653">
        <f>_xlfn.XLOOKUP($A653,[1]Sheet1!$H$9:$H$2584,[1]Sheet1!$I$9:$I$2584,"N/A",0)</f>
        <v>90.42</v>
      </c>
      <c r="M653">
        <f>_xlfn.XLOOKUP($A653,[1]Sheet1!$K$9:$K$2584,[1]Sheet1!$L$9:$L$2584,"N/A",0)</f>
        <v>138.69</v>
      </c>
      <c r="N653">
        <f>_xlfn.XLOOKUP($A653,[1]Sheet1!$N$9:$N$2584,[1]Sheet1!$O$9:$O$2584,"N/A",0)</f>
        <v>91.65</v>
      </c>
      <c r="O653">
        <v>97.73</v>
      </c>
      <c r="P653">
        <v>134.22</v>
      </c>
      <c r="Q653">
        <v>90.42</v>
      </c>
      <c r="R653">
        <v>91.65</v>
      </c>
      <c r="S653">
        <v>138.69</v>
      </c>
    </row>
    <row r="654" spans="1:19">
      <c r="A654" s="1">
        <v>43315</v>
      </c>
      <c r="B654" t="s">
        <v>352</v>
      </c>
      <c r="C654" t="s">
        <v>360</v>
      </c>
      <c r="D654">
        <v>13.525</v>
      </c>
      <c r="E654">
        <v>14.8</v>
      </c>
      <c r="F654">
        <v>0.0942698706099815</v>
      </c>
      <c r="G654">
        <f ca="1" t="shared" si="30"/>
        <v>1.02667533536309</v>
      </c>
      <c r="H654" t="str">
        <f ca="1" t="shared" si="31"/>
        <v>Risk-On</v>
      </c>
      <c r="I654">
        <f ca="1" t="shared" si="32"/>
        <v>1</v>
      </c>
      <c r="J654">
        <f>_xlfn.XLOOKUP($A654,[1]Sheet1!$B$9:$B$2584,[1]Sheet1!$C$9:$C$2584,"N/A",0)</f>
        <v>97.67</v>
      </c>
      <c r="K654">
        <f>_xlfn.XLOOKUP($A654,[1]Sheet1!$E$9:$E$2584,[1]Sheet1!$F$9:$F$2584,"N/A",0)</f>
        <v>132.79</v>
      </c>
      <c r="L654">
        <f>_xlfn.XLOOKUP($A654,[1]Sheet1!$H$9:$H$2584,[1]Sheet1!$I$9:$I$2584,"N/A",0)</f>
        <v>91.19</v>
      </c>
      <c r="M654">
        <f>_xlfn.XLOOKUP($A654,[1]Sheet1!$K$9:$K$2584,[1]Sheet1!$L$9:$L$2584,"N/A",0)</f>
        <v>138.43</v>
      </c>
      <c r="N654">
        <f>_xlfn.XLOOKUP($A654,[1]Sheet1!$N$9:$N$2584,[1]Sheet1!$O$9:$O$2584,"N/A",0)</f>
        <v>92.17</v>
      </c>
      <c r="O654">
        <v>97.67</v>
      </c>
      <c r="P654">
        <v>132.79</v>
      </c>
      <c r="Q654">
        <v>91.19</v>
      </c>
      <c r="R654">
        <v>92.17</v>
      </c>
      <c r="S654">
        <v>138.43</v>
      </c>
    </row>
    <row r="655" spans="1:19">
      <c r="A655" s="1">
        <v>43318</v>
      </c>
      <c r="B655" t="s">
        <v>352</v>
      </c>
      <c r="C655" t="s">
        <v>360</v>
      </c>
      <c r="D655">
        <v>13.025</v>
      </c>
      <c r="E655">
        <v>14.375</v>
      </c>
      <c r="F655" s="2" t="s">
        <v>193</v>
      </c>
      <c r="G655">
        <f ca="1" t="shared" si="30"/>
        <v>1.15376879394639</v>
      </c>
      <c r="H655" t="str">
        <f ca="1" t="shared" si="31"/>
        <v>Risk-On</v>
      </c>
      <c r="I655">
        <f ca="1" t="shared" si="32"/>
        <v>1</v>
      </c>
      <c r="J655">
        <f>_xlfn.XLOOKUP($A655,[1]Sheet1!$B$9:$B$2584,[1]Sheet1!$C$9:$C$2584,"N/A",0)</f>
        <v>97.51</v>
      </c>
      <c r="K655">
        <f>_xlfn.XLOOKUP($A655,[1]Sheet1!$E$9:$E$2584,[1]Sheet1!$F$9:$F$2584,"N/A",0)</f>
        <v>133.52</v>
      </c>
      <c r="L655">
        <f>_xlfn.XLOOKUP($A655,[1]Sheet1!$H$9:$H$2584,[1]Sheet1!$I$9:$I$2584,"N/A",0)</f>
        <v>90.8</v>
      </c>
      <c r="M655">
        <f>_xlfn.XLOOKUP($A655,[1]Sheet1!$K$9:$K$2584,[1]Sheet1!$L$9:$L$2584,"N/A",0)</f>
        <v>138.66</v>
      </c>
      <c r="N655">
        <f>_xlfn.XLOOKUP($A655,[1]Sheet1!$N$9:$N$2584,[1]Sheet1!$O$9:$O$2584,"N/A",0)</f>
        <v>91.95</v>
      </c>
      <c r="O655">
        <v>97.51</v>
      </c>
      <c r="P655">
        <v>133.52</v>
      </c>
      <c r="Q655">
        <v>90.8</v>
      </c>
      <c r="R655">
        <v>91.95</v>
      </c>
      <c r="S655">
        <v>138.66</v>
      </c>
    </row>
    <row r="656" spans="1:19">
      <c r="A656" s="1">
        <v>43319</v>
      </c>
      <c r="B656" t="s">
        <v>352</v>
      </c>
      <c r="C656" t="s">
        <v>360</v>
      </c>
      <c r="D656">
        <v>12.725</v>
      </c>
      <c r="E656">
        <v>14.025</v>
      </c>
      <c r="F656" s="2" t="s">
        <v>363</v>
      </c>
      <c r="G656">
        <f ca="1" t="shared" si="30"/>
        <v>1.1325431862663</v>
      </c>
      <c r="H656" t="str">
        <f ca="1" t="shared" si="31"/>
        <v>Risk-Off</v>
      </c>
      <c r="I656">
        <f ca="1" t="shared" si="32"/>
        <v>1</v>
      </c>
      <c r="J656">
        <f>_xlfn.XLOOKUP($A656,[1]Sheet1!$B$9:$B$2584,[1]Sheet1!$C$9:$C$2584,"N/A",0)</f>
        <v>97.81</v>
      </c>
      <c r="K656">
        <f>_xlfn.XLOOKUP($A656,[1]Sheet1!$E$9:$E$2584,[1]Sheet1!$F$9:$F$2584,"N/A",0)</f>
        <v>134.12</v>
      </c>
      <c r="L656">
        <f>_xlfn.XLOOKUP($A656,[1]Sheet1!$H$9:$H$2584,[1]Sheet1!$I$9:$I$2584,"N/A",0)</f>
        <v>90.83</v>
      </c>
      <c r="M656">
        <f>_xlfn.XLOOKUP($A656,[1]Sheet1!$K$9:$K$2584,[1]Sheet1!$L$9:$L$2584,"N/A",0)</f>
        <v>138.89</v>
      </c>
      <c r="N656">
        <f>_xlfn.XLOOKUP($A656,[1]Sheet1!$N$9:$N$2584,[1]Sheet1!$O$9:$O$2584,"N/A",0)</f>
        <v>92.45</v>
      </c>
      <c r="O656">
        <v>97.81</v>
      </c>
      <c r="P656">
        <v>134.12</v>
      </c>
      <c r="Q656">
        <v>90.83</v>
      </c>
      <c r="R656">
        <v>92.45</v>
      </c>
      <c r="S656">
        <v>138.89</v>
      </c>
    </row>
    <row r="657" spans="1:19">
      <c r="A657" s="1">
        <v>43320</v>
      </c>
      <c r="B657" t="s">
        <v>352</v>
      </c>
      <c r="C657" t="s">
        <v>360</v>
      </c>
      <c r="D657">
        <v>12.575</v>
      </c>
      <c r="E657">
        <v>13.975</v>
      </c>
      <c r="F657" s="2" t="s">
        <v>202</v>
      </c>
      <c r="G657">
        <f ca="1" t="shared" si="30"/>
        <v>1.26356142041427</v>
      </c>
      <c r="H657" t="str">
        <f ca="1" t="shared" si="31"/>
        <v>Risk-Off</v>
      </c>
      <c r="I657">
        <f ca="1" t="shared" si="32"/>
        <v>1</v>
      </c>
      <c r="J657">
        <f>_xlfn.XLOOKUP($A657,[1]Sheet1!$B$9:$B$2584,[1]Sheet1!$C$9:$C$2584,"N/A",0)</f>
        <v>97.23</v>
      </c>
      <c r="K657">
        <f>_xlfn.XLOOKUP($A657,[1]Sheet1!$E$9:$E$2584,[1]Sheet1!$F$9:$F$2584,"N/A",0)</f>
        <v>134.45</v>
      </c>
      <c r="L657">
        <f>_xlfn.XLOOKUP($A657,[1]Sheet1!$H$9:$H$2584,[1]Sheet1!$I$9:$I$2584,"N/A",0)</f>
        <v>90.93</v>
      </c>
      <c r="M657">
        <f>_xlfn.XLOOKUP($A657,[1]Sheet1!$K$9:$K$2584,[1]Sheet1!$L$9:$L$2584,"N/A",0)</f>
        <v>139.05</v>
      </c>
      <c r="N657">
        <f>_xlfn.XLOOKUP($A657,[1]Sheet1!$N$9:$N$2584,[1]Sheet1!$O$9:$O$2584,"N/A",0)</f>
        <v>92.57</v>
      </c>
      <c r="O657">
        <v>97.23</v>
      </c>
      <c r="P657">
        <v>134.45</v>
      </c>
      <c r="Q657">
        <v>90.93</v>
      </c>
      <c r="R657">
        <v>92.57</v>
      </c>
      <c r="S657">
        <v>139.05</v>
      </c>
    </row>
    <row r="658" spans="1:19">
      <c r="A658" s="1">
        <v>43321</v>
      </c>
      <c r="B658" t="s">
        <v>352</v>
      </c>
      <c r="C658" t="s">
        <v>360</v>
      </c>
      <c r="D658">
        <v>12.675</v>
      </c>
      <c r="E658">
        <v>14.125</v>
      </c>
      <c r="F658" s="2" t="s">
        <v>195</v>
      </c>
      <c r="G658">
        <f ca="1" t="shared" si="30"/>
        <v>1.30736909750382</v>
      </c>
      <c r="H658" t="str">
        <f ca="1" t="shared" si="31"/>
        <v>Risk-Off</v>
      </c>
      <c r="I658">
        <f ca="1" t="shared" si="32"/>
        <v>1</v>
      </c>
      <c r="J658">
        <f>_xlfn.XLOOKUP($A658,[1]Sheet1!$B$9:$B$2584,[1]Sheet1!$C$9:$C$2584,"N/A",0)</f>
        <v>97.49</v>
      </c>
      <c r="K658">
        <f>_xlfn.XLOOKUP($A658,[1]Sheet1!$E$9:$E$2584,[1]Sheet1!$F$9:$F$2584,"N/A",0)</f>
        <v>134.95</v>
      </c>
      <c r="L658">
        <f>_xlfn.XLOOKUP($A658,[1]Sheet1!$H$9:$H$2584,[1]Sheet1!$I$9:$I$2584,"N/A",0)</f>
        <v>90.67</v>
      </c>
      <c r="M658">
        <f>_xlfn.XLOOKUP($A658,[1]Sheet1!$K$9:$K$2584,[1]Sheet1!$L$9:$L$2584,"N/A",0)</f>
        <v>138.39</v>
      </c>
      <c r="N658">
        <f>_xlfn.XLOOKUP($A658,[1]Sheet1!$N$9:$N$2584,[1]Sheet1!$O$9:$O$2584,"N/A",0)</f>
        <v>92.28</v>
      </c>
      <c r="O658">
        <v>97.49</v>
      </c>
      <c r="P658">
        <v>134.95</v>
      </c>
      <c r="Q658">
        <v>90.67</v>
      </c>
      <c r="R658">
        <v>92.28</v>
      </c>
      <c r="S658">
        <v>138.39</v>
      </c>
    </row>
    <row r="659" spans="1:19">
      <c r="A659" s="1">
        <v>43322</v>
      </c>
      <c r="B659" t="s">
        <v>352</v>
      </c>
      <c r="C659" t="s">
        <v>360</v>
      </c>
      <c r="D659">
        <v>13.775</v>
      </c>
      <c r="E659">
        <v>14.775</v>
      </c>
      <c r="F659">
        <v>0.072595281306715</v>
      </c>
      <c r="G659">
        <f ca="1" t="shared" si="30"/>
        <v>0.710157367412798</v>
      </c>
      <c r="H659" t="str">
        <f ca="1" t="shared" si="31"/>
        <v>Risk-On</v>
      </c>
      <c r="I659">
        <f ca="1" t="shared" si="32"/>
        <v>1</v>
      </c>
      <c r="J659">
        <f>_xlfn.XLOOKUP($A659,[1]Sheet1!$B$9:$B$2584,[1]Sheet1!$C$9:$C$2584,"N/A",0)</f>
        <v>97.5</v>
      </c>
      <c r="K659">
        <f>_xlfn.XLOOKUP($A659,[1]Sheet1!$E$9:$E$2584,[1]Sheet1!$F$9:$F$2584,"N/A",0)</f>
        <v>135.97</v>
      </c>
      <c r="L659">
        <f>_xlfn.XLOOKUP($A659,[1]Sheet1!$H$9:$H$2584,[1]Sheet1!$I$9:$I$2584,"N/A",0)</f>
        <v>90.45</v>
      </c>
      <c r="M659">
        <f>_xlfn.XLOOKUP($A659,[1]Sheet1!$K$9:$K$2584,[1]Sheet1!$L$9:$L$2584,"N/A",0)</f>
        <v>138.52</v>
      </c>
      <c r="N659">
        <f>_xlfn.XLOOKUP($A659,[1]Sheet1!$N$9:$N$2584,[1]Sheet1!$O$9:$O$2584,"N/A",0)</f>
        <v>92.05</v>
      </c>
      <c r="O659">
        <v>97.5</v>
      </c>
      <c r="P659">
        <v>135.97</v>
      </c>
      <c r="Q659">
        <v>90.45</v>
      </c>
      <c r="R659">
        <v>92.05</v>
      </c>
      <c r="S659">
        <v>138.52</v>
      </c>
    </row>
    <row r="660" spans="1:19">
      <c r="A660" s="1">
        <v>43325</v>
      </c>
      <c r="B660" t="s">
        <v>352</v>
      </c>
      <c r="C660" t="s">
        <v>360</v>
      </c>
      <c r="D660">
        <v>14.875</v>
      </c>
      <c r="E660">
        <v>15.475</v>
      </c>
      <c r="F660">
        <v>0.0403361344537814</v>
      </c>
      <c r="G660">
        <f ca="1" t="shared" si="30"/>
        <v>0.240354153209493</v>
      </c>
      <c r="H660" t="str">
        <f ca="1" t="shared" si="31"/>
        <v>Risk-On</v>
      </c>
      <c r="I660">
        <f ca="1" t="shared" si="32"/>
        <v>1</v>
      </c>
      <c r="J660">
        <f>_xlfn.XLOOKUP($A660,[1]Sheet1!$B$9:$B$2584,[1]Sheet1!$C$9:$C$2584,"N/A",0)</f>
        <v>97.58</v>
      </c>
      <c r="K660">
        <f>_xlfn.XLOOKUP($A660,[1]Sheet1!$E$9:$E$2584,[1]Sheet1!$F$9:$F$2584,"N/A",0)</f>
        <v>135.97</v>
      </c>
      <c r="L660">
        <f>_xlfn.XLOOKUP($A660,[1]Sheet1!$H$9:$H$2584,[1]Sheet1!$I$9:$I$2584,"N/A",0)</f>
        <v>90.71</v>
      </c>
      <c r="M660">
        <f>_xlfn.XLOOKUP($A660,[1]Sheet1!$K$9:$K$2584,[1]Sheet1!$L$9:$L$2584,"N/A",0)</f>
        <v>138.89</v>
      </c>
      <c r="N660">
        <f>_xlfn.XLOOKUP($A660,[1]Sheet1!$N$9:$N$2584,[1]Sheet1!$O$9:$O$2584,"N/A",0)</f>
        <v>92.15</v>
      </c>
      <c r="O660">
        <v>97.58</v>
      </c>
      <c r="P660">
        <v>135.97</v>
      </c>
      <c r="Q660">
        <v>90.71</v>
      </c>
      <c r="R660">
        <v>92.15</v>
      </c>
      <c r="S660">
        <v>138.89</v>
      </c>
    </row>
    <row r="661" spans="1:19">
      <c r="A661" s="1">
        <v>43326</v>
      </c>
      <c r="B661" t="s">
        <v>352</v>
      </c>
      <c r="C661" t="s">
        <v>360</v>
      </c>
      <c r="D661">
        <v>13.725</v>
      </c>
      <c r="E661">
        <v>14.725</v>
      </c>
      <c r="F661">
        <v>0.0728597449908925</v>
      </c>
      <c r="G661">
        <f ca="1" t="shared" si="30"/>
        <v>0.700607970242226</v>
      </c>
      <c r="H661" t="str">
        <f ca="1" t="shared" si="31"/>
        <v>Risk-Off</v>
      </c>
      <c r="I661">
        <f ca="1" t="shared" si="32"/>
        <v>1</v>
      </c>
      <c r="J661">
        <f>_xlfn.XLOOKUP($A661,[1]Sheet1!$B$9:$B$2584,[1]Sheet1!$C$9:$C$2584,"N/A",0)</f>
        <v>97.54</v>
      </c>
      <c r="K661">
        <f>_xlfn.XLOOKUP($A661,[1]Sheet1!$E$9:$E$2584,[1]Sheet1!$F$9:$F$2584,"N/A",0)</f>
        <v>136.48</v>
      </c>
      <c r="L661">
        <f>_xlfn.XLOOKUP($A661,[1]Sheet1!$H$9:$H$2584,[1]Sheet1!$I$9:$I$2584,"N/A",0)</f>
        <v>91.12</v>
      </c>
      <c r="M661">
        <f>_xlfn.XLOOKUP($A661,[1]Sheet1!$K$9:$K$2584,[1]Sheet1!$L$9:$L$2584,"N/A",0)</f>
        <v>139.46</v>
      </c>
      <c r="N661">
        <f>_xlfn.XLOOKUP($A661,[1]Sheet1!$N$9:$N$2584,[1]Sheet1!$O$9:$O$2584,"N/A",0)</f>
        <v>91.78</v>
      </c>
      <c r="O661">
        <v>97.54</v>
      </c>
      <c r="P661">
        <v>136.48</v>
      </c>
      <c r="Q661">
        <v>91.12</v>
      </c>
      <c r="R661">
        <v>91.78</v>
      </c>
      <c r="S661">
        <v>139.46</v>
      </c>
    </row>
    <row r="662" spans="1:19">
      <c r="A662" s="1">
        <v>43327</v>
      </c>
      <c r="B662" t="s">
        <v>352</v>
      </c>
      <c r="C662" t="s">
        <v>360</v>
      </c>
      <c r="D662">
        <v>14.875</v>
      </c>
      <c r="E662">
        <v>15.225</v>
      </c>
      <c r="F662" s="2" t="s">
        <v>364</v>
      </c>
      <c r="G662">
        <f ca="1" t="shared" si="30"/>
        <v>-0.0057327501046327</v>
      </c>
      <c r="H662" t="str">
        <f ca="1" t="shared" si="31"/>
        <v>Risk-On</v>
      </c>
      <c r="I662">
        <f ca="1" t="shared" si="32"/>
        <v>1</v>
      </c>
      <c r="J662">
        <f>_xlfn.XLOOKUP($A662,[1]Sheet1!$B$9:$B$2584,[1]Sheet1!$C$9:$C$2584,"N/A",0)</f>
        <v>97.35</v>
      </c>
      <c r="K662">
        <f>_xlfn.XLOOKUP($A662,[1]Sheet1!$E$9:$E$2584,[1]Sheet1!$F$9:$F$2584,"N/A",0)</f>
        <v>134.9</v>
      </c>
      <c r="L662">
        <f>_xlfn.XLOOKUP($A662,[1]Sheet1!$H$9:$H$2584,[1]Sheet1!$I$9:$I$2584,"N/A",0)</f>
        <v>90.93</v>
      </c>
      <c r="M662">
        <f>_xlfn.XLOOKUP($A662,[1]Sheet1!$K$9:$K$2584,[1]Sheet1!$L$9:$L$2584,"N/A",0)</f>
        <v>140.44</v>
      </c>
      <c r="N662">
        <f>_xlfn.XLOOKUP($A662,[1]Sheet1!$N$9:$N$2584,[1]Sheet1!$O$9:$O$2584,"N/A",0)</f>
        <v>92.17</v>
      </c>
      <c r="O662">
        <v>97.35</v>
      </c>
      <c r="P662">
        <v>134.9</v>
      </c>
      <c r="Q662">
        <v>90.93</v>
      </c>
      <c r="R662">
        <v>92.17</v>
      </c>
      <c r="S662">
        <v>140.44</v>
      </c>
    </row>
    <row r="663" spans="1:19">
      <c r="A663" s="1">
        <v>43328</v>
      </c>
      <c r="B663" t="s">
        <v>352</v>
      </c>
      <c r="C663" t="s">
        <v>360</v>
      </c>
      <c r="D663">
        <v>13.725</v>
      </c>
      <c r="E663">
        <v>14.775</v>
      </c>
      <c r="F663">
        <v>0.0765027322404372</v>
      </c>
      <c r="G663">
        <f ca="1" t="shared" si="30"/>
        <v>0.753464892606492</v>
      </c>
      <c r="H663" t="str">
        <f ca="1" t="shared" si="31"/>
        <v>Risk-Off</v>
      </c>
      <c r="I663">
        <f ca="1" t="shared" si="32"/>
        <v>1</v>
      </c>
      <c r="J663">
        <f>_xlfn.XLOOKUP($A663,[1]Sheet1!$B$9:$B$2584,[1]Sheet1!$C$9:$C$2584,"N/A",0)</f>
        <v>97.19</v>
      </c>
      <c r="K663">
        <f>_xlfn.XLOOKUP($A663,[1]Sheet1!$E$9:$E$2584,[1]Sheet1!$F$9:$F$2584,"N/A",0)</f>
        <v>134.79</v>
      </c>
      <c r="L663">
        <f>_xlfn.XLOOKUP($A663,[1]Sheet1!$H$9:$H$2584,[1]Sheet1!$I$9:$I$2584,"N/A",0)</f>
        <v>91.16</v>
      </c>
      <c r="M663">
        <f>_xlfn.XLOOKUP($A663,[1]Sheet1!$K$9:$K$2584,[1]Sheet1!$L$9:$L$2584,"N/A",0)</f>
        <v>140.57</v>
      </c>
      <c r="N663">
        <f>_xlfn.XLOOKUP($A663,[1]Sheet1!$N$9:$N$2584,[1]Sheet1!$O$9:$O$2584,"N/A",0)</f>
        <v>92.12</v>
      </c>
      <c r="O663">
        <v>97.19</v>
      </c>
      <c r="P663">
        <v>134.79</v>
      </c>
      <c r="Q663">
        <v>91.16</v>
      </c>
      <c r="R663">
        <v>92.12</v>
      </c>
      <c r="S663">
        <v>140.57</v>
      </c>
    </row>
    <row r="664" spans="1:19">
      <c r="A664" s="1">
        <v>43329</v>
      </c>
      <c r="B664" t="s">
        <v>352</v>
      </c>
      <c r="C664" t="s">
        <v>360</v>
      </c>
      <c r="D664">
        <v>13.075</v>
      </c>
      <c r="E664">
        <v>14.325</v>
      </c>
      <c r="F664">
        <v>0.0956022944550669</v>
      </c>
      <c r="G664">
        <f ca="1" t="shared" si="30"/>
        <v>1.01764209479491</v>
      </c>
      <c r="H664" t="str">
        <f ca="1" t="shared" si="31"/>
        <v>Risk-Off</v>
      </c>
      <c r="I664">
        <f ca="1" t="shared" si="32"/>
        <v>1</v>
      </c>
      <c r="J664">
        <f>_xlfn.XLOOKUP($A664,[1]Sheet1!$B$9:$B$2584,[1]Sheet1!$C$9:$C$2584,"N/A",0)</f>
        <v>96.96</v>
      </c>
      <c r="K664">
        <f>_xlfn.XLOOKUP($A664,[1]Sheet1!$E$9:$E$2584,[1]Sheet1!$F$9:$F$2584,"N/A",0)</f>
        <v>134.6</v>
      </c>
      <c r="L664">
        <f>_xlfn.XLOOKUP($A664,[1]Sheet1!$H$9:$H$2584,[1]Sheet1!$I$9:$I$2584,"N/A",0)</f>
        <v>91.61</v>
      </c>
      <c r="M664">
        <f>_xlfn.XLOOKUP($A664,[1]Sheet1!$K$9:$K$2584,[1]Sheet1!$L$9:$L$2584,"N/A",0)</f>
        <v>140.25</v>
      </c>
      <c r="N664">
        <f>_xlfn.XLOOKUP($A664,[1]Sheet1!$N$9:$N$2584,[1]Sheet1!$O$9:$O$2584,"N/A",0)</f>
        <v>91.9</v>
      </c>
      <c r="O664">
        <v>96.96</v>
      </c>
      <c r="P664">
        <v>134.6</v>
      </c>
      <c r="Q664">
        <v>91.61</v>
      </c>
      <c r="R664">
        <v>91.9</v>
      </c>
      <c r="S664">
        <v>140.25</v>
      </c>
    </row>
    <row r="665" spans="1:19">
      <c r="A665" s="1">
        <v>43332</v>
      </c>
      <c r="B665" t="s">
        <v>352</v>
      </c>
      <c r="C665" t="s">
        <v>360</v>
      </c>
      <c r="D665">
        <v>12.775</v>
      </c>
      <c r="E665">
        <v>14.175</v>
      </c>
      <c r="F665" s="2" t="s">
        <v>365</v>
      </c>
      <c r="G665">
        <f ca="1" t="shared" si="30"/>
        <v>1.20447469327684</v>
      </c>
      <c r="H665" t="str">
        <f ca="1" t="shared" si="31"/>
        <v>Risk-On</v>
      </c>
      <c r="I665">
        <f ca="1" t="shared" si="32"/>
        <v>1</v>
      </c>
      <c r="J665">
        <f>_xlfn.XLOOKUP($A665,[1]Sheet1!$B$9:$B$2584,[1]Sheet1!$C$9:$C$2584,"N/A",0)</f>
        <v>96.95</v>
      </c>
      <c r="K665">
        <f>_xlfn.XLOOKUP($A665,[1]Sheet1!$E$9:$E$2584,[1]Sheet1!$F$9:$F$2584,"N/A",0)</f>
        <v>135.05</v>
      </c>
      <c r="L665">
        <f>_xlfn.XLOOKUP($A665,[1]Sheet1!$H$9:$H$2584,[1]Sheet1!$I$9:$I$2584,"N/A",0)</f>
        <v>91.85</v>
      </c>
      <c r="M665">
        <f>_xlfn.XLOOKUP($A665,[1]Sheet1!$K$9:$K$2584,[1]Sheet1!$L$9:$L$2584,"N/A",0)</f>
        <v>140.79</v>
      </c>
      <c r="N665">
        <f>_xlfn.XLOOKUP($A665,[1]Sheet1!$N$9:$N$2584,[1]Sheet1!$O$9:$O$2584,"N/A",0)</f>
        <v>91.85</v>
      </c>
      <c r="O665">
        <v>96.95</v>
      </c>
      <c r="P665">
        <v>135.05</v>
      </c>
      <c r="Q665">
        <v>91.85</v>
      </c>
      <c r="R665">
        <v>91.85</v>
      </c>
      <c r="S665">
        <v>140.79</v>
      </c>
    </row>
    <row r="666" spans="1:19">
      <c r="A666" s="1">
        <v>43333</v>
      </c>
      <c r="B666" t="s">
        <v>352</v>
      </c>
      <c r="C666" t="s">
        <v>360</v>
      </c>
      <c r="D666">
        <v>12.875</v>
      </c>
      <c r="E666">
        <v>14.625</v>
      </c>
      <c r="F666" s="2" t="s">
        <v>366</v>
      </c>
      <c r="G666">
        <f ca="1" t="shared" si="30"/>
        <v>1.57793369896464</v>
      </c>
      <c r="H666" t="str">
        <f ca="1" t="shared" si="31"/>
        <v>Risk-On</v>
      </c>
      <c r="I666">
        <f ca="1" t="shared" si="32"/>
        <v>1</v>
      </c>
      <c r="J666">
        <f>_xlfn.XLOOKUP($A666,[1]Sheet1!$B$9:$B$2584,[1]Sheet1!$C$9:$C$2584,"N/A",0)</f>
        <v>97.04</v>
      </c>
      <c r="K666">
        <f>_xlfn.XLOOKUP($A666,[1]Sheet1!$E$9:$E$2584,[1]Sheet1!$F$9:$F$2584,"N/A",0)</f>
        <v>134.44</v>
      </c>
      <c r="L666">
        <f>_xlfn.XLOOKUP($A666,[1]Sheet1!$H$9:$H$2584,[1]Sheet1!$I$9:$I$2584,"N/A",0)</f>
        <v>91.71</v>
      </c>
      <c r="M666">
        <f>_xlfn.XLOOKUP($A666,[1]Sheet1!$K$9:$K$2584,[1]Sheet1!$L$9:$L$2584,"N/A",0)</f>
        <v>140.85</v>
      </c>
      <c r="N666">
        <f>_xlfn.XLOOKUP($A666,[1]Sheet1!$N$9:$N$2584,[1]Sheet1!$O$9:$O$2584,"N/A",0)</f>
        <v>91.26</v>
      </c>
      <c r="O666">
        <v>97.04</v>
      </c>
      <c r="P666">
        <v>134.44</v>
      </c>
      <c r="Q666">
        <v>91.71</v>
      </c>
      <c r="R666">
        <v>91.26</v>
      </c>
      <c r="S666">
        <v>140.85</v>
      </c>
    </row>
    <row r="667" spans="1:19">
      <c r="A667" s="1">
        <v>43334</v>
      </c>
      <c r="B667" t="s">
        <v>352</v>
      </c>
      <c r="C667" t="s">
        <v>360</v>
      </c>
      <c r="D667">
        <v>12.61</v>
      </c>
      <c r="E667">
        <v>14.175</v>
      </c>
      <c r="F667" s="2" t="s">
        <v>367</v>
      </c>
      <c r="G667">
        <f ca="1" t="shared" si="30"/>
        <v>1.41038062008449</v>
      </c>
      <c r="H667" t="str">
        <f ca="1" t="shared" si="31"/>
        <v>Risk-On</v>
      </c>
      <c r="I667">
        <f ca="1" t="shared" si="32"/>
        <v>1</v>
      </c>
      <c r="J667">
        <f>_xlfn.XLOOKUP($A667,[1]Sheet1!$B$9:$B$2584,[1]Sheet1!$C$9:$C$2584,"N/A",0)</f>
        <v>97.08</v>
      </c>
      <c r="K667">
        <f>_xlfn.XLOOKUP($A667,[1]Sheet1!$E$9:$E$2584,[1]Sheet1!$F$9:$F$2584,"N/A",0)</f>
        <v>135.47</v>
      </c>
      <c r="L667">
        <f>_xlfn.XLOOKUP($A667,[1]Sheet1!$H$9:$H$2584,[1]Sheet1!$I$9:$I$2584,"N/A",0)</f>
        <v>91.23</v>
      </c>
      <c r="M667">
        <f>_xlfn.XLOOKUP($A667,[1]Sheet1!$K$9:$K$2584,[1]Sheet1!$L$9:$L$2584,"N/A",0)</f>
        <v>140.54</v>
      </c>
      <c r="N667">
        <f>_xlfn.XLOOKUP($A667,[1]Sheet1!$N$9:$N$2584,[1]Sheet1!$O$9:$O$2584,"N/A",0)</f>
        <v>91.07</v>
      </c>
      <c r="O667">
        <v>97.08</v>
      </c>
      <c r="P667">
        <v>135.47</v>
      </c>
      <c r="Q667">
        <v>91.23</v>
      </c>
      <c r="R667">
        <v>91.07</v>
      </c>
      <c r="S667">
        <v>140.54</v>
      </c>
    </row>
    <row r="668" spans="1:19">
      <c r="A668" s="1">
        <v>43335</v>
      </c>
      <c r="B668" t="s">
        <v>360</v>
      </c>
      <c r="C668" t="s">
        <v>368</v>
      </c>
      <c r="D668">
        <v>14.225</v>
      </c>
      <c r="E668">
        <v>15.175</v>
      </c>
      <c r="F668">
        <v>0.0667838312829526</v>
      </c>
      <c r="G668">
        <f ca="1" t="shared" si="30"/>
        <v>0.598515462913145</v>
      </c>
      <c r="H668" t="str">
        <f ca="1" t="shared" si="31"/>
        <v>Risk-On</v>
      </c>
      <c r="I668">
        <f ca="1" t="shared" si="32"/>
        <v>1</v>
      </c>
      <c r="J668">
        <f>_xlfn.XLOOKUP($A668,[1]Sheet1!$B$9:$B$2584,[1]Sheet1!$C$9:$C$2584,"N/A",0)</f>
        <v>97.05</v>
      </c>
      <c r="K668">
        <f>_xlfn.XLOOKUP($A668,[1]Sheet1!$E$9:$E$2584,[1]Sheet1!$F$9:$F$2584,"N/A",0)</f>
        <v>136.47</v>
      </c>
      <c r="L668">
        <f>_xlfn.XLOOKUP($A668,[1]Sheet1!$H$9:$H$2584,[1]Sheet1!$I$9:$I$2584,"N/A",0)</f>
        <v>91.24</v>
      </c>
      <c r="M668">
        <f>_xlfn.XLOOKUP($A668,[1]Sheet1!$K$9:$K$2584,[1]Sheet1!$L$9:$L$2584,"N/A",0)</f>
        <v>141.63</v>
      </c>
      <c r="N668">
        <f>_xlfn.XLOOKUP($A668,[1]Sheet1!$N$9:$N$2584,[1]Sheet1!$O$9:$O$2584,"N/A",0)</f>
        <v>91.15</v>
      </c>
      <c r="O668">
        <v>97.05</v>
      </c>
      <c r="P668">
        <v>136.47</v>
      </c>
      <c r="Q668">
        <v>91.24</v>
      </c>
      <c r="R668">
        <v>91.15</v>
      </c>
      <c r="S668">
        <v>141.63</v>
      </c>
    </row>
    <row r="669" spans="1:19">
      <c r="A669" s="1">
        <v>43336</v>
      </c>
      <c r="B669" t="s">
        <v>360</v>
      </c>
      <c r="C669" t="s">
        <v>368</v>
      </c>
      <c r="D669">
        <v>14.125</v>
      </c>
      <c r="E669">
        <v>15.175</v>
      </c>
      <c r="F669">
        <v>0.0743362831858407</v>
      </c>
      <c r="G669">
        <f ca="1" t="shared" si="30"/>
        <v>0.702542511243368</v>
      </c>
      <c r="H669" t="str">
        <f ca="1" t="shared" si="31"/>
        <v>Risk-On</v>
      </c>
      <c r="I669">
        <f ca="1" t="shared" si="32"/>
        <v>1</v>
      </c>
      <c r="J669">
        <f>_xlfn.XLOOKUP($A669,[1]Sheet1!$B$9:$B$2584,[1]Sheet1!$C$9:$C$2584,"N/A",0)</f>
        <v>97.17</v>
      </c>
      <c r="K669">
        <f>_xlfn.XLOOKUP($A669,[1]Sheet1!$E$9:$E$2584,[1]Sheet1!$F$9:$F$2584,"N/A",0)</f>
        <v>137.01</v>
      </c>
      <c r="L669">
        <f>_xlfn.XLOOKUP($A669,[1]Sheet1!$H$9:$H$2584,[1]Sheet1!$I$9:$I$2584,"N/A",0)</f>
        <v>90.44</v>
      </c>
      <c r="M669">
        <f>_xlfn.XLOOKUP($A669,[1]Sheet1!$K$9:$K$2584,[1]Sheet1!$L$9:$L$2584,"N/A",0)</f>
        <v>141.38</v>
      </c>
      <c r="N669">
        <f>_xlfn.XLOOKUP($A669,[1]Sheet1!$N$9:$N$2584,[1]Sheet1!$O$9:$O$2584,"N/A",0)</f>
        <v>91.3</v>
      </c>
      <c r="O669">
        <v>97.17</v>
      </c>
      <c r="P669">
        <v>137.01</v>
      </c>
      <c r="Q669">
        <v>90.44</v>
      </c>
      <c r="R669">
        <v>91.3</v>
      </c>
      <c r="S669">
        <v>141.38</v>
      </c>
    </row>
    <row r="670" spans="1:19">
      <c r="A670" s="1">
        <v>43339</v>
      </c>
      <c r="B670" t="s">
        <v>360</v>
      </c>
      <c r="C670" t="s">
        <v>368</v>
      </c>
      <c r="D670">
        <v>14.125</v>
      </c>
      <c r="E670">
        <v>15.225</v>
      </c>
      <c r="F670">
        <v>0.0778761061946902</v>
      </c>
      <c r="G670">
        <f ca="1" t="shared" si="30"/>
        <v>0.74962971390454</v>
      </c>
      <c r="H670" t="str">
        <f ca="1" t="shared" si="31"/>
        <v>Risk-Off</v>
      </c>
      <c r="I670">
        <f ca="1" t="shared" si="32"/>
        <v>1</v>
      </c>
      <c r="J670">
        <f>_xlfn.XLOOKUP($A670,[1]Sheet1!$B$9:$B$2584,[1]Sheet1!$C$9:$C$2584,"N/A",0)</f>
        <v>97.24</v>
      </c>
      <c r="K670">
        <f>_xlfn.XLOOKUP($A670,[1]Sheet1!$E$9:$E$2584,[1]Sheet1!$F$9:$F$2584,"N/A",0)</f>
        <v>136.22</v>
      </c>
      <c r="L670">
        <f>_xlfn.XLOOKUP($A670,[1]Sheet1!$H$9:$H$2584,[1]Sheet1!$I$9:$I$2584,"N/A",0)</f>
        <v>90.63</v>
      </c>
      <c r="M670">
        <f>_xlfn.XLOOKUP($A670,[1]Sheet1!$K$9:$K$2584,[1]Sheet1!$L$9:$L$2584,"N/A",0)</f>
        <v>140.53</v>
      </c>
      <c r="N670">
        <f>_xlfn.XLOOKUP($A670,[1]Sheet1!$N$9:$N$2584,[1]Sheet1!$O$9:$O$2584,"N/A",0)</f>
        <v>91.73</v>
      </c>
      <c r="O670">
        <v>97.24</v>
      </c>
      <c r="P670">
        <v>136.22</v>
      </c>
      <c r="Q670">
        <v>90.63</v>
      </c>
      <c r="R670">
        <v>91.73</v>
      </c>
      <c r="S670">
        <v>140.53</v>
      </c>
    </row>
    <row r="671" spans="1:19">
      <c r="A671" s="1">
        <v>43340</v>
      </c>
      <c r="B671" t="s">
        <v>360</v>
      </c>
      <c r="C671" t="s">
        <v>368</v>
      </c>
      <c r="D671">
        <v>14.075</v>
      </c>
      <c r="E671">
        <v>15.275</v>
      </c>
      <c r="F671">
        <v>0.0852575488454707</v>
      </c>
      <c r="G671">
        <f ca="1" t="shared" si="30"/>
        <v>0.853023923807819</v>
      </c>
      <c r="H671" t="str">
        <f ca="1" t="shared" si="31"/>
        <v>Risk-On</v>
      </c>
      <c r="I671">
        <f ca="1" t="shared" si="32"/>
        <v>1</v>
      </c>
      <c r="J671">
        <f>_xlfn.XLOOKUP($A671,[1]Sheet1!$B$9:$B$2584,[1]Sheet1!$C$9:$C$2584,"N/A",0)</f>
        <v>97.07</v>
      </c>
      <c r="K671">
        <f>_xlfn.XLOOKUP($A671,[1]Sheet1!$E$9:$E$2584,[1]Sheet1!$F$9:$F$2584,"N/A",0)</f>
        <v>136.09</v>
      </c>
      <c r="L671">
        <f>_xlfn.XLOOKUP($A671,[1]Sheet1!$H$9:$H$2584,[1]Sheet1!$I$9:$I$2584,"N/A",0)</f>
        <v>90.63</v>
      </c>
      <c r="M671">
        <f>_xlfn.XLOOKUP($A671,[1]Sheet1!$K$9:$K$2584,[1]Sheet1!$L$9:$L$2584,"N/A",0)</f>
        <v>140.71</v>
      </c>
      <c r="N671">
        <f>_xlfn.XLOOKUP($A671,[1]Sheet1!$N$9:$N$2584,[1]Sheet1!$O$9:$O$2584,"N/A",0)</f>
        <v>91.54</v>
      </c>
      <c r="O671">
        <v>97.07</v>
      </c>
      <c r="P671">
        <v>136.09</v>
      </c>
      <c r="Q671">
        <v>90.63</v>
      </c>
      <c r="R671">
        <v>91.54</v>
      </c>
      <c r="S671">
        <v>140.71</v>
      </c>
    </row>
    <row r="672" spans="1:19">
      <c r="A672" s="1">
        <v>43341</v>
      </c>
      <c r="B672" t="s">
        <v>360</v>
      </c>
      <c r="C672" t="s">
        <v>368</v>
      </c>
      <c r="D672">
        <v>13.925</v>
      </c>
      <c r="E672">
        <v>15.225</v>
      </c>
      <c r="F672">
        <v>0.0933572710951525</v>
      </c>
      <c r="G672">
        <f ca="1" t="shared" si="30"/>
        <v>0.964710140673437</v>
      </c>
      <c r="H672" t="str">
        <f ca="1" t="shared" si="31"/>
        <v>Risk-On</v>
      </c>
      <c r="I672">
        <f ca="1" t="shared" si="32"/>
        <v>1</v>
      </c>
      <c r="J672">
        <f>_xlfn.XLOOKUP($A672,[1]Sheet1!$B$9:$B$2584,[1]Sheet1!$C$9:$C$2584,"N/A",0)</f>
        <v>97.2</v>
      </c>
      <c r="K672">
        <f>_xlfn.XLOOKUP($A672,[1]Sheet1!$E$9:$E$2584,[1]Sheet1!$F$9:$F$2584,"N/A",0)</f>
        <v>136.68</v>
      </c>
      <c r="L672">
        <f>_xlfn.XLOOKUP($A672,[1]Sheet1!$H$9:$H$2584,[1]Sheet1!$I$9:$I$2584,"N/A",0)</f>
        <v>90.19</v>
      </c>
      <c r="M672">
        <f>_xlfn.XLOOKUP($A672,[1]Sheet1!$K$9:$K$2584,[1]Sheet1!$L$9:$L$2584,"N/A",0)</f>
        <v>140.23</v>
      </c>
      <c r="N672">
        <f>_xlfn.XLOOKUP($A672,[1]Sheet1!$N$9:$N$2584,[1]Sheet1!$O$9:$O$2584,"N/A",0)</f>
        <v>91.73</v>
      </c>
      <c r="O672">
        <v>97.2</v>
      </c>
      <c r="P672">
        <v>136.68</v>
      </c>
      <c r="Q672">
        <v>90.19</v>
      </c>
      <c r="R672">
        <v>91.73</v>
      </c>
      <c r="S672">
        <v>140.23</v>
      </c>
    </row>
    <row r="673" spans="1:19">
      <c r="A673" s="1">
        <v>43342</v>
      </c>
      <c r="B673" t="s">
        <v>360</v>
      </c>
      <c r="C673" t="s">
        <v>368</v>
      </c>
      <c r="D673">
        <v>14.525</v>
      </c>
      <c r="E673">
        <v>15.675</v>
      </c>
      <c r="F673">
        <v>0.0791738382099828</v>
      </c>
      <c r="G673">
        <f ca="1" t="shared" si="30"/>
        <v>0.76056511867978</v>
      </c>
      <c r="H673" t="str">
        <f ca="1" t="shared" si="31"/>
        <v>Risk-On</v>
      </c>
      <c r="I673">
        <f ca="1" t="shared" si="32"/>
        <v>1</v>
      </c>
      <c r="J673">
        <f>_xlfn.XLOOKUP($A673,[1]Sheet1!$B$9:$B$2584,[1]Sheet1!$C$9:$C$2584,"N/A",0)</f>
        <v>97.23</v>
      </c>
      <c r="K673">
        <f>_xlfn.XLOOKUP($A673,[1]Sheet1!$E$9:$E$2584,[1]Sheet1!$F$9:$F$2584,"N/A",0)</f>
        <v>137.28</v>
      </c>
      <c r="L673">
        <f>_xlfn.XLOOKUP($A673,[1]Sheet1!$H$9:$H$2584,[1]Sheet1!$I$9:$I$2584,"N/A",0)</f>
        <v>90.06</v>
      </c>
      <c r="M673">
        <f>_xlfn.XLOOKUP($A673,[1]Sheet1!$K$9:$K$2584,[1]Sheet1!$L$9:$L$2584,"N/A",0)</f>
        <v>140.61</v>
      </c>
      <c r="N673">
        <f>_xlfn.XLOOKUP($A673,[1]Sheet1!$N$9:$N$2584,[1]Sheet1!$O$9:$O$2584,"N/A",0)</f>
        <v>91.56</v>
      </c>
      <c r="O673">
        <v>97.23</v>
      </c>
      <c r="P673">
        <v>137.28</v>
      </c>
      <c r="Q673">
        <v>90.06</v>
      </c>
      <c r="R673">
        <v>91.56</v>
      </c>
      <c r="S673">
        <v>140.61</v>
      </c>
    </row>
    <row r="674" spans="1:19">
      <c r="A674" s="1">
        <v>43343</v>
      </c>
      <c r="B674" t="s">
        <v>360</v>
      </c>
      <c r="C674" t="s">
        <v>368</v>
      </c>
      <c r="D674">
        <v>14.025</v>
      </c>
      <c r="E674">
        <v>15.175</v>
      </c>
      <c r="F674">
        <v>0.0819964349376114</v>
      </c>
      <c r="G674">
        <f ca="1" t="shared" si="30"/>
        <v>0.798694821435747</v>
      </c>
      <c r="H674" t="str">
        <f ca="1" t="shared" si="31"/>
        <v>Risk-On</v>
      </c>
      <c r="I674">
        <f ca="1" t="shared" si="32"/>
        <v>1</v>
      </c>
      <c r="J674">
        <f>_xlfn.XLOOKUP($A674,[1]Sheet1!$B$9:$B$2584,[1]Sheet1!$C$9:$C$2584,"N/A",0)</f>
        <v>97.47</v>
      </c>
      <c r="K674">
        <f>_xlfn.XLOOKUP($A674,[1]Sheet1!$E$9:$E$2584,[1]Sheet1!$F$9:$F$2584,"N/A",0)</f>
        <v>137.99</v>
      </c>
      <c r="L674">
        <f>_xlfn.XLOOKUP($A674,[1]Sheet1!$H$9:$H$2584,[1]Sheet1!$I$9:$I$2584,"N/A",0)</f>
        <v>89.89</v>
      </c>
      <c r="M674">
        <f>_xlfn.XLOOKUP($A674,[1]Sheet1!$K$9:$K$2584,[1]Sheet1!$L$9:$L$2584,"N/A",0)</f>
        <v>141.4</v>
      </c>
      <c r="N674">
        <f>_xlfn.XLOOKUP($A674,[1]Sheet1!$N$9:$N$2584,[1]Sheet1!$O$9:$O$2584,"N/A",0)</f>
        <v>91.23</v>
      </c>
      <c r="O674">
        <v>97.47</v>
      </c>
      <c r="P674">
        <v>137.99</v>
      </c>
      <c r="Q674">
        <v>89.89</v>
      </c>
      <c r="R674">
        <v>91.23</v>
      </c>
      <c r="S674">
        <v>141.4</v>
      </c>
    </row>
    <row r="675" spans="1:19">
      <c r="A675" s="1">
        <v>43347</v>
      </c>
      <c r="B675" t="s">
        <v>360</v>
      </c>
      <c r="C675" t="s">
        <v>368</v>
      </c>
      <c r="D675">
        <v>14.225</v>
      </c>
      <c r="E675">
        <v>15.225</v>
      </c>
      <c r="F675">
        <v>0.070298769771529</v>
      </c>
      <c r="G675">
        <f ca="1" t="shared" si="30"/>
        <v>0.635024363345741</v>
      </c>
      <c r="H675" t="str">
        <f ca="1" t="shared" si="31"/>
        <v>Risk-On</v>
      </c>
      <c r="I675">
        <f ca="1" t="shared" si="32"/>
        <v>1</v>
      </c>
      <c r="J675">
        <f>_xlfn.XLOOKUP($A675,[1]Sheet1!$B$9:$B$2584,[1]Sheet1!$C$9:$C$2584,"N/A",0)</f>
        <v>97.32</v>
      </c>
      <c r="K675">
        <f>_xlfn.XLOOKUP($A675,[1]Sheet1!$E$9:$E$2584,[1]Sheet1!$F$9:$F$2584,"N/A",0)</f>
        <v>139.15</v>
      </c>
      <c r="L675">
        <f>_xlfn.XLOOKUP($A675,[1]Sheet1!$H$9:$H$2584,[1]Sheet1!$I$9:$I$2584,"N/A",0)</f>
        <v>89.84</v>
      </c>
      <c r="M675">
        <f>_xlfn.XLOOKUP($A675,[1]Sheet1!$K$9:$K$2584,[1]Sheet1!$L$9:$L$2584,"N/A",0)</f>
        <v>143.15</v>
      </c>
      <c r="N675">
        <f>_xlfn.XLOOKUP($A675,[1]Sheet1!$N$9:$N$2584,[1]Sheet1!$O$9:$O$2584,"N/A",0)</f>
        <v>91.43</v>
      </c>
      <c r="O675">
        <v>97.32</v>
      </c>
      <c r="P675">
        <v>139.15</v>
      </c>
      <c r="Q675">
        <v>89.84</v>
      </c>
      <c r="R675">
        <v>91.43</v>
      </c>
      <c r="S675">
        <v>143.15</v>
      </c>
    </row>
    <row r="676" spans="1:19">
      <c r="A676" s="1">
        <v>43348</v>
      </c>
      <c r="B676" t="s">
        <v>360</v>
      </c>
      <c r="C676" t="s">
        <v>368</v>
      </c>
      <c r="D676">
        <v>14.575</v>
      </c>
      <c r="E676">
        <v>15.525</v>
      </c>
      <c r="F676">
        <v>0.065180102915952</v>
      </c>
      <c r="G676">
        <f ca="1" t="shared" si="30"/>
        <v>0.565854865355596</v>
      </c>
      <c r="H676" t="str">
        <f ca="1" t="shared" si="31"/>
        <v>Risk-On</v>
      </c>
      <c r="I676">
        <f ca="1" t="shared" si="32"/>
        <v>1</v>
      </c>
      <c r="J676">
        <f>_xlfn.XLOOKUP($A676,[1]Sheet1!$B$9:$B$2584,[1]Sheet1!$C$9:$C$2584,"N/A",0)</f>
        <v>97</v>
      </c>
      <c r="K676">
        <f>_xlfn.XLOOKUP($A676,[1]Sheet1!$E$9:$E$2584,[1]Sheet1!$F$9:$F$2584,"N/A",0)</f>
        <v>136.95</v>
      </c>
      <c r="L676">
        <f>_xlfn.XLOOKUP($A676,[1]Sheet1!$H$9:$H$2584,[1]Sheet1!$I$9:$I$2584,"N/A",0)</f>
        <v>90.4</v>
      </c>
      <c r="M676">
        <f>_xlfn.XLOOKUP($A676,[1]Sheet1!$K$9:$K$2584,[1]Sheet1!$L$9:$L$2584,"N/A",0)</f>
        <v>143.71</v>
      </c>
      <c r="N676">
        <f>_xlfn.XLOOKUP($A676,[1]Sheet1!$N$9:$N$2584,[1]Sheet1!$O$9:$O$2584,"N/A",0)</f>
        <v>91.39</v>
      </c>
      <c r="O676">
        <v>97</v>
      </c>
      <c r="P676">
        <v>136.95</v>
      </c>
      <c r="Q676">
        <v>90.4</v>
      </c>
      <c r="R676">
        <v>91.39</v>
      </c>
      <c r="S676">
        <v>143.71</v>
      </c>
    </row>
    <row r="677" spans="1:19">
      <c r="A677" s="1">
        <v>43349</v>
      </c>
      <c r="B677" t="s">
        <v>360</v>
      </c>
      <c r="C677" t="s">
        <v>368</v>
      </c>
      <c r="D677">
        <v>15.175</v>
      </c>
      <c r="E677">
        <v>16.025</v>
      </c>
      <c r="F677" s="2" t="s">
        <v>369</v>
      </c>
      <c r="G677">
        <f ca="1" t="shared" si="30"/>
        <v>0.436693784080866</v>
      </c>
      <c r="H677" t="str">
        <f ca="1" t="shared" si="31"/>
        <v>Risk-On</v>
      </c>
      <c r="I677">
        <f ca="1" t="shared" si="32"/>
        <v>1</v>
      </c>
      <c r="J677">
        <f>_xlfn.XLOOKUP($A677,[1]Sheet1!$B$9:$B$2584,[1]Sheet1!$C$9:$C$2584,"N/A",0)</f>
        <v>96.79</v>
      </c>
      <c r="K677">
        <f>_xlfn.XLOOKUP($A677,[1]Sheet1!$E$9:$E$2584,[1]Sheet1!$F$9:$F$2584,"N/A",0)</f>
        <v>137.46</v>
      </c>
      <c r="L677">
        <f>_xlfn.XLOOKUP($A677,[1]Sheet1!$H$9:$H$2584,[1]Sheet1!$I$9:$I$2584,"N/A",0)</f>
        <v>90.28</v>
      </c>
      <c r="M677">
        <f>_xlfn.XLOOKUP($A677,[1]Sheet1!$K$9:$K$2584,[1]Sheet1!$L$9:$L$2584,"N/A",0)</f>
        <v>144.62</v>
      </c>
      <c r="N677">
        <f>_xlfn.XLOOKUP($A677,[1]Sheet1!$N$9:$N$2584,[1]Sheet1!$O$9:$O$2584,"N/A",0)</f>
        <v>91.86</v>
      </c>
      <c r="O677">
        <v>96.79</v>
      </c>
      <c r="P677">
        <v>137.46</v>
      </c>
      <c r="Q677">
        <v>90.28</v>
      </c>
      <c r="R677">
        <v>91.86</v>
      </c>
      <c r="S677">
        <v>144.62</v>
      </c>
    </row>
    <row r="678" spans="1:19">
      <c r="A678" s="1">
        <v>43350</v>
      </c>
      <c r="B678" t="s">
        <v>360</v>
      </c>
      <c r="C678" t="s">
        <v>368</v>
      </c>
      <c r="D678">
        <v>15.375</v>
      </c>
      <c r="E678">
        <v>16.225</v>
      </c>
      <c r="F678">
        <v>0.0552845528455285</v>
      </c>
      <c r="G678">
        <f ca="1" t="shared" si="30"/>
        <v>0.43051523838279</v>
      </c>
      <c r="H678" t="str">
        <f ca="1" t="shared" si="31"/>
        <v>Risk-On</v>
      </c>
      <c r="I678">
        <f ca="1" t="shared" si="32"/>
        <v>1</v>
      </c>
      <c r="J678">
        <f>_xlfn.XLOOKUP($A678,[1]Sheet1!$B$9:$B$2584,[1]Sheet1!$C$9:$C$2584,"N/A",0)</f>
        <v>96.73</v>
      </c>
      <c r="K678">
        <f>_xlfn.XLOOKUP($A678,[1]Sheet1!$E$9:$E$2584,[1]Sheet1!$F$9:$F$2584,"N/A",0)</f>
        <v>137.22</v>
      </c>
      <c r="L678">
        <f>_xlfn.XLOOKUP($A678,[1]Sheet1!$H$9:$H$2584,[1]Sheet1!$I$9:$I$2584,"N/A",0)</f>
        <v>90.26</v>
      </c>
      <c r="M678">
        <f>_xlfn.XLOOKUP($A678,[1]Sheet1!$K$9:$K$2584,[1]Sheet1!$L$9:$L$2584,"N/A",0)</f>
        <v>144.01</v>
      </c>
      <c r="N678">
        <f>_xlfn.XLOOKUP($A678,[1]Sheet1!$N$9:$N$2584,[1]Sheet1!$O$9:$O$2584,"N/A",0)</f>
        <v>91.87</v>
      </c>
      <c r="O678">
        <v>96.73</v>
      </c>
      <c r="P678">
        <v>137.22</v>
      </c>
      <c r="Q678">
        <v>90.26</v>
      </c>
      <c r="R678">
        <v>91.87</v>
      </c>
      <c r="S678">
        <v>144.01</v>
      </c>
    </row>
    <row r="679" spans="1:19">
      <c r="A679" s="1">
        <v>43353</v>
      </c>
      <c r="B679" t="s">
        <v>360</v>
      </c>
      <c r="C679" t="s">
        <v>368</v>
      </c>
      <c r="D679">
        <v>14.775</v>
      </c>
      <c r="E679">
        <v>15.675</v>
      </c>
      <c r="F679">
        <v>0.0609137055837563</v>
      </c>
      <c r="G679">
        <f ca="1" t="shared" si="30"/>
        <v>0.515101082839941</v>
      </c>
      <c r="H679" t="str">
        <f ca="1" t="shared" si="31"/>
        <v>Risk-On</v>
      </c>
      <c r="I679">
        <f ca="1" t="shared" si="32"/>
        <v>1</v>
      </c>
      <c r="J679">
        <f>_xlfn.XLOOKUP($A679,[1]Sheet1!$B$9:$B$2584,[1]Sheet1!$C$9:$C$2584,"N/A",0)</f>
        <v>96.91</v>
      </c>
      <c r="K679">
        <f>_xlfn.XLOOKUP($A679,[1]Sheet1!$E$9:$E$2584,[1]Sheet1!$F$9:$F$2584,"N/A",0)</f>
        <v>137.6</v>
      </c>
      <c r="L679">
        <f>_xlfn.XLOOKUP($A679,[1]Sheet1!$H$9:$H$2584,[1]Sheet1!$I$9:$I$2584,"N/A",0)</f>
        <v>90.23</v>
      </c>
      <c r="M679">
        <f>_xlfn.XLOOKUP($A679,[1]Sheet1!$K$9:$K$2584,[1]Sheet1!$L$9:$L$2584,"N/A",0)</f>
        <v>144.58</v>
      </c>
      <c r="N679">
        <f>_xlfn.XLOOKUP($A679,[1]Sheet1!$N$9:$N$2584,[1]Sheet1!$O$9:$O$2584,"N/A",0)</f>
        <v>92.04</v>
      </c>
      <c r="O679">
        <v>96.91</v>
      </c>
      <c r="P679">
        <v>137.6</v>
      </c>
      <c r="Q679">
        <v>90.23</v>
      </c>
      <c r="R679">
        <v>92.04</v>
      </c>
      <c r="S679">
        <v>144.58</v>
      </c>
    </row>
    <row r="680" spans="1:19">
      <c r="A680" s="1">
        <v>43354</v>
      </c>
      <c r="B680" t="s">
        <v>360</v>
      </c>
      <c r="C680" t="s">
        <v>368</v>
      </c>
      <c r="D680">
        <v>14.225</v>
      </c>
      <c r="E680">
        <v>15.125</v>
      </c>
      <c r="F680">
        <v>0.0632688927943761</v>
      </c>
      <c r="G680">
        <f ca="1" t="shared" si="30"/>
        <v>0.55062693719467</v>
      </c>
      <c r="H680" t="str">
        <f ca="1" t="shared" si="31"/>
        <v>Risk-On</v>
      </c>
      <c r="I680">
        <f ca="1" t="shared" si="32"/>
        <v>1</v>
      </c>
      <c r="J680">
        <f>_xlfn.XLOOKUP($A680,[1]Sheet1!$B$9:$B$2584,[1]Sheet1!$C$9:$C$2584,"N/A",0)</f>
        <v>96.92</v>
      </c>
      <c r="K680">
        <f>_xlfn.XLOOKUP($A680,[1]Sheet1!$E$9:$E$2584,[1]Sheet1!$F$9:$F$2584,"N/A",0)</f>
        <v>138.53</v>
      </c>
      <c r="L680">
        <f>_xlfn.XLOOKUP($A680,[1]Sheet1!$H$9:$H$2584,[1]Sheet1!$I$9:$I$2584,"N/A",0)</f>
        <v>89.78</v>
      </c>
      <c r="M680">
        <f>_xlfn.XLOOKUP($A680,[1]Sheet1!$K$9:$K$2584,[1]Sheet1!$L$9:$L$2584,"N/A",0)</f>
        <v>144.23</v>
      </c>
      <c r="N680">
        <f>_xlfn.XLOOKUP($A680,[1]Sheet1!$N$9:$N$2584,[1]Sheet1!$O$9:$O$2584,"N/A",0)</f>
        <v>92.14</v>
      </c>
      <c r="O680">
        <v>96.92</v>
      </c>
      <c r="P680">
        <v>138.53</v>
      </c>
      <c r="Q680">
        <v>89.78</v>
      </c>
      <c r="R680">
        <v>92.14</v>
      </c>
      <c r="S680">
        <v>144.23</v>
      </c>
    </row>
    <row r="681" spans="1:19">
      <c r="A681" s="1">
        <v>43355</v>
      </c>
      <c r="B681" t="s">
        <v>360</v>
      </c>
      <c r="C681" t="s">
        <v>368</v>
      </c>
      <c r="D681">
        <v>14.025</v>
      </c>
      <c r="E681">
        <v>15.025</v>
      </c>
      <c r="F681">
        <v>0.071301247771836</v>
      </c>
      <c r="G681">
        <f ca="1" t="shared" si="30"/>
        <v>0.661899490259955</v>
      </c>
      <c r="H681" t="str">
        <f ca="1" t="shared" si="31"/>
        <v>Risk-On</v>
      </c>
      <c r="I681">
        <f ca="1" t="shared" si="32"/>
        <v>1</v>
      </c>
      <c r="J681">
        <f>_xlfn.XLOOKUP($A681,[1]Sheet1!$B$9:$B$2584,[1]Sheet1!$C$9:$C$2584,"N/A",0)</f>
        <v>96.98</v>
      </c>
      <c r="K681">
        <f>_xlfn.XLOOKUP($A681,[1]Sheet1!$E$9:$E$2584,[1]Sheet1!$F$9:$F$2584,"N/A",0)</f>
        <v>138</v>
      </c>
      <c r="L681">
        <f>_xlfn.XLOOKUP($A681,[1]Sheet1!$H$9:$H$2584,[1]Sheet1!$I$9:$I$2584,"N/A",0)</f>
        <v>89.81</v>
      </c>
      <c r="M681">
        <f>_xlfn.XLOOKUP($A681,[1]Sheet1!$K$9:$K$2584,[1]Sheet1!$L$9:$L$2584,"N/A",0)</f>
        <v>143.19</v>
      </c>
      <c r="N681">
        <f>_xlfn.XLOOKUP($A681,[1]Sheet1!$N$9:$N$2584,[1]Sheet1!$O$9:$O$2584,"N/A",0)</f>
        <v>92.55</v>
      </c>
      <c r="O681">
        <v>96.98</v>
      </c>
      <c r="P681">
        <v>138</v>
      </c>
      <c r="Q681">
        <v>89.81</v>
      </c>
      <c r="R681">
        <v>92.55</v>
      </c>
      <c r="S681">
        <v>143.19</v>
      </c>
    </row>
    <row r="682" spans="1:19">
      <c r="A682" s="1">
        <v>43356</v>
      </c>
      <c r="B682" t="s">
        <v>360</v>
      </c>
      <c r="C682" t="s">
        <v>368</v>
      </c>
      <c r="D682">
        <v>13.375</v>
      </c>
      <c r="E682">
        <v>14.625</v>
      </c>
      <c r="F682">
        <v>0.0934579439252336</v>
      </c>
      <c r="G682">
        <f ca="1" t="shared" si="30"/>
        <v>0.972835327922378</v>
      </c>
      <c r="H682" t="str">
        <f ca="1" t="shared" si="31"/>
        <v>Risk-On</v>
      </c>
      <c r="I682">
        <f ca="1" t="shared" si="32"/>
        <v>1</v>
      </c>
      <c r="J682">
        <f>_xlfn.XLOOKUP($A682,[1]Sheet1!$B$9:$B$2584,[1]Sheet1!$C$9:$C$2584,"N/A",0)</f>
        <v>96.64</v>
      </c>
      <c r="K682">
        <f>_xlfn.XLOOKUP($A682,[1]Sheet1!$E$9:$E$2584,[1]Sheet1!$F$9:$F$2584,"N/A",0)</f>
        <v>136.92</v>
      </c>
      <c r="L682">
        <f>_xlfn.XLOOKUP($A682,[1]Sheet1!$H$9:$H$2584,[1]Sheet1!$I$9:$I$2584,"N/A",0)</f>
        <v>90.13</v>
      </c>
      <c r="M682">
        <f>_xlfn.XLOOKUP($A682,[1]Sheet1!$K$9:$K$2584,[1]Sheet1!$L$9:$L$2584,"N/A",0)</f>
        <v>142.91</v>
      </c>
      <c r="N682">
        <f>_xlfn.XLOOKUP($A682,[1]Sheet1!$N$9:$N$2584,[1]Sheet1!$O$9:$O$2584,"N/A",0)</f>
        <v>92.92</v>
      </c>
      <c r="O682">
        <v>96.64</v>
      </c>
      <c r="P682">
        <v>136.92</v>
      </c>
      <c r="Q682">
        <v>90.13</v>
      </c>
      <c r="R682">
        <v>92.92</v>
      </c>
      <c r="S682">
        <v>142.91</v>
      </c>
    </row>
    <row r="683" spans="1:19">
      <c r="A683" s="1">
        <v>43357</v>
      </c>
      <c r="B683" t="s">
        <v>360</v>
      </c>
      <c r="C683" t="s">
        <v>368</v>
      </c>
      <c r="D683">
        <v>12.875</v>
      </c>
      <c r="E683">
        <v>14.375</v>
      </c>
      <c r="F683" s="2" t="s">
        <v>370</v>
      </c>
      <c r="G683">
        <f ca="1" t="shared" si="30"/>
        <v>1.29340681396604</v>
      </c>
      <c r="H683" t="str">
        <f ca="1" t="shared" si="31"/>
        <v>Risk-On</v>
      </c>
      <c r="I683">
        <f ca="1" t="shared" si="32"/>
        <v>1</v>
      </c>
      <c r="J683">
        <f>_xlfn.XLOOKUP($A683,[1]Sheet1!$B$9:$B$2584,[1]Sheet1!$C$9:$C$2584,"N/A",0)</f>
        <v>96.5</v>
      </c>
      <c r="K683">
        <f>_xlfn.XLOOKUP($A683,[1]Sheet1!$E$9:$E$2584,[1]Sheet1!$F$9:$F$2584,"N/A",0)</f>
        <v>136.52</v>
      </c>
      <c r="L683">
        <f>_xlfn.XLOOKUP($A683,[1]Sheet1!$H$9:$H$2584,[1]Sheet1!$I$9:$I$2584,"N/A",0)</f>
        <v>90.32</v>
      </c>
      <c r="M683">
        <f>_xlfn.XLOOKUP($A683,[1]Sheet1!$K$9:$K$2584,[1]Sheet1!$L$9:$L$2584,"N/A",0)</f>
        <v>142.91</v>
      </c>
      <c r="N683">
        <f>_xlfn.XLOOKUP($A683,[1]Sheet1!$N$9:$N$2584,[1]Sheet1!$O$9:$O$2584,"N/A",0)</f>
        <v>92.73</v>
      </c>
      <c r="O683">
        <v>96.5</v>
      </c>
      <c r="P683">
        <v>136.52</v>
      </c>
      <c r="Q683">
        <v>90.32</v>
      </c>
      <c r="R683">
        <v>92.73</v>
      </c>
      <c r="S683">
        <v>142.91</v>
      </c>
    </row>
    <row r="684" spans="1:19">
      <c r="A684" s="1">
        <v>43360</v>
      </c>
      <c r="B684" t="s">
        <v>360</v>
      </c>
      <c r="C684" t="s">
        <v>368</v>
      </c>
      <c r="D684">
        <v>13.575</v>
      </c>
      <c r="E684">
        <v>14.975</v>
      </c>
      <c r="F684" s="2" t="s">
        <v>192</v>
      </c>
      <c r="G684">
        <f ca="1" t="shared" si="30"/>
        <v>1.10380003893368</v>
      </c>
      <c r="H684" t="str">
        <f ca="1" t="shared" si="31"/>
        <v>Risk-On</v>
      </c>
      <c r="I684">
        <f ca="1" t="shared" si="32"/>
        <v>1</v>
      </c>
      <c r="J684">
        <f>_xlfn.XLOOKUP($A684,[1]Sheet1!$B$9:$B$2584,[1]Sheet1!$C$9:$C$2584,"N/A",0)</f>
        <v>96.06</v>
      </c>
      <c r="K684">
        <f>_xlfn.XLOOKUP($A684,[1]Sheet1!$E$9:$E$2584,[1]Sheet1!$F$9:$F$2584,"N/A",0)</f>
        <v>135.4</v>
      </c>
      <c r="L684">
        <f>_xlfn.XLOOKUP($A684,[1]Sheet1!$H$9:$H$2584,[1]Sheet1!$I$9:$I$2584,"N/A",0)</f>
        <v>90.42</v>
      </c>
      <c r="M684">
        <f>_xlfn.XLOOKUP($A684,[1]Sheet1!$K$9:$K$2584,[1]Sheet1!$L$9:$L$2584,"N/A",0)</f>
        <v>141.98</v>
      </c>
      <c r="N684">
        <f>_xlfn.XLOOKUP($A684,[1]Sheet1!$N$9:$N$2584,[1]Sheet1!$O$9:$O$2584,"N/A",0)</f>
        <v>93.15</v>
      </c>
      <c r="O684">
        <v>96.06</v>
      </c>
      <c r="P684">
        <v>135.4</v>
      </c>
      <c r="Q684">
        <v>90.42</v>
      </c>
      <c r="R684">
        <v>93.15</v>
      </c>
      <c r="S684">
        <v>141.98</v>
      </c>
    </row>
    <row r="685" spans="1:19">
      <c r="A685" s="1">
        <v>43361</v>
      </c>
      <c r="B685" t="s">
        <v>360</v>
      </c>
      <c r="C685" t="s">
        <v>368</v>
      </c>
      <c r="D685">
        <v>12.725</v>
      </c>
      <c r="E685">
        <v>14.675</v>
      </c>
      <c r="F685" s="2" t="s">
        <v>371</v>
      </c>
      <c r="G685">
        <f ca="1" t="shared" si="30"/>
        <v>1.81423032827736</v>
      </c>
      <c r="H685" t="str">
        <f ca="1" t="shared" si="31"/>
        <v>Risk-On</v>
      </c>
      <c r="I685">
        <f ca="1" t="shared" si="32"/>
        <v>1</v>
      </c>
      <c r="J685">
        <f>_xlfn.XLOOKUP($A685,[1]Sheet1!$B$9:$B$2584,[1]Sheet1!$C$9:$C$2584,"N/A",0)</f>
        <v>96.58</v>
      </c>
      <c r="K685">
        <f>_xlfn.XLOOKUP($A685,[1]Sheet1!$E$9:$E$2584,[1]Sheet1!$F$9:$F$2584,"N/A",0)</f>
        <v>135.79</v>
      </c>
      <c r="L685">
        <f>_xlfn.XLOOKUP($A685,[1]Sheet1!$H$9:$H$2584,[1]Sheet1!$I$9:$I$2584,"N/A",0)</f>
        <v>90.43</v>
      </c>
      <c r="M685">
        <f>_xlfn.XLOOKUP($A685,[1]Sheet1!$K$9:$K$2584,[1]Sheet1!$L$9:$L$2584,"N/A",0)</f>
        <v>141.22</v>
      </c>
      <c r="N685">
        <f>_xlfn.XLOOKUP($A685,[1]Sheet1!$N$9:$N$2584,[1]Sheet1!$O$9:$O$2584,"N/A",0)</f>
        <v>93.12</v>
      </c>
      <c r="O685">
        <v>96.58</v>
      </c>
      <c r="P685">
        <v>135.79</v>
      </c>
      <c r="Q685">
        <v>90.43</v>
      </c>
      <c r="R685">
        <v>93.12</v>
      </c>
      <c r="S685">
        <v>141.22</v>
      </c>
    </row>
    <row r="686" spans="1:19">
      <c r="A686" s="1">
        <v>43362</v>
      </c>
      <c r="B686" t="s">
        <v>360</v>
      </c>
      <c r="C686" t="s">
        <v>368</v>
      </c>
      <c r="D686">
        <v>11.94</v>
      </c>
      <c r="E686">
        <v>14.275</v>
      </c>
      <c r="F686" s="2" t="s">
        <v>372</v>
      </c>
      <c r="G686">
        <f ca="1" t="shared" si="30"/>
        <v>2.41420058400477</v>
      </c>
      <c r="H686" t="str">
        <f ca="1" t="shared" si="31"/>
        <v>Risk-On</v>
      </c>
      <c r="I686">
        <f ca="1" t="shared" si="32"/>
        <v>1</v>
      </c>
      <c r="J686">
        <f>_xlfn.XLOOKUP($A686,[1]Sheet1!$B$9:$B$2584,[1]Sheet1!$C$9:$C$2584,"N/A",0)</f>
        <v>96.74</v>
      </c>
      <c r="K686">
        <f>_xlfn.XLOOKUP($A686,[1]Sheet1!$E$9:$E$2584,[1]Sheet1!$F$9:$F$2584,"N/A",0)</f>
        <v>133.83</v>
      </c>
      <c r="L686">
        <f>_xlfn.XLOOKUP($A686,[1]Sheet1!$H$9:$H$2584,[1]Sheet1!$I$9:$I$2584,"N/A",0)</f>
        <v>90.29</v>
      </c>
      <c r="M686">
        <f>_xlfn.XLOOKUP($A686,[1]Sheet1!$K$9:$K$2584,[1]Sheet1!$L$9:$L$2584,"N/A",0)</f>
        <v>140.2</v>
      </c>
      <c r="N686">
        <f>_xlfn.XLOOKUP($A686,[1]Sheet1!$N$9:$N$2584,[1]Sheet1!$O$9:$O$2584,"N/A",0)</f>
        <v>93.69</v>
      </c>
      <c r="O686">
        <v>96.74</v>
      </c>
      <c r="P686">
        <v>133.83</v>
      </c>
      <c r="Q686">
        <v>90.29</v>
      </c>
      <c r="R686">
        <v>93.69</v>
      </c>
      <c r="S686">
        <v>140.2</v>
      </c>
    </row>
    <row r="687" spans="1:19">
      <c r="A687" s="1">
        <v>43363</v>
      </c>
      <c r="B687" t="s">
        <v>368</v>
      </c>
      <c r="C687" t="s">
        <v>373</v>
      </c>
      <c r="D687">
        <v>14.025</v>
      </c>
      <c r="E687">
        <v>14.925</v>
      </c>
      <c r="F687">
        <v>0.0641711229946524</v>
      </c>
      <c r="G687">
        <f ca="1" t="shared" si="30"/>
        <v>0.55146301607858</v>
      </c>
      <c r="H687" t="str">
        <f ca="1" t="shared" si="31"/>
        <v>Risk-On</v>
      </c>
      <c r="I687">
        <f ca="1" t="shared" si="32"/>
        <v>1</v>
      </c>
      <c r="J687">
        <f>_xlfn.XLOOKUP($A687,[1]Sheet1!$B$9:$B$2584,[1]Sheet1!$C$9:$C$2584,"N/A",0)</f>
        <v>96.74</v>
      </c>
      <c r="K687">
        <f>_xlfn.XLOOKUP($A687,[1]Sheet1!$E$9:$E$2584,[1]Sheet1!$F$9:$F$2584,"N/A",0)</f>
        <v>133.67</v>
      </c>
      <c r="L687">
        <f>_xlfn.XLOOKUP($A687,[1]Sheet1!$H$9:$H$2584,[1]Sheet1!$I$9:$I$2584,"N/A",0)</f>
        <v>90.08</v>
      </c>
      <c r="M687">
        <f>_xlfn.XLOOKUP($A687,[1]Sheet1!$K$9:$K$2584,[1]Sheet1!$L$9:$L$2584,"N/A",0)</f>
        <v>139.74</v>
      </c>
      <c r="N687">
        <f>_xlfn.XLOOKUP($A687,[1]Sheet1!$N$9:$N$2584,[1]Sheet1!$O$9:$O$2584,"N/A",0)</f>
        <v>93.39</v>
      </c>
      <c r="O687">
        <v>96.74</v>
      </c>
      <c r="P687">
        <v>133.67</v>
      </c>
      <c r="Q687">
        <v>90.08</v>
      </c>
      <c r="R687">
        <v>93.39</v>
      </c>
      <c r="S687">
        <v>139.74</v>
      </c>
    </row>
    <row r="688" spans="1:19">
      <c r="A688" s="1">
        <v>43364</v>
      </c>
      <c r="B688" t="s">
        <v>368</v>
      </c>
      <c r="C688" t="s">
        <v>373</v>
      </c>
      <c r="D688">
        <v>14.125</v>
      </c>
      <c r="E688">
        <v>15.075</v>
      </c>
      <c r="F688">
        <v>0.0672566371681415</v>
      </c>
      <c r="G688">
        <f ca="1" t="shared" si="30"/>
        <v>0.592979817074084</v>
      </c>
      <c r="H688" t="str">
        <f ca="1" t="shared" si="31"/>
        <v>Risk-On</v>
      </c>
      <c r="I688">
        <f ca="1" t="shared" si="32"/>
        <v>1</v>
      </c>
      <c r="J688">
        <f>_xlfn.XLOOKUP($A688,[1]Sheet1!$B$9:$B$2584,[1]Sheet1!$C$9:$C$2584,"N/A",0)</f>
        <v>96.43</v>
      </c>
      <c r="K688">
        <f>_xlfn.XLOOKUP($A688,[1]Sheet1!$E$9:$E$2584,[1]Sheet1!$F$9:$F$2584,"N/A",0)</f>
        <v>133.13</v>
      </c>
      <c r="L688">
        <f>_xlfn.XLOOKUP($A688,[1]Sheet1!$H$9:$H$2584,[1]Sheet1!$I$9:$I$2584,"N/A",0)</f>
        <v>90.3</v>
      </c>
      <c r="M688">
        <f>_xlfn.XLOOKUP($A688,[1]Sheet1!$K$9:$K$2584,[1]Sheet1!$L$9:$L$2584,"N/A",0)</f>
        <v>140.18</v>
      </c>
      <c r="N688">
        <f>_xlfn.XLOOKUP($A688,[1]Sheet1!$N$9:$N$2584,[1]Sheet1!$O$9:$O$2584,"N/A",0)</f>
        <v>93.86</v>
      </c>
      <c r="O688">
        <v>96.43</v>
      </c>
      <c r="P688">
        <v>133.13</v>
      </c>
      <c r="Q688">
        <v>90.3</v>
      </c>
      <c r="R688">
        <v>93.86</v>
      </c>
      <c r="S688">
        <v>140.18</v>
      </c>
    </row>
    <row r="689" spans="1:19">
      <c r="A689" s="1">
        <v>43367</v>
      </c>
      <c r="B689" t="s">
        <v>368</v>
      </c>
      <c r="C689" t="s">
        <v>373</v>
      </c>
      <c r="D689">
        <v>14.025</v>
      </c>
      <c r="E689">
        <v>14.925</v>
      </c>
      <c r="F689">
        <v>0.0641711229946524</v>
      </c>
      <c r="G689">
        <f ca="1" t="shared" si="30"/>
        <v>0.550375286518661</v>
      </c>
      <c r="H689" t="str">
        <f ca="1" t="shared" si="31"/>
        <v>Risk-On</v>
      </c>
      <c r="I689">
        <f ca="1" t="shared" si="32"/>
        <v>1</v>
      </c>
      <c r="J689">
        <f>_xlfn.XLOOKUP($A689,[1]Sheet1!$B$9:$B$2584,[1]Sheet1!$C$9:$C$2584,"N/A",0)</f>
        <v>96.5</v>
      </c>
      <c r="K689">
        <f>_xlfn.XLOOKUP($A689,[1]Sheet1!$E$9:$E$2584,[1]Sheet1!$F$9:$F$2584,"N/A",0)</f>
        <v>135.06</v>
      </c>
      <c r="L689">
        <f>_xlfn.XLOOKUP($A689,[1]Sheet1!$H$9:$H$2584,[1]Sheet1!$I$9:$I$2584,"N/A",0)</f>
        <v>89.82</v>
      </c>
      <c r="M689">
        <f>_xlfn.XLOOKUP($A689,[1]Sheet1!$K$9:$K$2584,[1]Sheet1!$L$9:$L$2584,"N/A",0)</f>
        <v>140.76</v>
      </c>
      <c r="N689">
        <f>_xlfn.XLOOKUP($A689,[1]Sheet1!$N$9:$N$2584,[1]Sheet1!$O$9:$O$2584,"N/A",0)</f>
        <v>94.05</v>
      </c>
      <c r="O689">
        <v>96.5</v>
      </c>
      <c r="P689">
        <v>135.06</v>
      </c>
      <c r="Q689">
        <v>89.82</v>
      </c>
      <c r="R689">
        <v>94.05</v>
      </c>
      <c r="S689">
        <v>140.76</v>
      </c>
    </row>
    <row r="690" spans="1:19">
      <c r="A690" s="1">
        <v>43368</v>
      </c>
      <c r="B690" t="s">
        <v>368</v>
      </c>
      <c r="C690" t="s">
        <v>373</v>
      </c>
      <c r="D690">
        <v>14.075</v>
      </c>
      <c r="E690">
        <v>14.975</v>
      </c>
      <c r="F690">
        <v>0.063943161634103</v>
      </c>
      <c r="G690">
        <f ca="1" t="shared" si="30"/>
        <v>0.549195716261163</v>
      </c>
      <c r="H690" t="str">
        <f ca="1" t="shared" si="31"/>
        <v>Risk-On</v>
      </c>
      <c r="I690">
        <f ca="1" t="shared" si="32"/>
        <v>1</v>
      </c>
      <c r="J690">
        <f>_xlfn.XLOOKUP($A690,[1]Sheet1!$B$9:$B$2584,[1]Sheet1!$C$9:$C$2584,"N/A",0)</f>
        <v>96.74</v>
      </c>
      <c r="K690">
        <f>_xlfn.XLOOKUP($A690,[1]Sheet1!$E$9:$E$2584,[1]Sheet1!$F$9:$F$2584,"N/A",0)</f>
        <v>136.47</v>
      </c>
      <c r="L690">
        <f>_xlfn.XLOOKUP($A690,[1]Sheet1!$H$9:$H$2584,[1]Sheet1!$I$9:$I$2584,"N/A",0)</f>
        <v>89.41</v>
      </c>
      <c r="M690">
        <f>_xlfn.XLOOKUP($A690,[1]Sheet1!$K$9:$K$2584,[1]Sheet1!$L$9:$L$2584,"N/A",0)</f>
        <v>140.93</v>
      </c>
      <c r="N690">
        <f>_xlfn.XLOOKUP($A690,[1]Sheet1!$N$9:$N$2584,[1]Sheet1!$O$9:$O$2584,"N/A",0)</f>
        <v>93.92</v>
      </c>
      <c r="O690">
        <v>96.74</v>
      </c>
      <c r="P690">
        <v>136.47</v>
      </c>
      <c r="Q690">
        <v>89.41</v>
      </c>
      <c r="R690">
        <v>93.92</v>
      </c>
      <c r="S690">
        <v>140.93</v>
      </c>
    </row>
    <row r="691" spans="1:19">
      <c r="A691" s="1">
        <v>43369</v>
      </c>
      <c r="B691" t="s">
        <v>368</v>
      </c>
      <c r="C691" t="s">
        <v>373</v>
      </c>
      <c r="D691">
        <v>14.425</v>
      </c>
      <c r="E691">
        <v>15.275</v>
      </c>
      <c r="F691">
        <v>0.0589254766031195</v>
      </c>
      <c r="G691">
        <f ca="1" t="shared" si="30"/>
        <v>0.479844243016936</v>
      </c>
      <c r="H691" t="str">
        <f ca="1" t="shared" si="31"/>
        <v>Risk-On</v>
      </c>
      <c r="I691">
        <f ca="1" t="shared" si="32"/>
        <v>1</v>
      </c>
      <c r="J691">
        <f>_xlfn.XLOOKUP($A691,[1]Sheet1!$B$9:$B$2584,[1]Sheet1!$C$9:$C$2584,"N/A",0)</f>
        <v>96.57</v>
      </c>
      <c r="K691">
        <f>_xlfn.XLOOKUP($A691,[1]Sheet1!$E$9:$E$2584,[1]Sheet1!$F$9:$F$2584,"N/A",0)</f>
        <v>136.81</v>
      </c>
      <c r="L691">
        <f>_xlfn.XLOOKUP($A691,[1]Sheet1!$H$9:$H$2584,[1]Sheet1!$I$9:$I$2584,"N/A",0)</f>
        <v>89.45</v>
      </c>
      <c r="M691">
        <f>_xlfn.XLOOKUP($A691,[1]Sheet1!$K$9:$K$2584,[1]Sheet1!$L$9:$L$2584,"N/A",0)</f>
        <v>141.5</v>
      </c>
      <c r="N691">
        <f>_xlfn.XLOOKUP($A691,[1]Sheet1!$N$9:$N$2584,[1]Sheet1!$O$9:$O$2584,"N/A",0)</f>
        <v>94.46</v>
      </c>
      <c r="O691">
        <v>96.57</v>
      </c>
      <c r="P691">
        <v>136.81</v>
      </c>
      <c r="Q691">
        <v>89.45</v>
      </c>
      <c r="R691">
        <v>94.46</v>
      </c>
      <c r="S691">
        <v>141.5</v>
      </c>
    </row>
    <row r="692" spans="1:19">
      <c r="A692" s="1">
        <v>43370</v>
      </c>
      <c r="B692" t="s">
        <v>368</v>
      </c>
      <c r="C692" t="s">
        <v>373</v>
      </c>
      <c r="D692">
        <v>14.125</v>
      </c>
      <c r="E692">
        <v>15.025</v>
      </c>
      <c r="F692">
        <v>0.063716814159292</v>
      </c>
      <c r="G692">
        <f ca="1" t="shared" si="30"/>
        <v>0.550937002930322</v>
      </c>
      <c r="H692" t="str">
        <f ca="1" t="shared" si="31"/>
        <v>Risk-On</v>
      </c>
      <c r="I692">
        <f ca="1" t="shared" si="32"/>
        <v>1</v>
      </c>
      <c r="J692">
        <f>_xlfn.XLOOKUP($A692,[1]Sheet1!$B$9:$B$2584,[1]Sheet1!$C$9:$C$2584,"N/A",0)</f>
        <v>96.57</v>
      </c>
      <c r="K692">
        <f>_xlfn.XLOOKUP($A692,[1]Sheet1!$E$9:$E$2584,[1]Sheet1!$F$9:$F$2584,"N/A",0)</f>
        <v>136.46</v>
      </c>
      <c r="L692">
        <f>_xlfn.XLOOKUP($A692,[1]Sheet1!$H$9:$H$2584,[1]Sheet1!$I$9:$I$2584,"N/A",0)</f>
        <v>89</v>
      </c>
      <c r="M692">
        <f>_xlfn.XLOOKUP($A692,[1]Sheet1!$K$9:$K$2584,[1]Sheet1!$L$9:$L$2584,"N/A",0)</f>
        <v>141.14</v>
      </c>
      <c r="N692">
        <f>_xlfn.XLOOKUP($A692,[1]Sheet1!$N$9:$N$2584,[1]Sheet1!$O$9:$O$2584,"N/A",0)</f>
        <v>94.47</v>
      </c>
      <c r="O692">
        <v>96.57</v>
      </c>
      <c r="P692">
        <v>136.46</v>
      </c>
      <c r="Q692">
        <v>89</v>
      </c>
      <c r="R692">
        <v>94.47</v>
      </c>
      <c r="S692">
        <v>141.14</v>
      </c>
    </row>
    <row r="693" spans="1:19">
      <c r="A693" s="1">
        <v>43371</v>
      </c>
      <c r="B693" t="s">
        <v>368</v>
      </c>
      <c r="C693" t="s">
        <v>373</v>
      </c>
      <c r="D693">
        <v>13.975</v>
      </c>
      <c r="E693">
        <v>14.975</v>
      </c>
      <c r="F693">
        <v>0.071556350626118</v>
      </c>
      <c r="G693">
        <f ca="1" t="shared" si="30"/>
        <v>0.666478967871841</v>
      </c>
      <c r="H693" t="str">
        <f ca="1" t="shared" si="31"/>
        <v>Risk-On</v>
      </c>
      <c r="I693">
        <f ca="1" t="shared" si="32"/>
        <v>1</v>
      </c>
      <c r="J693">
        <f>_xlfn.XLOOKUP($A693,[1]Sheet1!$B$9:$B$2584,[1]Sheet1!$C$9:$C$2584,"N/A",0)</f>
        <v>96.25</v>
      </c>
      <c r="K693">
        <f>_xlfn.XLOOKUP($A693,[1]Sheet1!$E$9:$E$2584,[1]Sheet1!$F$9:$F$2584,"N/A",0)</f>
        <v>136.69</v>
      </c>
      <c r="L693">
        <f>_xlfn.XLOOKUP($A693,[1]Sheet1!$H$9:$H$2584,[1]Sheet1!$I$9:$I$2584,"N/A",0)</f>
        <v>89.12</v>
      </c>
      <c r="M693">
        <f>_xlfn.XLOOKUP($A693,[1]Sheet1!$K$9:$K$2584,[1]Sheet1!$L$9:$L$2584,"N/A",0)</f>
        <v>141.06</v>
      </c>
      <c r="N693">
        <f>_xlfn.XLOOKUP($A693,[1]Sheet1!$N$9:$N$2584,[1]Sheet1!$O$9:$O$2584,"N/A",0)</f>
        <v>94.24</v>
      </c>
      <c r="O693">
        <v>96.25</v>
      </c>
      <c r="P693">
        <v>136.69</v>
      </c>
      <c r="Q693">
        <v>89.12</v>
      </c>
      <c r="R693">
        <v>94.24</v>
      </c>
      <c r="S693">
        <v>141.06</v>
      </c>
    </row>
    <row r="694" spans="1:19">
      <c r="A694" s="1">
        <v>43374</v>
      </c>
      <c r="B694" t="s">
        <v>368</v>
      </c>
      <c r="C694" t="s">
        <v>373</v>
      </c>
      <c r="D694">
        <v>13.925</v>
      </c>
      <c r="E694">
        <v>14.875</v>
      </c>
      <c r="F694">
        <v>0.0682226211849191</v>
      </c>
      <c r="G694">
        <f ca="1" t="shared" si="30"/>
        <v>0.623011005193251</v>
      </c>
      <c r="H694" t="str">
        <f ca="1" t="shared" si="31"/>
        <v>Risk-On</v>
      </c>
      <c r="I694">
        <f ca="1" t="shared" si="32"/>
        <v>1</v>
      </c>
      <c r="J694">
        <f>_xlfn.XLOOKUP($A694,[1]Sheet1!$B$9:$B$2584,[1]Sheet1!$C$9:$C$2584,"N/A",0)</f>
        <v>96.05</v>
      </c>
      <c r="K694">
        <f>_xlfn.XLOOKUP($A694,[1]Sheet1!$E$9:$E$2584,[1]Sheet1!$F$9:$F$2584,"N/A",0)</f>
        <v>136.99</v>
      </c>
      <c r="L694">
        <f>_xlfn.XLOOKUP($A694,[1]Sheet1!$H$9:$H$2584,[1]Sheet1!$I$9:$I$2584,"N/A",0)</f>
        <v>88.98</v>
      </c>
      <c r="M694">
        <f>_xlfn.XLOOKUP($A694,[1]Sheet1!$K$9:$K$2584,[1]Sheet1!$L$9:$L$2584,"N/A",0)</f>
        <v>140.44</v>
      </c>
      <c r="N694">
        <f>_xlfn.XLOOKUP($A694,[1]Sheet1!$N$9:$N$2584,[1]Sheet1!$O$9:$O$2584,"N/A",0)</f>
        <v>95.52</v>
      </c>
      <c r="O694">
        <v>96.05</v>
      </c>
      <c r="P694">
        <v>136.99</v>
      </c>
      <c r="Q694">
        <v>88.98</v>
      </c>
      <c r="R694">
        <v>95.52</v>
      </c>
      <c r="S694">
        <v>140.44</v>
      </c>
    </row>
    <row r="695" spans="1:19">
      <c r="A695" s="1">
        <v>43375</v>
      </c>
      <c r="B695" t="s">
        <v>368</v>
      </c>
      <c r="C695" t="s">
        <v>373</v>
      </c>
      <c r="D695">
        <v>13.975</v>
      </c>
      <c r="E695">
        <v>14.925</v>
      </c>
      <c r="F695">
        <v>0.0679785330948122</v>
      </c>
      <c r="G695">
        <f ca="1" t="shared" si="30"/>
        <v>0.616725857245811</v>
      </c>
      <c r="H695" t="str">
        <f ca="1" t="shared" si="31"/>
        <v>Risk-On</v>
      </c>
      <c r="I695">
        <f ca="1" t="shared" si="32"/>
        <v>1</v>
      </c>
      <c r="J695">
        <f>_xlfn.XLOOKUP($A695,[1]Sheet1!$B$9:$B$2584,[1]Sheet1!$C$9:$C$2584,"N/A",0)</f>
        <v>95.79</v>
      </c>
      <c r="K695">
        <f>_xlfn.XLOOKUP($A695,[1]Sheet1!$E$9:$E$2584,[1]Sheet1!$F$9:$F$2584,"N/A",0)</f>
        <v>135.56</v>
      </c>
      <c r="L695">
        <f>_xlfn.XLOOKUP($A695,[1]Sheet1!$H$9:$H$2584,[1]Sheet1!$I$9:$I$2584,"N/A",0)</f>
        <v>88.93</v>
      </c>
      <c r="M695">
        <f>_xlfn.XLOOKUP($A695,[1]Sheet1!$K$9:$K$2584,[1]Sheet1!$L$9:$L$2584,"N/A",0)</f>
        <v>139.6</v>
      </c>
      <c r="N695">
        <f>_xlfn.XLOOKUP($A695,[1]Sheet1!$N$9:$N$2584,[1]Sheet1!$O$9:$O$2584,"N/A",0)</f>
        <v>96.21</v>
      </c>
      <c r="O695">
        <v>95.79</v>
      </c>
      <c r="P695">
        <v>135.56</v>
      </c>
      <c r="Q695">
        <v>88.93</v>
      </c>
      <c r="R695">
        <v>96.21</v>
      </c>
      <c r="S695">
        <v>139.6</v>
      </c>
    </row>
    <row r="696" spans="1:19">
      <c r="A696" s="1">
        <v>43376</v>
      </c>
      <c r="B696" t="s">
        <v>368</v>
      </c>
      <c r="C696" t="s">
        <v>373</v>
      </c>
      <c r="D696">
        <v>13.775</v>
      </c>
      <c r="E696">
        <v>14.725</v>
      </c>
      <c r="F696">
        <v>0.0689655172413792</v>
      </c>
      <c r="G696">
        <f ca="1" t="shared" si="30"/>
        <v>0.628203495280902</v>
      </c>
      <c r="H696" t="str">
        <f ca="1" t="shared" si="31"/>
        <v>Risk-On</v>
      </c>
      <c r="I696">
        <f ca="1" t="shared" si="32"/>
        <v>1</v>
      </c>
      <c r="J696">
        <f>_xlfn.XLOOKUP($A696,[1]Sheet1!$B$9:$B$2584,[1]Sheet1!$C$9:$C$2584,"N/A",0)</f>
        <v>95.85</v>
      </c>
      <c r="K696">
        <f>_xlfn.XLOOKUP($A696,[1]Sheet1!$E$9:$E$2584,[1]Sheet1!$F$9:$F$2584,"N/A",0)</f>
        <v>136.32</v>
      </c>
      <c r="L696">
        <f>_xlfn.XLOOKUP($A696,[1]Sheet1!$H$9:$H$2584,[1]Sheet1!$I$9:$I$2584,"N/A",0)</f>
        <v>88.82</v>
      </c>
      <c r="M696">
        <f>_xlfn.XLOOKUP($A696,[1]Sheet1!$K$9:$K$2584,[1]Sheet1!$L$9:$L$2584,"N/A",0)</f>
        <v>139.52</v>
      </c>
      <c r="N696">
        <f>_xlfn.XLOOKUP($A696,[1]Sheet1!$N$9:$N$2584,[1]Sheet1!$O$9:$O$2584,"N/A",0)</f>
        <v>95.56</v>
      </c>
      <c r="O696">
        <v>95.85</v>
      </c>
      <c r="P696">
        <v>136.32</v>
      </c>
      <c r="Q696">
        <v>88.82</v>
      </c>
      <c r="R696">
        <v>95.56</v>
      </c>
      <c r="S696">
        <v>139.52</v>
      </c>
    </row>
    <row r="697" spans="1:19">
      <c r="A697" s="1">
        <v>43377</v>
      </c>
      <c r="B697" t="s">
        <v>368</v>
      </c>
      <c r="C697" t="s">
        <v>373</v>
      </c>
      <c r="D697">
        <v>14.875</v>
      </c>
      <c r="E697">
        <v>15.225</v>
      </c>
      <c r="F697" s="2" t="s">
        <v>364</v>
      </c>
      <c r="G697">
        <f ca="1" t="shared" si="30"/>
        <v>-0.0294470267207569</v>
      </c>
      <c r="H697" t="str">
        <f ca="1" t="shared" si="31"/>
        <v>Risk-On</v>
      </c>
      <c r="I697">
        <f ca="1" t="shared" si="32"/>
        <v>1</v>
      </c>
      <c r="J697">
        <f>_xlfn.XLOOKUP($A697,[1]Sheet1!$B$9:$B$2584,[1]Sheet1!$C$9:$C$2584,"N/A",0)</f>
        <v>95.56</v>
      </c>
      <c r="K697">
        <f>_xlfn.XLOOKUP($A697,[1]Sheet1!$E$9:$E$2584,[1]Sheet1!$F$9:$F$2584,"N/A",0)</f>
        <v>135.33</v>
      </c>
      <c r="L697">
        <f>_xlfn.XLOOKUP($A697,[1]Sheet1!$H$9:$H$2584,[1]Sheet1!$I$9:$I$2584,"N/A",0)</f>
        <v>89.25</v>
      </c>
      <c r="M697">
        <f>_xlfn.XLOOKUP($A697,[1]Sheet1!$K$9:$K$2584,[1]Sheet1!$L$9:$L$2584,"N/A",0)</f>
        <v>139</v>
      </c>
      <c r="N697">
        <f>_xlfn.XLOOKUP($A697,[1]Sheet1!$N$9:$N$2584,[1]Sheet1!$O$9:$O$2584,"N/A",0)</f>
        <v>96.17</v>
      </c>
      <c r="O697">
        <v>95.56</v>
      </c>
      <c r="P697">
        <v>135.33</v>
      </c>
      <c r="Q697">
        <v>89.25</v>
      </c>
      <c r="R697">
        <v>96.17</v>
      </c>
      <c r="S697">
        <v>139</v>
      </c>
    </row>
    <row r="698" spans="1:19">
      <c r="A698" s="1">
        <v>43378</v>
      </c>
      <c r="B698" t="s">
        <v>368</v>
      </c>
      <c r="C698" t="s">
        <v>373</v>
      </c>
      <c r="D698">
        <v>15.225</v>
      </c>
      <c r="E698">
        <v>15.475</v>
      </c>
      <c r="F698" s="2" t="s">
        <v>374</v>
      </c>
      <c r="G698">
        <f ca="1" t="shared" si="30"/>
        <v>-0.131909512916896</v>
      </c>
      <c r="H698" t="str">
        <f ca="1" t="shared" si="31"/>
        <v>Risk-On</v>
      </c>
      <c r="I698">
        <f ca="1" t="shared" si="32"/>
        <v>1</v>
      </c>
      <c r="J698">
        <f>_xlfn.XLOOKUP($A698,[1]Sheet1!$B$9:$B$2584,[1]Sheet1!$C$9:$C$2584,"N/A",0)</f>
        <v>95.98</v>
      </c>
      <c r="K698">
        <f>_xlfn.XLOOKUP($A698,[1]Sheet1!$E$9:$E$2584,[1]Sheet1!$F$9:$F$2584,"N/A",0)</f>
        <v>136.32</v>
      </c>
      <c r="L698">
        <f>_xlfn.XLOOKUP($A698,[1]Sheet1!$H$9:$H$2584,[1]Sheet1!$I$9:$I$2584,"N/A",0)</f>
        <v>88.89</v>
      </c>
      <c r="M698">
        <f>_xlfn.XLOOKUP($A698,[1]Sheet1!$K$9:$K$2584,[1]Sheet1!$L$9:$L$2584,"N/A",0)</f>
        <v>139.51</v>
      </c>
      <c r="N698">
        <f>_xlfn.XLOOKUP($A698,[1]Sheet1!$N$9:$N$2584,[1]Sheet1!$O$9:$O$2584,"N/A",0)</f>
        <v>96.37</v>
      </c>
      <c r="O698">
        <v>95.98</v>
      </c>
      <c r="P698">
        <v>136.32</v>
      </c>
      <c r="Q698">
        <v>88.89</v>
      </c>
      <c r="R698">
        <v>96.37</v>
      </c>
      <c r="S698">
        <v>139.51</v>
      </c>
    </row>
    <row r="699" spans="1:19">
      <c r="A699" s="1">
        <v>43381</v>
      </c>
      <c r="B699" t="s">
        <v>368</v>
      </c>
      <c r="C699" t="s">
        <v>373</v>
      </c>
      <c r="D699">
        <v>15.675</v>
      </c>
      <c r="E699">
        <v>15.725</v>
      </c>
      <c r="F699">
        <v>0.0031897926634768</v>
      </c>
      <c r="G699">
        <f ca="1" t="shared" si="30"/>
        <v>-0.322601216085653</v>
      </c>
      <c r="H699" t="str">
        <f ca="1" t="shared" si="31"/>
        <v>Risk-On</v>
      </c>
      <c r="I699">
        <f ca="1" t="shared" si="32"/>
        <v>1</v>
      </c>
      <c r="J699">
        <f>_xlfn.XLOOKUP($A699,[1]Sheet1!$B$9:$B$2584,[1]Sheet1!$C$9:$C$2584,"N/A",0)</f>
        <v>96.1</v>
      </c>
      <c r="K699">
        <f>_xlfn.XLOOKUP($A699,[1]Sheet1!$E$9:$E$2584,[1]Sheet1!$F$9:$F$2584,"N/A",0)</f>
        <v>134.55</v>
      </c>
      <c r="L699">
        <f>_xlfn.XLOOKUP($A699,[1]Sheet1!$H$9:$H$2584,[1]Sheet1!$I$9:$I$2584,"N/A",0)</f>
        <v>89.22</v>
      </c>
      <c r="M699">
        <f>_xlfn.XLOOKUP($A699,[1]Sheet1!$K$9:$K$2584,[1]Sheet1!$L$9:$L$2584,"N/A",0)</f>
        <v>139.62</v>
      </c>
      <c r="N699">
        <f>_xlfn.XLOOKUP($A699,[1]Sheet1!$N$9:$N$2584,[1]Sheet1!$O$9:$O$2584,"N/A",0)</f>
        <v>96.58</v>
      </c>
      <c r="O699">
        <v>96.1</v>
      </c>
      <c r="P699">
        <v>134.55</v>
      </c>
      <c r="Q699">
        <v>89.22</v>
      </c>
      <c r="R699">
        <v>96.58</v>
      </c>
      <c r="S699">
        <v>139.62</v>
      </c>
    </row>
    <row r="700" spans="1:19">
      <c r="A700" s="1">
        <v>43382</v>
      </c>
      <c r="B700" t="s">
        <v>368</v>
      </c>
      <c r="C700" t="s">
        <v>373</v>
      </c>
      <c r="D700">
        <v>15.975</v>
      </c>
      <c r="E700">
        <v>15.925</v>
      </c>
      <c r="F700">
        <v>-0.00312989045383404</v>
      </c>
      <c r="G700">
        <f ca="1" t="shared" si="30"/>
        <v>-0.41282525669952</v>
      </c>
      <c r="H700" t="str">
        <f ca="1" t="shared" si="31"/>
        <v>Risk-On</v>
      </c>
      <c r="I700">
        <f ca="1" t="shared" si="32"/>
        <v>1</v>
      </c>
      <c r="J700">
        <f>_xlfn.XLOOKUP($A700,[1]Sheet1!$B$9:$B$2584,[1]Sheet1!$C$9:$C$2584,"N/A",0)</f>
        <v>95.84</v>
      </c>
      <c r="K700">
        <f>_xlfn.XLOOKUP($A700,[1]Sheet1!$E$9:$E$2584,[1]Sheet1!$F$9:$F$2584,"N/A",0)</f>
        <v>135.36</v>
      </c>
      <c r="L700">
        <f>_xlfn.XLOOKUP($A700,[1]Sheet1!$H$9:$H$2584,[1]Sheet1!$I$9:$I$2584,"N/A",0)</f>
        <v>88.74</v>
      </c>
      <c r="M700">
        <f>_xlfn.XLOOKUP($A700,[1]Sheet1!$K$9:$K$2584,[1]Sheet1!$L$9:$L$2584,"N/A",0)</f>
        <v>138.96</v>
      </c>
      <c r="N700">
        <f>_xlfn.XLOOKUP($A700,[1]Sheet1!$N$9:$N$2584,[1]Sheet1!$O$9:$O$2584,"N/A",0)</f>
        <v>96.98</v>
      </c>
      <c r="O700">
        <v>95.84</v>
      </c>
      <c r="P700">
        <v>135.36</v>
      </c>
      <c r="Q700">
        <v>88.74</v>
      </c>
      <c r="R700">
        <v>96.98</v>
      </c>
      <c r="S700">
        <v>138.96</v>
      </c>
    </row>
    <row r="701" spans="1:19">
      <c r="A701" s="1">
        <v>43383</v>
      </c>
      <c r="B701" t="s">
        <v>368</v>
      </c>
      <c r="C701" t="s">
        <v>373</v>
      </c>
      <c r="D701">
        <v>20.125</v>
      </c>
      <c r="E701">
        <v>18.525</v>
      </c>
      <c r="F701">
        <v>-0.0795031055900621</v>
      </c>
      <c r="G701">
        <f ca="1" t="shared" si="30"/>
        <v>-1.51814576181328</v>
      </c>
      <c r="H701" t="str">
        <f ca="1" t="shared" si="31"/>
        <v>Risk-On</v>
      </c>
      <c r="I701">
        <f ca="1" t="shared" si="32"/>
        <v>1</v>
      </c>
      <c r="J701">
        <f>_xlfn.XLOOKUP($A701,[1]Sheet1!$B$9:$B$2584,[1]Sheet1!$C$9:$C$2584,"N/A",0)</f>
        <v>95.73</v>
      </c>
      <c r="K701">
        <f>_xlfn.XLOOKUP($A701,[1]Sheet1!$E$9:$E$2584,[1]Sheet1!$F$9:$F$2584,"N/A",0)</f>
        <v>132.98</v>
      </c>
      <c r="L701">
        <f>_xlfn.XLOOKUP($A701,[1]Sheet1!$H$9:$H$2584,[1]Sheet1!$I$9:$I$2584,"N/A",0)</f>
        <v>89.71</v>
      </c>
      <c r="M701">
        <f>_xlfn.XLOOKUP($A701,[1]Sheet1!$K$9:$K$2584,[1]Sheet1!$L$9:$L$2584,"N/A",0)</f>
        <v>138.46</v>
      </c>
      <c r="N701">
        <f>_xlfn.XLOOKUP($A701,[1]Sheet1!$N$9:$N$2584,[1]Sheet1!$O$9:$O$2584,"N/A",0)</f>
        <v>96.6</v>
      </c>
      <c r="O701">
        <v>95.73</v>
      </c>
      <c r="P701">
        <v>132.98</v>
      </c>
      <c r="Q701">
        <v>89.71</v>
      </c>
      <c r="R701">
        <v>96.6</v>
      </c>
      <c r="S701">
        <v>138.46</v>
      </c>
    </row>
    <row r="702" spans="1:19">
      <c r="A702" s="1">
        <v>43384</v>
      </c>
      <c r="B702" t="s">
        <v>368</v>
      </c>
      <c r="C702" t="s">
        <v>373</v>
      </c>
      <c r="D702">
        <v>21.175</v>
      </c>
      <c r="E702">
        <v>18.525</v>
      </c>
      <c r="F702">
        <v>-0.125147579693034</v>
      </c>
      <c r="G702">
        <f ca="1" t="shared" si="30"/>
        <v>-2.1614044798566</v>
      </c>
      <c r="H702" t="str">
        <f ca="1" t="shared" si="31"/>
        <v>Risk-On</v>
      </c>
      <c r="I702">
        <f ca="1" t="shared" si="32"/>
        <v>1</v>
      </c>
      <c r="J702">
        <f>_xlfn.XLOOKUP($A702,[1]Sheet1!$B$9:$B$2584,[1]Sheet1!$C$9:$C$2584,"N/A",0)</f>
        <v>96.25</v>
      </c>
      <c r="K702">
        <f>_xlfn.XLOOKUP($A702,[1]Sheet1!$E$9:$E$2584,[1]Sheet1!$F$9:$F$2584,"N/A",0)</f>
        <v>133.68</v>
      </c>
      <c r="L702">
        <f>_xlfn.XLOOKUP($A702,[1]Sheet1!$H$9:$H$2584,[1]Sheet1!$I$9:$I$2584,"N/A",0)</f>
        <v>89.62</v>
      </c>
      <c r="M702">
        <f>_xlfn.XLOOKUP($A702,[1]Sheet1!$K$9:$K$2584,[1]Sheet1!$L$9:$L$2584,"N/A",0)</f>
        <v>137.81</v>
      </c>
      <c r="N702">
        <f>_xlfn.XLOOKUP($A702,[1]Sheet1!$N$9:$N$2584,[1]Sheet1!$O$9:$O$2584,"N/A",0)</f>
        <v>96.29</v>
      </c>
      <c r="O702">
        <v>96.25</v>
      </c>
      <c r="P702">
        <v>133.68</v>
      </c>
      <c r="Q702">
        <v>89.62</v>
      </c>
      <c r="R702">
        <v>96.29</v>
      </c>
      <c r="S702">
        <v>137.81</v>
      </c>
    </row>
    <row r="703" spans="1:19">
      <c r="A703" s="1">
        <v>43385</v>
      </c>
      <c r="B703" t="s">
        <v>368</v>
      </c>
      <c r="C703" t="s">
        <v>373</v>
      </c>
      <c r="D703">
        <v>19.925</v>
      </c>
      <c r="E703">
        <v>18.125</v>
      </c>
      <c r="F703">
        <v>-0.0903387703889586</v>
      </c>
      <c r="G703">
        <f ca="1" t="shared" si="30"/>
        <v>-1.62713174507662</v>
      </c>
      <c r="H703" t="str">
        <f ca="1" t="shared" si="31"/>
        <v>Risk-On</v>
      </c>
      <c r="I703">
        <f ca="1" t="shared" si="32"/>
        <v>1</v>
      </c>
      <c r="J703">
        <f>_xlfn.XLOOKUP($A703,[1]Sheet1!$B$9:$B$2584,[1]Sheet1!$C$9:$C$2584,"N/A",0)</f>
        <v>95.92</v>
      </c>
      <c r="K703">
        <f>_xlfn.XLOOKUP($A703,[1]Sheet1!$E$9:$E$2584,[1]Sheet1!$F$9:$F$2584,"N/A",0)</f>
        <v>135.46</v>
      </c>
      <c r="L703">
        <f>_xlfn.XLOOKUP($A703,[1]Sheet1!$H$9:$H$2584,[1]Sheet1!$I$9:$I$2584,"N/A",0)</f>
        <v>89.13</v>
      </c>
      <c r="M703">
        <f>_xlfn.XLOOKUP($A703,[1]Sheet1!$K$9:$K$2584,[1]Sheet1!$L$9:$L$2584,"N/A",0)</f>
        <v>138.08</v>
      </c>
      <c r="N703">
        <f>_xlfn.XLOOKUP($A703,[1]Sheet1!$N$9:$N$2584,[1]Sheet1!$O$9:$O$2584,"N/A",0)</f>
        <v>97.4</v>
      </c>
      <c r="O703">
        <v>95.92</v>
      </c>
      <c r="P703">
        <v>135.46</v>
      </c>
      <c r="Q703">
        <v>89.13</v>
      </c>
      <c r="R703">
        <v>97.4</v>
      </c>
      <c r="S703">
        <v>138.08</v>
      </c>
    </row>
    <row r="704" spans="1:19">
      <c r="A704" s="1">
        <v>43388</v>
      </c>
      <c r="B704" t="s">
        <v>368</v>
      </c>
      <c r="C704" t="s">
        <v>373</v>
      </c>
      <c r="D704">
        <v>20.125</v>
      </c>
      <c r="E704">
        <v>18.525</v>
      </c>
      <c r="F704">
        <v>-0.0795031055900621</v>
      </c>
      <c r="G704">
        <f ca="1" t="shared" si="30"/>
        <v>-1.45508367508044</v>
      </c>
      <c r="H704" t="str">
        <f ca="1" t="shared" si="31"/>
        <v>Risk-On</v>
      </c>
      <c r="I704">
        <f ca="1" t="shared" si="32"/>
        <v>1</v>
      </c>
      <c r="J704">
        <f>_xlfn.XLOOKUP($A704,[1]Sheet1!$B$9:$B$2584,[1]Sheet1!$C$9:$C$2584,"N/A",0)</f>
        <v>95.61</v>
      </c>
      <c r="K704">
        <f>_xlfn.XLOOKUP($A704,[1]Sheet1!$E$9:$E$2584,[1]Sheet1!$F$9:$F$2584,"N/A",0)</f>
        <v>134.26</v>
      </c>
      <c r="L704">
        <f>_xlfn.XLOOKUP($A704,[1]Sheet1!$H$9:$H$2584,[1]Sheet1!$I$9:$I$2584,"N/A",0)</f>
        <v>89.21</v>
      </c>
      <c r="M704">
        <f>_xlfn.XLOOKUP($A704,[1]Sheet1!$K$9:$K$2584,[1]Sheet1!$L$9:$L$2584,"N/A",0)</f>
        <v>137.8</v>
      </c>
      <c r="N704">
        <f>_xlfn.XLOOKUP($A704,[1]Sheet1!$N$9:$N$2584,[1]Sheet1!$O$9:$O$2584,"N/A",0)</f>
        <v>96.7</v>
      </c>
      <c r="O704">
        <v>95.61</v>
      </c>
      <c r="P704">
        <v>134.26</v>
      </c>
      <c r="Q704">
        <v>89.21</v>
      </c>
      <c r="R704">
        <v>96.7</v>
      </c>
      <c r="S704">
        <v>137.8</v>
      </c>
    </row>
    <row r="705" spans="1:19">
      <c r="A705" s="1">
        <v>43389</v>
      </c>
      <c r="B705" t="s">
        <v>368</v>
      </c>
      <c r="C705" t="s">
        <v>373</v>
      </c>
      <c r="D705">
        <v>17.675</v>
      </c>
      <c r="E705">
        <v>17.275</v>
      </c>
      <c r="F705">
        <v>-0.0226308345120227</v>
      </c>
      <c r="G705">
        <f ca="1" t="shared" si="30"/>
        <v>-0.636366699079531</v>
      </c>
      <c r="H705" t="str">
        <f ca="1" t="shared" si="31"/>
        <v>Risk-On</v>
      </c>
      <c r="I705">
        <f ca="1" t="shared" si="32"/>
        <v>1</v>
      </c>
      <c r="J705">
        <f>_xlfn.XLOOKUP($A705,[1]Sheet1!$B$9:$B$2584,[1]Sheet1!$C$9:$C$2584,"N/A",0)</f>
        <v>95.7</v>
      </c>
      <c r="K705">
        <f>_xlfn.XLOOKUP($A705,[1]Sheet1!$E$9:$E$2584,[1]Sheet1!$F$9:$F$2584,"N/A",0)</f>
        <v>134.63</v>
      </c>
      <c r="L705">
        <f>_xlfn.XLOOKUP($A705,[1]Sheet1!$H$9:$H$2584,[1]Sheet1!$I$9:$I$2584,"N/A",0)</f>
        <v>89.03</v>
      </c>
      <c r="M705">
        <f>_xlfn.XLOOKUP($A705,[1]Sheet1!$K$9:$K$2584,[1]Sheet1!$L$9:$L$2584,"N/A",0)</f>
        <v>138.06</v>
      </c>
      <c r="N705">
        <f>_xlfn.XLOOKUP($A705,[1]Sheet1!$N$9:$N$2584,[1]Sheet1!$O$9:$O$2584,"N/A",0)</f>
        <v>96.15</v>
      </c>
      <c r="O705">
        <v>95.7</v>
      </c>
      <c r="P705">
        <v>134.63</v>
      </c>
      <c r="Q705">
        <v>89.03</v>
      </c>
      <c r="R705">
        <v>96.15</v>
      </c>
      <c r="S705">
        <v>138.06</v>
      </c>
    </row>
    <row r="706" spans="1:19">
      <c r="A706" s="1">
        <v>43390</v>
      </c>
      <c r="B706" t="s">
        <v>368</v>
      </c>
      <c r="C706" t="s">
        <v>373</v>
      </c>
      <c r="D706">
        <v>17.23</v>
      </c>
      <c r="E706">
        <v>17.125</v>
      </c>
      <c r="F706">
        <v>-0.00609402205455603</v>
      </c>
      <c r="G706">
        <f ca="1" t="shared" si="30"/>
        <v>-0.399181067781727</v>
      </c>
      <c r="H706" t="str">
        <f ca="1" t="shared" si="31"/>
        <v>Risk-On</v>
      </c>
      <c r="I706">
        <f ca="1" t="shared" si="32"/>
        <v>1</v>
      </c>
      <c r="J706">
        <f>_xlfn.XLOOKUP($A706,[1]Sheet1!$B$9:$B$2584,[1]Sheet1!$C$9:$C$2584,"N/A",0)</f>
        <v>95.5</v>
      </c>
      <c r="K706">
        <f>_xlfn.XLOOKUP($A706,[1]Sheet1!$E$9:$E$2584,[1]Sheet1!$F$9:$F$2584,"N/A",0)</f>
        <v>134.08</v>
      </c>
      <c r="L706">
        <f>_xlfn.XLOOKUP($A706,[1]Sheet1!$H$9:$H$2584,[1]Sheet1!$I$9:$I$2584,"N/A",0)</f>
        <v>88.94</v>
      </c>
      <c r="M706">
        <f>_xlfn.XLOOKUP($A706,[1]Sheet1!$K$9:$K$2584,[1]Sheet1!$L$9:$L$2584,"N/A",0)</f>
        <v>138.05</v>
      </c>
      <c r="N706">
        <f>_xlfn.XLOOKUP($A706,[1]Sheet1!$N$9:$N$2584,[1]Sheet1!$O$9:$O$2584,"N/A",0)</f>
        <v>96.21</v>
      </c>
      <c r="O706">
        <v>95.5</v>
      </c>
      <c r="P706">
        <v>134.08</v>
      </c>
      <c r="Q706">
        <v>88.94</v>
      </c>
      <c r="R706">
        <v>96.21</v>
      </c>
      <c r="S706">
        <v>138.05</v>
      </c>
    </row>
    <row r="707" spans="1:19">
      <c r="A707" s="1">
        <v>43391</v>
      </c>
      <c r="B707" t="s">
        <v>373</v>
      </c>
      <c r="C707" t="s">
        <v>375</v>
      </c>
      <c r="D707">
        <v>18.425</v>
      </c>
      <c r="E707">
        <v>18.075</v>
      </c>
      <c r="F707">
        <v>-0.0189959294436907</v>
      </c>
      <c r="G707">
        <f ca="1" t="shared" ref="G707:G770" si="33">IF(ROW()-ROW($A$3)+1&gt;252,(F707-AVERAGE(OFFSET(F707,-252,0,252,1)))/_xlfn.STDEV.S(OFFSET(F707,-252,0,252,1)),"N/A")</f>
        <v>-0.581185137510883</v>
      </c>
      <c r="H707" t="str">
        <f ca="1" t="shared" ref="H707:H770" si="34">IF(G707&lt;&gt;"N/A",IF(G957&gt;-0.5,"Risk-On","Risk-Off"),"N/A")</f>
        <v>Risk-On</v>
      </c>
      <c r="I707">
        <f ca="1" t="shared" si="32"/>
        <v>1</v>
      </c>
      <c r="J707">
        <f>_xlfn.XLOOKUP($A707,[1]Sheet1!$B$9:$B$2584,[1]Sheet1!$C$9:$C$2584,"N/A",0)</f>
        <v>95.27</v>
      </c>
      <c r="K707">
        <f>_xlfn.XLOOKUP($A707,[1]Sheet1!$E$9:$E$2584,[1]Sheet1!$F$9:$F$2584,"N/A",0)</f>
        <v>134.34</v>
      </c>
      <c r="L707">
        <f>_xlfn.XLOOKUP($A707,[1]Sheet1!$H$9:$H$2584,[1]Sheet1!$I$9:$I$2584,"N/A",0)</f>
        <v>89.26</v>
      </c>
      <c r="M707">
        <f>_xlfn.XLOOKUP($A707,[1]Sheet1!$K$9:$K$2584,[1]Sheet1!$L$9:$L$2584,"N/A",0)</f>
        <v>138.11</v>
      </c>
      <c r="N707">
        <f>_xlfn.XLOOKUP($A707,[1]Sheet1!$N$9:$N$2584,[1]Sheet1!$O$9:$O$2584,"N/A",0)</f>
        <v>96.86</v>
      </c>
      <c r="O707">
        <v>95.27</v>
      </c>
      <c r="P707">
        <v>134.34</v>
      </c>
      <c r="Q707">
        <v>89.26</v>
      </c>
      <c r="R707">
        <v>96.86</v>
      </c>
      <c r="S707">
        <v>138.11</v>
      </c>
    </row>
    <row r="708" spans="1:19">
      <c r="A708" s="1">
        <v>43392</v>
      </c>
      <c r="B708" t="s">
        <v>373</v>
      </c>
      <c r="C708" t="s">
        <v>375</v>
      </c>
      <c r="D708">
        <v>18.425</v>
      </c>
      <c r="E708">
        <v>18.175</v>
      </c>
      <c r="F708">
        <v>-0.0135685210312075</v>
      </c>
      <c r="G708">
        <f ca="1" t="shared" si="33"/>
        <v>-0.495190938158477</v>
      </c>
      <c r="H708" t="str">
        <f ca="1" t="shared" si="34"/>
        <v>Risk-On</v>
      </c>
      <c r="I708">
        <f ca="1" t="shared" ref="I708:I771" si="35">IF(H708&lt;&gt;"N/A",IF(H958&gt;-0.5,1,0),0)</f>
        <v>1</v>
      </c>
      <c r="J708">
        <f>_xlfn.XLOOKUP($A708,[1]Sheet1!$B$9:$B$2584,[1]Sheet1!$C$9:$C$2584,"N/A",0)</f>
        <v>95.09</v>
      </c>
      <c r="K708">
        <f>_xlfn.XLOOKUP($A708,[1]Sheet1!$E$9:$E$2584,[1]Sheet1!$F$9:$F$2584,"N/A",0)</f>
        <v>132.7</v>
      </c>
      <c r="L708">
        <f>_xlfn.XLOOKUP($A708,[1]Sheet1!$H$9:$H$2584,[1]Sheet1!$I$9:$I$2584,"N/A",0)</f>
        <v>89.46</v>
      </c>
      <c r="M708">
        <f>_xlfn.XLOOKUP($A708,[1]Sheet1!$K$9:$K$2584,[1]Sheet1!$L$9:$L$2584,"N/A",0)</f>
        <v>137.67</v>
      </c>
      <c r="N708">
        <f>_xlfn.XLOOKUP($A708,[1]Sheet1!$N$9:$N$2584,[1]Sheet1!$O$9:$O$2584,"N/A",0)</f>
        <v>97.57</v>
      </c>
      <c r="O708">
        <v>95.09</v>
      </c>
      <c r="P708">
        <v>132.7</v>
      </c>
      <c r="Q708">
        <v>89.46</v>
      </c>
      <c r="R708">
        <v>97.57</v>
      </c>
      <c r="S708">
        <v>137.67</v>
      </c>
    </row>
    <row r="709" spans="1:19">
      <c r="A709" s="1">
        <v>43395</v>
      </c>
      <c r="B709" t="s">
        <v>373</v>
      </c>
      <c r="C709" t="s">
        <v>375</v>
      </c>
      <c r="D709">
        <v>18.625</v>
      </c>
      <c r="E709">
        <v>18.225</v>
      </c>
      <c r="F709">
        <v>-0.021476510067114</v>
      </c>
      <c r="G709">
        <f ca="1" t="shared" si="33"/>
        <v>-0.601382718819533</v>
      </c>
      <c r="H709" t="str">
        <f ca="1" t="shared" si="34"/>
        <v>Risk-On</v>
      </c>
      <c r="I709">
        <f ca="1" t="shared" si="35"/>
        <v>1</v>
      </c>
      <c r="J709">
        <f>_xlfn.XLOOKUP($A709,[1]Sheet1!$B$9:$B$2584,[1]Sheet1!$C$9:$C$2584,"N/A",0)</f>
        <v>94.67</v>
      </c>
      <c r="K709">
        <f>_xlfn.XLOOKUP($A709,[1]Sheet1!$E$9:$E$2584,[1]Sheet1!$F$9:$F$2584,"N/A",0)</f>
        <v>134.4</v>
      </c>
      <c r="L709">
        <f>_xlfn.XLOOKUP($A709,[1]Sheet1!$H$9:$H$2584,[1]Sheet1!$I$9:$I$2584,"N/A",0)</f>
        <v>89.25</v>
      </c>
      <c r="M709">
        <f>_xlfn.XLOOKUP($A709,[1]Sheet1!$K$9:$K$2584,[1]Sheet1!$L$9:$L$2584,"N/A",0)</f>
        <v>138.54</v>
      </c>
      <c r="N709">
        <f>_xlfn.XLOOKUP($A709,[1]Sheet1!$N$9:$N$2584,[1]Sheet1!$O$9:$O$2584,"N/A",0)</f>
        <v>97.18</v>
      </c>
      <c r="O709">
        <v>94.67</v>
      </c>
      <c r="P709">
        <v>134.4</v>
      </c>
      <c r="Q709">
        <v>89.25</v>
      </c>
      <c r="R709">
        <v>97.18</v>
      </c>
      <c r="S709">
        <v>138.54</v>
      </c>
    </row>
    <row r="710" spans="1:19">
      <c r="A710" s="1">
        <v>43396</v>
      </c>
      <c r="B710" t="s">
        <v>373</v>
      </c>
      <c r="C710" t="s">
        <v>375</v>
      </c>
      <c r="D710">
        <v>18.825</v>
      </c>
      <c r="E710">
        <v>18.425</v>
      </c>
      <c r="F710">
        <v>-0.0212483399734395</v>
      </c>
      <c r="G710">
        <f ca="1" t="shared" si="33"/>
        <v>-0.590448489153859</v>
      </c>
      <c r="H710" t="str">
        <f ca="1" t="shared" si="34"/>
        <v>Risk-On</v>
      </c>
      <c r="I710">
        <f ca="1" t="shared" si="35"/>
        <v>1</v>
      </c>
      <c r="J710">
        <f>_xlfn.XLOOKUP($A710,[1]Sheet1!$B$9:$B$2584,[1]Sheet1!$C$9:$C$2584,"N/A",0)</f>
        <v>95.04</v>
      </c>
      <c r="K710">
        <f>_xlfn.XLOOKUP($A710,[1]Sheet1!$E$9:$E$2584,[1]Sheet1!$F$9:$F$2584,"N/A",0)</f>
        <v>133.39</v>
      </c>
      <c r="L710">
        <f>_xlfn.XLOOKUP($A710,[1]Sheet1!$H$9:$H$2584,[1]Sheet1!$I$9:$I$2584,"N/A",0)</f>
        <v>89.66</v>
      </c>
      <c r="M710">
        <f>_xlfn.XLOOKUP($A710,[1]Sheet1!$K$9:$K$2584,[1]Sheet1!$L$9:$L$2584,"N/A",0)</f>
        <v>138.57</v>
      </c>
      <c r="N710">
        <f>_xlfn.XLOOKUP($A710,[1]Sheet1!$N$9:$N$2584,[1]Sheet1!$O$9:$O$2584,"N/A",0)</f>
        <v>97.43</v>
      </c>
      <c r="O710">
        <v>95.04</v>
      </c>
      <c r="P710">
        <v>133.39</v>
      </c>
      <c r="Q710">
        <v>89.66</v>
      </c>
      <c r="R710">
        <v>97.43</v>
      </c>
      <c r="S710">
        <v>138.57</v>
      </c>
    </row>
    <row r="711" spans="1:19">
      <c r="A711" s="1">
        <v>43397</v>
      </c>
      <c r="B711" t="s">
        <v>373</v>
      </c>
      <c r="C711" t="s">
        <v>375</v>
      </c>
      <c r="D711">
        <v>20.625</v>
      </c>
      <c r="E711">
        <v>19.625</v>
      </c>
      <c r="F711">
        <v>-0.0484848484848484</v>
      </c>
      <c r="G711">
        <f ca="1" t="shared" si="33"/>
        <v>-0.971836228226589</v>
      </c>
      <c r="H711" t="str">
        <f ca="1" t="shared" si="34"/>
        <v>Risk-On</v>
      </c>
      <c r="I711">
        <f ca="1" t="shared" si="35"/>
        <v>1</v>
      </c>
      <c r="J711">
        <f>_xlfn.XLOOKUP($A711,[1]Sheet1!$B$9:$B$2584,[1]Sheet1!$C$9:$C$2584,"N/A",0)</f>
        <v>94.97</v>
      </c>
      <c r="K711">
        <f>_xlfn.XLOOKUP($A711,[1]Sheet1!$E$9:$E$2584,[1]Sheet1!$F$9:$F$2584,"N/A",0)</f>
        <v>132.33</v>
      </c>
      <c r="L711">
        <f>_xlfn.XLOOKUP($A711,[1]Sheet1!$H$9:$H$2584,[1]Sheet1!$I$9:$I$2584,"N/A",0)</f>
        <v>89.16</v>
      </c>
      <c r="M711">
        <f>_xlfn.XLOOKUP($A711,[1]Sheet1!$K$9:$K$2584,[1]Sheet1!$L$9:$L$2584,"N/A",0)</f>
        <v>138.25</v>
      </c>
      <c r="N711">
        <f>_xlfn.XLOOKUP($A711,[1]Sheet1!$N$9:$N$2584,[1]Sheet1!$O$9:$O$2584,"N/A",0)</f>
        <v>97.91</v>
      </c>
      <c r="O711">
        <v>94.97</v>
      </c>
      <c r="P711">
        <v>132.33</v>
      </c>
      <c r="Q711">
        <v>89.16</v>
      </c>
      <c r="R711">
        <v>97.91</v>
      </c>
      <c r="S711">
        <v>138.25</v>
      </c>
    </row>
    <row r="712" spans="1:19">
      <c r="A712" s="1">
        <v>43398</v>
      </c>
      <c r="B712" t="s">
        <v>373</v>
      </c>
      <c r="C712" t="s">
        <v>375</v>
      </c>
      <c r="D712">
        <v>20.925</v>
      </c>
      <c r="E712">
        <v>19.825</v>
      </c>
      <c r="F712">
        <v>-0.0525686977299881</v>
      </c>
      <c r="G712">
        <f ca="1" t="shared" si="33"/>
        <v>-1.01926736699373</v>
      </c>
      <c r="H712" t="str">
        <f ca="1" t="shared" si="34"/>
        <v>Risk-On</v>
      </c>
      <c r="I712">
        <f ca="1" t="shared" si="35"/>
        <v>1</v>
      </c>
      <c r="J712">
        <f>_xlfn.XLOOKUP($A712,[1]Sheet1!$B$9:$B$2584,[1]Sheet1!$C$9:$C$2584,"N/A",0)</f>
        <v>95.67</v>
      </c>
      <c r="K712">
        <f>_xlfn.XLOOKUP($A712,[1]Sheet1!$E$9:$E$2584,[1]Sheet1!$F$9:$F$2584,"N/A",0)</f>
        <v>132.49</v>
      </c>
      <c r="L712">
        <f>_xlfn.XLOOKUP($A712,[1]Sheet1!$H$9:$H$2584,[1]Sheet1!$I$9:$I$2584,"N/A",0)</f>
        <v>89.37</v>
      </c>
      <c r="M712">
        <f>_xlfn.XLOOKUP($A712,[1]Sheet1!$K$9:$K$2584,[1]Sheet1!$L$9:$L$2584,"N/A",0)</f>
        <v>138.59</v>
      </c>
      <c r="N712">
        <f>_xlfn.XLOOKUP($A712,[1]Sheet1!$N$9:$N$2584,[1]Sheet1!$O$9:$O$2584,"N/A",0)</f>
        <v>97.43</v>
      </c>
      <c r="O712">
        <v>95.67</v>
      </c>
      <c r="P712">
        <v>132.49</v>
      </c>
      <c r="Q712">
        <v>89.37</v>
      </c>
      <c r="R712">
        <v>97.43</v>
      </c>
      <c r="S712">
        <v>138.59</v>
      </c>
    </row>
    <row r="713" spans="1:19">
      <c r="A713" s="1">
        <v>43399</v>
      </c>
      <c r="B713" t="s">
        <v>373</v>
      </c>
      <c r="C713" t="s">
        <v>375</v>
      </c>
      <c r="D713">
        <v>21.075</v>
      </c>
      <c r="E713">
        <v>20.075</v>
      </c>
      <c r="F713">
        <v>-0.0474495848161328</v>
      </c>
      <c r="G713">
        <f ca="1" t="shared" si="33"/>
        <v>-0.93538929640501</v>
      </c>
      <c r="H713" t="str">
        <f ca="1" t="shared" si="34"/>
        <v>Risk-On</v>
      </c>
      <c r="I713">
        <f ca="1" t="shared" si="35"/>
        <v>1</v>
      </c>
      <c r="J713">
        <f>_xlfn.XLOOKUP($A713,[1]Sheet1!$B$9:$B$2584,[1]Sheet1!$C$9:$C$2584,"N/A",0)</f>
        <v>95.49</v>
      </c>
      <c r="K713">
        <f>_xlfn.XLOOKUP($A713,[1]Sheet1!$E$9:$E$2584,[1]Sheet1!$F$9:$F$2584,"N/A",0)</f>
        <v>133.32</v>
      </c>
      <c r="L713">
        <f>_xlfn.XLOOKUP($A713,[1]Sheet1!$H$9:$H$2584,[1]Sheet1!$I$9:$I$2584,"N/A",0)</f>
        <v>89.31</v>
      </c>
      <c r="M713">
        <f>_xlfn.XLOOKUP($A713,[1]Sheet1!$K$9:$K$2584,[1]Sheet1!$L$9:$L$2584,"N/A",0)</f>
        <v>138.38</v>
      </c>
      <c r="N713">
        <f>_xlfn.XLOOKUP($A713,[1]Sheet1!$N$9:$N$2584,[1]Sheet1!$O$9:$O$2584,"N/A",0)</f>
        <v>97.27</v>
      </c>
      <c r="O713">
        <v>95.49</v>
      </c>
      <c r="P713">
        <v>133.32</v>
      </c>
      <c r="Q713">
        <v>89.31</v>
      </c>
      <c r="R713">
        <v>97.27</v>
      </c>
      <c r="S713">
        <v>138.38</v>
      </c>
    </row>
    <row r="714" spans="1:19">
      <c r="A714" s="1">
        <v>43402</v>
      </c>
      <c r="B714" t="s">
        <v>373</v>
      </c>
      <c r="C714" t="s">
        <v>375</v>
      </c>
      <c r="D714">
        <v>21.525</v>
      </c>
      <c r="E714">
        <v>20.575</v>
      </c>
      <c r="F714">
        <v>-0.0441347270615563</v>
      </c>
      <c r="G714">
        <f ca="1" t="shared" si="33"/>
        <v>-0.878179307563446</v>
      </c>
      <c r="H714" t="str">
        <f ca="1" t="shared" si="34"/>
        <v>Risk-On</v>
      </c>
      <c r="I714">
        <f ca="1" t="shared" si="35"/>
        <v>1</v>
      </c>
      <c r="J714">
        <f>_xlfn.XLOOKUP($A714,[1]Sheet1!$B$9:$B$2584,[1]Sheet1!$C$9:$C$2584,"N/A",0)</f>
        <v>95.4</v>
      </c>
      <c r="K714">
        <f>_xlfn.XLOOKUP($A714,[1]Sheet1!$E$9:$E$2584,[1]Sheet1!$F$9:$F$2584,"N/A",0)</f>
        <v>133.27</v>
      </c>
      <c r="L714">
        <f>_xlfn.XLOOKUP($A714,[1]Sheet1!$H$9:$H$2584,[1]Sheet1!$I$9:$I$2584,"N/A",0)</f>
        <v>89.78</v>
      </c>
      <c r="M714">
        <f>_xlfn.XLOOKUP($A714,[1]Sheet1!$K$9:$K$2584,[1]Sheet1!$L$9:$L$2584,"N/A",0)</f>
        <v>140.09</v>
      </c>
      <c r="N714">
        <f>_xlfn.XLOOKUP($A714,[1]Sheet1!$N$9:$N$2584,[1]Sheet1!$O$9:$O$2584,"N/A",0)</f>
        <v>97.02</v>
      </c>
      <c r="O714">
        <v>95.4</v>
      </c>
      <c r="P714">
        <v>133.27</v>
      </c>
      <c r="Q714">
        <v>89.78</v>
      </c>
      <c r="R714">
        <v>97.02</v>
      </c>
      <c r="S714">
        <v>140.09</v>
      </c>
    </row>
    <row r="715" spans="1:19">
      <c r="A715" s="1">
        <v>43403</v>
      </c>
      <c r="B715" t="s">
        <v>373</v>
      </c>
      <c r="C715" t="s">
        <v>375</v>
      </c>
      <c r="D715">
        <v>20.925</v>
      </c>
      <c r="E715">
        <v>20.225</v>
      </c>
      <c r="F715">
        <v>-0.033452807646356</v>
      </c>
      <c r="G715">
        <f ca="1" t="shared" si="33"/>
        <v>-0.716552546842336</v>
      </c>
      <c r="H715" t="str">
        <f ca="1" t="shared" si="34"/>
        <v>Risk-On</v>
      </c>
      <c r="I715">
        <f ca="1" t="shared" si="35"/>
        <v>1</v>
      </c>
      <c r="J715">
        <f>_xlfn.XLOOKUP($A715,[1]Sheet1!$B$9:$B$2584,[1]Sheet1!$C$9:$C$2584,"N/A",0)</f>
        <v>95.64</v>
      </c>
      <c r="K715">
        <f>_xlfn.XLOOKUP($A715,[1]Sheet1!$E$9:$E$2584,[1]Sheet1!$F$9:$F$2584,"N/A",0)</f>
        <v>133.34</v>
      </c>
      <c r="L715">
        <f>_xlfn.XLOOKUP($A715,[1]Sheet1!$H$9:$H$2584,[1]Sheet1!$I$9:$I$2584,"N/A",0)</f>
        <v>89.36</v>
      </c>
      <c r="M715">
        <f>_xlfn.XLOOKUP($A715,[1]Sheet1!$K$9:$K$2584,[1]Sheet1!$L$9:$L$2584,"N/A",0)</f>
        <v>140.36</v>
      </c>
      <c r="N715">
        <f>_xlfn.XLOOKUP($A715,[1]Sheet1!$N$9:$N$2584,[1]Sheet1!$O$9:$O$2584,"N/A",0)</f>
        <v>96.63</v>
      </c>
      <c r="O715">
        <v>95.64</v>
      </c>
      <c r="P715">
        <v>133.34</v>
      </c>
      <c r="Q715">
        <v>89.36</v>
      </c>
      <c r="R715">
        <v>96.63</v>
      </c>
      <c r="S715">
        <v>140.36</v>
      </c>
    </row>
    <row r="716" spans="1:19">
      <c r="A716" s="1">
        <v>43404</v>
      </c>
      <c r="B716" t="s">
        <v>373</v>
      </c>
      <c r="C716" t="s">
        <v>375</v>
      </c>
      <c r="D716">
        <v>20.275</v>
      </c>
      <c r="E716">
        <v>19.775</v>
      </c>
      <c r="F716">
        <v>-0.0246609124537607</v>
      </c>
      <c r="G716">
        <f ca="1" t="shared" si="33"/>
        <v>-0.583531890463509</v>
      </c>
      <c r="H716" t="str">
        <f ca="1" t="shared" si="34"/>
        <v>Risk-On</v>
      </c>
      <c r="I716">
        <f ca="1" t="shared" si="35"/>
        <v>1</v>
      </c>
      <c r="J716">
        <f>_xlfn.XLOOKUP($A716,[1]Sheet1!$B$9:$B$2584,[1]Sheet1!$C$9:$C$2584,"N/A",0)</f>
        <v>95.49</v>
      </c>
      <c r="K716">
        <f>_xlfn.XLOOKUP($A716,[1]Sheet1!$E$9:$E$2584,[1]Sheet1!$F$9:$F$2584,"N/A",0)</f>
        <v>134.18</v>
      </c>
      <c r="L716">
        <f>_xlfn.XLOOKUP($A716,[1]Sheet1!$H$9:$H$2584,[1]Sheet1!$I$9:$I$2584,"N/A",0)</f>
        <v>89.14</v>
      </c>
      <c r="M716">
        <f>_xlfn.XLOOKUP($A716,[1]Sheet1!$K$9:$K$2584,[1]Sheet1!$L$9:$L$2584,"N/A",0)</f>
        <v>139.17</v>
      </c>
      <c r="N716">
        <f>_xlfn.XLOOKUP($A716,[1]Sheet1!$N$9:$N$2584,[1]Sheet1!$O$9:$O$2584,"N/A",0)</f>
        <v>97.68</v>
      </c>
      <c r="O716">
        <v>95.49</v>
      </c>
      <c r="P716">
        <v>134.18</v>
      </c>
      <c r="Q716">
        <v>89.14</v>
      </c>
      <c r="R716">
        <v>97.68</v>
      </c>
      <c r="S716">
        <v>139.17</v>
      </c>
    </row>
    <row r="717" spans="1:19">
      <c r="A717" s="1">
        <v>43405</v>
      </c>
      <c r="B717" t="s">
        <v>373</v>
      </c>
      <c r="C717" t="s">
        <v>375</v>
      </c>
      <c r="D717">
        <v>19.275</v>
      </c>
      <c r="E717">
        <v>19.025</v>
      </c>
      <c r="F717">
        <v>-0.0129701686121919</v>
      </c>
      <c r="G717">
        <f ca="1" t="shared" si="33"/>
        <v>-0.409625506132036</v>
      </c>
      <c r="H717" t="str">
        <f ca="1" t="shared" si="34"/>
        <v>Risk-On</v>
      </c>
      <c r="I717">
        <f ca="1" t="shared" si="35"/>
        <v>1</v>
      </c>
      <c r="J717">
        <f>_xlfn.XLOOKUP($A717,[1]Sheet1!$B$9:$B$2584,[1]Sheet1!$C$9:$C$2584,"N/A",0)</f>
        <v>96.39</v>
      </c>
      <c r="K717">
        <f>_xlfn.XLOOKUP($A717,[1]Sheet1!$E$9:$E$2584,[1]Sheet1!$F$9:$F$2584,"N/A",0)</f>
        <v>132.36</v>
      </c>
      <c r="L717">
        <f>_xlfn.XLOOKUP($A717,[1]Sheet1!$H$9:$H$2584,[1]Sheet1!$I$9:$I$2584,"N/A",0)</f>
        <v>89.26</v>
      </c>
      <c r="M717">
        <f>_xlfn.XLOOKUP($A717,[1]Sheet1!$K$9:$K$2584,[1]Sheet1!$L$9:$L$2584,"N/A",0)</f>
        <v>138.51</v>
      </c>
      <c r="N717">
        <f>_xlfn.XLOOKUP($A717,[1]Sheet1!$N$9:$N$2584,[1]Sheet1!$O$9:$O$2584,"N/A",0)</f>
        <v>96.84</v>
      </c>
      <c r="O717">
        <v>96.39</v>
      </c>
      <c r="P717">
        <v>132.36</v>
      </c>
      <c r="Q717">
        <v>89.26</v>
      </c>
      <c r="R717">
        <v>96.84</v>
      </c>
      <c r="S717">
        <v>138.51</v>
      </c>
    </row>
    <row r="718" spans="1:19">
      <c r="A718" s="1">
        <v>43406</v>
      </c>
      <c r="B718" t="s">
        <v>373</v>
      </c>
      <c r="C718" t="s">
        <v>375</v>
      </c>
      <c r="D718">
        <v>19.575</v>
      </c>
      <c r="E718">
        <v>19.075</v>
      </c>
      <c r="F718">
        <v>-0.0255427841634738</v>
      </c>
      <c r="G718">
        <f ca="1" t="shared" si="33"/>
        <v>-0.581136172979441</v>
      </c>
      <c r="H718" t="str">
        <f ca="1" t="shared" si="34"/>
        <v>Risk-On</v>
      </c>
      <c r="I718">
        <f ca="1" t="shared" si="35"/>
        <v>1</v>
      </c>
      <c r="J718">
        <f>_xlfn.XLOOKUP($A718,[1]Sheet1!$B$9:$B$2584,[1]Sheet1!$C$9:$C$2584,"N/A",0)</f>
        <v>95.69</v>
      </c>
      <c r="K718">
        <f>_xlfn.XLOOKUP($A718,[1]Sheet1!$E$9:$E$2584,[1]Sheet1!$F$9:$F$2584,"N/A",0)</f>
        <v>132.88</v>
      </c>
      <c r="L718">
        <f>_xlfn.XLOOKUP($A718,[1]Sheet1!$H$9:$H$2584,[1]Sheet1!$I$9:$I$2584,"N/A",0)</f>
        <v>88.95</v>
      </c>
      <c r="M718">
        <f>_xlfn.XLOOKUP($A718,[1]Sheet1!$K$9:$K$2584,[1]Sheet1!$L$9:$L$2584,"N/A",0)</f>
        <v>138.92</v>
      </c>
      <c r="N718">
        <f>_xlfn.XLOOKUP($A718,[1]Sheet1!$N$9:$N$2584,[1]Sheet1!$O$9:$O$2584,"N/A",0)</f>
        <v>96.34</v>
      </c>
      <c r="O718">
        <v>95.69</v>
      </c>
      <c r="P718">
        <v>132.88</v>
      </c>
      <c r="Q718">
        <v>88.95</v>
      </c>
      <c r="R718">
        <v>96.34</v>
      </c>
      <c r="S718">
        <v>138.92</v>
      </c>
    </row>
    <row r="719" spans="1:19">
      <c r="A719" s="1">
        <v>43409</v>
      </c>
      <c r="B719" t="s">
        <v>373</v>
      </c>
      <c r="C719" t="s">
        <v>375</v>
      </c>
      <c r="D719">
        <v>19.425</v>
      </c>
      <c r="E719">
        <v>18.825</v>
      </c>
      <c r="F719">
        <v>-0.0308880308880309</v>
      </c>
      <c r="G719">
        <f ca="1" t="shared" si="33"/>
        <v>-0.65490029758782</v>
      </c>
      <c r="H719" t="str">
        <f ca="1" t="shared" si="34"/>
        <v>Risk-On</v>
      </c>
      <c r="I719">
        <f ca="1" t="shared" si="35"/>
        <v>1</v>
      </c>
      <c r="J719">
        <f>_xlfn.XLOOKUP($A719,[1]Sheet1!$B$9:$B$2584,[1]Sheet1!$C$9:$C$2584,"N/A",0)</f>
        <v>95.56</v>
      </c>
      <c r="K719">
        <f>_xlfn.XLOOKUP($A719,[1]Sheet1!$E$9:$E$2584,[1]Sheet1!$F$9:$F$2584,"N/A",0)</f>
        <v>132.7</v>
      </c>
      <c r="L719">
        <f>_xlfn.XLOOKUP($A719,[1]Sheet1!$H$9:$H$2584,[1]Sheet1!$I$9:$I$2584,"N/A",0)</f>
        <v>89.12</v>
      </c>
      <c r="M719">
        <f>_xlfn.XLOOKUP($A719,[1]Sheet1!$K$9:$K$2584,[1]Sheet1!$L$9:$L$2584,"N/A",0)</f>
        <v>138.94</v>
      </c>
      <c r="N719">
        <f>_xlfn.XLOOKUP($A719,[1]Sheet1!$N$9:$N$2584,[1]Sheet1!$O$9:$O$2584,"N/A",0)</f>
        <v>96.84</v>
      </c>
      <c r="O719">
        <v>95.56</v>
      </c>
      <c r="P719">
        <v>132.7</v>
      </c>
      <c r="Q719">
        <v>89.12</v>
      </c>
      <c r="R719">
        <v>96.84</v>
      </c>
      <c r="S719">
        <v>138.94</v>
      </c>
    </row>
    <row r="720" spans="1:19">
      <c r="A720" s="1">
        <v>43410</v>
      </c>
      <c r="B720" t="s">
        <v>373</v>
      </c>
      <c r="C720" t="s">
        <v>375</v>
      </c>
      <c r="D720">
        <v>18.625</v>
      </c>
      <c r="E720">
        <v>18.225</v>
      </c>
      <c r="F720">
        <v>-0.021476510067114</v>
      </c>
      <c r="G720">
        <f ca="1" t="shared" si="33"/>
        <v>-0.517885520862575</v>
      </c>
      <c r="H720" t="str">
        <f ca="1" t="shared" si="34"/>
        <v>Risk-On</v>
      </c>
      <c r="I720">
        <f ca="1" t="shared" si="35"/>
        <v>1</v>
      </c>
      <c r="J720">
        <f>_xlfn.XLOOKUP($A720,[1]Sheet1!$B$9:$B$2584,[1]Sheet1!$C$9:$C$2584,"N/A",0)</f>
        <v>95.64</v>
      </c>
      <c r="K720">
        <f>_xlfn.XLOOKUP($A720,[1]Sheet1!$E$9:$E$2584,[1]Sheet1!$F$9:$F$2584,"N/A",0)</f>
        <v>132.23</v>
      </c>
      <c r="L720">
        <f>_xlfn.XLOOKUP($A720,[1]Sheet1!$H$9:$H$2584,[1]Sheet1!$I$9:$I$2584,"N/A",0)</f>
        <v>89.19</v>
      </c>
      <c r="M720">
        <f>_xlfn.XLOOKUP($A720,[1]Sheet1!$K$9:$K$2584,[1]Sheet1!$L$9:$L$2584,"N/A",0)</f>
        <v>138.64</v>
      </c>
      <c r="N720">
        <f>_xlfn.XLOOKUP($A720,[1]Sheet1!$N$9:$N$2584,[1]Sheet1!$O$9:$O$2584,"N/A",0)</f>
        <v>96.89</v>
      </c>
      <c r="O720">
        <v>95.64</v>
      </c>
      <c r="P720">
        <v>132.23</v>
      </c>
      <c r="Q720">
        <v>89.19</v>
      </c>
      <c r="R720">
        <v>96.89</v>
      </c>
      <c r="S720">
        <v>138.64</v>
      </c>
    </row>
    <row r="721" spans="1:19">
      <c r="A721" s="1">
        <v>43411</v>
      </c>
      <c r="B721" t="s">
        <v>373</v>
      </c>
      <c r="C721" t="s">
        <v>375</v>
      </c>
      <c r="D721">
        <v>16.825</v>
      </c>
      <c r="E721">
        <v>17.125</v>
      </c>
      <c r="F721">
        <v>0.0178306092124814</v>
      </c>
      <c r="G721">
        <f ca="1" t="shared" si="33"/>
        <v>0.0458705378280298</v>
      </c>
      <c r="H721" t="str">
        <f ca="1" t="shared" si="34"/>
        <v>Risk-On</v>
      </c>
      <c r="I721">
        <f ca="1" t="shared" si="35"/>
        <v>1</v>
      </c>
      <c r="J721">
        <f>_xlfn.XLOOKUP($A721,[1]Sheet1!$B$9:$B$2584,[1]Sheet1!$C$9:$C$2584,"N/A",0)</f>
        <v>96</v>
      </c>
      <c r="K721">
        <f>_xlfn.XLOOKUP($A721,[1]Sheet1!$E$9:$E$2584,[1]Sheet1!$F$9:$F$2584,"N/A",0)</f>
        <v>134.32</v>
      </c>
      <c r="L721">
        <f>_xlfn.XLOOKUP($A721,[1]Sheet1!$H$9:$H$2584,[1]Sheet1!$I$9:$I$2584,"N/A",0)</f>
        <v>88.99</v>
      </c>
      <c r="M721">
        <f>_xlfn.XLOOKUP($A721,[1]Sheet1!$K$9:$K$2584,[1]Sheet1!$L$9:$L$2584,"N/A",0)</f>
        <v>139.47</v>
      </c>
      <c r="N721">
        <f>_xlfn.XLOOKUP($A721,[1]Sheet1!$N$9:$N$2584,[1]Sheet1!$O$9:$O$2584,"N/A",0)</f>
        <v>97.43</v>
      </c>
      <c r="O721">
        <v>96</v>
      </c>
      <c r="P721">
        <v>134.32</v>
      </c>
      <c r="Q721">
        <v>88.99</v>
      </c>
      <c r="R721">
        <v>97.43</v>
      </c>
      <c r="S721">
        <v>139.47</v>
      </c>
    </row>
    <row r="722" spans="1:19">
      <c r="A722" s="1">
        <v>43412</v>
      </c>
      <c r="B722" t="s">
        <v>373</v>
      </c>
      <c r="C722" t="s">
        <v>375</v>
      </c>
      <c r="D722">
        <v>16.975</v>
      </c>
      <c r="E722">
        <v>17.175</v>
      </c>
      <c r="F722" s="2" t="s">
        <v>376</v>
      </c>
      <c r="G722">
        <f ca="1" t="shared" si="33"/>
        <v>-0.0409736624326444</v>
      </c>
      <c r="H722" t="str">
        <f ca="1" t="shared" si="34"/>
        <v>Risk-On</v>
      </c>
      <c r="I722">
        <f ca="1" t="shared" si="35"/>
        <v>1</v>
      </c>
      <c r="J722">
        <f>_xlfn.XLOOKUP($A722,[1]Sheet1!$B$9:$B$2584,[1]Sheet1!$C$9:$C$2584,"N/A",0)</f>
        <v>96.32</v>
      </c>
      <c r="K722">
        <f>_xlfn.XLOOKUP($A722,[1]Sheet1!$E$9:$E$2584,[1]Sheet1!$F$9:$F$2584,"N/A",0)</f>
        <v>134.72</v>
      </c>
      <c r="L722">
        <f>_xlfn.XLOOKUP($A722,[1]Sheet1!$H$9:$H$2584,[1]Sheet1!$I$9:$I$2584,"N/A",0)</f>
        <v>88.97</v>
      </c>
      <c r="M722">
        <f>_xlfn.XLOOKUP($A722,[1]Sheet1!$K$9:$K$2584,[1]Sheet1!$L$9:$L$2584,"N/A",0)</f>
        <v>139.34</v>
      </c>
      <c r="N722">
        <f>_xlfn.XLOOKUP($A722,[1]Sheet1!$N$9:$N$2584,[1]Sheet1!$O$9:$O$2584,"N/A",0)</f>
        <v>97.55</v>
      </c>
      <c r="O722">
        <v>96.32</v>
      </c>
      <c r="P722">
        <v>134.72</v>
      </c>
      <c r="Q722">
        <v>88.97</v>
      </c>
      <c r="R722">
        <v>97.55</v>
      </c>
      <c r="S722">
        <v>139.34</v>
      </c>
    </row>
    <row r="723" spans="1:19">
      <c r="A723" s="1">
        <v>43413</v>
      </c>
      <c r="B723" t="s">
        <v>373</v>
      </c>
      <c r="C723" t="s">
        <v>375</v>
      </c>
      <c r="D723">
        <v>17.475</v>
      </c>
      <c r="E723">
        <v>17.675</v>
      </c>
      <c r="F723">
        <v>0.0114449213161659</v>
      </c>
      <c r="G723">
        <f ca="1" t="shared" si="33"/>
        <v>-0.0458062870713396</v>
      </c>
      <c r="H723" t="str">
        <f ca="1" t="shared" si="34"/>
        <v>Risk-On</v>
      </c>
      <c r="I723">
        <f ca="1" t="shared" si="35"/>
        <v>1</v>
      </c>
      <c r="J723">
        <f>_xlfn.XLOOKUP($A723,[1]Sheet1!$B$9:$B$2584,[1]Sheet1!$C$9:$C$2584,"N/A",0)</f>
        <v>96.31</v>
      </c>
      <c r="K723">
        <f>_xlfn.XLOOKUP($A723,[1]Sheet1!$E$9:$E$2584,[1]Sheet1!$F$9:$F$2584,"N/A",0)</f>
        <v>135.53</v>
      </c>
      <c r="L723">
        <f>_xlfn.XLOOKUP($A723,[1]Sheet1!$H$9:$H$2584,[1]Sheet1!$I$9:$I$2584,"N/A",0)</f>
        <v>88.91</v>
      </c>
      <c r="M723">
        <f>_xlfn.XLOOKUP($A723,[1]Sheet1!$K$9:$K$2584,[1]Sheet1!$L$9:$L$2584,"N/A",0)</f>
        <v>139.92</v>
      </c>
      <c r="N723">
        <f>_xlfn.XLOOKUP($A723,[1]Sheet1!$N$9:$N$2584,[1]Sheet1!$O$9:$O$2584,"N/A",0)</f>
        <v>98.1</v>
      </c>
      <c r="O723">
        <v>96.31</v>
      </c>
      <c r="P723">
        <v>135.53</v>
      </c>
      <c r="Q723">
        <v>88.91</v>
      </c>
      <c r="R723">
        <v>98.1</v>
      </c>
      <c r="S723">
        <v>139.92</v>
      </c>
    </row>
    <row r="724" spans="1:19">
      <c r="A724" s="1">
        <v>43416</v>
      </c>
      <c r="B724" t="s">
        <v>373</v>
      </c>
      <c r="C724" t="s">
        <v>375</v>
      </c>
      <c r="D724">
        <v>19.575</v>
      </c>
      <c r="E724">
        <v>18.725</v>
      </c>
      <c r="F724">
        <v>-0.0434227330779053</v>
      </c>
      <c r="G724">
        <f ca="1" t="shared" si="33"/>
        <v>-0.834554595872461</v>
      </c>
      <c r="H724" t="str">
        <f ca="1" t="shared" si="34"/>
        <v>Risk-On</v>
      </c>
      <c r="I724">
        <f ca="1" t="shared" si="35"/>
        <v>1</v>
      </c>
      <c r="J724">
        <f>_xlfn.XLOOKUP($A724,[1]Sheet1!$B$9:$B$2584,[1]Sheet1!$C$9:$C$2584,"N/A",0)</f>
        <v>95.98</v>
      </c>
      <c r="K724">
        <f>_xlfn.XLOOKUP($A724,[1]Sheet1!$E$9:$E$2584,[1]Sheet1!$F$9:$F$2584,"N/A",0)</f>
        <v>135.48</v>
      </c>
      <c r="L724">
        <f>_xlfn.XLOOKUP($A724,[1]Sheet1!$H$9:$H$2584,[1]Sheet1!$I$9:$I$2584,"N/A",0)</f>
        <v>89.65</v>
      </c>
      <c r="M724">
        <f>_xlfn.XLOOKUP($A724,[1]Sheet1!$K$9:$K$2584,[1]Sheet1!$L$9:$L$2584,"N/A",0)</f>
        <v>140.44</v>
      </c>
      <c r="N724">
        <f>_xlfn.XLOOKUP($A724,[1]Sheet1!$N$9:$N$2584,[1]Sheet1!$O$9:$O$2584,"N/A",0)</f>
        <v>98.05</v>
      </c>
      <c r="O724">
        <v>95.98</v>
      </c>
      <c r="P724">
        <v>135.48</v>
      </c>
      <c r="Q724">
        <v>89.65</v>
      </c>
      <c r="R724">
        <v>98.05</v>
      </c>
      <c r="S724">
        <v>140.44</v>
      </c>
    </row>
    <row r="725" spans="1:19">
      <c r="A725" s="1">
        <v>43417</v>
      </c>
      <c r="B725" t="s">
        <v>373</v>
      </c>
      <c r="C725" t="s">
        <v>375</v>
      </c>
      <c r="D725">
        <v>19.425</v>
      </c>
      <c r="E725">
        <v>18.925</v>
      </c>
      <c r="F725">
        <v>-0.0257400257400257</v>
      </c>
      <c r="G725">
        <f ca="1" t="shared" si="33"/>
        <v>-0.570072418968797</v>
      </c>
      <c r="H725" t="str">
        <f ca="1" t="shared" si="34"/>
        <v>Risk-On</v>
      </c>
      <c r="I725">
        <f ca="1" t="shared" si="35"/>
        <v>1</v>
      </c>
      <c r="J725">
        <f>_xlfn.XLOOKUP($A725,[1]Sheet1!$B$9:$B$2584,[1]Sheet1!$C$9:$C$2584,"N/A",0)</f>
        <v>96.22</v>
      </c>
      <c r="K725">
        <f>_xlfn.XLOOKUP($A725,[1]Sheet1!$E$9:$E$2584,[1]Sheet1!$F$9:$F$2584,"N/A",0)</f>
        <v>134.65</v>
      </c>
      <c r="L725">
        <f>_xlfn.XLOOKUP($A725,[1]Sheet1!$H$9:$H$2584,[1]Sheet1!$I$9:$I$2584,"N/A",0)</f>
        <v>89.92</v>
      </c>
      <c r="M725">
        <f>_xlfn.XLOOKUP($A725,[1]Sheet1!$K$9:$K$2584,[1]Sheet1!$L$9:$L$2584,"N/A",0)</f>
        <v>140.61</v>
      </c>
      <c r="N725">
        <f>_xlfn.XLOOKUP($A725,[1]Sheet1!$N$9:$N$2584,[1]Sheet1!$O$9:$O$2584,"N/A",0)</f>
        <v>98.41</v>
      </c>
      <c r="O725">
        <v>96.22</v>
      </c>
      <c r="P725">
        <v>134.65</v>
      </c>
      <c r="Q725">
        <v>89.92</v>
      </c>
      <c r="R725">
        <v>98.41</v>
      </c>
      <c r="S725">
        <v>140.61</v>
      </c>
    </row>
    <row r="726" spans="1:19">
      <c r="A726" s="1">
        <v>43418</v>
      </c>
      <c r="B726" t="s">
        <v>373</v>
      </c>
      <c r="C726" t="s">
        <v>375</v>
      </c>
      <c r="D726">
        <v>20.175</v>
      </c>
      <c r="E726">
        <v>19.425</v>
      </c>
      <c r="F726">
        <v>-0.037174721189591</v>
      </c>
      <c r="G726">
        <f ca="1" t="shared" si="33"/>
        <v>-0.726649365856354</v>
      </c>
      <c r="H726" t="str">
        <f ca="1" t="shared" si="34"/>
        <v>Risk-On</v>
      </c>
      <c r="I726">
        <f ca="1" t="shared" si="35"/>
        <v>1</v>
      </c>
      <c r="J726">
        <f>_xlfn.XLOOKUP($A726,[1]Sheet1!$B$9:$B$2584,[1]Sheet1!$C$9:$C$2584,"N/A",0)</f>
        <v>96.16</v>
      </c>
      <c r="K726">
        <f>_xlfn.XLOOKUP($A726,[1]Sheet1!$E$9:$E$2584,[1]Sheet1!$F$9:$F$2584,"N/A",0)</f>
        <v>133.43</v>
      </c>
      <c r="L726">
        <f>_xlfn.XLOOKUP($A726,[1]Sheet1!$H$9:$H$2584,[1]Sheet1!$I$9:$I$2584,"N/A",0)</f>
        <v>90.24</v>
      </c>
      <c r="M726">
        <f>_xlfn.XLOOKUP($A726,[1]Sheet1!$K$9:$K$2584,[1]Sheet1!$L$9:$L$2584,"N/A",0)</f>
        <v>140.58</v>
      </c>
      <c r="N726">
        <f>_xlfn.XLOOKUP($A726,[1]Sheet1!$N$9:$N$2584,[1]Sheet1!$O$9:$O$2584,"N/A",0)</f>
        <v>98.42</v>
      </c>
      <c r="O726">
        <v>96.16</v>
      </c>
      <c r="P726">
        <v>133.43</v>
      </c>
      <c r="Q726">
        <v>90.24</v>
      </c>
      <c r="R726">
        <v>98.42</v>
      </c>
      <c r="S726">
        <v>140.58</v>
      </c>
    </row>
    <row r="727" spans="1:19">
      <c r="A727" s="1">
        <v>43419</v>
      </c>
      <c r="B727" t="s">
        <v>373</v>
      </c>
      <c r="C727" t="s">
        <v>375</v>
      </c>
      <c r="D727">
        <v>19.375</v>
      </c>
      <c r="E727">
        <v>19.125</v>
      </c>
      <c r="F727">
        <v>-0.0129032258064516</v>
      </c>
      <c r="G727">
        <f ca="1" t="shared" si="33"/>
        <v>-0.372377689709549</v>
      </c>
      <c r="H727" t="str">
        <f ca="1" t="shared" si="34"/>
        <v>Risk-On</v>
      </c>
      <c r="I727">
        <f ca="1" t="shared" si="35"/>
        <v>1</v>
      </c>
      <c r="J727">
        <f>_xlfn.XLOOKUP($A727,[1]Sheet1!$B$9:$B$2584,[1]Sheet1!$C$9:$C$2584,"N/A",0)</f>
        <v>96.2</v>
      </c>
      <c r="K727">
        <f>_xlfn.XLOOKUP($A727,[1]Sheet1!$E$9:$E$2584,[1]Sheet1!$F$9:$F$2584,"N/A",0)</f>
        <v>133.63</v>
      </c>
      <c r="L727">
        <f>_xlfn.XLOOKUP($A727,[1]Sheet1!$H$9:$H$2584,[1]Sheet1!$I$9:$I$2584,"N/A",0)</f>
        <v>89.81</v>
      </c>
      <c r="M727">
        <f>_xlfn.XLOOKUP($A727,[1]Sheet1!$K$9:$K$2584,[1]Sheet1!$L$9:$L$2584,"N/A",0)</f>
        <v>140.18</v>
      </c>
      <c r="N727">
        <f>_xlfn.XLOOKUP($A727,[1]Sheet1!$N$9:$N$2584,[1]Sheet1!$O$9:$O$2584,"N/A",0)</f>
        <v>98.23</v>
      </c>
      <c r="O727">
        <v>96.2</v>
      </c>
      <c r="P727">
        <v>133.63</v>
      </c>
      <c r="Q727">
        <v>89.81</v>
      </c>
      <c r="R727">
        <v>98.23</v>
      </c>
      <c r="S727">
        <v>140.18</v>
      </c>
    </row>
    <row r="728" spans="1:19">
      <c r="A728" s="1">
        <v>43420</v>
      </c>
      <c r="B728" t="s">
        <v>373</v>
      </c>
      <c r="C728" t="s">
        <v>375</v>
      </c>
      <c r="D728">
        <v>18.275</v>
      </c>
      <c r="E728">
        <v>18.325</v>
      </c>
      <c r="F728">
        <v>0.00273597811217514</v>
      </c>
      <c r="G728">
        <f ca="1" t="shared" si="33"/>
        <v>-0.149114268116094</v>
      </c>
      <c r="H728" t="str">
        <f ca="1" t="shared" si="34"/>
        <v>Risk-On</v>
      </c>
      <c r="I728">
        <f ca="1" t="shared" si="35"/>
        <v>1</v>
      </c>
      <c r="J728">
        <f>_xlfn.XLOOKUP($A728,[1]Sheet1!$B$9:$B$2584,[1]Sheet1!$C$9:$C$2584,"N/A",0)</f>
        <v>95.78</v>
      </c>
      <c r="K728">
        <f>_xlfn.XLOOKUP($A728,[1]Sheet1!$E$9:$E$2584,[1]Sheet1!$F$9:$F$2584,"N/A",0)</f>
        <v>132.81</v>
      </c>
      <c r="L728">
        <f>_xlfn.XLOOKUP($A728,[1]Sheet1!$H$9:$H$2584,[1]Sheet1!$I$9:$I$2584,"N/A",0)</f>
        <v>89.87</v>
      </c>
      <c r="M728">
        <f>_xlfn.XLOOKUP($A728,[1]Sheet1!$K$9:$K$2584,[1]Sheet1!$L$9:$L$2584,"N/A",0)</f>
        <v>139.52</v>
      </c>
      <c r="N728">
        <f>_xlfn.XLOOKUP($A728,[1]Sheet1!$N$9:$N$2584,[1]Sheet1!$O$9:$O$2584,"N/A",0)</f>
        <v>98.25</v>
      </c>
      <c r="O728">
        <v>95.78</v>
      </c>
      <c r="P728">
        <v>132.81</v>
      </c>
      <c r="Q728">
        <v>89.87</v>
      </c>
      <c r="R728">
        <v>98.25</v>
      </c>
      <c r="S728">
        <v>139.52</v>
      </c>
    </row>
    <row r="729" spans="1:19">
      <c r="A729" s="1">
        <v>43423</v>
      </c>
      <c r="B729" t="s">
        <v>373</v>
      </c>
      <c r="C729" t="s">
        <v>375</v>
      </c>
      <c r="D729">
        <v>19.925</v>
      </c>
      <c r="E729">
        <v>19.375</v>
      </c>
      <c r="F729">
        <v>-0.027603513174404</v>
      </c>
      <c r="G729">
        <f ca="1" t="shared" si="33"/>
        <v>-0.589444224284269</v>
      </c>
      <c r="H729" t="str">
        <f ca="1" t="shared" si="34"/>
        <v>Risk-On</v>
      </c>
      <c r="I729">
        <f ca="1" t="shared" si="35"/>
        <v>1</v>
      </c>
      <c r="J729">
        <f>_xlfn.XLOOKUP($A729,[1]Sheet1!$B$9:$B$2584,[1]Sheet1!$C$9:$C$2584,"N/A",0)</f>
        <v>95.45</v>
      </c>
      <c r="K729">
        <f>_xlfn.XLOOKUP($A729,[1]Sheet1!$E$9:$E$2584,[1]Sheet1!$F$9:$F$2584,"N/A",0)</f>
        <v>130.58</v>
      </c>
      <c r="L729">
        <f>_xlfn.XLOOKUP($A729,[1]Sheet1!$H$9:$H$2584,[1]Sheet1!$I$9:$I$2584,"N/A",0)</f>
        <v>90.11</v>
      </c>
      <c r="M729">
        <f>_xlfn.XLOOKUP($A729,[1]Sheet1!$K$9:$K$2584,[1]Sheet1!$L$9:$L$2584,"N/A",0)</f>
        <v>139.46</v>
      </c>
      <c r="N729">
        <f>_xlfn.XLOOKUP($A729,[1]Sheet1!$N$9:$N$2584,[1]Sheet1!$O$9:$O$2584,"N/A",0)</f>
        <v>98.89</v>
      </c>
      <c r="O729">
        <v>95.45</v>
      </c>
      <c r="P729">
        <v>130.58</v>
      </c>
      <c r="Q729">
        <v>90.11</v>
      </c>
      <c r="R729">
        <v>98.89</v>
      </c>
      <c r="S729">
        <v>139.46</v>
      </c>
    </row>
    <row r="730" spans="1:19">
      <c r="A730" s="1">
        <v>43424</v>
      </c>
      <c r="B730" t="s">
        <v>373</v>
      </c>
      <c r="C730" t="s">
        <v>375</v>
      </c>
      <c r="D730">
        <v>22.175</v>
      </c>
      <c r="E730">
        <v>20.425</v>
      </c>
      <c r="F730">
        <v>-0.0789177001127395</v>
      </c>
      <c r="G730">
        <f ca="1" t="shared" si="33"/>
        <v>-1.32904762682123</v>
      </c>
      <c r="H730" t="str">
        <f ca="1" t="shared" si="34"/>
        <v>Risk-On</v>
      </c>
      <c r="I730">
        <f ca="1" t="shared" si="35"/>
        <v>1</v>
      </c>
      <c r="J730">
        <f>_xlfn.XLOOKUP($A730,[1]Sheet1!$B$9:$B$2584,[1]Sheet1!$C$9:$C$2584,"N/A",0)</f>
        <v>96.03</v>
      </c>
      <c r="K730">
        <f>_xlfn.XLOOKUP($A730,[1]Sheet1!$E$9:$E$2584,[1]Sheet1!$F$9:$F$2584,"N/A",0)</f>
        <v>129.63</v>
      </c>
      <c r="L730">
        <f>_xlfn.XLOOKUP($A730,[1]Sheet1!$H$9:$H$2584,[1]Sheet1!$I$9:$I$2584,"N/A",0)</f>
        <v>89.71</v>
      </c>
      <c r="M730">
        <f>_xlfn.XLOOKUP($A730,[1]Sheet1!$K$9:$K$2584,[1]Sheet1!$L$9:$L$2584,"N/A",0)</f>
        <v>139.29</v>
      </c>
      <c r="N730">
        <f>_xlfn.XLOOKUP($A730,[1]Sheet1!$N$9:$N$2584,[1]Sheet1!$O$9:$O$2584,"N/A",0)</f>
        <v>98.75</v>
      </c>
      <c r="O730">
        <v>96.03</v>
      </c>
      <c r="P730">
        <v>129.63</v>
      </c>
      <c r="Q730">
        <v>89.71</v>
      </c>
      <c r="R730">
        <v>98.75</v>
      </c>
      <c r="S730">
        <v>139.29</v>
      </c>
    </row>
    <row r="731" spans="1:19">
      <c r="A731" s="1">
        <v>43425</v>
      </c>
      <c r="B731" t="s">
        <v>373</v>
      </c>
      <c r="C731" t="s">
        <v>375</v>
      </c>
      <c r="D731">
        <v>22.07</v>
      </c>
      <c r="E731">
        <v>20.125</v>
      </c>
      <c r="F731">
        <v>-0.0881286814680561</v>
      </c>
      <c r="G731">
        <f ca="1" t="shared" si="33"/>
        <v>-1.45247862675126</v>
      </c>
      <c r="H731" t="str">
        <f ca="1" t="shared" si="34"/>
        <v>Risk-On</v>
      </c>
      <c r="I731">
        <f ca="1" t="shared" si="35"/>
        <v>1</v>
      </c>
      <c r="J731">
        <f>_xlfn.XLOOKUP($A731,[1]Sheet1!$B$9:$B$2584,[1]Sheet1!$C$9:$C$2584,"N/A",0)</f>
        <v>96.16</v>
      </c>
      <c r="K731">
        <f>_xlfn.XLOOKUP($A731,[1]Sheet1!$E$9:$E$2584,[1]Sheet1!$F$9:$F$2584,"N/A",0)</f>
        <v>129.51</v>
      </c>
      <c r="L731">
        <f>_xlfn.XLOOKUP($A731,[1]Sheet1!$H$9:$H$2584,[1]Sheet1!$I$9:$I$2584,"N/A",0)</f>
        <v>89.57</v>
      </c>
      <c r="M731">
        <f>_xlfn.XLOOKUP($A731,[1]Sheet1!$K$9:$K$2584,[1]Sheet1!$L$9:$L$2584,"N/A",0)</f>
        <v>138.69</v>
      </c>
      <c r="N731">
        <f>_xlfn.XLOOKUP($A731,[1]Sheet1!$N$9:$N$2584,[1]Sheet1!$O$9:$O$2584,"N/A",0)</f>
        <v>97.99</v>
      </c>
      <c r="O731">
        <v>96.16</v>
      </c>
      <c r="P731">
        <v>129.51</v>
      </c>
      <c r="Q731">
        <v>89.57</v>
      </c>
      <c r="R731">
        <v>97.99</v>
      </c>
      <c r="S731">
        <v>138.69</v>
      </c>
    </row>
    <row r="732" spans="1:19">
      <c r="A732" s="1">
        <v>43427</v>
      </c>
      <c r="B732" t="s">
        <v>375</v>
      </c>
      <c r="C732" t="s">
        <v>377</v>
      </c>
      <c r="D732">
        <v>20.475</v>
      </c>
      <c r="E732">
        <v>20.525</v>
      </c>
      <c r="F732">
        <v>0.0024420024420023</v>
      </c>
      <c r="G732">
        <f ca="1" t="shared" si="33"/>
        <v>-0.126040790322867</v>
      </c>
      <c r="H732" t="str">
        <f ca="1" t="shared" si="34"/>
        <v>Risk-On</v>
      </c>
      <c r="I732">
        <f ca="1" t="shared" si="35"/>
        <v>1</v>
      </c>
      <c r="J732">
        <f>_xlfn.XLOOKUP($A732,[1]Sheet1!$B$9:$B$2584,[1]Sheet1!$C$9:$C$2584,"N/A",0)</f>
        <v>96.01</v>
      </c>
      <c r="K732">
        <f>_xlfn.XLOOKUP($A732,[1]Sheet1!$E$9:$E$2584,[1]Sheet1!$F$9:$F$2584,"N/A",0)</f>
        <v>129.09</v>
      </c>
      <c r="L732">
        <f>_xlfn.XLOOKUP($A732,[1]Sheet1!$H$9:$H$2584,[1]Sheet1!$I$9:$I$2584,"N/A",0)</f>
        <v>89.77</v>
      </c>
      <c r="M732">
        <f>_xlfn.XLOOKUP($A732,[1]Sheet1!$K$9:$K$2584,[1]Sheet1!$L$9:$L$2584,"N/A",0)</f>
        <v>138.94</v>
      </c>
      <c r="N732">
        <f>_xlfn.XLOOKUP($A732,[1]Sheet1!$N$9:$N$2584,[1]Sheet1!$O$9:$O$2584,"N/A",0)</f>
        <v>97.54</v>
      </c>
      <c r="O732">
        <v>96.01</v>
      </c>
      <c r="P732">
        <v>129.09</v>
      </c>
      <c r="Q732">
        <v>89.77</v>
      </c>
      <c r="R732">
        <v>97.54</v>
      </c>
      <c r="S732">
        <v>138.94</v>
      </c>
    </row>
    <row r="733" spans="1:19">
      <c r="A733" s="1">
        <v>43430</v>
      </c>
      <c r="B733" t="s">
        <v>375</v>
      </c>
      <c r="C733" t="s">
        <v>377</v>
      </c>
      <c r="D733">
        <v>18.925</v>
      </c>
      <c r="E733">
        <v>19.375</v>
      </c>
      <c r="F733" s="2" t="s">
        <v>378</v>
      </c>
      <c r="G733">
        <f ca="1" t="shared" si="33"/>
        <v>0.184635671046892</v>
      </c>
      <c r="H733" t="str">
        <f ca="1" t="shared" si="34"/>
        <v>Risk-On</v>
      </c>
      <c r="I733">
        <f ca="1" t="shared" si="35"/>
        <v>1</v>
      </c>
      <c r="J733">
        <f>_xlfn.XLOOKUP($A733,[1]Sheet1!$B$9:$B$2584,[1]Sheet1!$C$9:$C$2584,"N/A",0)</f>
        <v>96.33</v>
      </c>
      <c r="K733">
        <f>_xlfn.XLOOKUP($A733,[1]Sheet1!$E$9:$E$2584,[1]Sheet1!$F$9:$F$2584,"N/A",0)</f>
        <v>129.03</v>
      </c>
      <c r="L733">
        <f>_xlfn.XLOOKUP($A733,[1]Sheet1!$H$9:$H$2584,[1]Sheet1!$I$9:$I$2584,"N/A",0)</f>
        <v>89.84</v>
      </c>
      <c r="M733">
        <f>_xlfn.XLOOKUP($A733,[1]Sheet1!$K$9:$K$2584,[1]Sheet1!$L$9:$L$2584,"N/A",0)</f>
        <v>139.33</v>
      </c>
      <c r="N733">
        <f>_xlfn.XLOOKUP($A733,[1]Sheet1!$N$9:$N$2584,[1]Sheet1!$O$9:$O$2584,"N/A",0)</f>
        <v>97.79</v>
      </c>
      <c r="O733">
        <v>96.33</v>
      </c>
      <c r="P733">
        <v>129.03</v>
      </c>
      <c r="Q733">
        <v>89.84</v>
      </c>
      <c r="R733">
        <v>97.79</v>
      </c>
      <c r="S733">
        <v>139.33</v>
      </c>
    </row>
    <row r="734" spans="1:19">
      <c r="A734" s="1">
        <v>43431</v>
      </c>
      <c r="B734" t="s">
        <v>375</v>
      </c>
      <c r="C734" t="s">
        <v>377</v>
      </c>
      <c r="D734">
        <v>18.775</v>
      </c>
      <c r="E734">
        <v>19.125</v>
      </c>
      <c r="F734" s="2" t="s">
        <v>379</v>
      </c>
      <c r="G734">
        <f ca="1" t="shared" si="33"/>
        <v>0.109933807765233</v>
      </c>
      <c r="H734" t="str">
        <f ca="1" t="shared" si="34"/>
        <v>Risk-On</v>
      </c>
      <c r="I734">
        <f ca="1" t="shared" si="35"/>
        <v>1</v>
      </c>
      <c r="J734">
        <f>_xlfn.XLOOKUP($A734,[1]Sheet1!$B$9:$B$2584,[1]Sheet1!$C$9:$C$2584,"N/A",0)</f>
        <v>95.96</v>
      </c>
      <c r="K734">
        <f>_xlfn.XLOOKUP($A734,[1]Sheet1!$E$9:$E$2584,[1]Sheet1!$F$9:$F$2584,"N/A",0)</f>
        <v>129.76</v>
      </c>
      <c r="L734">
        <f>_xlfn.XLOOKUP($A734,[1]Sheet1!$H$9:$H$2584,[1]Sheet1!$I$9:$I$2584,"N/A",0)</f>
        <v>89.92</v>
      </c>
      <c r="M734">
        <f>_xlfn.XLOOKUP($A734,[1]Sheet1!$K$9:$K$2584,[1]Sheet1!$L$9:$L$2584,"N/A",0)</f>
        <v>140.39</v>
      </c>
      <c r="N734">
        <f>_xlfn.XLOOKUP($A734,[1]Sheet1!$N$9:$N$2584,[1]Sheet1!$O$9:$O$2584,"N/A",0)</f>
        <v>98.87</v>
      </c>
      <c r="O734">
        <v>95.96</v>
      </c>
      <c r="P734">
        <v>129.76</v>
      </c>
      <c r="Q734">
        <v>89.92</v>
      </c>
      <c r="R734">
        <v>98.87</v>
      </c>
      <c r="S734">
        <v>140.39</v>
      </c>
    </row>
    <row r="735" spans="1:19">
      <c r="A735" s="1">
        <v>43432</v>
      </c>
      <c r="B735" t="s">
        <v>375</v>
      </c>
      <c r="C735" t="s">
        <v>377</v>
      </c>
      <c r="D735">
        <v>18.225</v>
      </c>
      <c r="E735">
        <v>18.575</v>
      </c>
      <c r="F735" s="2" t="s">
        <v>380</v>
      </c>
      <c r="G735">
        <f ca="1" t="shared" si="33"/>
        <v>0.118115961792749</v>
      </c>
      <c r="H735" t="str">
        <f ca="1" t="shared" si="34"/>
        <v>Risk-On</v>
      </c>
      <c r="I735">
        <f ca="1" t="shared" si="35"/>
        <v>1</v>
      </c>
      <c r="J735">
        <f>_xlfn.XLOOKUP($A735,[1]Sheet1!$B$9:$B$2584,[1]Sheet1!$C$9:$C$2584,"N/A",0)</f>
        <v>96.43</v>
      </c>
      <c r="K735">
        <f>_xlfn.XLOOKUP($A735,[1]Sheet1!$E$9:$E$2584,[1]Sheet1!$F$9:$F$2584,"N/A",0)</f>
        <v>131.31</v>
      </c>
      <c r="L735">
        <f>_xlfn.XLOOKUP($A735,[1]Sheet1!$H$9:$H$2584,[1]Sheet1!$I$9:$I$2584,"N/A",0)</f>
        <v>89.79</v>
      </c>
      <c r="M735">
        <f>_xlfn.XLOOKUP($A735,[1]Sheet1!$K$9:$K$2584,[1]Sheet1!$L$9:$L$2584,"N/A",0)</f>
        <v>141.07</v>
      </c>
      <c r="N735">
        <f>_xlfn.XLOOKUP($A735,[1]Sheet1!$N$9:$N$2584,[1]Sheet1!$O$9:$O$2584,"N/A",0)</f>
        <v>98.65</v>
      </c>
      <c r="O735">
        <v>96.43</v>
      </c>
      <c r="P735">
        <v>131.31</v>
      </c>
      <c r="Q735">
        <v>89.79</v>
      </c>
      <c r="R735">
        <v>98.65</v>
      </c>
      <c r="S735">
        <v>141.07</v>
      </c>
    </row>
    <row r="736" spans="1:19">
      <c r="A736" s="1">
        <v>43433</v>
      </c>
      <c r="B736" t="s">
        <v>375</v>
      </c>
      <c r="C736" t="s">
        <v>377</v>
      </c>
      <c r="D736">
        <v>18.375</v>
      </c>
      <c r="E736">
        <v>18.825</v>
      </c>
      <c r="F736" s="2" t="s">
        <v>381</v>
      </c>
      <c r="G736">
        <f ca="1" t="shared" si="33"/>
        <v>0.194987006119352</v>
      </c>
      <c r="H736" t="str">
        <f ca="1" t="shared" si="34"/>
        <v>Risk-On</v>
      </c>
      <c r="I736">
        <f ca="1" t="shared" si="35"/>
        <v>1</v>
      </c>
      <c r="J736">
        <f>_xlfn.XLOOKUP($A736,[1]Sheet1!$B$9:$B$2584,[1]Sheet1!$C$9:$C$2584,"N/A",0)</f>
        <v>96.33</v>
      </c>
      <c r="K736">
        <f>_xlfn.XLOOKUP($A736,[1]Sheet1!$E$9:$E$2584,[1]Sheet1!$F$9:$F$2584,"N/A",0)</f>
        <v>131.68</v>
      </c>
      <c r="L736">
        <f>_xlfn.XLOOKUP($A736,[1]Sheet1!$H$9:$H$2584,[1]Sheet1!$I$9:$I$2584,"N/A",0)</f>
        <v>89.33</v>
      </c>
      <c r="M736">
        <f>_xlfn.XLOOKUP($A736,[1]Sheet1!$K$9:$K$2584,[1]Sheet1!$L$9:$L$2584,"N/A",0)</f>
        <v>140.98</v>
      </c>
      <c r="N736">
        <f>_xlfn.XLOOKUP($A736,[1]Sheet1!$N$9:$N$2584,[1]Sheet1!$O$9:$O$2584,"N/A",0)</f>
        <v>98.79</v>
      </c>
      <c r="O736">
        <v>96.33</v>
      </c>
      <c r="P736">
        <v>131.68</v>
      </c>
      <c r="Q736">
        <v>89.33</v>
      </c>
      <c r="R736">
        <v>98.79</v>
      </c>
      <c r="S736">
        <v>140.98</v>
      </c>
    </row>
    <row r="737" spans="1:19">
      <c r="A737" s="1">
        <v>43434</v>
      </c>
      <c r="B737" t="s">
        <v>375</v>
      </c>
      <c r="C737" t="s">
        <v>377</v>
      </c>
      <c r="D737">
        <v>17.675</v>
      </c>
      <c r="E737">
        <v>18.175</v>
      </c>
      <c r="F737" s="2" t="s">
        <v>382</v>
      </c>
      <c r="G737">
        <f ca="1" t="shared" si="33"/>
        <v>0.250236053605556</v>
      </c>
      <c r="H737" t="str">
        <f ca="1" t="shared" si="34"/>
        <v>Risk-On</v>
      </c>
      <c r="I737">
        <f ca="1" t="shared" si="35"/>
        <v>1</v>
      </c>
      <c r="J737">
        <f>_xlfn.XLOOKUP($A737,[1]Sheet1!$B$9:$B$2584,[1]Sheet1!$C$9:$C$2584,"N/A",0)</f>
        <v>96.5</v>
      </c>
      <c r="K737">
        <f>_xlfn.XLOOKUP($A737,[1]Sheet1!$E$9:$E$2584,[1]Sheet1!$F$9:$F$2584,"N/A",0)</f>
        <v>131.66</v>
      </c>
      <c r="L737">
        <f>_xlfn.XLOOKUP($A737,[1]Sheet1!$H$9:$H$2584,[1]Sheet1!$I$9:$I$2584,"N/A",0)</f>
        <v>89.4</v>
      </c>
      <c r="M737">
        <f>_xlfn.XLOOKUP($A737,[1]Sheet1!$K$9:$K$2584,[1]Sheet1!$L$9:$L$2584,"N/A",0)</f>
        <v>141.13</v>
      </c>
      <c r="N737">
        <f>_xlfn.XLOOKUP($A737,[1]Sheet1!$N$9:$N$2584,[1]Sheet1!$O$9:$O$2584,"N/A",0)</f>
        <v>99.15</v>
      </c>
      <c r="O737">
        <v>96.5</v>
      </c>
      <c r="P737">
        <v>131.66</v>
      </c>
      <c r="Q737">
        <v>89.4</v>
      </c>
      <c r="R737">
        <v>99.15</v>
      </c>
      <c r="S737">
        <v>141.13</v>
      </c>
    </row>
    <row r="738" spans="1:19">
      <c r="A738" s="1">
        <v>43437</v>
      </c>
      <c r="B738" t="s">
        <v>375</v>
      </c>
      <c r="C738" t="s">
        <v>377</v>
      </c>
      <c r="D738">
        <v>16.775</v>
      </c>
      <c r="E738">
        <v>17.375</v>
      </c>
      <c r="F738">
        <v>0.0357675111773473</v>
      </c>
      <c r="G738">
        <f ca="1" t="shared" si="33"/>
        <v>0.359010298410658</v>
      </c>
      <c r="H738" t="str">
        <f ca="1" t="shared" si="34"/>
        <v>Risk-On</v>
      </c>
      <c r="I738">
        <f ca="1" t="shared" si="35"/>
        <v>1</v>
      </c>
      <c r="J738">
        <f>_xlfn.XLOOKUP($A738,[1]Sheet1!$B$9:$B$2584,[1]Sheet1!$C$9:$C$2584,"N/A",0)</f>
        <v>96.95</v>
      </c>
      <c r="K738">
        <f>_xlfn.XLOOKUP($A738,[1]Sheet1!$E$9:$E$2584,[1]Sheet1!$F$9:$F$2584,"N/A",0)</f>
        <v>131.14</v>
      </c>
      <c r="L738">
        <f>_xlfn.XLOOKUP($A738,[1]Sheet1!$H$9:$H$2584,[1]Sheet1!$I$9:$I$2584,"N/A",0)</f>
        <v>89.11</v>
      </c>
      <c r="M738">
        <f>_xlfn.XLOOKUP($A738,[1]Sheet1!$K$9:$K$2584,[1]Sheet1!$L$9:$L$2584,"N/A",0)</f>
        <v>140.32</v>
      </c>
      <c r="N738">
        <f>_xlfn.XLOOKUP($A738,[1]Sheet1!$N$9:$N$2584,[1]Sheet1!$O$9:$O$2584,"N/A",0)</f>
        <v>99.34</v>
      </c>
      <c r="O738">
        <v>96.95</v>
      </c>
      <c r="P738">
        <v>131.14</v>
      </c>
      <c r="Q738">
        <v>89.11</v>
      </c>
      <c r="R738">
        <v>99.34</v>
      </c>
      <c r="S738">
        <v>140.32</v>
      </c>
    </row>
    <row r="739" spans="1:19">
      <c r="A739" s="1">
        <v>43438</v>
      </c>
      <c r="B739" t="s">
        <v>375</v>
      </c>
      <c r="C739" t="s">
        <v>377</v>
      </c>
      <c r="D739">
        <v>19.425</v>
      </c>
      <c r="E739">
        <v>19.275</v>
      </c>
      <c r="F739">
        <v>-0.00772200772200783</v>
      </c>
      <c r="G739">
        <f ca="1" t="shared" si="33"/>
        <v>-0.276230818304832</v>
      </c>
      <c r="H739" t="str">
        <f ca="1" t="shared" si="34"/>
        <v>Risk-On</v>
      </c>
      <c r="I739">
        <f ca="1" t="shared" si="35"/>
        <v>1</v>
      </c>
      <c r="J739">
        <f>_xlfn.XLOOKUP($A739,[1]Sheet1!$B$9:$B$2584,[1]Sheet1!$C$9:$C$2584,"N/A",0)</f>
        <v>96.87</v>
      </c>
      <c r="K739">
        <f>_xlfn.XLOOKUP($A739,[1]Sheet1!$E$9:$E$2584,[1]Sheet1!$F$9:$F$2584,"N/A",0)</f>
        <v>132.14</v>
      </c>
      <c r="L739">
        <f>_xlfn.XLOOKUP($A739,[1]Sheet1!$H$9:$H$2584,[1]Sheet1!$I$9:$I$2584,"N/A",0)</f>
        <v>88.42</v>
      </c>
      <c r="M739">
        <f>_xlfn.XLOOKUP($A739,[1]Sheet1!$K$9:$K$2584,[1]Sheet1!$L$9:$L$2584,"N/A",0)</f>
        <v>139.63</v>
      </c>
      <c r="N739">
        <f>_xlfn.XLOOKUP($A739,[1]Sheet1!$N$9:$N$2584,[1]Sheet1!$O$9:$O$2584,"N/A",0)</f>
        <v>100.45</v>
      </c>
      <c r="O739">
        <v>96.87</v>
      </c>
      <c r="P739">
        <v>132.14</v>
      </c>
      <c r="Q739">
        <v>88.42</v>
      </c>
      <c r="R739">
        <v>100.45</v>
      </c>
      <c r="S739">
        <v>139.63</v>
      </c>
    </row>
    <row r="740" spans="1:19">
      <c r="A740" s="1">
        <v>43439</v>
      </c>
      <c r="B740" t="s">
        <v>375</v>
      </c>
      <c r="C740" t="s">
        <v>377</v>
      </c>
      <c r="D740">
        <v>19.025</v>
      </c>
      <c r="E740">
        <v>19.05</v>
      </c>
      <c r="F740">
        <v>0.00131406044678066</v>
      </c>
      <c r="G740">
        <f ca="1" t="shared" si="33"/>
        <v>-0.143297563395507</v>
      </c>
      <c r="H740" t="str">
        <f ca="1" t="shared" si="34"/>
        <v>Risk-On</v>
      </c>
      <c r="I740">
        <f ca="1" t="shared" si="35"/>
        <v>1</v>
      </c>
      <c r="J740" t="str">
        <f>_xlfn.XLOOKUP($A740,[1]Sheet1!$B$9:$B$2584,[1]Sheet1!$C$9:$C$2584,"N/A",0)</f>
        <v>N/A</v>
      </c>
      <c r="K740">
        <f>_xlfn.XLOOKUP($A740,[1]Sheet1!$E$9:$E$2584,[1]Sheet1!$F$9:$F$2584,"N/A",0)</f>
        <v>131.92</v>
      </c>
      <c r="L740">
        <f>_xlfn.XLOOKUP($A740,[1]Sheet1!$H$9:$H$2584,[1]Sheet1!$I$9:$I$2584,"N/A",0)</f>
        <v>88.43</v>
      </c>
      <c r="M740">
        <f>_xlfn.XLOOKUP($A740,[1]Sheet1!$K$9:$K$2584,[1]Sheet1!$L$9:$L$2584,"N/A",0)</f>
        <v>139.96</v>
      </c>
      <c r="N740" t="str">
        <f>_xlfn.XLOOKUP($A740,[1]Sheet1!$N$9:$N$2584,[1]Sheet1!$O$9:$O$2584,"N/A",0)</f>
        <v>N/A</v>
      </c>
      <c r="O740" t="s">
        <v>21</v>
      </c>
      <c r="P740">
        <v>131.92</v>
      </c>
      <c r="Q740">
        <v>88.43</v>
      </c>
      <c r="R740" t="s">
        <v>21</v>
      </c>
      <c r="S740">
        <v>139.96</v>
      </c>
    </row>
    <row r="741" spans="1:19">
      <c r="A741" s="1">
        <v>43440</v>
      </c>
      <c r="B741" t="s">
        <v>375</v>
      </c>
      <c r="C741" t="s">
        <v>377</v>
      </c>
      <c r="D741">
        <v>19.925</v>
      </c>
      <c r="E741">
        <v>19.475</v>
      </c>
      <c r="F741">
        <v>-0.0225846925972396</v>
      </c>
      <c r="G741">
        <f ca="1" t="shared" si="33"/>
        <v>-0.493230671102623</v>
      </c>
      <c r="H741" t="str">
        <f ca="1" t="shared" si="34"/>
        <v>Risk-On</v>
      </c>
      <c r="I741">
        <f ca="1" t="shared" si="35"/>
        <v>1</v>
      </c>
      <c r="J741">
        <f>_xlfn.XLOOKUP($A741,[1]Sheet1!$B$9:$B$2584,[1]Sheet1!$C$9:$C$2584,"N/A",0)</f>
        <v>97.13</v>
      </c>
      <c r="K741">
        <f>_xlfn.XLOOKUP($A741,[1]Sheet1!$E$9:$E$2584,[1]Sheet1!$F$9:$F$2584,"N/A",0)</f>
        <v>133.34</v>
      </c>
      <c r="L741">
        <f>_xlfn.XLOOKUP($A741,[1]Sheet1!$H$9:$H$2584,[1]Sheet1!$I$9:$I$2584,"N/A",0)</f>
        <v>88.36</v>
      </c>
      <c r="M741">
        <f>_xlfn.XLOOKUP($A741,[1]Sheet1!$K$9:$K$2584,[1]Sheet1!$L$9:$L$2584,"N/A",0)</f>
        <v>140.24</v>
      </c>
      <c r="N741">
        <f>_xlfn.XLOOKUP($A741,[1]Sheet1!$N$9:$N$2584,[1]Sheet1!$O$9:$O$2584,"N/A",0)</f>
        <v>100.34</v>
      </c>
      <c r="O741">
        <v>97.13</v>
      </c>
      <c r="P741">
        <v>133.34</v>
      </c>
      <c r="Q741">
        <v>88.36</v>
      </c>
      <c r="R741">
        <v>100.34</v>
      </c>
      <c r="S741">
        <v>140.24</v>
      </c>
    </row>
    <row r="742" spans="1:19">
      <c r="A742" s="1">
        <v>43441</v>
      </c>
      <c r="B742" t="s">
        <v>375</v>
      </c>
      <c r="C742" t="s">
        <v>377</v>
      </c>
      <c r="D742">
        <v>21.425</v>
      </c>
      <c r="E742">
        <v>20.675</v>
      </c>
      <c r="F742">
        <v>-0.0350058343057176</v>
      </c>
      <c r="G742">
        <f ca="1" t="shared" si="33"/>
        <v>-0.673998880453217</v>
      </c>
      <c r="H742" t="str">
        <f ca="1" t="shared" si="34"/>
        <v>Risk-On</v>
      </c>
      <c r="I742">
        <f ca="1" t="shared" si="35"/>
        <v>1</v>
      </c>
      <c r="J742">
        <f>_xlfn.XLOOKUP($A742,[1]Sheet1!$B$9:$B$2584,[1]Sheet1!$C$9:$C$2584,"N/A",0)</f>
        <v>97.07</v>
      </c>
      <c r="K742">
        <f>_xlfn.XLOOKUP($A742,[1]Sheet1!$E$9:$E$2584,[1]Sheet1!$F$9:$F$2584,"N/A",0)</f>
        <v>132.72</v>
      </c>
      <c r="L742">
        <f>_xlfn.XLOOKUP($A742,[1]Sheet1!$H$9:$H$2584,[1]Sheet1!$I$9:$I$2584,"N/A",0)</f>
        <v>87.8</v>
      </c>
      <c r="M742">
        <f>_xlfn.XLOOKUP($A742,[1]Sheet1!$K$9:$K$2584,[1]Sheet1!$L$9:$L$2584,"N/A",0)</f>
        <v>139.04</v>
      </c>
      <c r="N742">
        <f>_xlfn.XLOOKUP($A742,[1]Sheet1!$N$9:$N$2584,[1]Sheet1!$O$9:$O$2584,"N/A",0)</f>
        <v>99.85</v>
      </c>
      <c r="O742">
        <v>97.07</v>
      </c>
      <c r="P742">
        <v>132.72</v>
      </c>
      <c r="Q742">
        <v>87.8</v>
      </c>
      <c r="R742">
        <v>99.85</v>
      </c>
      <c r="S742">
        <v>139.04</v>
      </c>
    </row>
    <row r="743" spans="1:19">
      <c r="A743" s="1">
        <v>43444</v>
      </c>
      <c r="B743" t="s">
        <v>375</v>
      </c>
      <c r="C743" t="s">
        <v>377</v>
      </c>
      <c r="D743">
        <v>21.325</v>
      </c>
      <c r="E743">
        <v>20.525</v>
      </c>
      <c r="F743">
        <v>-0.0375146541617819</v>
      </c>
      <c r="G743">
        <f ca="1" t="shared" si="33"/>
        <v>-0.708196269426054</v>
      </c>
      <c r="H743" t="str">
        <f ca="1" t="shared" si="34"/>
        <v>Risk-On</v>
      </c>
      <c r="I743">
        <f ca="1" t="shared" si="35"/>
        <v>1</v>
      </c>
      <c r="J743">
        <f>_xlfn.XLOOKUP($A743,[1]Sheet1!$B$9:$B$2584,[1]Sheet1!$C$9:$C$2584,"N/A",0)</f>
        <v>97.26</v>
      </c>
      <c r="K743">
        <f>_xlfn.XLOOKUP($A743,[1]Sheet1!$E$9:$E$2584,[1]Sheet1!$F$9:$F$2584,"N/A",0)</f>
        <v>133.93</v>
      </c>
      <c r="L743">
        <f>_xlfn.XLOOKUP($A743,[1]Sheet1!$H$9:$H$2584,[1]Sheet1!$I$9:$I$2584,"N/A",0)</f>
        <v>87.43</v>
      </c>
      <c r="M743">
        <f>_xlfn.XLOOKUP($A743,[1]Sheet1!$K$9:$K$2584,[1]Sheet1!$L$9:$L$2584,"N/A",0)</f>
        <v>139.31</v>
      </c>
      <c r="N743">
        <f>_xlfn.XLOOKUP($A743,[1]Sheet1!$N$9:$N$2584,[1]Sheet1!$O$9:$O$2584,"N/A",0)</f>
        <v>100.6</v>
      </c>
      <c r="O743">
        <v>97.26</v>
      </c>
      <c r="P743">
        <v>133.93</v>
      </c>
      <c r="Q743">
        <v>87.43</v>
      </c>
      <c r="R743">
        <v>100.6</v>
      </c>
      <c r="S743">
        <v>139.31</v>
      </c>
    </row>
    <row r="744" spans="1:19">
      <c r="A744" s="1">
        <v>43445</v>
      </c>
      <c r="B744" t="s">
        <v>375</v>
      </c>
      <c r="C744" t="s">
        <v>377</v>
      </c>
      <c r="D744">
        <v>21.275</v>
      </c>
      <c r="E744">
        <v>20.475</v>
      </c>
      <c r="F744">
        <v>-0.0376028202115157</v>
      </c>
      <c r="G744">
        <f ca="1" t="shared" si="33"/>
        <v>-0.706565234965621</v>
      </c>
      <c r="H744" t="str">
        <f ca="1" t="shared" si="34"/>
        <v>Risk-On</v>
      </c>
      <c r="I744">
        <f ca="1" t="shared" si="35"/>
        <v>1</v>
      </c>
      <c r="J744">
        <f>_xlfn.XLOOKUP($A744,[1]Sheet1!$B$9:$B$2584,[1]Sheet1!$C$9:$C$2584,"N/A",0)</f>
        <v>97.13</v>
      </c>
      <c r="K744">
        <f>_xlfn.XLOOKUP($A744,[1]Sheet1!$E$9:$E$2584,[1]Sheet1!$F$9:$F$2584,"N/A",0)</f>
        <v>134.54</v>
      </c>
      <c r="L744">
        <f>_xlfn.XLOOKUP($A744,[1]Sheet1!$H$9:$H$2584,[1]Sheet1!$I$9:$I$2584,"N/A",0)</f>
        <v>87.43</v>
      </c>
      <c r="M744">
        <f>_xlfn.XLOOKUP($A744,[1]Sheet1!$K$9:$K$2584,[1]Sheet1!$L$9:$L$2584,"N/A",0)</f>
        <v>139.75</v>
      </c>
      <c r="N744">
        <f>_xlfn.XLOOKUP($A744,[1]Sheet1!$N$9:$N$2584,[1]Sheet1!$O$9:$O$2584,"N/A",0)</f>
        <v>100.75</v>
      </c>
      <c r="O744">
        <v>97.13</v>
      </c>
      <c r="P744">
        <v>134.54</v>
      </c>
      <c r="Q744">
        <v>87.43</v>
      </c>
      <c r="R744">
        <v>100.75</v>
      </c>
      <c r="S744">
        <v>139.75</v>
      </c>
    </row>
    <row r="745" spans="1:19">
      <c r="A745" s="1">
        <v>43446</v>
      </c>
      <c r="B745" t="s">
        <v>375</v>
      </c>
      <c r="C745" t="s">
        <v>377</v>
      </c>
      <c r="D745">
        <v>21.075</v>
      </c>
      <c r="E745">
        <v>20.425</v>
      </c>
      <c r="F745">
        <v>-0.0308422301304862</v>
      </c>
      <c r="G745">
        <f ca="1" t="shared" si="33"/>
        <v>-0.603914205549084</v>
      </c>
      <c r="H745" t="str">
        <f ca="1" t="shared" si="34"/>
        <v>Risk-On</v>
      </c>
      <c r="I745">
        <f ca="1" t="shared" si="35"/>
        <v>1</v>
      </c>
      <c r="J745">
        <f>_xlfn.XLOOKUP($A745,[1]Sheet1!$B$9:$B$2584,[1]Sheet1!$C$9:$C$2584,"N/A",0)</f>
        <v>97.4</v>
      </c>
      <c r="K745">
        <f>_xlfn.XLOOKUP($A745,[1]Sheet1!$E$9:$E$2584,[1]Sheet1!$F$9:$F$2584,"N/A",0)</f>
        <v>134.32</v>
      </c>
      <c r="L745">
        <f>_xlfn.XLOOKUP($A745,[1]Sheet1!$H$9:$H$2584,[1]Sheet1!$I$9:$I$2584,"N/A",0)</f>
        <v>87.64</v>
      </c>
      <c r="M745">
        <f>_xlfn.XLOOKUP($A745,[1]Sheet1!$K$9:$K$2584,[1]Sheet1!$L$9:$L$2584,"N/A",0)</f>
        <v>139.48</v>
      </c>
      <c r="N745">
        <f>_xlfn.XLOOKUP($A745,[1]Sheet1!$N$9:$N$2584,[1]Sheet1!$O$9:$O$2584,"N/A",0)</f>
        <v>100.27</v>
      </c>
      <c r="O745">
        <v>97.4</v>
      </c>
      <c r="P745">
        <v>134.32</v>
      </c>
      <c r="Q745">
        <v>87.64</v>
      </c>
      <c r="R745">
        <v>100.27</v>
      </c>
      <c r="S745">
        <v>139.48</v>
      </c>
    </row>
    <row r="746" spans="1:19">
      <c r="A746" s="1">
        <v>43447</v>
      </c>
      <c r="B746" t="s">
        <v>375</v>
      </c>
      <c r="C746" t="s">
        <v>377</v>
      </c>
      <c r="D746">
        <v>20.725</v>
      </c>
      <c r="E746">
        <v>20.225</v>
      </c>
      <c r="F746">
        <v>-0.0241254523522316</v>
      </c>
      <c r="G746">
        <f ca="1" t="shared" si="33"/>
        <v>-0.502392682430661</v>
      </c>
      <c r="H746" t="str">
        <f ca="1" t="shared" si="34"/>
        <v>Risk-On</v>
      </c>
      <c r="I746">
        <f ca="1" t="shared" si="35"/>
        <v>1</v>
      </c>
      <c r="J746">
        <f>_xlfn.XLOOKUP($A746,[1]Sheet1!$B$9:$B$2584,[1]Sheet1!$C$9:$C$2584,"N/A",0)</f>
        <v>97.19</v>
      </c>
      <c r="K746">
        <f>_xlfn.XLOOKUP($A746,[1]Sheet1!$E$9:$E$2584,[1]Sheet1!$F$9:$F$2584,"N/A",0)</f>
        <v>134.04</v>
      </c>
      <c r="L746">
        <f>_xlfn.XLOOKUP($A746,[1]Sheet1!$H$9:$H$2584,[1]Sheet1!$I$9:$I$2584,"N/A",0)</f>
        <v>87.47</v>
      </c>
      <c r="M746">
        <f>_xlfn.XLOOKUP($A746,[1]Sheet1!$K$9:$K$2584,[1]Sheet1!$L$9:$L$2584,"N/A",0)</f>
        <v>138.62</v>
      </c>
      <c r="N746">
        <f>_xlfn.XLOOKUP($A746,[1]Sheet1!$N$9:$N$2584,[1]Sheet1!$O$9:$O$2584,"N/A",0)</f>
        <v>101.57</v>
      </c>
      <c r="O746">
        <v>97.19</v>
      </c>
      <c r="P746">
        <v>134.04</v>
      </c>
      <c r="Q746">
        <v>87.47</v>
      </c>
      <c r="R746">
        <v>101.57</v>
      </c>
      <c r="S746">
        <v>138.62</v>
      </c>
    </row>
    <row r="747" spans="1:19">
      <c r="A747" s="1">
        <v>43448</v>
      </c>
      <c r="B747" t="s">
        <v>375</v>
      </c>
      <c r="C747" t="s">
        <v>377</v>
      </c>
      <c r="D747">
        <v>21.725</v>
      </c>
      <c r="E747">
        <v>20.875</v>
      </c>
      <c r="F747">
        <v>-0.0391254315304948</v>
      </c>
      <c r="G747">
        <f ca="1" t="shared" si="33"/>
        <v>-0.722846680749208</v>
      </c>
      <c r="H747" t="str">
        <f ca="1" t="shared" si="34"/>
        <v>Risk-On</v>
      </c>
      <c r="I747">
        <f ca="1" t="shared" si="35"/>
        <v>1</v>
      </c>
      <c r="J747">
        <f>_xlfn.XLOOKUP($A747,[1]Sheet1!$B$9:$B$2584,[1]Sheet1!$C$9:$C$2584,"N/A",0)</f>
        <v>97.3</v>
      </c>
      <c r="K747">
        <f>_xlfn.XLOOKUP($A747,[1]Sheet1!$E$9:$E$2584,[1]Sheet1!$F$9:$F$2584,"N/A",0)</f>
        <v>133.83</v>
      </c>
      <c r="L747">
        <f>_xlfn.XLOOKUP($A747,[1]Sheet1!$H$9:$H$2584,[1]Sheet1!$I$9:$I$2584,"N/A",0)</f>
        <v>87.75</v>
      </c>
      <c r="M747">
        <f>_xlfn.XLOOKUP($A747,[1]Sheet1!$K$9:$K$2584,[1]Sheet1!$L$9:$L$2584,"N/A",0)</f>
        <v>138.49</v>
      </c>
      <c r="N747">
        <f>_xlfn.XLOOKUP($A747,[1]Sheet1!$N$9:$N$2584,[1]Sheet1!$O$9:$O$2584,"N/A",0)</f>
        <v>101.88</v>
      </c>
      <c r="O747">
        <v>97.3</v>
      </c>
      <c r="P747">
        <v>133.83</v>
      </c>
      <c r="Q747">
        <v>87.75</v>
      </c>
      <c r="R747">
        <v>101.88</v>
      </c>
      <c r="S747">
        <v>138.49</v>
      </c>
    </row>
    <row r="748" spans="1:19">
      <c r="A748" s="1">
        <v>43451</v>
      </c>
      <c r="B748" t="s">
        <v>375</v>
      </c>
      <c r="C748" t="s">
        <v>377</v>
      </c>
      <c r="D748">
        <v>23.475</v>
      </c>
      <c r="E748">
        <v>21.675</v>
      </c>
      <c r="F748">
        <v>-0.0766773162939297</v>
      </c>
      <c r="G748">
        <f ca="1" t="shared" si="33"/>
        <v>-1.27677303071959</v>
      </c>
      <c r="H748" t="str">
        <f ca="1" t="shared" si="34"/>
        <v>Risk-On</v>
      </c>
      <c r="I748">
        <f ca="1" t="shared" si="35"/>
        <v>1</v>
      </c>
      <c r="J748">
        <f>_xlfn.XLOOKUP($A748,[1]Sheet1!$B$9:$B$2584,[1]Sheet1!$C$9:$C$2584,"N/A",0)</f>
        <v>97.44</v>
      </c>
      <c r="K748">
        <f>_xlfn.XLOOKUP($A748,[1]Sheet1!$E$9:$E$2584,[1]Sheet1!$F$9:$F$2584,"N/A",0)</f>
        <v>132.11</v>
      </c>
      <c r="L748">
        <f>_xlfn.XLOOKUP($A748,[1]Sheet1!$H$9:$H$2584,[1]Sheet1!$I$9:$I$2584,"N/A",0)</f>
        <v>87.82</v>
      </c>
      <c r="M748">
        <f>_xlfn.XLOOKUP($A748,[1]Sheet1!$K$9:$K$2584,[1]Sheet1!$L$9:$L$2584,"N/A",0)</f>
        <v>137.86</v>
      </c>
      <c r="N748">
        <f>_xlfn.XLOOKUP($A748,[1]Sheet1!$N$9:$N$2584,[1]Sheet1!$O$9:$O$2584,"N/A",0)</f>
        <v>102.24</v>
      </c>
      <c r="O748">
        <v>97.44</v>
      </c>
      <c r="P748">
        <v>132.11</v>
      </c>
      <c r="Q748">
        <v>87.82</v>
      </c>
      <c r="R748">
        <v>102.24</v>
      </c>
      <c r="S748">
        <v>137.86</v>
      </c>
    </row>
    <row r="749" spans="1:19">
      <c r="A749" s="1">
        <v>43452</v>
      </c>
      <c r="B749" t="s">
        <v>375</v>
      </c>
      <c r="C749" t="s">
        <v>377</v>
      </c>
      <c r="D749">
        <v>24.675</v>
      </c>
      <c r="E749">
        <v>21.975</v>
      </c>
      <c r="F749">
        <v>-0.109422492401215</v>
      </c>
      <c r="G749">
        <f ca="1" t="shared" si="33"/>
        <v>-1.75257787804818</v>
      </c>
      <c r="H749" t="str">
        <f ca="1" t="shared" si="34"/>
        <v>Risk-On</v>
      </c>
      <c r="I749">
        <f ca="1" t="shared" si="35"/>
        <v>1</v>
      </c>
      <c r="J749">
        <f>_xlfn.XLOOKUP($A749,[1]Sheet1!$B$9:$B$2584,[1]Sheet1!$C$9:$C$2584,"N/A",0)</f>
        <v>97.51</v>
      </c>
      <c r="K749">
        <f>_xlfn.XLOOKUP($A749,[1]Sheet1!$E$9:$E$2584,[1]Sheet1!$F$9:$F$2584,"N/A",0)</f>
        <v>132.24</v>
      </c>
      <c r="L749">
        <f>_xlfn.XLOOKUP($A749,[1]Sheet1!$H$9:$H$2584,[1]Sheet1!$I$9:$I$2584,"N/A",0)</f>
        <v>88.01</v>
      </c>
      <c r="M749">
        <f>_xlfn.XLOOKUP($A749,[1]Sheet1!$K$9:$K$2584,[1]Sheet1!$L$9:$L$2584,"N/A",0)</f>
        <v>138.2</v>
      </c>
      <c r="N749">
        <f>_xlfn.XLOOKUP($A749,[1]Sheet1!$N$9:$N$2584,[1]Sheet1!$O$9:$O$2584,"N/A",0)</f>
        <v>102.28</v>
      </c>
      <c r="O749">
        <v>97.51</v>
      </c>
      <c r="P749">
        <v>132.24</v>
      </c>
      <c r="Q749">
        <v>88.01</v>
      </c>
      <c r="R749">
        <v>102.28</v>
      </c>
      <c r="S749">
        <v>138.2</v>
      </c>
    </row>
    <row r="750" spans="1:19">
      <c r="A750" s="1">
        <v>43453</v>
      </c>
      <c r="B750" t="s">
        <v>375</v>
      </c>
      <c r="C750" t="s">
        <v>377</v>
      </c>
      <c r="D750">
        <v>26.2</v>
      </c>
      <c r="E750">
        <v>22.325</v>
      </c>
      <c r="F750">
        <v>-0.147900763358778</v>
      </c>
      <c r="G750">
        <f ca="1" t="shared" si="33"/>
        <v>-2.30020905073903</v>
      </c>
      <c r="H750" t="str">
        <f ca="1" t="shared" si="34"/>
        <v>Risk-On</v>
      </c>
      <c r="I750">
        <f ca="1" t="shared" si="35"/>
        <v>1</v>
      </c>
      <c r="J750">
        <f>_xlfn.XLOOKUP($A750,[1]Sheet1!$B$9:$B$2584,[1]Sheet1!$C$9:$C$2584,"N/A",0)</f>
        <v>97.54</v>
      </c>
      <c r="K750">
        <f>_xlfn.XLOOKUP($A750,[1]Sheet1!$E$9:$E$2584,[1]Sheet1!$F$9:$F$2584,"N/A",0)</f>
        <v>132.84</v>
      </c>
      <c r="L750">
        <f>_xlfn.XLOOKUP($A750,[1]Sheet1!$H$9:$H$2584,[1]Sheet1!$I$9:$I$2584,"N/A",0)</f>
        <v>87.76</v>
      </c>
      <c r="M750">
        <f>_xlfn.XLOOKUP($A750,[1]Sheet1!$K$9:$K$2584,[1]Sheet1!$L$9:$L$2584,"N/A",0)</f>
        <v>138.86</v>
      </c>
      <c r="N750">
        <f>_xlfn.XLOOKUP($A750,[1]Sheet1!$N$9:$N$2584,[1]Sheet1!$O$9:$O$2584,"N/A",0)</f>
        <v>102.41</v>
      </c>
      <c r="O750">
        <v>97.54</v>
      </c>
      <c r="P750">
        <v>132.84</v>
      </c>
      <c r="Q750">
        <v>87.76</v>
      </c>
      <c r="R750">
        <v>102.41</v>
      </c>
      <c r="S750">
        <v>138.86</v>
      </c>
    </row>
    <row r="751" spans="1:19">
      <c r="A751" s="1">
        <v>43454</v>
      </c>
      <c r="B751" t="s">
        <v>377</v>
      </c>
      <c r="C751" t="s">
        <v>383</v>
      </c>
      <c r="D751">
        <v>22.725</v>
      </c>
      <c r="E751">
        <v>22.075</v>
      </c>
      <c r="F751">
        <v>-0.0286028602860286</v>
      </c>
      <c r="G751">
        <f ca="1" t="shared" si="33"/>
        <v>-0.525474757558957</v>
      </c>
      <c r="H751" t="str">
        <f ca="1" t="shared" si="34"/>
        <v>Risk-On</v>
      </c>
      <c r="I751">
        <f ca="1" t="shared" si="35"/>
        <v>1</v>
      </c>
      <c r="J751">
        <f>_xlfn.XLOOKUP($A751,[1]Sheet1!$B$9:$B$2584,[1]Sheet1!$C$9:$C$2584,"N/A",0)</f>
        <v>97.85</v>
      </c>
      <c r="K751">
        <f>_xlfn.XLOOKUP($A751,[1]Sheet1!$E$9:$E$2584,[1]Sheet1!$F$9:$F$2584,"N/A",0)</f>
        <v>131.81</v>
      </c>
      <c r="L751">
        <f>_xlfn.XLOOKUP($A751,[1]Sheet1!$H$9:$H$2584,[1]Sheet1!$I$9:$I$2584,"N/A",0)</f>
        <v>87.64</v>
      </c>
      <c r="M751">
        <f>_xlfn.XLOOKUP($A751,[1]Sheet1!$K$9:$K$2584,[1]Sheet1!$L$9:$L$2584,"N/A",0)</f>
        <v>138.68</v>
      </c>
      <c r="N751">
        <f>_xlfn.XLOOKUP($A751,[1]Sheet1!$N$9:$N$2584,[1]Sheet1!$O$9:$O$2584,"N/A",0)</f>
        <v>102.93</v>
      </c>
      <c r="O751">
        <v>97.85</v>
      </c>
      <c r="P751">
        <v>131.81</v>
      </c>
      <c r="Q751">
        <v>87.64</v>
      </c>
      <c r="R751">
        <v>102.93</v>
      </c>
      <c r="S751">
        <v>138.68</v>
      </c>
    </row>
    <row r="752" spans="1:19">
      <c r="A752" s="1">
        <v>43455</v>
      </c>
      <c r="B752" t="s">
        <v>377</v>
      </c>
      <c r="C752" t="s">
        <v>383</v>
      </c>
      <c r="D752">
        <v>24.3</v>
      </c>
      <c r="E752">
        <v>22.925</v>
      </c>
      <c r="F752">
        <v>-0.0565843621399176</v>
      </c>
      <c r="G752">
        <f ca="1" t="shared" si="33"/>
        <v>-0.931876656374076</v>
      </c>
      <c r="H752" t="str">
        <f ca="1" t="shared" si="34"/>
        <v>Risk-On</v>
      </c>
      <c r="I752">
        <f ca="1" t="shared" si="35"/>
        <v>1</v>
      </c>
      <c r="J752">
        <f>_xlfn.XLOOKUP($A752,[1]Sheet1!$B$9:$B$2584,[1]Sheet1!$C$9:$C$2584,"N/A",0)</f>
        <v>97.46</v>
      </c>
      <c r="K752">
        <f>_xlfn.XLOOKUP($A752,[1]Sheet1!$E$9:$E$2584,[1]Sheet1!$F$9:$F$2584,"N/A",0)</f>
        <v>132.42</v>
      </c>
      <c r="L752">
        <f>_xlfn.XLOOKUP($A752,[1]Sheet1!$H$9:$H$2584,[1]Sheet1!$I$9:$I$2584,"N/A",0)</f>
        <v>87.85</v>
      </c>
      <c r="M752">
        <f>_xlfn.XLOOKUP($A752,[1]Sheet1!$K$9:$K$2584,[1]Sheet1!$L$9:$L$2584,"N/A",0)</f>
        <v>139.33</v>
      </c>
      <c r="N752">
        <f>_xlfn.XLOOKUP($A752,[1]Sheet1!$N$9:$N$2584,[1]Sheet1!$O$9:$O$2584,"N/A",0)</f>
        <v>103.34</v>
      </c>
      <c r="O752">
        <v>97.46</v>
      </c>
      <c r="P752">
        <v>132.42</v>
      </c>
      <c r="Q752">
        <v>87.85</v>
      </c>
      <c r="R752">
        <v>103.34</v>
      </c>
      <c r="S752">
        <v>139.33</v>
      </c>
    </row>
    <row r="753" spans="1:19">
      <c r="A753" s="1">
        <v>43458</v>
      </c>
      <c r="B753" t="s">
        <v>377</v>
      </c>
      <c r="C753" t="s">
        <v>383</v>
      </c>
      <c r="D753">
        <v>25.9</v>
      </c>
      <c r="E753">
        <v>23.325</v>
      </c>
      <c r="F753">
        <v>-0.0994208494208494</v>
      </c>
      <c r="G753">
        <f ca="1" t="shared" si="33"/>
        <v>-1.5478816739085</v>
      </c>
      <c r="H753" t="str">
        <f ca="1" t="shared" si="34"/>
        <v>Risk-On</v>
      </c>
      <c r="I753">
        <f ca="1" t="shared" si="35"/>
        <v>1</v>
      </c>
      <c r="J753">
        <f>_xlfn.XLOOKUP($A753,[1]Sheet1!$B$9:$B$2584,[1]Sheet1!$C$9:$C$2584,"N/A",0)</f>
        <v>97.57</v>
      </c>
      <c r="K753">
        <f>_xlfn.XLOOKUP($A753,[1]Sheet1!$E$9:$E$2584,[1]Sheet1!$F$9:$F$2584,"N/A",0)</f>
        <v>131.79</v>
      </c>
      <c r="L753">
        <f>_xlfn.XLOOKUP($A753,[1]Sheet1!$H$9:$H$2584,[1]Sheet1!$I$9:$I$2584,"N/A",0)</f>
        <v>88.01</v>
      </c>
      <c r="M753">
        <f>_xlfn.XLOOKUP($A753,[1]Sheet1!$K$9:$K$2584,[1]Sheet1!$L$9:$L$2584,"N/A",0)</f>
        <v>138.49</v>
      </c>
      <c r="N753">
        <f>_xlfn.XLOOKUP($A753,[1]Sheet1!$N$9:$N$2584,[1]Sheet1!$O$9:$O$2584,"N/A",0)</f>
        <v>102.27</v>
      </c>
      <c r="O753">
        <v>97.57</v>
      </c>
      <c r="P753">
        <v>131.79</v>
      </c>
      <c r="Q753">
        <v>88.01</v>
      </c>
      <c r="R753">
        <v>102.27</v>
      </c>
      <c r="S753">
        <v>138.49</v>
      </c>
    </row>
    <row r="754" spans="1:19">
      <c r="A754" s="1">
        <v>43460</v>
      </c>
      <c r="B754" t="s">
        <v>377</v>
      </c>
      <c r="C754" t="s">
        <v>383</v>
      </c>
      <c r="D754">
        <v>24.675</v>
      </c>
      <c r="E754">
        <v>22.625</v>
      </c>
      <c r="F754">
        <v>-0.083080040526849</v>
      </c>
      <c r="G754">
        <f ca="1" t="shared" si="33"/>
        <v>-1.29110175198778</v>
      </c>
      <c r="H754" t="str">
        <f ca="1" t="shared" si="34"/>
        <v>Risk-On</v>
      </c>
      <c r="I754">
        <f ca="1" t="shared" si="35"/>
        <v>1</v>
      </c>
      <c r="J754">
        <f>_xlfn.XLOOKUP($A754,[1]Sheet1!$B$9:$B$2584,[1]Sheet1!$C$9:$C$2584,"N/A",0)</f>
        <v>97.72</v>
      </c>
      <c r="K754">
        <f>_xlfn.XLOOKUP($A754,[1]Sheet1!$E$9:$E$2584,[1]Sheet1!$F$9:$F$2584,"N/A",0)</f>
        <v>132.86</v>
      </c>
      <c r="L754">
        <f>_xlfn.XLOOKUP($A754,[1]Sheet1!$H$9:$H$2584,[1]Sheet1!$I$9:$I$2584,"N/A",0)</f>
        <v>88.05</v>
      </c>
      <c r="M754">
        <f>_xlfn.XLOOKUP($A754,[1]Sheet1!$K$9:$K$2584,[1]Sheet1!$L$9:$L$2584,"N/A",0)</f>
        <v>139.91</v>
      </c>
      <c r="N754">
        <f>_xlfn.XLOOKUP($A754,[1]Sheet1!$N$9:$N$2584,[1]Sheet1!$O$9:$O$2584,"N/A",0)</f>
        <v>102.24</v>
      </c>
      <c r="O754">
        <v>97.72</v>
      </c>
      <c r="P754">
        <v>132.86</v>
      </c>
      <c r="Q754">
        <v>88.05</v>
      </c>
      <c r="R754">
        <v>102.24</v>
      </c>
      <c r="S754">
        <v>139.91</v>
      </c>
    </row>
    <row r="755" spans="1:19">
      <c r="A755" s="1">
        <v>43461</v>
      </c>
      <c r="B755" t="s">
        <v>377</v>
      </c>
      <c r="C755" t="s">
        <v>383</v>
      </c>
      <c r="D755">
        <v>25.025</v>
      </c>
      <c r="E755">
        <v>22.925</v>
      </c>
      <c r="F755">
        <v>-0.0839160839160838</v>
      </c>
      <c r="G755">
        <f ca="1" t="shared" si="33"/>
        <v>-1.28944340809516</v>
      </c>
      <c r="H755" t="str">
        <f ca="1" t="shared" si="34"/>
        <v>Risk-On</v>
      </c>
      <c r="I755">
        <f ca="1" t="shared" si="35"/>
        <v>1</v>
      </c>
      <c r="J755">
        <f>_xlfn.XLOOKUP($A755,[1]Sheet1!$B$9:$B$2584,[1]Sheet1!$C$9:$C$2584,"N/A",0)</f>
        <v>97.5</v>
      </c>
      <c r="K755">
        <f>_xlfn.XLOOKUP($A755,[1]Sheet1!$E$9:$E$2584,[1]Sheet1!$F$9:$F$2584,"N/A",0)</f>
        <v>132.9</v>
      </c>
      <c r="L755">
        <f>_xlfn.XLOOKUP($A755,[1]Sheet1!$H$9:$H$2584,[1]Sheet1!$I$9:$I$2584,"N/A",0)</f>
        <v>88.03</v>
      </c>
      <c r="M755">
        <f>_xlfn.XLOOKUP($A755,[1]Sheet1!$K$9:$K$2584,[1]Sheet1!$L$9:$L$2584,"N/A",0)</f>
        <v>139.83</v>
      </c>
      <c r="N755">
        <f>_xlfn.XLOOKUP($A755,[1]Sheet1!$N$9:$N$2584,[1]Sheet1!$O$9:$O$2584,"N/A",0)</f>
        <v>102.92</v>
      </c>
      <c r="O755">
        <v>97.5</v>
      </c>
      <c r="P755">
        <v>132.9</v>
      </c>
      <c r="Q755">
        <v>88.03</v>
      </c>
      <c r="R755">
        <v>102.92</v>
      </c>
      <c r="S755">
        <v>139.83</v>
      </c>
    </row>
    <row r="756" spans="1:19">
      <c r="A756" s="1">
        <v>43462</v>
      </c>
      <c r="B756" t="s">
        <v>377</v>
      </c>
      <c r="C756" t="s">
        <v>383</v>
      </c>
      <c r="D756">
        <v>25.325</v>
      </c>
      <c r="E756">
        <v>22.975</v>
      </c>
      <c r="F756">
        <v>-0.0927936821322802</v>
      </c>
      <c r="G756">
        <f ca="1" t="shared" si="33"/>
        <v>-1.40483616500368</v>
      </c>
      <c r="H756" t="str">
        <f ca="1" t="shared" si="34"/>
        <v>Risk-On</v>
      </c>
      <c r="I756">
        <f ca="1" t="shared" si="35"/>
        <v>1</v>
      </c>
      <c r="J756">
        <f>_xlfn.XLOOKUP($A756,[1]Sheet1!$B$9:$B$2584,[1]Sheet1!$C$9:$C$2584,"N/A",0)</f>
        <v>97.63</v>
      </c>
      <c r="K756">
        <f>_xlfn.XLOOKUP($A756,[1]Sheet1!$E$9:$E$2584,[1]Sheet1!$F$9:$F$2584,"N/A",0)</f>
        <v>132.46</v>
      </c>
      <c r="L756">
        <f>_xlfn.XLOOKUP($A756,[1]Sheet1!$H$9:$H$2584,[1]Sheet1!$I$9:$I$2584,"N/A",0)</f>
        <v>87.79</v>
      </c>
      <c r="M756">
        <f>_xlfn.XLOOKUP($A756,[1]Sheet1!$K$9:$K$2584,[1]Sheet1!$L$9:$L$2584,"N/A",0)</f>
        <v>139.66</v>
      </c>
      <c r="N756">
        <f>_xlfn.XLOOKUP($A756,[1]Sheet1!$N$9:$N$2584,[1]Sheet1!$O$9:$O$2584,"N/A",0)</f>
        <v>102.31</v>
      </c>
      <c r="O756">
        <v>97.63</v>
      </c>
      <c r="P756">
        <v>132.46</v>
      </c>
      <c r="Q756">
        <v>87.79</v>
      </c>
      <c r="R756">
        <v>102.31</v>
      </c>
      <c r="S756">
        <v>139.66</v>
      </c>
    </row>
    <row r="757" spans="1:19">
      <c r="A757" s="1">
        <v>43465</v>
      </c>
      <c r="B757" t="s">
        <v>377</v>
      </c>
      <c r="C757" t="s">
        <v>383</v>
      </c>
      <c r="D757">
        <v>24.175</v>
      </c>
      <c r="E757">
        <v>22.275</v>
      </c>
      <c r="F757">
        <v>-0.078593588417787</v>
      </c>
      <c r="G757">
        <f ca="1" t="shared" si="33"/>
        <v>-1.18318023242235</v>
      </c>
      <c r="H757" t="str">
        <f ca="1" t="shared" si="34"/>
        <v>Risk-On</v>
      </c>
      <c r="I757">
        <f ca="1" t="shared" si="35"/>
        <v>1</v>
      </c>
      <c r="J757">
        <f>_xlfn.XLOOKUP($A757,[1]Sheet1!$B$9:$B$2584,[1]Sheet1!$C$9:$C$2584,"N/A",0)</f>
        <v>97.95</v>
      </c>
      <c r="K757">
        <f>_xlfn.XLOOKUP($A757,[1]Sheet1!$E$9:$E$2584,[1]Sheet1!$F$9:$F$2584,"N/A",0)</f>
        <v>132.69</v>
      </c>
      <c r="L757">
        <f>_xlfn.XLOOKUP($A757,[1]Sheet1!$H$9:$H$2584,[1]Sheet1!$I$9:$I$2584,"N/A",0)</f>
        <v>87.62</v>
      </c>
      <c r="M757">
        <f>_xlfn.XLOOKUP($A757,[1]Sheet1!$K$9:$K$2584,[1]Sheet1!$L$9:$L$2584,"N/A",0)</f>
        <v>139.71</v>
      </c>
      <c r="N757">
        <f>_xlfn.XLOOKUP($A757,[1]Sheet1!$N$9:$N$2584,[1]Sheet1!$O$9:$O$2584,"N/A",0)</f>
        <v>102.44</v>
      </c>
      <c r="O757">
        <v>97.95</v>
      </c>
      <c r="P757">
        <v>132.69</v>
      </c>
      <c r="Q757">
        <v>87.62</v>
      </c>
      <c r="R757">
        <v>102.44</v>
      </c>
      <c r="S757">
        <v>139.71</v>
      </c>
    </row>
    <row r="758" spans="1:19">
      <c r="A758" s="1">
        <v>43467</v>
      </c>
      <c r="B758" t="s">
        <v>377</v>
      </c>
      <c r="C758" t="s">
        <v>383</v>
      </c>
      <c r="D758">
        <v>23.125</v>
      </c>
      <c r="E758">
        <v>21.875</v>
      </c>
      <c r="F758">
        <v>-0.054054054054054</v>
      </c>
      <c r="G758">
        <f ca="1" t="shared" si="33"/>
        <v>-0.813922357584793</v>
      </c>
      <c r="H758" t="str">
        <f ca="1" t="shared" si="34"/>
        <v>Risk-On</v>
      </c>
      <c r="I758">
        <f ca="1" t="shared" si="35"/>
        <v>1</v>
      </c>
      <c r="J758">
        <f>_xlfn.XLOOKUP($A758,[1]Sheet1!$B$9:$B$2584,[1]Sheet1!$C$9:$C$2584,"N/A",0)</f>
        <v>97.55</v>
      </c>
      <c r="K758">
        <f>_xlfn.XLOOKUP($A758,[1]Sheet1!$E$9:$E$2584,[1]Sheet1!$F$9:$F$2584,"N/A",0)</f>
        <v>130.56</v>
      </c>
      <c r="L758">
        <f>_xlfn.XLOOKUP($A758,[1]Sheet1!$H$9:$H$2584,[1]Sheet1!$I$9:$I$2584,"N/A",0)</f>
        <v>88.27</v>
      </c>
      <c r="M758">
        <f>_xlfn.XLOOKUP($A758,[1]Sheet1!$K$9:$K$2584,[1]Sheet1!$L$9:$L$2584,"N/A",0)</f>
        <v>138.88</v>
      </c>
      <c r="N758">
        <f>_xlfn.XLOOKUP($A758,[1]Sheet1!$N$9:$N$2584,[1]Sheet1!$O$9:$O$2584,"N/A",0)</f>
        <v>102.18</v>
      </c>
      <c r="O758">
        <v>97.55</v>
      </c>
      <c r="P758">
        <v>130.56</v>
      </c>
      <c r="Q758">
        <v>88.27</v>
      </c>
      <c r="R758">
        <v>102.18</v>
      </c>
      <c r="S758">
        <v>138.88</v>
      </c>
    </row>
    <row r="759" spans="1:19">
      <c r="A759" s="1">
        <v>43468</v>
      </c>
      <c r="B759" t="s">
        <v>377</v>
      </c>
      <c r="C759" t="s">
        <v>383</v>
      </c>
      <c r="D759">
        <v>24.375</v>
      </c>
      <c r="E759">
        <v>22.775</v>
      </c>
      <c r="F759">
        <v>-0.0656410256410257</v>
      </c>
      <c r="G759">
        <f ca="1" t="shared" si="33"/>
        <v>-0.979055606516512</v>
      </c>
      <c r="H759" t="str">
        <f ca="1" t="shared" si="34"/>
        <v>Risk-On</v>
      </c>
      <c r="I759">
        <f ca="1" t="shared" si="35"/>
        <v>1</v>
      </c>
      <c r="J759">
        <f>_xlfn.XLOOKUP($A759,[1]Sheet1!$B$9:$B$2584,[1]Sheet1!$C$9:$C$2584,"N/A",0)</f>
        <v>97.77</v>
      </c>
      <c r="K759">
        <f>_xlfn.XLOOKUP($A759,[1]Sheet1!$E$9:$E$2584,[1]Sheet1!$F$9:$F$2584,"N/A",0)</f>
        <v>129.81</v>
      </c>
      <c r="L759">
        <f>_xlfn.XLOOKUP($A759,[1]Sheet1!$H$9:$H$2584,[1]Sheet1!$I$9:$I$2584,"N/A",0)</f>
        <v>87.79</v>
      </c>
      <c r="M759">
        <f>_xlfn.XLOOKUP($A759,[1]Sheet1!$K$9:$K$2584,[1]Sheet1!$L$9:$L$2584,"N/A",0)</f>
        <v>138.17</v>
      </c>
      <c r="N759">
        <f>_xlfn.XLOOKUP($A759,[1]Sheet1!$N$9:$N$2584,[1]Sheet1!$O$9:$O$2584,"N/A",0)</f>
        <v>101.85</v>
      </c>
      <c r="O759">
        <v>97.77</v>
      </c>
      <c r="P759">
        <v>129.81</v>
      </c>
      <c r="Q759">
        <v>87.79</v>
      </c>
      <c r="R759">
        <v>101.85</v>
      </c>
      <c r="S759">
        <v>138.17</v>
      </c>
    </row>
    <row r="760" spans="1:19">
      <c r="A760" s="1">
        <v>43469</v>
      </c>
      <c r="B760" t="s">
        <v>377</v>
      </c>
      <c r="C760" t="s">
        <v>383</v>
      </c>
      <c r="D760">
        <v>21.925</v>
      </c>
      <c r="E760">
        <v>21.225</v>
      </c>
      <c r="F760">
        <v>-0.0319270239452679</v>
      </c>
      <c r="G760">
        <f ca="1" t="shared" si="33"/>
        <v>-0.483173028245157</v>
      </c>
      <c r="H760" t="str">
        <f ca="1" t="shared" si="34"/>
        <v>Risk-On</v>
      </c>
      <c r="I760">
        <f ca="1" t="shared" si="35"/>
        <v>1</v>
      </c>
      <c r="J760">
        <f>_xlfn.XLOOKUP($A760,[1]Sheet1!$B$9:$B$2584,[1]Sheet1!$C$9:$C$2584,"N/A",0)</f>
        <v>97.74</v>
      </c>
      <c r="K760">
        <f>_xlfn.XLOOKUP($A760,[1]Sheet1!$E$9:$E$2584,[1]Sheet1!$F$9:$F$2584,"N/A",0)</f>
        <v>128.67</v>
      </c>
      <c r="L760">
        <f>_xlfn.XLOOKUP($A760,[1]Sheet1!$H$9:$H$2584,[1]Sheet1!$I$9:$I$2584,"N/A",0)</f>
        <v>88.04</v>
      </c>
      <c r="M760">
        <f>_xlfn.XLOOKUP($A760,[1]Sheet1!$K$9:$K$2584,[1]Sheet1!$L$9:$L$2584,"N/A",0)</f>
        <v>138.05</v>
      </c>
      <c r="N760">
        <f>_xlfn.XLOOKUP($A760,[1]Sheet1!$N$9:$N$2584,[1]Sheet1!$O$9:$O$2584,"N/A",0)</f>
        <v>101.64</v>
      </c>
      <c r="O760">
        <v>97.74</v>
      </c>
      <c r="P760">
        <v>128.67</v>
      </c>
      <c r="Q760">
        <v>88.04</v>
      </c>
      <c r="R760">
        <v>101.64</v>
      </c>
      <c r="S760">
        <v>138.05</v>
      </c>
    </row>
    <row r="761" spans="1:19">
      <c r="A761" s="1">
        <v>43472</v>
      </c>
      <c r="B761" t="s">
        <v>377</v>
      </c>
      <c r="C761" t="s">
        <v>383</v>
      </c>
      <c r="D761">
        <v>21.425</v>
      </c>
      <c r="E761">
        <v>20.925</v>
      </c>
      <c r="F761">
        <v>-0.0233372228704784</v>
      </c>
      <c r="G761">
        <f ca="1" t="shared" si="33"/>
        <v>-0.356305866655337</v>
      </c>
      <c r="H761" t="str">
        <f ca="1" t="shared" si="34"/>
        <v>Risk-On</v>
      </c>
      <c r="I761">
        <f ca="1" t="shared" si="35"/>
        <v>1</v>
      </c>
      <c r="J761">
        <f>_xlfn.XLOOKUP($A761,[1]Sheet1!$B$9:$B$2584,[1]Sheet1!$C$9:$C$2584,"N/A",0)</f>
        <v>98.35</v>
      </c>
      <c r="K761">
        <f>_xlfn.XLOOKUP($A761,[1]Sheet1!$E$9:$E$2584,[1]Sheet1!$F$9:$F$2584,"N/A",0)</f>
        <v>128.55</v>
      </c>
      <c r="L761">
        <f>_xlfn.XLOOKUP($A761,[1]Sheet1!$H$9:$H$2584,[1]Sheet1!$I$9:$I$2584,"N/A",0)</f>
        <v>88.18</v>
      </c>
      <c r="M761">
        <f>_xlfn.XLOOKUP($A761,[1]Sheet1!$K$9:$K$2584,[1]Sheet1!$L$9:$L$2584,"N/A",0)</f>
        <v>138.48</v>
      </c>
      <c r="N761">
        <f>_xlfn.XLOOKUP($A761,[1]Sheet1!$N$9:$N$2584,[1]Sheet1!$O$9:$O$2584,"N/A",0)</f>
        <v>100.98</v>
      </c>
      <c r="O761">
        <v>98.35</v>
      </c>
      <c r="P761">
        <v>128.55</v>
      </c>
      <c r="Q761">
        <v>88.18</v>
      </c>
      <c r="R761">
        <v>100.98</v>
      </c>
      <c r="S761">
        <v>138.48</v>
      </c>
    </row>
    <row r="762" spans="1:19">
      <c r="A762" s="1">
        <v>43473</v>
      </c>
      <c r="B762" t="s">
        <v>377</v>
      </c>
      <c r="C762" t="s">
        <v>383</v>
      </c>
      <c r="D762">
        <v>20.625</v>
      </c>
      <c r="E762">
        <v>20.625</v>
      </c>
      <c r="F762">
        <v>0</v>
      </c>
      <c r="G762">
        <f ca="1" t="shared" si="33"/>
        <v>-0.0140167733559766</v>
      </c>
      <c r="H762" t="str">
        <f ca="1" t="shared" si="34"/>
        <v>Risk-On</v>
      </c>
      <c r="I762">
        <f ca="1" t="shared" si="35"/>
        <v>1</v>
      </c>
      <c r="J762">
        <f>_xlfn.XLOOKUP($A762,[1]Sheet1!$B$9:$B$2584,[1]Sheet1!$C$9:$C$2584,"N/A",0)</f>
        <v>98.67</v>
      </c>
      <c r="K762">
        <f>_xlfn.XLOOKUP($A762,[1]Sheet1!$E$9:$E$2584,[1]Sheet1!$F$9:$F$2584,"N/A",0)</f>
        <v>128.9</v>
      </c>
      <c r="L762">
        <f>_xlfn.XLOOKUP($A762,[1]Sheet1!$H$9:$H$2584,[1]Sheet1!$I$9:$I$2584,"N/A",0)</f>
        <v>88.19</v>
      </c>
      <c r="M762">
        <f>_xlfn.XLOOKUP($A762,[1]Sheet1!$K$9:$K$2584,[1]Sheet1!$L$9:$L$2584,"N/A",0)</f>
        <v>138.78</v>
      </c>
      <c r="N762">
        <f>_xlfn.XLOOKUP($A762,[1]Sheet1!$N$9:$N$2584,[1]Sheet1!$O$9:$O$2584,"N/A",0)</f>
        <v>100.36</v>
      </c>
      <c r="O762">
        <v>98.67</v>
      </c>
      <c r="P762">
        <v>128.9</v>
      </c>
      <c r="Q762">
        <v>88.19</v>
      </c>
      <c r="R762">
        <v>100.36</v>
      </c>
      <c r="S762">
        <v>138.78</v>
      </c>
    </row>
    <row r="763" spans="1:19">
      <c r="A763" s="1">
        <v>43474</v>
      </c>
      <c r="B763" t="s">
        <v>377</v>
      </c>
      <c r="C763" t="s">
        <v>383</v>
      </c>
      <c r="D763">
        <v>20.125</v>
      </c>
      <c r="E763">
        <v>20.275</v>
      </c>
      <c r="F763">
        <v>0.00745341614906825</v>
      </c>
      <c r="G763">
        <f ca="1" t="shared" si="33"/>
        <v>0.0952913663927841</v>
      </c>
      <c r="H763" t="str">
        <f ca="1" t="shared" si="34"/>
        <v>Risk-On</v>
      </c>
      <c r="I763">
        <f ca="1" t="shared" si="35"/>
        <v>1</v>
      </c>
      <c r="J763">
        <f>_xlfn.XLOOKUP($A763,[1]Sheet1!$B$9:$B$2584,[1]Sheet1!$C$9:$C$2584,"N/A",0)</f>
        <v>98.76</v>
      </c>
      <c r="K763">
        <f>_xlfn.XLOOKUP($A763,[1]Sheet1!$E$9:$E$2584,[1]Sheet1!$F$9:$F$2584,"N/A",0)</f>
        <v>128.35</v>
      </c>
      <c r="L763">
        <f>_xlfn.XLOOKUP($A763,[1]Sheet1!$H$9:$H$2584,[1]Sheet1!$I$9:$I$2584,"N/A",0)</f>
        <v>88.33</v>
      </c>
      <c r="M763">
        <f>_xlfn.XLOOKUP($A763,[1]Sheet1!$K$9:$K$2584,[1]Sheet1!$L$9:$L$2584,"N/A",0)</f>
        <v>138.49</v>
      </c>
      <c r="N763">
        <f>_xlfn.XLOOKUP($A763,[1]Sheet1!$N$9:$N$2584,[1]Sheet1!$O$9:$O$2584,"N/A",0)</f>
        <v>99.96</v>
      </c>
      <c r="O763">
        <v>98.76</v>
      </c>
      <c r="P763">
        <v>128.35</v>
      </c>
      <c r="Q763">
        <v>88.33</v>
      </c>
      <c r="R763">
        <v>99.96</v>
      </c>
      <c r="S763">
        <v>138.49</v>
      </c>
    </row>
    <row r="764" spans="1:19">
      <c r="A764" s="1">
        <v>43475</v>
      </c>
      <c r="B764" t="s">
        <v>377</v>
      </c>
      <c r="C764" t="s">
        <v>383</v>
      </c>
      <c r="D764">
        <v>19.875</v>
      </c>
      <c r="E764">
        <v>20.025</v>
      </c>
      <c r="F764">
        <v>0.00754716981132068</v>
      </c>
      <c r="G764">
        <f ca="1" t="shared" si="33"/>
        <v>0.0964237702612416</v>
      </c>
      <c r="H764" t="str">
        <f ca="1" t="shared" si="34"/>
        <v>Risk-On</v>
      </c>
      <c r="I764">
        <f ca="1" t="shared" si="35"/>
        <v>1</v>
      </c>
      <c r="J764">
        <f>_xlfn.XLOOKUP($A764,[1]Sheet1!$B$9:$B$2584,[1]Sheet1!$C$9:$C$2584,"N/A",0)</f>
        <v>99</v>
      </c>
      <c r="K764">
        <f>_xlfn.XLOOKUP($A764,[1]Sheet1!$E$9:$E$2584,[1]Sheet1!$F$9:$F$2584,"N/A",0)</f>
        <v>128.13</v>
      </c>
      <c r="L764">
        <f>_xlfn.XLOOKUP($A764,[1]Sheet1!$H$9:$H$2584,[1]Sheet1!$I$9:$I$2584,"N/A",0)</f>
        <v>87.66</v>
      </c>
      <c r="M764">
        <f>_xlfn.XLOOKUP($A764,[1]Sheet1!$K$9:$K$2584,[1]Sheet1!$L$9:$L$2584,"N/A",0)</f>
        <v>137.96</v>
      </c>
      <c r="N764">
        <f>_xlfn.XLOOKUP($A764,[1]Sheet1!$N$9:$N$2584,[1]Sheet1!$O$9:$O$2584,"N/A",0)</f>
        <v>99.99</v>
      </c>
      <c r="O764">
        <v>99</v>
      </c>
      <c r="P764">
        <v>128.13</v>
      </c>
      <c r="Q764">
        <v>87.66</v>
      </c>
      <c r="R764">
        <v>99.99</v>
      </c>
      <c r="S764">
        <v>137.96</v>
      </c>
    </row>
    <row r="765" spans="1:19">
      <c r="A765" s="1">
        <v>43476</v>
      </c>
      <c r="B765" t="s">
        <v>377</v>
      </c>
      <c r="C765" t="s">
        <v>383</v>
      </c>
      <c r="D765">
        <v>19.025</v>
      </c>
      <c r="E765">
        <v>19.475</v>
      </c>
      <c r="F765" s="2" t="s">
        <v>384</v>
      </c>
      <c r="G765">
        <f ca="1" t="shared" si="33"/>
        <v>0.341379423232404</v>
      </c>
      <c r="H765" t="str">
        <f ca="1" t="shared" si="34"/>
        <v>Risk-On</v>
      </c>
      <c r="I765">
        <f ca="1" t="shared" si="35"/>
        <v>1</v>
      </c>
      <c r="J765">
        <f>_xlfn.XLOOKUP($A765,[1]Sheet1!$B$9:$B$2584,[1]Sheet1!$C$9:$C$2584,"N/A",0)</f>
        <v>99.04</v>
      </c>
      <c r="K765">
        <f>_xlfn.XLOOKUP($A765,[1]Sheet1!$E$9:$E$2584,[1]Sheet1!$F$9:$F$2584,"N/A",0)</f>
        <v>127.7</v>
      </c>
      <c r="L765">
        <f>_xlfn.XLOOKUP($A765,[1]Sheet1!$H$9:$H$2584,[1]Sheet1!$I$9:$I$2584,"N/A",0)</f>
        <v>88.07</v>
      </c>
      <c r="M765">
        <f>_xlfn.XLOOKUP($A765,[1]Sheet1!$K$9:$K$2584,[1]Sheet1!$L$9:$L$2584,"N/A",0)</f>
        <v>137.59</v>
      </c>
      <c r="N765">
        <f>_xlfn.XLOOKUP($A765,[1]Sheet1!$N$9:$N$2584,[1]Sheet1!$O$9:$O$2584,"N/A",0)</f>
        <v>100.08</v>
      </c>
      <c r="O765">
        <v>99.04</v>
      </c>
      <c r="P765">
        <v>127.7</v>
      </c>
      <c r="Q765">
        <v>88.07</v>
      </c>
      <c r="R765">
        <v>100.08</v>
      </c>
      <c r="S765">
        <v>137.59</v>
      </c>
    </row>
    <row r="766" spans="1:19">
      <c r="A766" s="1">
        <v>43479</v>
      </c>
      <c r="B766" t="s">
        <v>377</v>
      </c>
      <c r="C766" t="s">
        <v>383</v>
      </c>
      <c r="D766">
        <v>19.225</v>
      </c>
      <c r="E766">
        <v>19.475</v>
      </c>
      <c r="F766" s="2" t="s">
        <v>385</v>
      </c>
      <c r="G766">
        <f ca="1" t="shared" si="33"/>
        <v>0.184086418803838</v>
      </c>
      <c r="H766" t="str">
        <f ca="1" t="shared" si="34"/>
        <v>Risk-On</v>
      </c>
      <c r="I766">
        <f ca="1" t="shared" si="35"/>
        <v>1</v>
      </c>
      <c r="J766">
        <f>_xlfn.XLOOKUP($A766,[1]Sheet1!$B$9:$B$2584,[1]Sheet1!$C$9:$C$2584,"N/A",0)</f>
        <v>98.92</v>
      </c>
      <c r="K766">
        <f>_xlfn.XLOOKUP($A766,[1]Sheet1!$E$9:$E$2584,[1]Sheet1!$F$9:$F$2584,"N/A",0)</f>
        <v>128.17</v>
      </c>
      <c r="L766">
        <f>_xlfn.XLOOKUP($A766,[1]Sheet1!$H$9:$H$2584,[1]Sheet1!$I$9:$I$2584,"N/A",0)</f>
        <v>88.04</v>
      </c>
      <c r="M766">
        <f>_xlfn.XLOOKUP($A766,[1]Sheet1!$K$9:$K$2584,[1]Sheet1!$L$9:$L$2584,"N/A",0)</f>
        <v>137.45</v>
      </c>
      <c r="N766">
        <f>_xlfn.XLOOKUP($A766,[1]Sheet1!$N$9:$N$2584,[1]Sheet1!$O$9:$O$2584,"N/A",0)</f>
        <v>100.4</v>
      </c>
      <c r="O766">
        <v>98.92</v>
      </c>
      <c r="P766">
        <v>128.17</v>
      </c>
      <c r="Q766">
        <v>88.04</v>
      </c>
      <c r="R766">
        <v>100.4</v>
      </c>
      <c r="S766">
        <v>137.45</v>
      </c>
    </row>
    <row r="767" spans="1:19">
      <c r="A767" s="1">
        <v>43480</v>
      </c>
      <c r="B767" t="s">
        <v>377</v>
      </c>
      <c r="C767" t="s">
        <v>383</v>
      </c>
      <c r="D767">
        <v>18.825</v>
      </c>
      <c r="E767">
        <v>18.825</v>
      </c>
      <c r="F767">
        <v>0</v>
      </c>
      <c r="G767">
        <f ca="1" t="shared" si="33"/>
        <v>-0.00798671401088866</v>
      </c>
      <c r="H767" t="str">
        <f ca="1" t="shared" si="34"/>
        <v>Risk-On</v>
      </c>
      <c r="I767">
        <f ca="1" t="shared" si="35"/>
        <v>1</v>
      </c>
      <c r="J767">
        <f>_xlfn.XLOOKUP($A767,[1]Sheet1!$B$9:$B$2584,[1]Sheet1!$C$9:$C$2584,"N/A",0)</f>
        <v>98.95</v>
      </c>
      <c r="K767">
        <f>_xlfn.XLOOKUP($A767,[1]Sheet1!$E$9:$E$2584,[1]Sheet1!$F$9:$F$2584,"N/A",0)</f>
        <v>129.8</v>
      </c>
      <c r="L767">
        <f>_xlfn.XLOOKUP($A767,[1]Sheet1!$H$9:$H$2584,[1]Sheet1!$I$9:$I$2584,"N/A",0)</f>
        <v>87.51</v>
      </c>
      <c r="M767">
        <f>_xlfn.XLOOKUP($A767,[1]Sheet1!$K$9:$K$2584,[1]Sheet1!$L$9:$L$2584,"N/A",0)</f>
        <v>137.73</v>
      </c>
      <c r="N767">
        <f>_xlfn.XLOOKUP($A767,[1]Sheet1!$N$9:$N$2584,[1]Sheet1!$O$9:$O$2584,"N/A",0)</f>
        <v>100.43</v>
      </c>
      <c r="O767">
        <v>98.95</v>
      </c>
      <c r="P767">
        <v>129.8</v>
      </c>
      <c r="Q767">
        <v>87.51</v>
      </c>
      <c r="R767">
        <v>100.43</v>
      </c>
      <c r="S767">
        <v>137.73</v>
      </c>
    </row>
    <row r="768" spans="1:19">
      <c r="A768" s="1">
        <v>43481</v>
      </c>
      <c r="B768" t="s">
        <v>377</v>
      </c>
      <c r="C768" t="s">
        <v>383</v>
      </c>
      <c r="D768">
        <v>18.87</v>
      </c>
      <c r="E768">
        <v>19.025</v>
      </c>
      <c r="F768">
        <v>0.00821409644939043</v>
      </c>
      <c r="G768">
        <f ca="1" t="shared" si="33"/>
        <v>0.113671542737957</v>
      </c>
      <c r="H768" t="str">
        <f ca="1" t="shared" si="34"/>
        <v>Risk-On</v>
      </c>
      <c r="I768">
        <f ca="1" t="shared" si="35"/>
        <v>1</v>
      </c>
      <c r="J768">
        <f>_xlfn.XLOOKUP($A768,[1]Sheet1!$B$9:$B$2584,[1]Sheet1!$C$9:$C$2584,"N/A",0)</f>
        <v>99.28</v>
      </c>
      <c r="K768">
        <f>_xlfn.XLOOKUP($A768,[1]Sheet1!$E$9:$E$2584,[1]Sheet1!$F$9:$F$2584,"N/A",0)</f>
        <v>129.04</v>
      </c>
      <c r="L768">
        <f>_xlfn.XLOOKUP($A768,[1]Sheet1!$H$9:$H$2584,[1]Sheet1!$I$9:$I$2584,"N/A",0)</f>
        <v>87.35</v>
      </c>
      <c r="M768">
        <f>_xlfn.XLOOKUP($A768,[1]Sheet1!$K$9:$K$2584,[1]Sheet1!$L$9:$L$2584,"N/A",0)</f>
        <v>136.95</v>
      </c>
      <c r="N768">
        <f>_xlfn.XLOOKUP($A768,[1]Sheet1!$N$9:$N$2584,[1]Sheet1!$O$9:$O$2584,"N/A",0)</f>
        <v>100.06</v>
      </c>
      <c r="O768">
        <v>99.28</v>
      </c>
      <c r="P768">
        <v>129.04</v>
      </c>
      <c r="Q768">
        <v>87.35</v>
      </c>
      <c r="R768">
        <v>100.06</v>
      </c>
      <c r="S768">
        <v>136.95</v>
      </c>
    </row>
    <row r="769" spans="1:19">
      <c r="A769" s="1">
        <v>43482</v>
      </c>
      <c r="B769" t="s">
        <v>383</v>
      </c>
      <c r="C769" t="s">
        <v>386</v>
      </c>
      <c r="D769">
        <v>18.525</v>
      </c>
      <c r="E769">
        <v>18.775</v>
      </c>
      <c r="F769">
        <v>0.0134952766531713</v>
      </c>
      <c r="G769">
        <f ca="1" t="shared" si="33"/>
        <v>0.188507300140561</v>
      </c>
      <c r="H769" t="str">
        <f ca="1" t="shared" si="34"/>
        <v>Risk-On</v>
      </c>
      <c r="I769">
        <f ca="1" t="shared" si="35"/>
        <v>1</v>
      </c>
      <c r="J769">
        <f>_xlfn.XLOOKUP($A769,[1]Sheet1!$B$9:$B$2584,[1]Sheet1!$C$9:$C$2584,"N/A",0)</f>
        <v>99.09</v>
      </c>
      <c r="K769">
        <f>_xlfn.XLOOKUP($A769,[1]Sheet1!$E$9:$E$2584,[1]Sheet1!$F$9:$F$2584,"N/A",0)</f>
        <v>129.17</v>
      </c>
      <c r="L769">
        <f>_xlfn.XLOOKUP($A769,[1]Sheet1!$H$9:$H$2584,[1]Sheet1!$I$9:$I$2584,"N/A",0)</f>
        <v>87.48</v>
      </c>
      <c r="M769">
        <f>_xlfn.XLOOKUP($A769,[1]Sheet1!$K$9:$K$2584,[1]Sheet1!$L$9:$L$2584,"N/A",0)</f>
        <v>137.89</v>
      </c>
      <c r="N769">
        <f>_xlfn.XLOOKUP($A769,[1]Sheet1!$N$9:$N$2584,[1]Sheet1!$O$9:$O$2584,"N/A",0)</f>
        <v>99.89</v>
      </c>
      <c r="O769">
        <v>99.09</v>
      </c>
      <c r="P769">
        <v>129.17</v>
      </c>
      <c r="Q769">
        <v>87.48</v>
      </c>
      <c r="R769">
        <v>99.89</v>
      </c>
      <c r="S769">
        <v>137.89</v>
      </c>
    </row>
    <row r="770" spans="1:19">
      <c r="A770" s="1">
        <v>43483</v>
      </c>
      <c r="B770" t="s">
        <v>383</v>
      </c>
      <c r="C770" t="s">
        <v>386</v>
      </c>
      <c r="D770">
        <v>18.325</v>
      </c>
      <c r="E770">
        <v>18.625</v>
      </c>
      <c r="F770" s="2" t="s">
        <v>387</v>
      </c>
      <c r="G770">
        <f ca="1" t="shared" si="33"/>
        <v>0.23074037274685</v>
      </c>
      <c r="H770" t="str">
        <f ca="1" t="shared" si="34"/>
        <v>Risk-On</v>
      </c>
      <c r="I770">
        <f ca="1" t="shared" si="35"/>
        <v>1</v>
      </c>
      <c r="J770">
        <f>_xlfn.XLOOKUP($A770,[1]Sheet1!$B$9:$B$2584,[1]Sheet1!$C$9:$C$2584,"N/A",0)</f>
        <v>99.21</v>
      </c>
      <c r="K770">
        <f>_xlfn.XLOOKUP($A770,[1]Sheet1!$E$9:$E$2584,[1]Sheet1!$F$9:$F$2584,"N/A",0)</f>
        <v>128.61</v>
      </c>
      <c r="L770">
        <f>_xlfn.XLOOKUP($A770,[1]Sheet1!$H$9:$H$2584,[1]Sheet1!$I$9:$I$2584,"N/A",0)</f>
        <v>87.82</v>
      </c>
      <c r="M770">
        <f>_xlfn.XLOOKUP($A770,[1]Sheet1!$K$9:$K$2584,[1]Sheet1!$L$9:$L$2584,"N/A",0)</f>
        <v>138.72</v>
      </c>
      <c r="N770">
        <f>_xlfn.XLOOKUP($A770,[1]Sheet1!$N$9:$N$2584,[1]Sheet1!$O$9:$O$2584,"N/A",0)</f>
        <v>99.94</v>
      </c>
      <c r="O770">
        <v>99.21</v>
      </c>
      <c r="P770">
        <v>128.61</v>
      </c>
      <c r="Q770">
        <v>87.82</v>
      </c>
      <c r="R770">
        <v>99.94</v>
      </c>
      <c r="S770">
        <v>138.72</v>
      </c>
    </row>
    <row r="771" spans="1:19">
      <c r="A771" s="1">
        <v>43487</v>
      </c>
      <c r="B771" t="s">
        <v>383</v>
      </c>
      <c r="C771" t="s">
        <v>386</v>
      </c>
      <c r="D771">
        <v>20.175</v>
      </c>
      <c r="E771">
        <v>19.725</v>
      </c>
      <c r="F771">
        <v>-0.0223048327137546</v>
      </c>
      <c r="G771">
        <f ca="1" t="shared" ref="G771:G834" si="36">IF(ROW()-ROW($A$3)+1&gt;252,(F771-AVERAGE(OFFSET(F771,-252,0,252,1)))/_xlfn.STDEV.S(OFFSET(F771,-252,0,252,1)),"N/A")</f>
        <v>-0.3397322741968</v>
      </c>
      <c r="H771" t="str">
        <f ca="1" t="shared" ref="H771:H834" si="37">IF(G771&lt;&gt;"N/A",IF(G1021&gt;-0.5,"Risk-On","Risk-Off"),"N/A")</f>
        <v>Risk-On</v>
      </c>
      <c r="I771">
        <f ca="1" t="shared" si="35"/>
        <v>1</v>
      </c>
      <c r="J771">
        <f>_xlfn.XLOOKUP($A771,[1]Sheet1!$B$9:$B$2584,[1]Sheet1!$C$9:$C$2584,"N/A",0)</f>
        <v>98.9</v>
      </c>
      <c r="K771">
        <f>_xlfn.XLOOKUP($A771,[1]Sheet1!$E$9:$E$2584,[1]Sheet1!$F$9:$F$2584,"N/A",0)</f>
        <v>129.96</v>
      </c>
      <c r="L771">
        <f>_xlfn.XLOOKUP($A771,[1]Sheet1!$H$9:$H$2584,[1]Sheet1!$I$9:$I$2584,"N/A",0)</f>
        <v>87.55</v>
      </c>
      <c r="M771">
        <f>_xlfn.XLOOKUP($A771,[1]Sheet1!$K$9:$K$2584,[1]Sheet1!$L$9:$L$2584,"N/A",0)</f>
        <v>138.99</v>
      </c>
      <c r="N771">
        <f>_xlfn.XLOOKUP($A771,[1]Sheet1!$N$9:$N$2584,[1]Sheet1!$O$9:$O$2584,"N/A",0)</f>
        <v>100.44</v>
      </c>
      <c r="O771">
        <v>98.9</v>
      </c>
      <c r="P771">
        <v>129.96</v>
      </c>
      <c r="Q771">
        <v>87.55</v>
      </c>
      <c r="R771">
        <v>100.44</v>
      </c>
      <c r="S771">
        <v>138.99</v>
      </c>
    </row>
    <row r="772" spans="1:19">
      <c r="A772" s="1">
        <v>43488</v>
      </c>
      <c r="B772" t="s">
        <v>383</v>
      </c>
      <c r="C772" t="s">
        <v>386</v>
      </c>
      <c r="D772">
        <v>19.725</v>
      </c>
      <c r="E772">
        <v>19.575</v>
      </c>
      <c r="F772">
        <v>-0.00760456273764269</v>
      </c>
      <c r="G772">
        <f ca="1" t="shared" si="36"/>
        <v>-0.120128018269553</v>
      </c>
      <c r="H772" t="str">
        <f ca="1" t="shared" si="37"/>
        <v>Risk-On</v>
      </c>
      <c r="I772">
        <f ca="1" t="shared" ref="I772:I835" si="38">IF(H772&lt;&gt;"N/A",IF(H1022&gt;-0.5,1,0),0)</f>
        <v>1</v>
      </c>
      <c r="J772">
        <f>_xlfn.XLOOKUP($A772,[1]Sheet1!$B$9:$B$2584,[1]Sheet1!$C$9:$C$2584,"N/A",0)</f>
        <v>98.89</v>
      </c>
      <c r="K772">
        <f>_xlfn.XLOOKUP($A772,[1]Sheet1!$E$9:$E$2584,[1]Sheet1!$F$9:$F$2584,"N/A",0)</f>
        <v>130.83</v>
      </c>
      <c r="L772">
        <f>_xlfn.XLOOKUP($A772,[1]Sheet1!$H$9:$H$2584,[1]Sheet1!$I$9:$I$2584,"N/A",0)</f>
        <v>87.63</v>
      </c>
      <c r="M772">
        <f>_xlfn.XLOOKUP($A772,[1]Sheet1!$K$9:$K$2584,[1]Sheet1!$L$9:$L$2584,"N/A",0)</f>
        <v>139.35</v>
      </c>
      <c r="N772">
        <f>_xlfn.XLOOKUP($A772,[1]Sheet1!$N$9:$N$2584,[1]Sheet1!$O$9:$O$2584,"N/A",0)</f>
        <v>100.61</v>
      </c>
      <c r="O772">
        <v>98.89</v>
      </c>
      <c r="P772">
        <v>130.83</v>
      </c>
      <c r="Q772">
        <v>87.63</v>
      </c>
      <c r="R772">
        <v>100.61</v>
      </c>
      <c r="S772">
        <v>139.35</v>
      </c>
    </row>
    <row r="773" spans="1:19">
      <c r="A773" s="1">
        <v>43489</v>
      </c>
      <c r="B773" t="s">
        <v>383</v>
      </c>
      <c r="C773" t="s">
        <v>386</v>
      </c>
      <c r="D773">
        <v>19.175</v>
      </c>
      <c r="E773">
        <v>19.225</v>
      </c>
      <c r="F773">
        <v>0.00260756192959586</v>
      </c>
      <c r="G773">
        <f ca="1" t="shared" si="36"/>
        <v>0.0371457966339037</v>
      </c>
      <c r="H773" t="str">
        <f ca="1" t="shared" si="37"/>
        <v>Risk-On</v>
      </c>
      <c r="I773">
        <f ca="1" t="shared" si="38"/>
        <v>1</v>
      </c>
      <c r="J773">
        <f>_xlfn.XLOOKUP($A773,[1]Sheet1!$B$9:$B$2584,[1]Sheet1!$C$9:$C$2584,"N/A",0)</f>
        <v>98.77</v>
      </c>
      <c r="K773">
        <f>_xlfn.XLOOKUP($A773,[1]Sheet1!$E$9:$E$2584,[1]Sheet1!$F$9:$F$2584,"N/A",0)</f>
        <v>129.41</v>
      </c>
      <c r="L773">
        <f>_xlfn.XLOOKUP($A773,[1]Sheet1!$H$9:$H$2584,[1]Sheet1!$I$9:$I$2584,"N/A",0)</f>
        <v>87.56</v>
      </c>
      <c r="M773">
        <f>_xlfn.XLOOKUP($A773,[1]Sheet1!$K$9:$K$2584,[1]Sheet1!$L$9:$L$2584,"N/A",0)</f>
        <v>138.88</v>
      </c>
      <c r="N773">
        <f>_xlfn.XLOOKUP($A773,[1]Sheet1!$N$9:$N$2584,[1]Sheet1!$O$9:$O$2584,"N/A",0)</f>
        <v>100.38</v>
      </c>
      <c r="O773">
        <v>98.77</v>
      </c>
      <c r="P773">
        <v>129.41</v>
      </c>
      <c r="Q773">
        <v>87.56</v>
      </c>
      <c r="R773">
        <v>100.38</v>
      </c>
      <c r="S773">
        <v>138.88</v>
      </c>
    </row>
    <row r="774" spans="1:19">
      <c r="A774" s="1">
        <v>43490</v>
      </c>
      <c r="B774" t="s">
        <v>383</v>
      </c>
      <c r="C774" t="s">
        <v>386</v>
      </c>
      <c r="D774">
        <v>18.275</v>
      </c>
      <c r="E774">
        <v>18.525</v>
      </c>
      <c r="F774" s="2" t="s">
        <v>388</v>
      </c>
      <c r="G774">
        <f ca="1" t="shared" si="36"/>
        <v>0.206706589836244</v>
      </c>
      <c r="H774" t="str">
        <f ca="1" t="shared" si="37"/>
        <v>Risk-On</v>
      </c>
      <c r="I774">
        <f ca="1" t="shared" si="38"/>
        <v>1</v>
      </c>
      <c r="J774">
        <f>_xlfn.XLOOKUP($A774,[1]Sheet1!$B$9:$B$2584,[1]Sheet1!$C$9:$C$2584,"N/A",0)</f>
        <v>98.83</v>
      </c>
      <c r="K774">
        <f>_xlfn.XLOOKUP($A774,[1]Sheet1!$E$9:$E$2584,[1]Sheet1!$F$9:$F$2584,"N/A",0)</f>
        <v>128.34</v>
      </c>
      <c r="L774">
        <f>_xlfn.XLOOKUP($A774,[1]Sheet1!$H$9:$H$2584,[1]Sheet1!$I$9:$I$2584,"N/A",0)</f>
        <v>87.55</v>
      </c>
      <c r="M774">
        <f>_xlfn.XLOOKUP($A774,[1]Sheet1!$K$9:$K$2584,[1]Sheet1!$L$9:$L$2584,"N/A",0)</f>
        <v>138</v>
      </c>
      <c r="N774">
        <f>_xlfn.XLOOKUP($A774,[1]Sheet1!$N$9:$N$2584,[1]Sheet1!$O$9:$O$2584,"N/A",0)</f>
        <v>100.2</v>
      </c>
      <c r="O774">
        <v>98.83</v>
      </c>
      <c r="P774">
        <v>128.34</v>
      </c>
      <c r="Q774">
        <v>87.55</v>
      </c>
      <c r="R774">
        <v>100.2</v>
      </c>
      <c r="S774">
        <v>138</v>
      </c>
    </row>
    <row r="775" spans="1:19">
      <c r="A775" s="1">
        <v>43493</v>
      </c>
      <c r="B775" t="s">
        <v>383</v>
      </c>
      <c r="C775" t="s">
        <v>386</v>
      </c>
      <c r="D775">
        <v>19.125</v>
      </c>
      <c r="E775">
        <v>19.125</v>
      </c>
      <c r="F775">
        <v>0</v>
      </c>
      <c r="G775">
        <f ca="1" t="shared" si="36"/>
        <v>0.00610194187174304</v>
      </c>
      <c r="H775" t="str">
        <f ca="1" t="shared" si="37"/>
        <v>Risk-Off</v>
      </c>
      <c r="I775">
        <f ca="1" t="shared" si="38"/>
        <v>1</v>
      </c>
      <c r="J775">
        <f>_xlfn.XLOOKUP($A775,[1]Sheet1!$B$9:$B$2584,[1]Sheet1!$C$9:$C$2584,"N/A",0)</f>
        <v>98.77</v>
      </c>
      <c r="K775">
        <f>_xlfn.XLOOKUP($A775,[1]Sheet1!$E$9:$E$2584,[1]Sheet1!$F$9:$F$2584,"N/A",0)</f>
        <v>128.12</v>
      </c>
      <c r="L775">
        <f>_xlfn.XLOOKUP($A775,[1]Sheet1!$H$9:$H$2584,[1]Sheet1!$I$9:$I$2584,"N/A",0)</f>
        <v>87.42</v>
      </c>
      <c r="M775">
        <f>_xlfn.XLOOKUP($A775,[1]Sheet1!$K$9:$K$2584,[1]Sheet1!$L$9:$L$2584,"N/A",0)</f>
        <v>137.56</v>
      </c>
      <c r="N775">
        <f>_xlfn.XLOOKUP($A775,[1]Sheet1!$N$9:$N$2584,[1]Sheet1!$O$9:$O$2584,"N/A",0)</f>
        <v>99.89</v>
      </c>
      <c r="O775">
        <v>98.77</v>
      </c>
      <c r="P775">
        <v>128.12</v>
      </c>
      <c r="Q775">
        <v>87.42</v>
      </c>
      <c r="R775">
        <v>99.89</v>
      </c>
      <c r="S775">
        <v>137.56</v>
      </c>
    </row>
    <row r="776" spans="1:19">
      <c r="A776" s="1">
        <v>43494</v>
      </c>
      <c r="B776" t="s">
        <v>383</v>
      </c>
      <c r="C776" t="s">
        <v>386</v>
      </c>
      <c r="D776">
        <v>18.925</v>
      </c>
      <c r="E776">
        <v>18.875</v>
      </c>
      <c r="F776">
        <v>-0.00264200792602381</v>
      </c>
      <c r="G776">
        <f ca="1" t="shared" si="36"/>
        <v>-0.0287357955172687</v>
      </c>
      <c r="H776" t="str">
        <f ca="1" t="shared" si="37"/>
        <v>Risk-Off</v>
      </c>
      <c r="I776">
        <f ca="1" t="shared" si="38"/>
        <v>1</v>
      </c>
      <c r="J776">
        <f>_xlfn.XLOOKUP($A776,[1]Sheet1!$B$9:$B$2584,[1]Sheet1!$C$9:$C$2584,"N/A",0)</f>
        <v>98.54</v>
      </c>
      <c r="K776">
        <f>_xlfn.XLOOKUP($A776,[1]Sheet1!$E$9:$E$2584,[1]Sheet1!$F$9:$F$2584,"N/A",0)</f>
        <v>127.66</v>
      </c>
      <c r="L776">
        <f>_xlfn.XLOOKUP($A776,[1]Sheet1!$H$9:$H$2584,[1]Sheet1!$I$9:$I$2584,"N/A",0)</f>
        <v>87.5</v>
      </c>
      <c r="M776">
        <f>_xlfn.XLOOKUP($A776,[1]Sheet1!$K$9:$K$2584,[1]Sheet1!$L$9:$L$2584,"N/A",0)</f>
        <v>137.99</v>
      </c>
      <c r="N776">
        <f>_xlfn.XLOOKUP($A776,[1]Sheet1!$N$9:$N$2584,[1]Sheet1!$O$9:$O$2584,"N/A",0)</f>
        <v>99.99</v>
      </c>
      <c r="O776">
        <v>98.54</v>
      </c>
      <c r="P776">
        <v>127.66</v>
      </c>
      <c r="Q776">
        <v>87.5</v>
      </c>
      <c r="R776">
        <v>99.99</v>
      </c>
      <c r="S776">
        <v>137.99</v>
      </c>
    </row>
    <row r="777" spans="1:19">
      <c r="A777" s="1">
        <v>43495</v>
      </c>
      <c r="B777" t="s">
        <v>383</v>
      </c>
      <c r="C777" t="s">
        <v>386</v>
      </c>
      <c r="D777">
        <v>17.975</v>
      </c>
      <c r="E777">
        <v>18.375</v>
      </c>
      <c r="F777" s="2" t="s">
        <v>389</v>
      </c>
      <c r="G777">
        <f ca="1" t="shared" si="36"/>
        <v>0.344411594620122</v>
      </c>
      <c r="H777" t="str">
        <f ca="1" t="shared" si="37"/>
        <v>Risk-Off</v>
      </c>
      <c r="I777">
        <f ca="1" t="shared" si="38"/>
        <v>1</v>
      </c>
      <c r="J777">
        <f>_xlfn.XLOOKUP($A777,[1]Sheet1!$B$9:$B$2584,[1]Sheet1!$C$9:$C$2584,"N/A",0)</f>
        <v>98.37</v>
      </c>
      <c r="K777">
        <f>_xlfn.XLOOKUP($A777,[1]Sheet1!$E$9:$E$2584,[1]Sheet1!$F$9:$F$2584,"N/A",0)</f>
        <v>128.22</v>
      </c>
      <c r="L777">
        <f>_xlfn.XLOOKUP($A777,[1]Sheet1!$H$9:$H$2584,[1]Sheet1!$I$9:$I$2584,"N/A",0)</f>
        <v>87.74</v>
      </c>
      <c r="M777">
        <f>_xlfn.XLOOKUP($A777,[1]Sheet1!$K$9:$K$2584,[1]Sheet1!$L$9:$L$2584,"N/A",0)</f>
        <v>137.2</v>
      </c>
      <c r="N777">
        <f>_xlfn.XLOOKUP($A777,[1]Sheet1!$N$9:$N$2584,[1]Sheet1!$O$9:$O$2584,"N/A",0)</f>
        <v>100.49</v>
      </c>
      <c r="O777">
        <v>98.37</v>
      </c>
      <c r="P777">
        <v>128.22</v>
      </c>
      <c r="Q777">
        <v>87.74</v>
      </c>
      <c r="R777">
        <v>100.49</v>
      </c>
      <c r="S777">
        <v>137.2</v>
      </c>
    </row>
    <row r="778" spans="1:19">
      <c r="A778" s="1">
        <v>43496</v>
      </c>
      <c r="B778" t="s">
        <v>383</v>
      </c>
      <c r="C778" t="s">
        <v>386</v>
      </c>
      <c r="D778">
        <v>17.125</v>
      </c>
      <c r="E778">
        <v>17.775</v>
      </c>
      <c r="F778">
        <v>0.0379562043795619</v>
      </c>
      <c r="G778">
        <f ca="1" t="shared" si="36"/>
        <v>0.578876696298123</v>
      </c>
      <c r="H778" t="str">
        <f ca="1" t="shared" si="37"/>
        <v>Risk-Off</v>
      </c>
      <c r="I778">
        <f ca="1" t="shared" si="38"/>
        <v>1</v>
      </c>
      <c r="J778">
        <f>_xlfn.XLOOKUP($A778,[1]Sheet1!$B$9:$B$2584,[1]Sheet1!$C$9:$C$2584,"N/A",0)</f>
        <v>98.42</v>
      </c>
      <c r="K778">
        <f>_xlfn.XLOOKUP($A778,[1]Sheet1!$E$9:$E$2584,[1]Sheet1!$F$9:$F$2584,"N/A",0)</f>
        <v>128.91</v>
      </c>
      <c r="L778">
        <f>_xlfn.XLOOKUP($A778,[1]Sheet1!$H$9:$H$2584,[1]Sheet1!$I$9:$I$2584,"N/A",0)</f>
        <v>87.56</v>
      </c>
      <c r="M778">
        <f>_xlfn.XLOOKUP($A778,[1]Sheet1!$K$9:$K$2584,[1]Sheet1!$L$9:$L$2584,"N/A",0)</f>
        <v>137.57</v>
      </c>
      <c r="N778">
        <f>_xlfn.XLOOKUP($A778,[1]Sheet1!$N$9:$N$2584,[1]Sheet1!$O$9:$O$2584,"N/A",0)</f>
        <v>100.39</v>
      </c>
      <c r="O778">
        <v>98.42</v>
      </c>
      <c r="P778">
        <v>128.91</v>
      </c>
      <c r="Q778">
        <v>87.56</v>
      </c>
      <c r="R778">
        <v>100.39</v>
      </c>
      <c r="S778">
        <v>137.57</v>
      </c>
    </row>
    <row r="779" spans="1:19">
      <c r="A779" s="1">
        <v>43497</v>
      </c>
      <c r="B779" t="s">
        <v>383</v>
      </c>
      <c r="C779" t="s">
        <v>386</v>
      </c>
      <c r="D779">
        <v>17.025</v>
      </c>
      <c r="E779">
        <v>17.525</v>
      </c>
      <c r="F779" s="2" t="s">
        <v>140</v>
      </c>
      <c r="G779">
        <f ca="1" t="shared" si="36"/>
        <v>0.448332528471758</v>
      </c>
      <c r="H779" t="str">
        <f ca="1" t="shared" si="37"/>
        <v>Risk-Off</v>
      </c>
      <c r="I779">
        <f ca="1" t="shared" si="38"/>
        <v>1</v>
      </c>
      <c r="J779">
        <f>_xlfn.XLOOKUP($A779,[1]Sheet1!$B$9:$B$2584,[1]Sheet1!$C$9:$C$2584,"N/A",0)</f>
        <v>98.56</v>
      </c>
      <c r="K779">
        <f>_xlfn.XLOOKUP($A779,[1]Sheet1!$E$9:$E$2584,[1]Sheet1!$F$9:$F$2584,"N/A",0)</f>
        <v>128.77</v>
      </c>
      <c r="L779">
        <f>_xlfn.XLOOKUP($A779,[1]Sheet1!$H$9:$H$2584,[1]Sheet1!$I$9:$I$2584,"N/A",0)</f>
        <v>87.31</v>
      </c>
      <c r="M779">
        <f>_xlfn.XLOOKUP($A779,[1]Sheet1!$K$9:$K$2584,[1]Sheet1!$L$9:$L$2584,"N/A",0)</f>
        <v>137.16</v>
      </c>
      <c r="N779">
        <f>_xlfn.XLOOKUP($A779,[1]Sheet1!$N$9:$N$2584,[1]Sheet1!$O$9:$O$2584,"N/A",0)</f>
        <v>100.69</v>
      </c>
      <c r="O779">
        <v>98.56</v>
      </c>
      <c r="P779">
        <v>128.77</v>
      </c>
      <c r="Q779">
        <v>87.31</v>
      </c>
      <c r="R779">
        <v>100.69</v>
      </c>
      <c r="S779">
        <v>137.16</v>
      </c>
    </row>
    <row r="780" spans="1:19">
      <c r="A780" s="1">
        <v>43500</v>
      </c>
      <c r="B780" t="s">
        <v>383</v>
      </c>
      <c r="C780" t="s">
        <v>386</v>
      </c>
      <c r="D780">
        <v>16.525</v>
      </c>
      <c r="E780">
        <v>17.075</v>
      </c>
      <c r="F780">
        <v>0.0332829046898638</v>
      </c>
      <c r="G780">
        <f ca="1" t="shared" si="36"/>
        <v>0.506944075004719</v>
      </c>
      <c r="H780" t="str">
        <f ca="1" t="shared" si="37"/>
        <v>Risk-Off</v>
      </c>
      <c r="I780">
        <f ca="1" t="shared" si="38"/>
        <v>1</v>
      </c>
      <c r="J780">
        <f>_xlfn.XLOOKUP($A780,[1]Sheet1!$B$9:$B$2584,[1]Sheet1!$C$9:$C$2584,"N/A",0)</f>
        <v>98.29</v>
      </c>
      <c r="K780">
        <f>_xlfn.XLOOKUP($A780,[1]Sheet1!$E$9:$E$2584,[1]Sheet1!$F$9:$F$2584,"N/A",0)</f>
        <v>128.74</v>
      </c>
      <c r="L780">
        <f>_xlfn.XLOOKUP($A780,[1]Sheet1!$H$9:$H$2584,[1]Sheet1!$I$9:$I$2584,"N/A",0)</f>
        <v>86.92</v>
      </c>
      <c r="M780">
        <f>_xlfn.XLOOKUP($A780,[1]Sheet1!$K$9:$K$2584,[1]Sheet1!$L$9:$L$2584,"N/A",0)</f>
        <v>137.03</v>
      </c>
      <c r="N780">
        <f>_xlfn.XLOOKUP($A780,[1]Sheet1!$N$9:$N$2584,[1]Sheet1!$O$9:$O$2584,"N/A",0)</f>
        <v>100.16</v>
      </c>
      <c r="O780">
        <v>98.29</v>
      </c>
      <c r="P780">
        <v>128.74</v>
      </c>
      <c r="Q780">
        <v>86.92</v>
      </c>
      <c r="R780">
        <v>100.16</v>
      </c>
      <c r="S780">
        <v>137.03</v>
      </c>
    </row>
    <row r="781" spans="1:19">
      <c r="A781" s="1">
        <v>43501</v>
      </c>
      <c r="B781" t="s">
        <v>383</v>
      </c>
      <c r="C781" t="s">
        <v>386</v>
      </c>
      <c r="D781">
        <v>16.525</v>
      </c>
      <c r="E781">
        <v>16.975</v>
      </c>
      <c r="F781" s="2" t="s">
        <v>390</v>
      </c>
      <c r="G781">
        <f ca="1" t="shared" si="36"/>
        <v>0.410773523709461</v>
      </c>
      <c r="H781" t="str">
        <f ca="1" t="shared" si="37"/>
        <v>Risk-Off</v>
      </c>
      <c r="I781">
        <f ca="1" t="shared" si="38"/>
        <v>1</v>
      </c>
      <c r="J781">
        <f>_xlfn.XLOOKUP($A781,[1]Sheet1!$B$9:$B$2584,[1]Sheet1!$C$9:$C$2584,"N/A",0)</f>
        <v>98.17</v>
      </c>
      <c r="K781">
        <f>_xlfn.XLOOKUP($A781,[1]Sheet1!$E$9:$E$2584,[1]Sheet1!$F$9:$F$2584,"N/A",0)</f>
        <v>128.91</v>
      </c>
      <c r="L781">
        <f>_xlfn.XLOOKUP($A781,[1]Sheet1!$H$9:$H$2584,[1]Sheet1!$I$9:$I$2584,"N/A",0)</f>
        <v>86.53</v>
      </c>
      <c r="M781">
        <f>_xlfn.XLOOKUP($A781,[1]Sheet1!$K$9:$K$2584,[1]Sheet1!$L$9:$L$2584,"N/A",0)</f>
        <v>137.33</v>
      </c>
      <c r="N781">
        <f>_xlfn.XLOOKUP($A781,[1]Sheet1!$N$9:$N$2584,[1]Sheet1!$O$9:$O$2584,"N/A",0)</f>
        <v>100.35</v>
      </c>
      <c r="O781">
        <v>98.17</v>
      </c>
      <c r="P781">
        <v>128.91</v>
      </c>
      <c r="Q781">
        <v>86.53</v>
      </c>
      <c r="R781">
        <v>100.35</v>
      </c>
      <c r="S781">
        <v>137.33</v>
      </c>
    </row>
    <row r="782" spans="1:19">
      <c r="A782" s="1">
        <v>43502</v>
      </c>
      <c r="B782" t="s">
        <v>383</v>
      </c>
      <c r="C782" t="s">
        <v>386</v>
      </c>
      <c r="D782">
        <v>16.375</v>
      </c>
      <c r="E782">
        <v>16.825</v>
      </c>
      <c r="F782">
        <v>0.0274809160305343</v>
      </c>
      <c r="G782">
        <f ca="1" t="shared" si="36"/>
        <v>0.407299346097555</v>
      </c>
      <c r="H782" t="str">
        <f ca="1" t="shared" si="37"/>
        <v>Risk-Off</v>
      </c>
      <c r="I782">
        <f ca="1" t="shared" si="38"/>
        <v>1</v>
      </c>
      <c r="J782">
        <f>_xlfn.XLOOKUP($A782,[1]Sheet1!$B$9:$B$2584,[1]Sheet1!$C$9:$C$2584,"N/A",0)</f>
        <v>97.93</v>
      </c>
      <c r="K782">
        <f>_xlfn.XLOOKUP($A782,[1]Sheet1!$E$9:$E$2584,[1]Sheet1!$F$9:$F$2584,"N/A",0)</f>
        <v>128.84</v>
      </c>
      <c r="L782">
        <f>_xlfn.XLOOKUP($A782,[1]Sheet1!$H$9:$H$2584,[1]Sheet1!$I$9:$I$2584,"N/A",0)</f>
        <v>87.14</v>
      </c>
      <c r="M782">
        <f>_xlfn.XLOOKUP($A782,[1]Sheet1!$K$9:$K$2584,[1]Sheet1!$L$9:$L$2584,"N/A",0)</f>
        <v>137.15</v>
      </c>
      <c r="N782">
        <f>_xlfn.XLOOKUP($A782,[1]Sheet1!$N$9:$N$2584,[1]Sheet1!$O$9:$O$2584,"N/A",0)</f>
        <v>100.45</v>
      </c>
      <c r="O782">
        <v>97.93</v>
      </c>
      <c r="P782">
        <v>128.84</v>
      </c>
      <c r="Q782">
        <v>87.14</v>
      </c>
      <c r="R782">
        <v>100.45</v>
      </c>
      <c r="S782">
        <v>137.15</v>
      </c>
    </row>
    <row r="783" spans="1:19">
      <c r="A783" s="1">
        <v>43503</v>
      </c>
      <c r="B783" t="s">
        <v>383</v>
      </c>
      <c r="C783" t="s">
        <v>386</v>
      </c>
      <c r="D783">
        <v>17.175</v>
      </c>
      <c r="E783">
        <v>17.375</v>
      </c>
      <c r="F783" s="2" t="s">
        <v>391</v>
      </c>
      <c r="G783">
        <f ca="1" t="shared" si="36"/>
        <v>0.15716486221237</v>
      </c>
      <c r="H783" t="str">
        <f ca="1" t="shared" si="37"/>
        <v>Risk-Off</v>
      </c>
      <c r="I783">
        <f ca="1" t="shared" si="38"/>
        <v>1</v>
      </c>
      <c r="J783">
        <f>_xlfn.XLOOKUP($A783,[1]Sheet1!$B$9:$B$2584,[1]Sheet1!$C$9:$C$2584,"N/A",0)</f>
        <v>98.18</v>
      </c>
      <c r="K783">
        <f>_xlfn.XLOOKUP($A783,[1]Sheet1!$E$9:$E$2584,[1]Sheet1!$F$9:$F$2584,"N/A",0)</f>
        <v>130.31</v>
      </c>
      <c r="L783">
        <f>_xlfn.XLOOKUP($A783,[1]Sheet1!$H$9:$H$2584,[1]Sheet1!$I$9:$I$2584,"N/A",0)</f>
        <v>86.68</v>
      </c>
      <c r="M783">
        <f>_xlfn.XLOOKUP($A783,[1]Sheet1!$K$9:$K$2584,[1]Sheet1!$L$9:$L$2584,"N/A",0)</f>
        <v>138.5</v>
      </c>
      <c r="N783">
        <f>_xlfn.XLOOKUP($A783,[1]Sheet1!$N$9:$N$2584,[1]Sheet1!$O$9:$O$2584,"N/A",0)</f>
        <v>100.28</v>
      </c>
      <c r="O783">
        <v>98.18</v>
      </c>
      <c r="P783">
        <v>130.31</v>
      </c>
      <c r="Q783">
        <v>86.68</v>
      </c>
      <c r="R783">
        <v>100.28</v>
      </c>
      <c r="S783">
        <v>138.5</v>
      </c>
    </row>
    <row r="784" spans="1:19">
      <c r="A784" s="1">
        <v>43504</v>
      </c>
      <c r="B784" t="s">
        <v>383</v>
      </c>
      <c r="C784" t="s">
        <v>386</v>
      </c>
      <c r="D784">
        <v>16.625</v>
      </c>
      <c r="E784">
        <v>17.075</v>
      </c>
      <c r="F784">
        <v>0.0270676691729322</v>
      </c>
      <c r="G784">
        <f ca="1" t="shared" si="36"/>
        <v>0.385381921044972</v>
      </c>
      <c r="H784" t="str">
        <f ca="1" t="shared" si="37"/>
        <v>Risk-Off</v>
      </c>
      <c r="I784">
        <f ca="1" t="shared" si="38"/>
        <v>1</v>
      </c>
      <c r="J784">
        <f>_xlfn.XLOOKUP($A784,[1]Sheet1!$B$9:$B$2584,[1]Sheet1!$C$9:$C$2584,"N/A",0)</f>
        <v>97.9</v>
      </c>
      <c r="K784">
        <f>_xlfn.XLOOKUP($A784,[1]Sheet1!$E$9:$E$2584,[1]Sheet1!$F$9:$F$2584,"N/A",0)</f>
        <v>131.37</v>
      </c>
      <c r="L784">
        <f>_xlfn.XLOOKUP($A784,[1]Sheet1!$H$9:$H$2584,[1]Sheet1!$I$9:$I$2584,"N/A",0)</f>
        <v>86.27</v>
      </c>
      <c r="M784">
        <f>_xlfn.XLOOKUP($A784,[1]Sheet1!$K$9:$K$2584,[1]Sheet1!$L$9:$L$2584,"N/A",0)</f>
        <v>138.9</v>
      </c>
      <c r="N784">
        <f>_xlfn.XLOOKUP($A784,[1]Sheet1!$N$9:$N$2584,[1]Sheet1!$O$9:$O$2584,"N/A",0)</f>
        <v>100.62</v>
      </c>
      <c r="O784">
        <v>97.9</v>
      </c>
      <c r="P784">
        <v>131.37</v>
      </c>
      <c r="Q784">
        <v>86.27</v>
      </c>
      <c r="R784">
        <v>100.62</v>
      </c>
      <c r="S784">
        <v>138.9</v>
      </c>
    </row>
    <row r="785" spans="1:19">
      <c r="A785" s="1">
        <v>43507</v>
      </c>
      <c r="B785" t="s">
        <v>383</v>
      </c>
      <c r="C785" t="s">
        <v>386</v>
      </c>
      <c r="D785">
        <v>16.225</v>
      </c>
      <c r="E785">
        <v>16.975</v>
      </c>
      <c r="F785" s="2" t="s">
        <v>392</v>
      </c>
      <c r="G785">
        <f ca="1" t="shared" si="36"/>
        <v>0.684169622185092</v>
      </c>
      <c r="H785" t="str">
        <f ca="1" t="shared" si="37"/>
        <v>Risk-Off</v>
      </c>
      <c r="I785">
        <f ca="1" t="shared" si="38"/>
        <v>1</v>
      </c>
      <c r="J785">
        <f>_xlfn.XLOOKUP($A785,[1]Sheet1!$B$9:$B$2584,[1]Sheet1!$C$9:$C$2584,"N/A",0)</f>
        <v>98.05</v>
      </c>
      <c r="K785">
        <f>_xlfn.XLOOKUP($A785,[1]Sheet1!$E$9:$E$2584,[1]Sheet1!$F$9:$F$2584,"N/A",0)</f>
        <v>131.17</v>
      </c>
      <c r="L785">
        <f>_xlfn.XLOOKUP($A785,[1]Sheet1!$H$9:$H$2584,[1]Sheet1!$I$9:$I$2584,"N/A",0)</f>
        <v>86.28</v>
      </c>
      <c r="M785">
        <f>_xlfn.XLOOKUP($A785,[1]Sheet1!$K$9:$K$2584,[1]Sheet1!$L$9:$L$2584,"N/A",0)</f>
        <v>139.22</v>
      </c>
      <c r="N785">
        <f>_xlfn.XLOOKUP($A785,[1]Sheet1!$N$9:$N$2584,[1]Sheet1!$O$9:$O$2584,"N/A",0)</f>
        <v>100.22</v>
      </c>
      <c r="O785">
        <v>98.05</v>
      </c>
      <c r="P785">
        <v>131.17</v>
      </c>
      <c r="Q785">
        <v>86.28</v>
      </c>
      <c r="R785">
        <v>100.22</v>
      </c>
      <c r="S785">
        <v>139.22</v>
      </c>
    </row>
    <row r="786" spans="1:19">
      <c r="A786" s="1">
        <v>43508</v>
      </c>
      <c r="B786" t="s">
        <v>383</v>
      </c>
      <c r="C786" t="s">
        <v>386</v>
      </c>
      <c r="D786">
        <v>15.625</v>
      </c>
      <c r="E786">
        <v>16.725</v>
      </c>
      <c r="F786">
        <v>0.0704</v>
      </c>
      <c r="G786">
        <f ca="1" t="shared" si="36"/>
        <v>1.09451281685096</v>
      </c>
      <c r="H786" t="str">
        <f ca="1" t="shared" si="37"/>
        <v>Risk-Off</v>
      </c>
      <c r="I786">
        <f ca="1" t="shared" si="38"/>
        <v>1</v>
      </c>
      <c r="J786">
        <f>_xlfn.XLOOKUP($A786,[1]Sheet1!$B$9:$B$2584,[1]Sheet1!$C$9:$C$2584,"N/A",0)</f>
        <v>98.06</v>
      </c>
      <c r="K786">
        <f>_xlfn.XLOOKUP($A786,[1]Sheet1!$E$9:$E$2584,[1]Sheet1!$F$9:$F$2584,"N/A",0)</f>
        <v>129.92</v>
      </c>
      <c r="L786">
        <f>_xlfn.XLOOKUP($A786,[1]Sheet1!$H$9:$H$2584,[1]Sheet1!$I$9:$I$2584,"N/A",0)</f>
        <v>86.3</v>
      </c>
      <c r="M786">
        <f>_xlfn.XLOOKUP($A786,[1]Sheet1!$K$9:$K$2584,[1]Sheet1!$L$9:$L$2584,"N/A",0)</f>
        <v>139.99</v>
      </c>
      <c r="N786">
        <f>_xlfn.XLOOKUP($A786,[1]Sheet1!$N$9:$N$2584,[1]Sheet1!$O$9:$O$2584,"N/A",0)</f>
        <v>100.29</v>
      </c>
      <c r="O786">
        <v>98.06</v>
      </c>
      <c r="P786">
        <v>129.92</v>
      </c>
      <c r="Q786">
        <v>86.3</v>
      </c>
      <c r="R786">
        <v>100.29</v>
      </c>
      <c r="S786">
        <v>139.99</v>
      </c>
    </row>
    <row r="787" spans="1:19">
      <c r="A787" s="1">
        <v>43509</v>
      </c>
      <c r="B787" t="s">
        <v>383</v>
      </c>
      <c r="C787" t="s">
        <v>386</v>
      </c>
      <c r="D787">
        <v>15.6</v>
      </c>
      <c r="E787">
        <v>16.675</v>
      </c>
      <c r="F787">
        <v>0.0689102564102564</v>
      </c>
      <c r="G787">
        <f ca="1" t="shared" si="36"/>
        <v>1.08540434982341</v>
      </c>
      <c r="H787" t="str">
        <f ca="1" t="shared" si="37"/>
        <v>Risk-Off</v>
      </c>
      <c r="I787">
        <f ca="1" t="shared" si="38"/>
        <v>1</v>
      </c>
      <c r="J787">
        <f>_xlfn.XLOOKUP($A787,[1]Sheet1!$B$9:$B$2584,[1]Sheet1!$C$9:$C$2584,"N/A",0)</f>
        <v>97.79</v>
      </c>
      <c r="K787">
        <f>_xlfn.XLOOKUP($A787,[1]Sheet1!$E$9:$E$2584,[1]Sheet1!$F$9:$F$2584,"N/A",0)</f>
        <v>129.17</v>
      </c>
      <c r="L787">
        <f>_xlfn.XLOOKUP($A787,[1]Sheet1!$H$9:$H$2584,[1]Sheet1!$I$9:$I$2584,"N/A",0)</f>
        <v>85.96</v>
      </c>
      <c r="M787">
        <f>_xlfn.XLOOKUP($A787,[1]Sheet1!$K$9:$K$2584,[1]Sheet1!$L$9:$L$2584,"N/A",0)</f>
        <v>139.61</v>
      </c>
      <c r="N787">
        <f>_xlfn.XLOOKUP($A787,[1]Sheet1!$N$9:$N$2584,[1]Sheet1!$O$9:$O$2584,"N/A",0)</f>
        <v>100.32</v>
      </c>
      <c r="O787">
        <v>97.79</v>
      </c>
      <c r="P787">
        <v>129.17</v>
      </c>
      <c r="Q787">
        <v>85.96</v>
      </c>
      <c r="R787">
        <v>100.32</v>
      </c>
      <c r="S787">
        <v>139.61</v>
      </c>
    </row>
    <row r="788" spans="1:19">
      <c r="A788" s="1">
        <v>43510</v>
      </c>
      <c r="B788" t="s">
        <v>386</v>
      </c>
      <c r="C788" t="s">
        <v>393</v>
      </c>
      <c r="D788">
        <v>16.925</v>
      </c>
      <c r="E788">
        <v>17.125</v>
      </c>
      <c r="F788" s="2" t="s">
        <v>394</v>
      </c>
      <c r="G788">
        <f ca="1" t="shared" si="36"/>
        <v>0.0726180702606743</v>
      </c>
      <c r="H788" t="str">
        <f ca="1" t="shared" si="37"/>
        <v>Risk-On</v>
      </c>
      <c r="I788">
        <f ca="1" t="shared" si="38"/>
        <v>1</v>
      </c>
      <c r="J788">
        <f>_xlfn.XLOOKUP($A788,[1]Sheet1!$B$9:$B$2584,[1]Sheet1!$C$9:$C$2584,"N/A",0)</f>
        <v>98.02</v>
      </c>
      <c r="K788">
        <f>_xlfn.XLOOKUP($A788,[1]Sheet1!$E$9:$E$2584,[1]Sheet1!$F$9:$F$2584,"N/A",0)</f>
        <v>129.38</v>
      </c>
      <c r="L788">
        <f>_xlfn.XLOOKUP($A788,[1]Sheet1!$H$9:$H$2584,[1]Sheet1!$I$9:$I$2584,"N/A",0)</f>
        <v>85.65</v>
      </c>
      <c r="M788">
        <f>_xlfn.XLOOKUP($A788,[1]Sheet1!$K$9:$K$2584,[1]Sheet1!$L$9:$L$2584,"N/A",0)</f>
        <v>139.93</v>
      </c>
      <c r="N788">
        <f>_xlfn.XLOOKUP($A788,[1]Sheet1!$N$9:$N$2584,[1]Sheet1!$O$9:$O$2584,"N/A",0)</f>
        <v>99.83</v>
      </c>
      <c r="O788">
        <v>98.02</v>
      </c>
      <c r="P788">
        <v>129.38</v>
      </c>
      <c r="Q788">
        <v>85.65</v>
      </c>
      <c r="R788">
        <v>99.83</v>
      </c>
      <c r="S788">
        <v>139.93</v>
      </c>
    </row>
    <row r="789" spans="1:19">
      <c r="A789" s="1">
        <v>43511</v>
      </c>
      <c r="B789" t="s">
        <v>386</v>
      </c>
      <c r="C789" t="s">
        <v>393</v>
      </c>
      <c r="D789">
        <v>16.325</v>
      </c>
      <c r="E789">
        <v>16.625</v>
      </c>
      <c r="F789">
        <v>0.0183767228177642</v>
      </c>
      <c r="G789">
        <f ca="1" t="shared" si="36"/>
        <v>0.177920237729397</v>
      </c>
      <c r="H789" t="str">
        <f ca="1" t="shared" si="37"/>
        <v>Risk-On</v>
      </c>
      <c r="I789">
        <f ca="1" t="shared" si="38"/>
        <v>1</v>
      </c>
      <c r="J789">
        <f>_xlfn.XLOOKUP($A789,[1]Sheet1!$B$9:$B$2584,[1]Sheet1!$C$9:$C$2584,"N/A",0)</f>
        <v>98.21</v>
      </c>
      <c r="K789">
        <f>_xlfn.XLOOKUP($A789,[1]Sheet1!$E$9:$E$2584,[1]Sheet1!$F$9:$F$2584,"N/A",0)</f>
        <v>128.37</v>
      </c>
      <c r="L789">
        <f>_xlfn.XLOOKUP($A789,[1]Sheet1!$H$9:$H$2584,[1]Sheet1!$I$9:$I$2584,"N/A",0)</f>
        <v>85.83</v>
      </c>
      <c r="M789">
        <f>_xlfn.XLOOKUP($A789,[1]Sheet1!$K$9:$K$2584,[1]Sheet1!$L$9:$L$2584,"N/A",0)</f>
        <v>139.64</v>
      </c>
      <c r="N789">
        <f>_xlfn.XLOOKUP($A789,[1]Sheet1!$N$9:$N$2584,[1]Sheet1!$O$9:$O$2584,"N/A",0)</f>
        <v>99.27</v>
      </c>
      <c r="O789">
        <v>98.21</v>
      </c>
      <c r="P789">
        <v>128.37</v>
      </c>
      <c r="Q789">
        <v>85.83</v>
      </c>
      <c r="R789">
        <v>99.27</v>
      </c>
      <c r="S789">
        <v>139.64</v>
      </c>
    </row>
    <row r="790" spans="1:19">
      <c r="A790" s="1">
        <v>43515</v>
      </c>
      <c r="B790" t="s">
        <v>386</v>
      </c>
      <c r="C790" t="s">
        <v>393</v>
      </c>
      <c r="D790">
        <v>16.325</v>
      </c>
      <c r="E790">
        <v>16.625</v>
      </c>
      <c r="F790">
        <v>0.0183767228177642</v>
      </c>
      <c r="G790">
        <f ca="1" t="shared" si="36"/>
        <v>0.175112836978807</v>
      </c>
      <c r="H790" t="str">
        <f ca="1" t="shared" si="37"/>
        <v>Risk-On</v>
      </c>
      <c r="I790">
        <f ca="1" t="shared" si="38"/>
        <v>1</v>
      </c>
      <c r="J790">
        <f>_xlfn.XLOOKUP($A790,[1]Sheet1!$B$9:$B$2584,[1]Sheet1!$C$9:$C$2584,"N/A",0)</f>
        <v>98.09</v>
      </c>
      <c r="K790">
        <f>_xlfn.XLOOKUP($A790,[1]Sheet1!$E$9:$E$2584,[1]Sheet1!$F$9:$F$2584,"N/A",0)</f>
        <v>127.41</v>
      </c>
      <c r="L790">
        <f>_xlfn.XLOOKUP($A790,[1]Sheet1!$H$9:$H$2584,[1]Sheet1!$I$9:$I$2584,"N/A",0)</f>
        <v>86.06</v>
      </c>
      <c r="M790">
        <f>_xlfn.XLOOKUP($A790,[1]Sheet1!$K$9:$K$2584,[1]Sheet1!$L$9:$L$2584,"N/A",0)</f>
        <v>139.15</v>
      </c>
      <c r="N790">
        <f>_xlfn.XLOOKUP($A790,[1]Sheet1!$N$9:$N$2584,[1]Sheet1!$O$9:$O$2584,"N/A",0)</f>
        <v>99.02</v>
      </c>
      <c r="O790">
        <v>98.09</v>
      </c>
      <c r="P790">
        <v>127.41</v>
      </c>
      <c r="Q790">
        <v>86.06</v>
      </c>
      <c r="R790">
        <v>99.02</v>
      </c>
      <c r="S790">
        <v>139.15</v>
      </c>
    </row>
    <row r="791" spans="1:19">
      <c r="A791" s="1">
        <v>43516</v>
      </c>
      <c r="B791" t="s">
        <v>386</v>
      </c>
      <c r="C791" t="s">
        <v>393</v>
      </c>
      <c r="D791">
        <v>15.575</v>
      </c>
      <c r="E791">
        <v>16.225</v>
      </c>
      <c r="F791">
        <v>0.041733547351525</v>
      </c>
      <c r="G791">
        <f ca="1" t="shared" si="36"/>
        <v>0.604192010866716</v>
      </c>
      <c r="H791" t="str">
        <f ca="1" t="shared" si="37"/>
        <v>Risk-On</v>
      </c>
      <c r="I791">
        <f ca="1" t="shared" si="38"/>
        <v>1</v>
      </c>
      <c r="J791">
        <f>_xlfn.XLOOKUP($A791,[1]Sheet1!$B$9:$B$2584,[1]Sheet1!$C$9:$C$2584,"N/A",0)</f>
        <v>98.1</v>
      </c>
      <c r="K791">
        <f>_xlfn.XLOOKUP($A791,[1]Sheet1!$E$9:$E$2584,[1]Sheet1!$F$9:$F$2584,"N/A",0)</f>
        <v>126.42</v>
      </c>
      <c r="L791">
        <f>_xlfn.XLOOKUP($A791,[1]Sheet1!$H$9:$H$2584,[1]Sheet1!$I$9:$I$2584,"N/A",0)</f>
        <v>86.35</v>
      </c>
      <c r="M791">
        <f>_xlfn.XLOOKUP($A791,[1]Sheet1!$K$9:$K$2584,[1]Sheet1!$L$9:$L$2584,"N/A",0)</f>
        <v>139.37</v>
      </c>
      <c r="N791">
        <f>_xlfn.XLOOKUP($A791,[1]Sheet1!$N$9:$N$2584,[1]Sheet1!$O$9:$O$2584,"N/A",0)</f>
        <v>98.65</v>
      </c>
      <c r="O791">
        <v>98.1</v>
      </c>
      <c r="P791">
        <v>126.42</v>
      </c>
      <c r="Q791">
        <v>86.35</v>
      </c>
      <c r="R791">
        <v>98.65</v>
      </c>
      <c r="S791">
        <v>139.37</v>
      </c>
    </row>
    <row r="792" spans="1:19">
      <c r="A792" s="1">
        <v>43517</v>
      </c>
      <c r="B792" t="s">
        <v>386</v>
      </c>
      <c r="C792" t="s">
        <v>393</v>
      </c>
      <c r="D792">
        <v>15.875</v>
      </c>
      <c r="E792">
        <v>16.475</v>
      </c>
      <c r="F792">
        <v>0.0377952755905512</v>
      </c>
      <c r="G792">
        <f ca="1" t="shared" si="36"/>
        <v>0.524553817285128</v>
      </c>
      <c r="H792" t="str">
        <f ca="1" t="shared" si="37"/>
        <v>Risk-On</v>
      </c>
      <c r="I792">
        <f ca="1" t="shared" si="38"/>
        <v>1</v>
      </c>
      <c r="J792">
        <f>_xlfn.XLOOKUP($A792,[1]Sheet1!$B$9:$B$2584,[1]Sheet1!$C$9:$C$2584,"N/A",0)</f>
        <v>97.76</v>
      </c>
      <c r="K792">
        <f>_xlfn.XLOOKUP($A792,[1]Sheet1!$E$9:$E$2584,[1]Sheet1!$F$9:$F$2584,"N/A",0)</f>
        <v>127.3</v>
      </c>
      <c r="L792">
        <f>_xlfn.XLOOKUP($A792,[1]Sheet1!$H$9:$H$2584,[1]Sheet1!$I$9:$I$2584,"N/A",0)</f>
        <v>86.2</v>
      </c>
      <c r="M792">
        <f>_xlfn.XLOOKUP($A792,[1]Sheet1!$K$9:$K$2584,[1]Sheet1!$L$9:$L$2584,"N/A",0)</f>
        <v>139.43</v>
      </c>
      <c r="N792">
        <f>_xlfn.XLOOKUP($A792,[1]Sheet1!$N$9:$N$2584,[1]Sheet1!$O$9:$O$2584,"N/A",0)</f>
        <v>98.47</v>
      </c>
      <c r="O792">
        <v>97.76</v>
      </c>
      <c r="P792">
        <v>127.3</v>
      </c>
      <c r="Q792">
        <v>86.2</v>
      </c>
      <c r="R792">
        <v>98.47</v>
      </c>
      <c r="S792">
        <v>139.43</v>
      </c>
    </row>
    <row r="793" spans="1:19">
      <c r="A793" s="1">
        <v>43518</v>
      </c>
      <c r="B793" t="s">
        <v>386</v>
      </c>
      <c r="C793" t="s">
        <v>393</v>
      </c>
      <c r="D793">
        <v>15.175</v>
      </c>
      <c r="E793">
        <v>15.925</v>
      </c>
      <c r="F793" s="2" t="s">
        <v>395</v>
      </c>
      <c r="G793">
        <f ca="1" t="shared" si="36"/>
        <v>0.734290970304635</v>
      </c>
      <c r="H793" t="str">
        <f ca="1" t="shared" si="37"/>
        <v>Risk-On</v>
      </c>
      <c r="I793">
        <f ca="1" t="shared" si="38"/>
        <v>1</v>
      </c>
      <c r="J793">
        <f>_xlfn.XLOOKUP($A793,[1]Sheet1!$B$9:$B$2584,[1]Sheet1!$C$9:$C$2584,"N/A",0)</f>
        <v>98.01</v>
      </c>
      <c r="K793">
        <f>_xlfn.XLOOKUP($A793,[1]Sheet1!$E$9:$E$2584,[1]Sheet1!$F$9:$F$2584,"N/A",0)</f>
        <v>127.63</v>
      </c>
      <c r="L793">
        <f>_xlfn.XLOOKUP($A793,[1]Sheet1!$H$9:$H$2584,[1]Sheet1!$I$9:$I$2584,"N/A",0)</f>
        <v>85.69</v>
      </c>
      <c r="M793">
        <f>_xlfn.XLOOKUP($A793,[1]Sheet1!$K$9:$K$2584,[1]Sheet1!$L$9:$L$2584,"N/A",0)</f>
        <v>140.29</v>
      </c>
      <c r="N793">
        <f>_xlfn.XLOOKUP($A793,[1]Sheet1!$N$9:$N$2584,[1]Sheet1!$O$9:$O$2584,"N/A",0)</f>
        <v>98.11</v>
      </c>
      <c r="O793">
        <v>98.01</v>
      </c>
      <c r="P793">
        <v>127.63</v>
      </c>
      <c r="Q793">
        <v>85.69</v>
      </c>
      <c r="R793">
        <v>98.11</v>
      </c>
      <c r="S793">
        <v>140.29</v>
      </c>
    </row>
    <row r="794" spans="1:19">
      <c r="A794" s="1">
        <v>43521</v>
      </c>
      <c r="B794" t="s">
        <v>386</v>
      </c>
      <c r="C794" t="s">
        <v>393</v>
      </c>
      <c r="D794">
        <v>15.575</v>
      </c>
      <c r="E794">
        <v>16.125</v>
      </c>
      <c r="F794" s="2" t="s">
        <v>396</v>
      </c>
      <c r="G794">
        <f ca="1" t="shared" si="36"/>
        <v>0.468475799200311</v>
      </c>
      <c r="H794" t="str">
        <f ca="1" t="shared" si="37"/>
        <v>Risk-Off</v>
      </c>
      <c r="I794">
        <f ca="1" t="shared" si="38"/>
        <v>1</v>
      </c>
      <c r="J794">
        <f>_xlfn.XLOOKUP($A794,[1]Sheet1!$B$9:$B$2584,[1]Sheet1!$C$9:$C$2584,"N/A",0)</f>
        <v>98.76</v>
      </c>
      <c r="K794">
        <f>_xlfn.XLOOKUP($A794,[1]Sheet1!$E$9:$E$2584,[1]Sheet1!$F$9:$F$2584,"N/A",0)</f>
        <v>127.11</v>
      </c>
      <c r="L794">
        <f>_xlfn.XLOOKUP($A794,[1]Sheet1!$H$9:$H$2584,[1]Sheet1!$I$9:$I$2584,"N/A",0)</f>
        <v>85.47</v>
      </c>
      <c r="M794">
        <f>_xlfn.XLOOKUP($A794,[1]Sheet1!$K$9:$K$2584,[1]Sheet1!$L$9:$L$2584,"N/A",0)</f>
        <v>139.41</v>
      </c>
      <c r="N794">
        <f>_xlfn.XLOOKUP($A794,[1]Sheet1!$N$9:$N$2584,[1]Sheet1!$O$9:$O$2584,"N/A",0)</f>
        <v>98.39</v>
      </c>
      <c r="O794">
        <v>98.76</v>
      </c>
      <c r="P794">
        <v>127.11</v>
      </c>
      <c r="Q794">
        <v>85.47</v>
      </c>
      <c r="R794">
        <v>98.39</v>
      </c>
      <c r="S794">
        <v>139.41</v>
      </c>
    </row>
    <row r="795" spans="1:19">
      <c r="A795" s="1">
        <v>43522</v>
      </c>
      <c r="B795" t="s">
        <v>386</v>
      </c>
      <c r="C795" t="s">
        <v>393</v>
      </c>
      <c r="D795">
        <v>15.725</v>
      </c>
      <c r="E795">
        <v>16.375</v>
      </c>
      <c r="F795">
        <v>0.041335453100159</v>
      </c>
      <c r="G795">
        <f ca="1" t="shared" si="36"/>
        <v>0.578255892636532</v>
      </c>
      <c r="H795" t="str">
        <f ca="1" t="shared" si="37"/>
        <v>Risk-Off</v>
      </c>
      <c r="I795">
        <f ca="1" t="shared" si="38"/>
        <v>1</v>
      </c>
      <c r="J795">
        <f>_xlfn.XLOOKUP($A795,[1]Sheet1!$B$9:$B$2584,[1]Sheet1!$C$9:$C$2584,"N/A",0)</f>
        <v>98.41</v>
      </c>
      <c r="K795">
        <f>_xlfn.XLOOKUP($A795,[1]Sheet1!$E$9:$E$2584,[1]Sheet1!$F$9:$F$2584,"N/A",0)</f>
        <v>127.35</v>
      </c>
      <c r="L795">
        <f>_xlfn.XLOOKUP($A795,[1]Sheet1!$H$9:$H$2584,[1]Sheet1!$I$9:$I$2584,"N/A",0)</f>
        <v>85.24</v>
      </c>
      <c r="M795">
        <f>_xlfn.XLOOKUP($A795,[1]Sheet1!$K$9:$K$2584,[1]Sheet1!$L$9:$L$2584,"N/A",0)</f>
        <v>138.98</v>
      </c>
      <c r="N795">
        <f>_xlfn.XLOOKUP($A795,[1]Sheet1!$N$9:$N$2584,[1]Sheet1!$O$9:$O$2584,"N/A",0)</f>
        <v>99.09</v>
      </c>
      <c r="O795">
        <v>98.41</v>
      </c>
      <c r="P795">
        <v>127.35</v>
      </c>
      <c r="Q795">
        <v>85.24</v>
      </c>
      <c r="R795">
        <v>99.09</v>
      </c>
      <c r="S795">
        <v>138.98</v>
      </c>
    </row>
    <row r="796" spans="1:19">
      <c r="A796" s="1">
        <v>43523</v>
      </c>
      <c r="B796" t="s">
        <v>386</v>
      </c>
      <c r="C796" t="s">
        <v>393</v>
      </c>
      <c r="D796">
        <v>15.675</v>
      </c>
      <c r="E796">
        <v>16.325</v>
      </c>
      <c r="F796">
        <v>0.0414673046251992</v>
      </c>
      <c r="G796">
        <f ca="1" t="shared" si="36"/>
        <v>0.576243552727496</v>
      </c>
      <c r="H796" t="str">
        <f ca="1" t="shared" si="37"/>
        <v>Risk-Off</v>
      </c>
      <c r="I796">
        <f ca="1" t="shared" si="38"/>
        <v>1</v>
      </c>
      <c r="J796">
        <f>_xlfn.XLOOKUP($A796,[1]Sheet1!$B$9:$B$2584,[1]Sheet1!$C$9:$C$2584,"N/A",0)</f>
        <v>98.68</v>
      </c>
      <c r="K796">
        <f>_xlfn.XLOOKUP($A796,[1]Sheet1!$E$9:$E$2584,[1]Sheet1!$F$9:$F$2584,"N/A",0)</f>
        <v>128.46</v>
      </c>
      <c r="L796">
        <f>_xlfn.XLOOKUP($A796,[1]Sheet1!$H$9:$H$2584,[1]Sheet1!$I$9:$I$2584,"N/A",0)</f>
        <v>84.2</v>
      </c>
      <c r="M796">
        <f>_xlfn.XLOOKUP($A796,[1]Sheet1!$K$9:$K$2584,[1]Sheet1!$L$9:$L$2584,"N/A",0)</f>
        <v>140.02</v>
      </c>
      <c r="N796">
        <f>_xlfn.XLOOKUP($A796,[1]Sheet1!$N$9:$N$2584,[1]Sheet1!$O$9:$O$2584,"N/A",0)</f>
        <v>98.68</v>
      </c>
      <c r="O796">
        <v>98.68</v>
      </c>
      <c r="P796">
        <v>128.46</v>
      </c>
      <c r="Q796">
        <v>84.2</v>
      </c>
      <c r="R796">
        <v>98.68</v>
      </c>
      <c r="S796">
        <v>140.02</v>
      </c>
    </row>
    <row r="797" spans="1:19">
      <c r="A797" s="1">
        <v>43524</v>
      </c>
      <c r="B797" t="s">
        <v>386</v>
      </c>
      <c r="C797" t="s">
        <v>393</v>
      </c>
      <c r="D797">
        <v>15.575</v>
      </c>
      <c r="E797">
        <v>16.225</v>
      </c>
      <c r="F797">
        <v>0.041733547351525</v>
      </c>
      <c r="G797">
        <f ca="1" t="shared" si="36"/>
        <v>0.57519905245308</v>
      </c>
      <c r="H797" t="str">
        <f ca="1" t="shared" si="37"/>
        <v>Risk-Off</v>
      </c>
      <c r="I797">
        <f ca="1" t="shared" si="38"/>
        <v>1</v>
      </c>
      <c r="J797">
        <f>_xlfn.XLOOKUP($A797,[1]Sheet1!$B$9:$B$2584,[1]Sheet1!$C$9:$C$2584,"N/A",0)</f>
        <v>98.7</v>
      </c>
      <c r="K797">
        <f>_xlfn.XLOOKUP($A797,[1]Sheet1!$E$9:$E$2584,[1]Sheet1!$F$9:$F$2584,"N/A",0)</f>
        <v>129.13</v>
      </c>
      <c r="L797">
        <f>_xlfn.XLOOKUP($A797,[1]Sheet1!$H$9:$H$2584,[1]Sheet1!$I$9:$I$2584,"N/A",0)</f>
        <v>83.61</v>
      </c>
      <c r="M797">
        <f>_xlfn.XLOOKUP($A797,[1]Sheet1!$K$9:$K$2584,[1]Sheet1!$L$9:$L$2584,"N/A",0)</f>
        <v>140.29</v>
      </c>
      <c r="N797">
        <f>_xlfn.XLOOKUP($A797,[1]Sheet1!$N$9:$N$2584,[1]Sheet1!$O$9:$O$2584,"N/A",0)</f>
        <v>98.79</v>
      </c>
      <c r="O797">
        <v>98.7</v>
      </c>
      <c r="P797">
        <v>129.13</v>
      </c>
      <c r="Q797">
        <v>83.61</v>
      </c>
      <c r="R797">
        <v>98.79</v>
      </c>
      <c r="S797">
        <v>140.29</v>
      </c>
    </row>
    <row r="798" spans="1:19">
      <c r="A798" s="1">
        <v>43525</v>
      </c>
      <c r="B798" t="s">
        <v>386</v>
      </c>
      <c r="C798" t="s">
        <v>393</v>
      </c>
      <c r="D798">
        <v>14.825</v>
      </c>
      <c r="E798">
        <v>15.625</v>
      </c>
      <c r="F798" s="2" t="s">
        <v>342</v>
      </c>
      <c r="G798">
        <f ca="1" t="shared" si="36"/>
        <v>0.794244921903656</v>
      </c>
      <c r="H798" t="str">
        <f ca="1" t="shared" si="37"/>
        <v>Risk-Off</v>
      </c>
      <c r="I798">
        <f ca="1" t="shared" si="38"/>
        <v>1</v>
      </c>
      <c r="J798">
        <f>_xlfn.XLOOKUP($A798,[1]Sheet1!$B$9:$B$2584,[1]Sheet1!$C$9:$C$2584,"N/A",0)</f>
        <v>98.58</v>
      </c>
      <c r="K798">
        <f>_xlfn.XLOOKUP($A798,[1]Sheet1!$E$9:$E$2584,[1]Sheet1!$F$9:$F$2584,"N/A",0)</f>
        <v>128.85</v>
      </c>
      <c r="L798">
        <f>_xlfn.XLOOKUP($A798,[1]Sheet1!$H$9:$H$2584,[1]Sheet1!$I$9:$I$2584,"N/A",0)</f>
        <v>82.97</v>
      </c>
      <c r="M798">
        <f>_xlfn.XLOOKUP($A798,[1]Sheet1!$K$9:$K$2584,[1]Sheet1!$L$9:$L$2584,"N/A",0)</f>
        <v>140.48</v>
      </c>
      <c r="N798">
        <f>_xlfn.XLOOKUP($A798,[1]Sheet1!$N$9:$N$2584,[1]Sheet1!$O$9:$O$2584,"N/A",0)</f>
        <v>98.69</v>
      </c>
      <c r="O798">
        <v>98.58</v>
      </c>
      <c r="P798">
        <v>128.85</v>
      </c>
      <c r="Q798">
        <v>82.97</v>
      </c>
      <c r="R798">
        <v>98.69</v>
      </c>
      <c r="S798">
        <v>140.48</v>
      </c>
    </row>
    <row r="799" spans="1:19">
      <c r="A799" s="1">
        <v>43528</v>
      </c>
      <c r="B799" t="s">
        <v>386</v>
      </c>
      <c r="C799" t="s">
        <v>393</v>
      </c>
      <c r="D799">
        <v>15.275</v>
      </c>
      <c r="E799">
        <v>15.875</v>
      </c>
      <c r="F799">
        <v>0.039279869067103</v>
      </c>
      <c r="G799">
        <f ca="1" t="shared" si="36"/>
        <v>0.516838194261619</v>
      </c>
      <c r="H799" t="str">
        <f ca="1" t="shared" si="37"/>
        <v>Risk-Off</v>
      </c>
      <c r="I799">
        <f ca="1" t="shared" si="38"/>
        <v>1</v>
      </c>
      <c r="J799">
        <f>_xlfn.XLOOKUP($A799,[1]Sheet1!$B$9:$B$2584,[1]Sheet1!$C$9:$C$2584,"N/A",0)</f>
        <v>98.36</v>
      </c>
      <c r="K799">
        <f>_xlfn.XLOOKUP($A799,[1]Sheet1!$E$9:$E$2584,[1]Sheet1!$F$9:$F$2584,"N/A",0)</f>
        <v>127.61</v>
      </c>
      <c r="L799">
        <f>_xlfn.XLOOKUP($A799,[1]Sheet1!$H$9:$H$2584,[1]Sheet1!$I$9:$I$2584,"N/A",0)</f>
        <v>83.04</v>
      </c>
      <c r="M799">
        <f>_xlfn.XLOOKUP($A799,[1]Sheet1!$K$9:$K$2584,[1]Sheet1!$L$9:$L$2584,"N/A",0)</f>
        <v>140.7</v>
      </c>
      <c r="N799">
        <f>_xlfn.XLOOKUP($A799,[1]Sheet1!$N$9:$N$2584,[1]Sheet1!$O$9:$O$2584,"N/A",0)</f>
        <v>99.08</v>
      </c>
      <c r="O799">
        <v>98.36</v>
      </c>
      <c r="P799">
        <v>127.61</v>
      </c>
      <c r="Q799">
        <v>83.04</v>
      </c>
      <c r="R799">
        <v>99.08</v>
      </c>
      <c r="S799">
        <v>140.7</v>
      </c>
    </row>
    <row r="800" spans="1:19">
      <c r="A800" s="1">
        <v>43529</v>
      </c>
      <c r="B800" t="s">
        <v>386</v>
      </c>
      <c r="C800" t="s">
        <v>393</v>
      </c>
      <c r="D800">
        <v>15.475</v>
      </c>
      <c r="E800">
        <v>16.075</v>
      </c>
      <c r="F800">
        <v>0.0387722132471728</v>
      </c>
      <c r="G800">
        <f ca="1" t="shared" si="36"/>
        <v>0.50059186508262</v>
      </c>
      <c r="H800" t="str">
        <f ca="1" t="shared" si="37"/>
        <v>Risk-Off</v>
      </c>
      <c r="I800">
        <f ca="1" t="shared" si="38"/>
        <v>1</v>
      </c>
      <c r="J800">
        <f>_xlfn.XLOOKUP($A800,[1]Sheet1!$B$9:$B$2584,[1]Sheet1!$C$9:$C$2584,"N/A",0)</f>
        <v>98.37</v>
      </c>
      <c r="K800">
        <f>_xlfn.XLOOKUP($A800,[1]Sheet1!$E$9:$E$2584,[1]Sheet1!$F$9:$F$2584,"N/A",0)</f>
        <v>128.42</v>
      </c>
      <c r="L800">
        <f>_xlfn.XLOOKUP($A800,[1]Sheet1!$H$9:$H$2584,[1]Sheet1!$I$9:$I$2584,"N/A",0)</f>
        <v>82.75</v>
      </c>
      <c r="M800">
        <f>_xlfn.XLOOKUP($A800,[1]Sheet1!$K$9:$K$2584,[1]Sheet1!$L$9:$L$2584,"N/A",0)</f>
        <v>140.38</v>
      </c>
      <c r="N800">
        <f>_xlfn.XLOOKUP($A800,[1]Sheet1!$N$9:$N$2584,[1]Sheet1!$O$9:$O$2584,"N/A",0)</f>
        <v>99.45</v>
      </c>
      <c r="O800">
        <v>98.37</v>
      </c>
      <c r="P800">
        <v>128.42</v>
      </c>
      <c r="Q800">
        <v>82.75</v>
      </c>
      <c r="R800">
        <v>99.45</v>
      </c>
      <c r="S800">
        <v>140.38</v>
      </c>
    </row>
    <row r="801" spans="1:19">
      <c r="A801" s="1">
        <v>43530</v>
      </c>
      <c r="B801" t="s">
        <v>386</v>
      </c>
      <c r="C801" t="s">
        <v>393</v>
      </c>
      <c r="D801">
        <v>16.075</v>
      </c>
      <c r="E801">
        <v>16.475</v>
      </c>
      <c r="F801" s="2" t="s">
        <v>397</v>
      </c>
      <c r="G801">
        <f ca="1" t="shared" si="36"/>
        <v>0.236748532734427</v>
      </c>
      <c r="H801" t="str">
        <f ca="1" t="shared" si="37"/>
        <v>Risk-Off</v>
      </c>
      <c r="I801">
        <f ca="1" t="shared" si="38"/>
        <v>1</v>
      </c>
      <c r="J801">
        <f>_xlfn.XLOOKUP($A801,[1]Sheet1!$B$9:$B$2584,[1]Sheet1!$C$9:$C$2584,"N/A",0)</f>
        <v>98.37</v>
      </c>
      <c r="K801">
        <f>_xlfn.XLOOKUP($A801,[1]Sheet1!$E$9:$E$2584,[1]Sheet1!$F$9:$F$2584,"N/A",0)</f>
        <v>129.05</v>
      </c>
      <c r="L801">
        <f>_xlfn.XLOOKUP($A801,[1]Sheet1!$H$9:$H$2584,[1]Sheet1!$I$9:$I$2584,"N/A",0)</f>
        <v>82.65</v>
      </c>
      <c r="M801">
        <f>_xlfn.XLOOKUP($A801,[1]Sheet1!$K$9:$K$2584,[1]Sheet1!$L$9:$L$2584,"N/A",0)</f>
        <v>140.38</v>
      </c>
      <c r="N801">
        <f>_xlfn.XLOOKUP($A801,[1]Sheet1!$N$9:$N$2584,[1]Sheet1!$O$9:$O$2584,"N/A",0)</f>
        <v>100.53</v>
      </c>
      <c r="O801">
        <v>98.37</v>
      </c>
      <c r="P801">
        <v>129.05</v>
      </c>
      <c r="Q801">
        <v>82.65</v>
      </c>
      <c r="R801">
        <v>100.53</v>
      </c>
      <c r="S801">
        <v>140.38</v>
      </c>
    </row>
    <row r="802" spans="1:19">
      <c r="A802" s="1">
        <v>43531</v>
      </c>
      <c r="B802" t="s">
        <v>386</v>
      </c>
      <c r="C802" t="s">
        <v>393</v>
      </c>
      <c r="D802">
        <v>16.725</v>
      </c>
      <c r="E802">
        <v>16.875</v>
      </c>
      <c r="F802">
        <v>0.00896860986547076</v>
      </c>
      <c r="G802">
        <f ca="1" t="shared" si="36"/>
        <v>-0.0617651035457701</v>
      </c>
      <c r="H802" t="str">
        <f ca="1" t="shared" si="37"/>
        <v>Risk-Off</v>
      </c>
      <c r="I802">
        <f ca="1" t="shared" si="38"/>
        <v>1</v>
      </c>
      <c r="J802">
        <f>_xlfn.XLOOKUP($A802,[1]Sheet1!$B$9:$B$2584,[1]Sheet1!$C$9:$C$2584,"N/A",0)</f>
        <v>98.21</v>
      </c>
      <c r="K802">
        <f>_xlfn.XLOOKUP($A802,[1]Sheet1!$E$9:$E$2584,[1]Sheet1!$F$9:$F$2584,"N/A",0)</f>
        <v>129.7</v>
      </c>
      <c r="L802">
        <f>_xlfn.XLOOKUP($A802,[1]Sheet1!$H$9:$H$2584,[1]Sheet1!$I$9:$I$2584,"N/A",0)</f>
        <v>82.45</v>
      </c>
      <c r="M802">
        <f>_xlfn.XLOOKUP($A802,[1]Sheet1!$K$9:$K$2584,[1]Sheet1!$L$9:$L$2584,"N/A",0)</f>
        <v>140.3</v>
      </c>
      <c r="N802">
        <f>_xlfn.XLOOKUP($A802,[1]Sheet1!$N$9:$N$2584,[1]Sheet1!$O$9:$O$2584,"N/A",0)</f>
        <v>100.49</v>
      </c>
      <c r="O802">
        <v>98.21</v>
      </c>
      <c r="P802">
        <v>129.7</v>
      </c>
      <c r="Q802">
        <v>82.45</v>
      </c>
      <c r="R802">
        <v>100.49</v>
      </c>
      <c r="S802">
        <v>140.3</v>
      </c>
    </row>
    <row r="803" spans="1:19">
      <c r="A803" s="1">
        <v>43532</v>
      </c>
      <c r="B803" t="s">
        <v>386</v>
      </c>
      <c r="C803" t="s">
        <v>393</v>
      </c>
      <c r="D803">
        <v>16.675</v>
      </c>
      <c r="E803">
        <v>16.975</v>
      </c>
      <c r="F803" s="2" t="s">
        <v>398</v>
      </c>
      <c r="G803">
        <f ca="1" t="shared" si="36"/>
        <v>0.104096943082009</v>
      </c>
      <c r="H803" t="str">
        <f ca="1" t="shared" si="37"/>
        <v>Risk-Off</v>
      </c>
      <c r="I803">
        <f ca="1" t="shared" si="38"/>
        <v>1</v>
      </c>
      <c r="J803">
        <f>_xlfn.XLOOKUP($A803,[1]Sheet1!$B$9:$B$2584,[1]Sheet1!$C$9:$C$2584,"N/A",0)</f>
        <v>98.31</v>
      </c>
      <c r="K803">
        <f>_xlfn.XLOOKUP($A803,[1]Sheet1!$E$9:$E$2584,[1]Sheet1!$F$9:$F$2584,"N/A",0)</f>
        <v>129.65</v>
      </c>
      <c r="L803">
        <f>_xlfn.XLOOKUP($A803,[1]Sheet1!$H$9:$H$2584,[1]Sheet1!$I$9:$I$2584,"N/A",0)</f>
        <v>82.17</v>
      </c>
      <c r="M803">
        <f>_xlfn.XLOOKUP($A803,[1]Sheet1!$K$9:$K$2584,[1]Sheet1!$L$9:$L$2584,"N/A",0)</f>
        <v>140.18</v>
      </c>
      <c r="N803">
        <f>_xlfn.XLOOKUP($A803,[1]Sheet1!$N$9:$N$2584,[1]Sheet1!$O$9:$O$2584,"N/A",0)</f>
        <v>100.34</v>
      </c>
      <c r="O803">
        <v>98.31</v>
      </c>
      <c r="P803">
        <v>129.65</v>
      </c>
      <c r="Q803">
        <v>82.17</v>
      </c>
      <c r="R803">
        <v>100.34</v>
      </c>
      <c r="S803">
        <v>140.18</v>
      </c>
    </row>
    <row r="804" spans="1:19">
      <c r="A804" s="1">
        <v>43535</v>
      </c>
      <c r="B804" t="s">
        <v>386</v>
      </c>
      <c r="C804" t="s">
        <v>393</v>
      </c>
      <c r="D804">
        <v>15.025</v>
      </c>
      <c r="E804">
        <v>15.925</v>
      </c>
      <c r="F804" s="2" t="s">
        <v>399</v>
      </c>
      <c r="G804">
        <f ca="1" t="shared" si="36"/>
        <v>0.878040651538659</v>
      </c>
      <c r="H804" t="str">
        <f ca="1" t="shared" si="37"/>
        <v>Risk-Off</v>
      </c>
      <c r="I804">
        <f ca="1" t="shared" si="38"/>
        <v>1</v>
      </c>
      <c r="J804">
        <f>_xlfn.XLOOKUP($A804,[1]Sheet1!$B$9:$B$2584,[1]Sheet1!$C$9:$C$2584,"N/A",0)</f>
        <v>98.59</v>
      </c>
      <c r="K804">
        <f>_xlfn.XLOOKUP($A804,[1]Sheet1!$E$9:$E$2584,[1]Sheet1!$F$9:$F$2584,"N/A",0)</f>
        <v>129.37</v>
      </c>
      <c r="L804">
        <f>_xlfn.XLOOKUP($A804,[1]Sheet1!$H$9:$H$2584,[1]Sheet1!$I$9:$I$2584,"N/A",0)</f>
        <v>82.33</v>
      </c>
      <c r="M804">
        <f>_xlfn.XLOOKUP($A804,[1]Sheet1!$K$9:$K$2584,[1]Sheet1!$L$9:$L$2584,"N/A",0)</f>
        <v>140.44</v>
      </c>
      <c r="N804">
        <f>_xlfn.XLOOKUP($A804,[1]Sheet1!$N$9:$N$2584,[1]Sheet1!$O$9:$O$2584,"N/A",0)</f>
        <v>100.18</v>
      </c>
      <c r="O804">
        <v>98.59</v>
      </c>
      <c r="P804">
        <v>129.37</v>
      </c>
      <c r="Q804">
        <v>82.33</v>
      </c>
      <c r="R804">
        <v>100.18</v>
      </c>
      <c r="S804">
        <v>140.44</v>
      </c>
    </row>
    <row r="805" spans="1:19">
      <c r="A805" s="1">
        <v>43536</v>
      </c>
      <c r="B805" t="s">
        <v>386</v>
      </c>
      <c r="C805" t="s">
        <v>393</v>
      </c>
      <c r="D805">
        <v>14.475</v>
      </c>
      <c r="E805">
        <v>15.675</v>
      </c>
      <c r="F805">
        <v>0.0829015544041451</v>
      </c>
      <c r="G805">
        <f ca="1" t="shared" si="36"/>
        <v>1.30347028344589</v>
      </c>
      <c r="H805" t="str">
        <f ca="1" t="shared" si="37"/>
        <v>Risk-Off</v>
      </c>
      <c r="I805">
        <f ca="1" t="shared" si="38"/>
        <v>1</v>
      </c>
      <c r="J805">
        <f>_xlfn.XLOOKUP($A805,[1]Sheet1!$B$9:$B$2584,[1]Sheet1!$C$9:$C$2584,"N/A",0)</f>
        <v>98.58</v>
      </c>
      <c r="K805">
        <f>_xlfn.XLOOKUP($A805,[1]Sheet1!$E$9:$E$2584,[1]Sheet1!$F$9:$F$2584,"N/A",0)</f>
        <v>129.53</v>
      </c>
      <c r="L805">
        <f>_xlfn.XLOOKUP($A805,[1]Sheet1!$H$9:$H$2584,[1]Sheet1!$I$9:$I$2584,"N/A",0)</f>
        <v>82.09</v>
      </c>
      <c r="M805">
        <f>_xlfn.XLOOKUP($A805,[1]Sheet1!$K$9:$K$2584,[1]Sheet1!$L$9:$L$2584,"N/A",0)</f>
        <v>139.98</v>
      </c>
      <c r="N805">
        <f>_xlfn.XLOOKUP($A805,[1]Sheet1!$N$9:$N$2584,[1]Sheet1!$O$9:$O$2584,"N/A",0)</f>
        <v>100.45</v>
      </c>
      <c r="O805">
        <v>98.58</v>
      </c>
      <c r="P805">
        <v>129.53</v>
      </c>
      <c r="Q805">
        <v>82.09</v>
      </c>
      <c r="R805">
        <v>100.45</v>
      </c>
      <c r="S805">
        <v>139.98</v>
      </c>
    </row>
    <row r="806" spans="1:19">
      <c r="A806" s="1">
        <v>43537</v>
      </c>
      <c r="B806" t="s">
        <v>386</v>
      </c>
      <c r="C806" t="s">
        <v>393</v>
      </c>
      <c r="D806">
        <v>14.075</v>
      </c>
      <c r="E806">
        <v>15.475</v>
      </c>
      <c r="F806">
        <v>0.0994671403197158</v>
      </c>
      <c r="G806">
        <f ca="1" t="shared" si="36"/>
        <v>1.60003404680816</v>
      </c>
      <c r="H806" t="str">
        <f ca="1" t="shared" si="37"/>
        <v>Risk-Off</v>
      </c>
      <c r="I806">
        <f ca="1" t="shared" si="38"/>
        <v>1</v>
      </c>
      <c r="J806">
        <f>_xlfn.XLOOKUP($A806,[1]Sheet1!$B$9:$B$2584,[1]Sheet1!$C$9:$C$2584,"N/A",0)</f>
        <v>98.76</v>
      </c>
      <c r="K806">
        <f>_xlfn.XLOOKUP($A806,[1]Sheet1!$E$9:$E$2584,[1]Sheet1!$F$9:$F$2584,"N/A",0)</f>
        <v>128.95</v>
      </c>
      <c r="L806">
        <f>_xlfn.XLOOKUP($A806,[1]Sheet1!$H$9:$H$2584,[1]Sheet1!$I$9:$I$2584,"N/A",0)</f>
        <v>82.15</v>
      </c>
      <c r="M806">
        <f>_xlfn.XLOOKUP($A806,[1]Sheet1!$K$9:$K$2584,[1]Sheet1!$L$9:$L$2584,"N/A",0)</f>
        <v>139.89</v>
      </c>
      <c r="N806">
        <f>_xlfn.XLOOKUP($A806,[1]Sheet1!$N$9:$N$2584,[1]Sheet1!$O$9:$O$2584,"N/A",0)</f>
        <v>100.87</v>
      </c>
      <c r="O806">
        <v>98.76</v>
      </c>
      <c r="P806">
        <v>128.95</v>
      </c>
      <c r="Q806">
        <v>82.15</v>
      </c>
      <c r="R806">
        <v>100.87</v>
      </c>
      <c r="S806">
        <v>139.89</v>
      </c>
    </row>
    <row r="807" spans="1:19">
      <c r="A807" s="1">
        <v>43538</v>
      </c>
      <c r="B807" t="s">
        <v>386</v>
      </c>
      <c r="C807" t="s">
        <v>393</v>
      </c>
      <c r="D807">
        <v>13.925</v>
      </c>
      <c r="E807">
        <v>15.325</v>
      </c>
      <c r="F807" s="2" t="s">
        <v>400</v>
      </c>
      <c r="G807">
        <f ca="1" t="shared" si="36"/>
        <v>1.60019791707691</v>
      </c>
      <c r="H807" t="str">
        <f ca="1" t="shared" si="37"/>
        <v>Risk-Off</v>
      </c>
      <c r="I807">
        <f ca="1" t="shared" si="38"/>
        <v>1</v>
      </c>
      <c r="J807">
        <f>_xlfn.XLOOKUP($A807,[1]Sheet1!$B$9:$B$2584,[1]Sheet1!$C$9:$C$2584,"N/A",0)</f>
        <v>98.66</v>
      </c>
      <c r="K807">
        <f>_xlfn.XLOOKUP($A807,[1]Sheet1!$E$9:$E$2584,[1]Sheet1!$F$9:$F$2584,"N/A",0)</f>
        <v>129.61</v>
      </c>
      <c r="L807">
        <f>_xlfn.XLOOKUP($A807,[1]Sheet1!$H$9:$H$2584,[1]Sheet1!$I$9:$I$2584,"N/A",0)</f>
        <v>81.8</v>
      </c>
      <c r="M807">
        <f>_xlfn.XLOOKUP($A807,[1]Sheet1!$K$9:$K$2584,[1]Sheet1!$L$9:$L$2584,"N/A",0)</f>
        <v>139.78</v>
      </c>
      <c r="N807">
        <f>_xlfn.XLOOKUP($A807,[1]Sheet1!$N$9:$N$2584,[1]Sheet1!$O$9:$O$2584,"N/A",0)</f>
        <v>101.06</v>
      </c>
      <c r="O807">
        <v>98.66</v>
      </c>
      <c r="P807">
        <v>129.61</v>
      </c>
      <c r="Q807">
        <v>81.8</v>
      </c>
      <c r="R807">
        <v>101.06</v>
      </c>
      <c r="S807">
        <v>139.78</v>
      </c>
    </row>
    <row r="808" spans="1:19">
      <c r="A808" s="1">
        <v>43539</v>
      </c>
      <c r="B808" t="s">
        <v>386</v>
      </c>
      <c r="C808" t="s">
        <v>393</v>
      </c>
      <c r="D808">
        <v>13.475</v>
      </c>
      <c r="E808">
        <v>14.875</v>
      </c>
      <c r="F808" s="2" t="s">
        <v>401</v>
      </c>
      <c r="G808">
        <f ca="1" t="shared" si="36"/>
        <v>1.65603178888503</v>
      </c>
      <c r="H808" t="str">
        <f ca="1" t="shared" si="37"/>
        <v>Risk-Off</v>
      </c>
      <c r="I808">
        <f ca="1" t="shared" si="38"/>
        <v>1</v>
      </c>
      <c r="J808">
        <f>_xlfn.XLOOKUP($A808,[1]Sheet1!$B$9:$B$2584,[1]Sheet1!$C$9:$C$2584,"N/A",0)</f>
        <v>98.83</v>
      </c>
      <c r="K808">
        <f>_xlfn.XLOOKUP($A808,[1]Sheet1!$E$9:$E$2584,[1]Sheet1!$F$9:$F$2584,"N/A",0)</f>
        <v>129.49</v>
      </c>
      <c r="L808">
        <f>_xlfn.XLOOKUP($A808,[1]Sheet1!$H$9:$H$2584,[1]Sheet1!$I$9:$I$2584,"N/A",0)</f>
        <v>81.95</v>
      </c>
      <c r="M808">
        <f>_xlfn.XLOOKUP($A808,[1]Sheet1!$K$9:$K$2584,[1]Sheet1!$L$9:$L$2584,"N/A",0)</f>
        <v>139.21</v>
      </c>
      <c r="N808">
        <f>_xlfn.XLOOKUP($A808,[1]Sheet1!$N$9:$N$2584,[1]Sheet1!$O$9:$O$2584,"N/A",0)</f>
        <v>101.31</v>
      </c>
      <c r="O808">
        <v>98.83</v>
      </c>
      <c r="P808">
        <v>129.49</v>
      </c>
      <c r="Q808">
        <v>81.95</v>
      </c>
      <c r="R808">
        <v>101.31</v>
      </c>
      <c r="S808">
        <v>139.21</v>
      </c>
    </row>
    <row r="809" spans="1:19">
      <c r="A809" s="1">
        <v>43542</v>
      </c>
      <c r="B809" t="s">
        <v>386</v>
      </c>
      <c r="C809" t="s">
        <v>393</v>
      </c>
      <c r="D809">
        <v>12.925</v>
      </c>
      <c r="E809">
        <v>15.025</v>
      </c>
      <c r="F809" s="2" t="s">
        <v>402</v>
      </c>
      <c r="G809">
        <f ca="1" t="shared" si="36"/>
        <v>2.71953929623936</v>
      </c>
      <c r="H809" t="str">
        <f ca="1" t="shared" si="37"/>
        <v>Risk-Off</v>
      </c>
      <c r="I809">
        <f ca="1" t="shared" si="38"/>
        <v>1</v>
      </c>
      <c r="J809">
        <f>_xlfn.XLOOKUP($A809,[1]Sheet1!$B$9:$B$2584,[1]Sheet1!$C$9:$C$2584,"N/A",0)</f>
        <v>98.78</v>
      </c>
      <c r="K809">
        <f>_xlfn.XLOOKUP($A809,[1]Sheet1!$E$9:$E$2584,[1]Sheet1!$F$9:$F$2584,"N/A",0)</f>
        <v>128.98</v>
      </c>
      <c r="L809">
        <f>_xlfn.XLOOKUP($A809,[1]Sheet1!$H$9:$H$2584,[1]Sheet1!$I$9:$I$2584,"N/A",0)</f>
        <v>81.96</v>
      </c>
      <c r="M809">
        <f>_xlfn.XLOOKUP($A809,[1]Sheet1!$K$9:$K$2584,[1]Sheet1!$L$9:$L$2584,"N/A",0)</f>
        <v>139.1</v>
      </c>
      <c r="N809">
        <f>_xlfn.XLOOKUP($A809,[1]Sheet1!$N$9:$N$2584,[1]Sheet1!$O$9:$O$2584,"N/A",0)</f>
        <v>101.11</v>
      </c>
      <c r="O809">
        <v>98.78</v>
      </c>
      <c r="P809">
        <v>128.98</v>
      </c>
      <c r="Q809">
        <v>81.96</v>
      </c>
      <c r="R809">
        <v>101.11</v>
      </c>
      <c r="S809">
        <v>139.1</v>
      </c>
    </row>
    <row r="810" spans="1:19">
      <c r="A810" s="1">
        <v>43543</v>
      </c>
      <c r="B810" t="s">
        <v>386</v>
      </c>
      <c r="C810" t="s">
        <v>393</v>
      </c>
      <c r="D810">
        <v>12.35</v>
      </c>
      <c r="E810">
        <v>15.125</v>
      </c>
      <c r="F810" s="2" t="s">
        <v>403</v>
      </c>
      <c r="G810">
        <f ca="1" t="shared" si="36"/>
        <v>3.85512817976087</v>
      </c>
      <c r="H810" t="str">
        <f ca="1" t="shared" si="37"/>
        <v>Risk-Off</v>
      </c>
      <c r="I810">
        <f ca="1" t="shared" si="38"/>
        <v>1</v>
      </c>
      <c r="J810">
        <f>_xlfn.XLOOKUP($A810,[1]Sheet1!$B$9:$B$2584,[1]Sheet1!$C$9:$C$2584,"N/A",0)</f>
        <v>98.68</v>
      </c>
      <c r="K810">
        <f>_xlfn.XLOOKUP($A810,[1]Sheet1!$E$9:$E$2584,[1]Sheet1!$F$9:$F$2584,"N/A",0)</f>
        <v>129.47</v>
      </c>
      <c r="L810">
        <f>_xlfn.XLOOKUP($A810,[1]Sheet1!$H$9:$H$2584,[1]Sheet1!$I$9:$I$2584,"N/A",0)</f>
        <v>82.14</v>
      </c>
      <c r="M810">
        <f>_xlfn.XLOOKUP($A810,[1]Sheet1!$K$9:$K$2584,[1]Sheet1!$L$9:$L$2584,"N/A",0)</f>
        <v>139.09</v>
      </c>
      <c r="N810">
        <f>_xlfn.XLOOKUP($A810,[1]Sheet1!$N$9:$N$2584,[1]Sheet1!$O$9:$O$2584,"N/A",0)</f>
        <v>101.63</v>
      </c>
      <c r="O810">
        <v>98.68</v>
      </c>
      <c r="P810">
        <v>129.47</v>
      </c>
      <c r="Q810">
        <v>82.14</v>
      </c>
      <c r="R810">
        <v>101.63</v>
      </c>
      <c r="S810">
        <v>139.09</v>
      </c>
    </row>
    <row r="811" spans="1:19">
      <c r="A811" s="1">
        <v>43544</v>
      </c>
      <c r="B811" t="s">
        <v>393</v>
      </c>
      <c r="C811" t="s">
        <v>404</v>
      </c>
      <c r="D811">
        <v>15.325</v>
      </c>
      <c r="E811">
        <v>16.125</v>
      </c>
      <c r="F811" s="2" t="s">
        <v>405</v>
      </c>
      <c r="G811">
        <f ca="1" t="shared" si="36"/>
        <v>0.701652574764169</v>
      </c>
      <c r="H811" t="str">
        <f ca="1" t="shared" si="37"/>
        <v>Risk-Off</v>
      </c>
      <c r="I811">
        <f ca="1" t="shared" si="38"/>
        <v>1</v>
      </c>
      <c r="J811">
        <f>_xlfn.XLOOKUP($A811,[1]Sheet1!$B$9:$B$2584,[1]Sheet1!$C$9:$C$2584,"N/A",0)</f>
        <v>98.46</v>
      </c>
      <c r="K811">
        <f>_xlfn.XLOOKUP($A811,[1]Sheet1!$E$9:$E$2584,[1]Sheet1!$F$9:$F$2584,"N/A",0)</f>
        <v>130.49</v>
      </c>
      <c r="L811">
        <f>_xlfn.XLOOKUP($A811,[1]Sheet1!$H$9:$H$2584,[1]Sheet1!$I$9:$I$2584,"N/A",0)</f>
        <v>81.46</v>
      </c>
      <c r="M811">
        <f>_xlfn.XLOOKUP($A811,[1]Sheet1!$K$9:$K$2584,[1]Sheet1!$L$9:$L$2584,"N/A",0)</f>
        <v>138.91</v>
      </c>
      <c r="N811">
        <f>_xlfn.XLOOKUP($A811,[1]Sheet1!$N$9:$N$2584,[1]Sheet1!$O$9:$O$2584,"N/A",0)</f>
        <v>102.01</v>
      </c>
      <c r="O811">
        <v>98.46</v>
      </c>
      <c r="P811">
        <v>130.49</v>
      </c>
      <c r="Q811">
        <v>81.46</v>
      </c>
      <c r="R811">
        <v>102.01</v>
      </c>
      <c r="S811">
        <v>138.91</v>
      </c>
    </row>
    <row r="812" spans="1:19">
      <c r="A812" s="1">
        <v>43545</v>
      </c>
      <c r="B812" t="s">
        <v>393</v>
      </c>
      <c r="C812" t="s">
        <v>404</v>
      </c>
      <c r="D812">
        <v>15.075</v>
      </c>
      <c r="E812">
        <v>15.925</v>
      </c>
      <c r="F812">
        <v>0.0563847429519072</v>
      </c>
      <c r="G812">
        <f ca="1" t="shared" si="36"/>
        <v>0.772410546638574</v>
      </c>
      <c r="H812" t="str">
        <f ca="1" t="shared" si="37"/>
        <v>Risk-On</v>
      </c>
      <c r="I812">
        <f ca="1" t="shared" si="38"/>
        <v>1</v>
      </c>
      <c r="J812">
        <f>_xlfn.XLOOKUP($A812,[1]Sheet1!$B$9:$B$2584,[1]Sheet1!$C$9:$C$2584,"N/A",0)</f>
        <v>98.47</v>
      </c>
      <c r="K812">
        <f>_xlfn.XLOOKUP($A812,[1]Sheet1!$E$9:$E$2584,[1]Sheet1!$F$9:$F$2584,"N/A",0)</f>
        <v>130.34</v>
      </c>
      <c r="L812">
        <f>_xlfn.XLOOKUP($A812,[1]Sheet1!$H$9:$H$2584,[1]Sheet1!$I$9:$I$2584,"N/A",0)</f>
        <v>81.96</v>
      </c>
      <c r="M812">
        <f>_xlfn.XLOOKUP($A812,[1]Sheet1!$K$9:$K$2584,[1]Sheet1!$L$9:$L$2584,"N/A",0)</f>
        <v>139.51</v>
      </c>
      <c r="N812">
        <f>_xlfn.XLOOKUP($A812,[1]Sheet1!$N$9:$N$2584,[1]Sheet1!$O$9:$O$2584,"N/A",0)</f>
        <v>101.69</v>
      </c>
      <c r="O812">
        <v>98.47</v>
      </c>
      <c r="P812">
        <v>130.34</v>
      </c>
      <c r="Q812">
        <v>81.96</v>
      </c>
      <c r="R812">
        <v>101.69</v>
      </c>
      <c r="S812">
        <v>139.51</v>
      </c>
    </row>
    <row r="813" spans="1:19">
      <c r="A813" s="1">
        <v>43546</v>
      </c>
      <c r="B813" t="s">
        <v>393</v>
      </c>
      <c r="C813" t="s">
        <v>404</v>
      </c>
      <c r="D813">
        <v>16.725</v>
      </c>
      <c r="E813">
        <v>17.125</v>
      </c>
      <c r="F813" s="2" t="s">
        <v>406</v>
      </c>
      <c r="G813">
        <f ca="1" t="shared" si="36"/>
        <v>0.171054290849238</v>
      </c>
      <c r="H813" t="str">
        <f ca="1" t="shared" si="37"/>
        <v>Risk-Off</v>
      </c>
      <c r="I813">
        <f ca="1" t="shared" si="38"/>
        <v>1</v>
      </c>
      <c r="J813">
        <f>_xlfn.XLOOKUP($A813,[1]Sheet1!$B$9:$B$2584,[1]Sheet1!$C$9:$C$2584,"N/A",0)</f>
        <v>98.47</v>
      </c>
      <c r="K813">
        <f>_xlfn.XLOOKUP($A813,[1]Sheet1!$E$9:$E$2584,[1]Sheet1!$F$9:$F$2584,"N/A",0)</f>
        <v>131.03</v>
      </c>
      <c r="L813">
        <f>_xlfn.XLOOKUP($A813,[1]Sheet1!$H$9:$H$2584,[1]Sheet1!$I$9:$I$2584,"N/A",0)</f>
        <v>81.61</v>
      </c>
      <c r="M813">
        <f>_xlfn.XLOOKUP($A813,[1]Sheet1!$K$9:$K$2584,[1]Sheet1!$L$9:$L$2584,"N/A",0)</f>
        <v>139.26</v>
      </c>
      <c r="N813">
        <f>_xlfn.XLOOKUP($A813,[1]Sheet1!$N$9:$N$2584,[1]Sheet1!$O$9:$O$2584,"N/A",0)</f>
        <v>102.89</v>
      </c>
      <c r="O813">
        <v>98.47</v>
      </c>
      <c r="P813">
        <v>131.03</v>
      </c>
      <c r="Q813">
        <v>81.61</v>
      </c>
      <c r="R813">
        <v>102.89</v>
      </c>
      <c r="S813">
        <v>139.26</v>
      </c>
    </row>
    <row r="814" spans="1:19">
      <c r="A814" s="1">
        <v>43549</v>
      </c>
      <c r="B814" t="s">
        <v>393</v>
      </c>
      <c r="C814" t="s">
        <v>404</v>
      </c>
      <c r="D814">
        <v>16.825</v>
      </c>
      <c r="E814">
        <v>17.225</v>
      </c>
      <c r="F814">
        <v>0.023774145616642</v>
      </c>
      <c r="G814">
        <f ca="1" t="shared" si="36"/>
        <v>0.162302108930556</v>
      </c>
      <c r="H814" t="str">
        <f ca="1" t="shared" si="37"/>
        <v>Risk-Off</v>
      </c>
      <c r="I814">
        <f ca="1" t="shared" si="38"/>
        <v>1</v>
      </c>
      <c r="J814">
        <f>_xlfn.XLOOKUP($A814,[1]Sheet1!$B$9:$B$2584,[1]Sheet1!$C$9:$C$2584,"N/A",0)</f>
        <v>98.76</v>
      </c>
      <c r="K814">
        <f>_xlfn.XLOOKUP($A814,[1]Sheet1!$E$9:$E$2584,[1]Sheet1!$F$9:$F$2584,"N/A",0)</f>
        <v>131.72</v>
      </c>
      <c r="L814">
        <f>_xlfn.XLOOKUP($A814,[1]Sheet1!$H$9:$H$2584,[1]Sheet1!$I$9:$I$2584,"N/A",0)</f>
        <v>81.1</v>
      </c>
      <c r="M814">
        <f>_xlfn.XLOOKUP($A814,[1]Sheet1!$K$9:$K$2584,[1]Sheet1!$L$9:$L$2584,"N/A",0)</f>
        <v>139.17</v>
      </c>
      <c r="N814">
        <f>_xlfn.XLOOKUP($A814,[1]Sheet1!$N$9:$N$2584,[1]Sheet1!$O$9:$O$2584,"N/A",0)</f>
        <v>102.27</v>
      </c>
      <c r="O814">
        <v>98.76</v>
      </c>
      <c r="P814">
        <v>131.72</v>
      </c>
      <c r="Q814">
        <v>81.1</v>
      </c>
      <c r="R814">
        <v>102.27</v>
      </c>
      <c r="S814">
        <v>139.17</v>
      </c>
    </row>
    <row r="815" spans="1:19">
      <c r="A815" s="1">
        <v>43550</v>
      </c>
      <c r="B815" t="s">
        <v>393</v>
      </c>
      <c r="C815" t="s">
        <v>404</v>
      </c>
      <c r="D815">
        <v>15.925</v>
      </c>
      <c r="E815">
        <v>16.675</v>
      </c>
      <c r="F815">
        <v>0.0470957613814756</v>
      </c>
      <c r="G815">
        <f ca="1" t="shared" si="36"/>
        <v>0.583581560025252</v>
      </c>
      <c r="H815" t="str">
        <f ca="1" t="shared" si="37"/>
        <v>Risk-Off</v>
      </c>
      <c r="I815">
        <f ca="1" t="shared" si="38"/>
        <v>1</v>
      </c>
      <c r="J815">
        <f>_xlfn.XLOOKUP($A815,[1]Sheet1!$B$9:$B$2584,[1]Sheet1!$C$9:$C$2584,"N/A",0)</f>
        <v>98.57</v>
      </c>
      <c r="K815">
        <f>_xlfn.XLOOKUP($A815,[1]Sheet1!$E$9:$E$2584,[1]Sheet1!$F$9:$F$2584,"N/A",0)</f>
        <v>130.98</v>
      </c>
      <c r="L815">
        <f>_xlfn.XLOOKUP($A815,[1]Sheet1!$H$9:$H$2584,[1]Sheet1!$I$9:$I$2584,"N/A",0)</f>
        <v>81.15</v>
      </c>
      <c r="M815">
        <f>_xlfn.XLOOKUP($A815,[1]Sheet1!$K$9:$K$2584,[1]Sheet1!$L$9:$L$2584,"N/A",0)</f>
        <v>139.23</v>
      </c>
      <c r="N815">
        <f>_xlfn.XLOOKUP($A815,[1]Sheet1!$N$9:$N$2584,[1]Sheet1!$O$9:$O$2584,"N/A",0)</f>
        <v>101.94</v>
      </c>
      <c r="O815">
        <v>98.57</v>
      </c>
      <c r="P815">
        <v>130.98</v>
      </c>
      <c r="Q815">
        <v>81.15</v>
      </c>
      <c r="R815">
        <v>101.94</v>
      </c>
      <c r="S815">
        <v>139.23</v>
      </c>
    </row>
    <row r="816" spans="1:19">
      <c r="A816" s="1">
        <v>43551</v>
      </c>
      <c r="B816" t="s">
        <v>393</v>
      </c>
      <c r="C816" t="s">
        <v>404</v>
      </c>
      <c r="D816">
        <v>16.225</v>
      </c>
      <c r="E816">
        <v>16.975</v>
      </c>
      <c r="F816" s="2" t="s">
        <v>392</v>
      </c>
      <c r="G816">
        <f ca="1" t="shared" si="36"/>
        <v>0.560142213343346</v>
      </c>
      <c r="H816" t="str">
        <f ca="1" t="shared" si="37"/>
        <v>Risk-Off</v>
      </c>
      <c r="I816">
        <f ca="1" t="shared" si="38"/>
        <v>1</v>
      </c>
      <c r="J816">
        <f>_xlfn.XLOOKUP($A816,[1]Sheet1!$B$9:$B$2584,[1]Sheet1!$C$9:$C$2584,"N/A",0)</f>
        <v>98.55</v>
      </c>
      <c r="K816">
        <f>_xlfn.XLOOKUP($A816,[1]Sheet1!$E$9:$E$2584,[1]Sheet1!$F$9:$F$2584,"N/A",0)</f>
        <v>130.86</v>
      </c>
      <c r="L816">
        <f>_xlfn.XLOOKUP($A816,[1]Sheet1!$H$9:$H$2584,[1]Sheet1!$I$9:$I$2584,"N/A",0)</f>
        <v>81.2</v>
      </c>
      <c r="M816">
        <f>_xlfn.XLOOKUP($A816,[1]Sheet1!$K$9:$K$2584,[1]Sheet1!$L$9:$L$2584,"N/A",0)</f>
        <v>139.8</v>
      </c>
      <c r="N816">
        <f>_xlfn.XLOOKUP($A816,[1]Sheet1!$N$9:$N$2584,[1]Sheet1!$O$9:$O$2584,"N/A",0)</f>
        <v>101.64</v>
      </c>
      <c r="O816">
        <v>98.55</v>
      </c>
      <c r="P816">
        <v>130.86</v>
      </c>
      <c r="Q816">
        <v>81.2</v>
      </c>
      <c r="R816">
        <v>101.64</v>
      </c>
      <c r="S816">
        <v>139.8</v>
      </c>
    </row>
    <row r="817" spans="1:19">
      <c r="A817" s="1">
        <v>43552</v>
      </c>
      <c r="B817" t="s">
        <v>393</v>
      </c>
      <c r="C817" t="s">
        <v>404</v>
      </c>
      <c r="D817">
        <v>15.625</v>
      </c>
      <c r="E817">
        <v>16.625</v>
      </c>
      <c r="F817">
        <v>0.064</v>
      </c>
      <c r="G817">
        <f ca="1" t="shared" si="36"/>
        <v>0.881624018615131</v>
      </c>
      <c r="H817" t="str">
        <f ca="1" t="shared" si="37"/>
        <v>Risk-Off</v>
      </c>
      <c r="I817">
        <f ca="1" t="shared" si="38"/>
        <v>1</v>
      </c>
      <c r="J817">
        <f>_xlfn.XLOOKUP($A817,[1]Sheet1!$B$9:$B$2584,[1]Sheet1!$C$9:$C$2584,"N/A",0)</f>
        <v>98.4</v>
      </c>
      <c r="K817">
        <f>_xlfn.XLOOKUP($A817,[1]Sheet1!$E$9:$E$2584,[1]Sheet1!$F$9:$F$2584,"N/A",0)</f>
        <v>131.02</v>
      </c>
      <c r="L817">
        <f>_xlfn.XLOOKUP($A817,[1]Sheet1!$H$9:$H$2584,[1]Sheet1!$I$9:$I$2584,"N/A",0)</f>
        <v>81.14</v>
      </c>
      <c r="M817">
        <f>_xlfn.XLOOKUP($A817,[1]Sheet1!$K$9:$K$2584,[1]Sheet1!$L$9:$L$2584,"N/A",0)</f>
        <v>140.16</v>
      </c>
      <c r="N817">
        <f>_xlfn.XLOOKUP($A817,[1]Sheet1!$N$9:$N$2584,[1]Sheet1!$O$9:$O$2584,"N/A",0)</f>
        <v>101.34</v>
      </c>
      <c r="O817">
        <v>98.4</v>
      </c>
      <c r="P817">
        <v>131.02</v>
      </c>
      <c r="Q817">
        <v>81.14</v>
      </c>
      <c r="R817">
        <v>101.34</v>
      </c>
      <c r="S817">
        <v>140.16</v>
      </c>
    </row>
    <row r="818" spans="1:19">
      <c r="A818" s="1">
        <v>43553</v>
      </c>
      <c r="B818" t="s">
        <v>393</v>
      </c>
      <c r="C818" t="s">
        <v>404</v>
      </c>
      <c r="D818">
        <v>15.225</v>
      </c>
      <c r="E818">
        <v>16.325</v>
      </c>
      <c r="F818">
        <v>0.0722495894909687</v>
      </c>
      <c r="G818">
        <f ca="1" t="shared" si="36"/>
        <v>1.02419382228414</v>
      </c>
      <c r="H818" t="str">
        <f ca="1" t="shared" si="37"/>
        <v>Risk-Off</v>
      </c>
      <c r="I818">
        <f ca="1" t="shared" si="38"/>
        <v>1</v>
      </c>
      <c r="J818">
        <f>_xlfn.XLOOKUP($A818,[1]Sheet1!$B$9:$B$2584,[1]Sheet1!$C$9:$C$2584,"N/A",0)</f>
        <v>98.4</v>
      </c>
      <c r="K818">
        <f>_xlfn.XLOOKUP($A818,[1]Sheet1!$E$9:$E$2584,[1]Sheet1!$F$9:$F$2584,"N/A",0)</f>
        <v>130.62</v>
      </c>
      <c r="L818">
        <f>_xlfn.XLOOKUP($A818,[1]Sheet1!$H$9:$H$2584,[1]Sheet1!$I$9:$I$2584,"N/A",0)</f>
        <v>81.24</v>
      </c>
      <c r="M818">
        <f>_xlfn.XLOOKUP($A818,[1]Sheet1!$K$9:$K$2584,[1]Sheet1!$L$9:$L$2584,"N/A",0)</f>
        <v>140.08</v>
      </c>
      <c r="N818">
        <f>_xlfn.XLOOKUP($A818,[1]Sheet1!$N$9:$N$2584,[1]Sheet1!$O$9:$O$2584,"N/A",0)</f>
        <v>101.76</v>
      </c>
      <c r="O818">
        <v>98.4</v>
      </c>
      <c r="P818">
        <v>130.62</v>
      </c>
      <c r="Q818">
        <v>81.24</v>
      </c>
      <c r="R818">
        <v>101.76</v>
      </c>
      <c r="S818">
        <v>140.08</v>
      </c>
    </row>
    <row r="819" spans="1:19">
      <c r="A819" s="1">
        <v>43556</v>
      </c>
      <c r="B819" t="s">
        <v>393</v>
      </c>
      <c r="C819" t="s">
        <v>404</v>
      </c>
      <c r="D819">
        <v>14.875</v>
      </c>
      <c r="E819">
        <v>15.975</v>
      </c>
      <c r="F819">
        <v>0.0739495798319327</v>
      </c>
      <c r="G819">
        <f ca="1" t="shared" si="36"/>
        <v>1.04445934221144</v>
      </c>
      <c r="H819" t="str">
        <f ca="1" t="shared" si="37"/>
        <v>Risk-Off</v>
      </c>
      <c r="I819">
        <f ca="1" t="shared" si="38"/>
        <v>1</v>
      </c>
      <c r="J819">
        <f>_xlfn.XLOOKUP($A819,[1]Sheet1!$B$9:$B$2584,[1]Sheet1!$C$9:$C$2584,"N/A",0)</f>
        <v>98.34</v>
      </c>
      <c r="K819">
        <f>_xlfn.XLOOKUP($A819,[1]Sheet1!$E$9:$E$2584,[1]Sheet1!$F$9:$F$2584,"N/A",0)</f>
        <v>129.77</v>
      </c>
      <c r="L819">
        <f>_xlfn.XLOOKUP($A819,[1]Sheet1!$H$9:$H$2584,[1]Sheet1!$I$9:$I$2584,"N/A",0)</f>
        <v>81.95</v>
      </c>
      <c r="M819">
        <f>_xlfn.XLOOKUP($A819,[1]Sheet1!$K$9:$K$2584,[1]Sheet1!$L$9:$L$2584,"N/A",0)</f>
        <v>140.02</v>
      </c>
      <c r="N819">
        <f>_xlfn.XLOOKUP($A819,[1]Sheet1!$N$9:$N$2584,[1]Sheet1!$O$9:$O$2584,"N/A",0)</f>
        <v>101.95</v>
      </c>
      <c r="O819">
        <v>98.34</v>
      </c>
      <c r="P819">
        <v>129.77</v>
      </c>
      <c r="Q819">
        <v>81.95</v>
      </c>
      <c r="R819">
        <v>101.95</v>
      </c>
      <c r="S819">
        <v>140.02</v>
      </c>
    </row>
    <row r="820" spans="1:19">
      <c r="A820" s="1">
        <v>43557</v>
      </c>
      <c r="B820" t="s">
        <v>393</v>
      </c>
      <c r="C820" t="s">
        <v>404</v>
      </c>
      <c r="D820">
        <v>14.875</v>
      </c>
      <c r="E820">
        <v>16.075</v>
      </c>
      <c r="F820">
        <v>0.0806722689075629</v>
      </c>
      <c r="G820">
        <f ca="1" t="shared" si="36"/>
        <v>1.15840284062453</v>
      </c>
      <c r="H820" t="str">
        <f ca="1" t="shared" si="37"/>
        <v>Risk-Off</v>
      </c>
      <c r="I820">
        <f ca="1" t="shared" si="38"/>
        <v>1</v>
      </c>
      <c r="J820">
        <f>_xlfn.XLOOKUP($A820,[1]Sheet1!$B$9:$B$2584,[1]Sheet1!$C$9:$C$2584,"N/A",0)</f>
        <v>98.37</v>
      </c>
      <c r="K820">
        <f>_xlfn.XLOOKUP($A820,[1]Sheet1!$E$9:$E$2584,[1]Sheet1!$F$9:$F$2584,"N/A",0)</f>
        <v>129.9</v>
      </c>
      <c r="L820">
        <f>_xlfn.XLOOKUP($A820,[1]Sheet1!$H$9:$H$2584,[1]Sheet1!$I$9:$I$2584,"N/A",0)</f>
        <v>81.82</v>
      </c>
      <c r="M820">
        <f>_xlfn.XLOOKUP($A820,[1]Sheet1!$K$9:$K$2584,[1]Sheet1!$L$9:$L$2584,"N/A",0)</f>
        <v>139.5</v>
      </c>
      <c r="N820">
        <f>_xlfn.XLOOKUP($A820,[1]Sheet1!$N$9:$N$2584,[1]Sheet1!$O$9:$O$2584,"N/A",0)</f>
        <v>102.36</v>
      </c>
      <c r="O820">
        <v>98.37</v>
      </c>
      <c r="P820">
        <v>129.9</v>
      </c>
      <c r="Q820">
        <v>81.82</v>
      </c>
      <c r="R820">
        <v>102.36</v>
      </c>
      <c r="S820">
        <v>139.5</v>
      </c>
    </row>
    <row r="821" spans="1:19">
      <c r="A821" s="1">
        <v>43558</v>
      </c>
      <c r="B821" t="s">
        <v>393</v>
      </c>
      <c r="C821" t="s">
        <v>404</v>
      </c>
      <c r="D821">
        <v>14.875</v>
      </c>
      <c r="E821">
        <v>16.025</v>
      </c>
      <c r="F821">
        <v>0.0773109243697478</v>
      </c>
      <c r="G821">
        <f ca="1" t="shared" si="36"/>
        <v>1.08352168583846</v>
      </c>
      <c r="H821" t="str">
        <f ca="1" t="shared" si="37"/>
        <v>Risk-Off</v>
      </c>
      <c r="I821">
        <f ca="1" t="shared" si="38"/>
        <v>1</v>
      </c>
      <c r="J821">
        <f>_xlfn.XLOOKUP($A821,[1]Sheet1!$B$9:$B$2584,[1]Sheet1!$C$9:$C$2584,"N/A",0)</f>
        <v>98.71</v>
      </c>
      <c r="K821">
        <f>_xlfn.XLOOKUP($A821,[1]Sheet1!$E$9:$E$2584,[1]Sheet1!$F$9:$F$2584,"N/A",0)</f>
        <v>129.41</v>
      </c>
      <c r="L821">
        <f>_xlfn.XLOOKUP($A821,[1]Sheet1!$H$9:$H$2584,[1]Sheet1!$I$9:$I$2584,"N/A",0)</f>
        <v>82.27</v>
      </c>
      <c r="M821">
        <f>_xlfn.XLOOKUP($A821,[1]Sheet1!$K$9:$K$2584,[1]Sheet1!$L$9:$L$2584,"N/A",0)</f>
        <v>139.97</v>
      </c>
      <c r="N821">
        <f>_xlfn.XLOOKUP($A821,[1]Sheet1!$N$9:$N$2584,[1]Sheet1!$O$9:$O$2584,"N/A",0)</f>
        <v>102.3</v>
      </c>
      <c r="O821">
        <v>98.71</v>
      </c>
      <c r="P821">
        <v>129.41</v>
      </c>
      <c r="Q821">
        <v>82.27</v>
      </c>
      <c r="R821">
        <v>102.3</v>
      </c>
      <c r="S821">
        <v>139.97</v>
      </c>
    </row>
    <row r="822" spans="1:19">
      <c r="A822" s="1">
        <v>43559</v>
      </c>
      <c r="B822" t="s">
        <v>393</v>
      </c>
      <c r="C822" t="s">
        <v>404</v>
      </c>
      <c r="D822">
        <v>14.775</v>
      </c>
      <c r="E822">
        <v>15.925</v>
      </c>
      <c r="F822">
        <v>0.077834179357022</v>
      </c>
      <c r="G822">
        <f ca="1" t="shared" si="36"/>
        <v>1.08139177689239</v>
      </c>
      <c r="H822" t="str">
        <f ca="1" t="shared" si="37"/>
        <v>Risk-Off</v>
      </c>
      <c r="I822">
        <f ca="1" t="shared" si="38"/>
        <v>1</v>
      </c>
      <c r="J822">
        <f>_xlfn.XLOOKUP($A822,[1]Sheet1!$B$9:$B$2584,[1]Sheet1!$C$9:$C$2584,"N/A",0)</f>
        <v>98.5</v>
      </c>
      <c r="K822">
        <f>_xlfn.XLOOKUP($A822,[1]Sheet1!$E$9:$E$2584,[1]Sheet1!$F$9:$F$2584,"N/A",0)</f>
        <v>127.76</v>
      </c>
      <c r="L822">
        <f>_xlfn.XLOOKUP($A822,[1]Sheet1!$H$9:$H$2584,[1]Sheet1!$I$9:$I$2584,"N/A",0)</f>
        <v>82.76</v>
      </c>
      <c r="M822">
        <f>_xlfn.XLOOKUP($A822,[1]Sheet1!$K$9:$K$2584,[1]Sheet1!$L$9:$L$2584,"N/A",0)</f>
        <v>139.78</v>
      </c>
      <c r="N822">
        <f>_xlfn.XLOOKUP($A822,[1]Sheet1!$N$9:$N$2584,[1]Sheet1!$O$9:$O$2584,"N/A",0)</f>
        <v>101.84</v>
      </c>
      <c r="O822">
        <v>98.5</v>
      </c>
      <c r="P822">
        <v>127.76</v>
      </c>
      <c r="Q822">
        <v>82.76</v>
      </c>
      <c r="R822">
        <v>101.84</v>
      </c>
      <c r="S822">
        <v>139.78</v>
      </c>
    </row>
    <row r="823" spans="1:19">
      <c r="A823" s="1">
        <v>43560</v>
      </c>
      <c r="B823" t="s">
        <v>393</v>
      </c>
      <c r="C823" t="s">
        <v>404</v>
      </c>
      <c r="D823">
        <v>14.325</v>
      </c>
      <c r="E823">
        <v>15.675</v>
      </c>
      <c r="F823">
        <v>0.0942408376963351</v>
      </c>
      <c r="G823">
        <f ca="1" t="shared" si="36"/>
        <v>1.37247485802385</v>
      </c>
      <c r="H823" t="str">
        <f ca="1" t="shared" si="37"/>
        <v>Risk-Off</v>
      </c>
      <c r="I823">
        <f ca="1" t="shared" si="38"/>
        <v>1</v>
      </c>
      <c r="J823">
        <f>_xlfn.XLOOKUP($A823,[1]Sheet1!$B$9:$B$2584,[1]Sheet1!$C$9:$C$2584,"N/A",0)</f>
        <v>98.58</v>
      </c>
      <c r="K823">
        <f>_xlfn.XLOOKUP($A823,[1]Sheet1!$E$9:$E$2584,[1]Sheet1!$F$9:$F$2584,"N/A",0)</f>
        <v>127.27</v>
      </c>
      <c r="L823">
        <f>_xlfn.XLOOKUP($A823,[1]Sheet1!$H$9:$H$2584,[1]Sheet1!$I$9:$I$2584,"N/A",0)</f>
        <v>82.47</v>
      </c>
      <c r="M823">
        <f>_xlfn.XLOOKUP($A823,[1]Sheet1!$K$9:$K$2584,[1]Sheet1!$L$9:$L$2584,"N/A",0)</f>
        <v>139.61</v>
      </c>
      <c r="N823">
        <f>_xlfn.XLOOKUP($A823,[1]Sheet1!$N$9:$N$2584,[1]Sheet1!$O$9:$O$2584,"N/A",0)</f>
        <v>101.31</v>
      </c>
      <c r="O823">
        <v>98.58</v>
      </c>
      <c r="P823">
        <v>127.27</v>
      </c>
      <c r="Q823">
        <v>82.47</v>
      </c>
      <c r="R823">
        <v>101.31</v>
      </c>
      <c r="S823">
        <v>139.61</v>
      </c>
    </row>
    <row r="824" spans="1:19">
      <c r="A824" s="1">
        <v>43563</v>
      </c>
      <c r="B824" t="s">
        <v>393</v>
      </c>
      <c r="C824" t="s">
        <v>404</v>
      </c>
      <c r="D824">
        <v>14.475</v>
      </c>
      <c r="E824">
        <v>15.675</v>
      </c>
      <c r="F824">
        <v>0.0829015544041451</v>
      </c>
      <c r="G824">
        <f ca="1" t="shared" si="36"/>
        <v>1.14825008406076</v>
      </c>
      <c r="H824" t="str">
        <f ca="1" t="shared" si="37"/>
        <v>Risk-Off</v>
      </c>
      <c r="I824">
        <f ca="1" t="shared" si="38"/>
        <v>1</v>
      </c>
      <c r="J824">
        <f>_xlfn.XLOOKUP($A824,[1]Sheet1!$B$9:$B$2584,[1]Sheet1!$C$9:$C$2584,"N/A",0)</f>
        <v>98.72</v>
      </c>
      <c r="K824">
        <f>_xlfn.XLOOKUP($A824,[1]Sheet1!$E$9:$E$2584,[1]Sheet1!$F$9:$F$2584,"N/A",0)</f>
        <v>127.07</v>
      </c>
      <c r="L824">
        <f>_xlfn.XLOOKUP($A824,[1]Sheet1!$H$9:$H$2584,[1]Sheet1!$I$9:$I$2584,"N/A",0)</f>
        <v>82.62</v>
      </c>
      <c r="M824">
        <f>_xlfn.XLOOKUP($A824,[1]Sheet1!$K$9:$K$2584,[1]Sheet1!$L$9:$L$2584,"N/A",0)</f>
        <v>139.12</v>
      </c>
      <c r="N824">
        <f>_xlfn.XLOOKUP($A824,[1]Sheet1!$N$9:$N$2584,[1]Sheet1!$O$9:$O$2584,"N/A",0)</f>
        <v>101.69</v>
      </c>
      <c r="O824">
        <v>98.72</v>
      </c>
      <c r="P824">
        <v>127.07</v>
      </c>
      <c r="Q824">
        <v>82.62</v>
      </c>
      <c r="R824">
        <v>101.69</v>
      </c>
      <c r="S824">
        <v>139.12</v>
      </c>
    </row>
    <row r="825" spans="1:19">
      <c r="A825" s="1">
        <v>43564</v>
      </c>
      <c r="B825" t="s">
        <v>393</v>
      </c>
      <c r="C825" t="s">
        <v>404</v>
      </c>
      <c r="D825">
        <v>15.075</v>
      </c>
      <c r="E825">
        <v>16.225</v>
      </c>
      <c r="F825">
        <v>0.076285240464345</v>
      </c>
      <c r="G825">
        <f ca="1" t="shared" si="36"/>
        <v>1.01383165860546</v>
      </c>
      <c r="H825" t="str">
        <f ca="1" t="shared" si="37"/>
        <v>Risk-Off</v>
      </c>
      <c r="I825">
        <f ca="1" t="shared" si="38"/>
        <v>1</v>
      </c>
      <c r="J825">
        <f>_xlfn.XLOOKUP($A825,[1]Sheet1!$B$9:$B$2584,[1]Sheet1!$C$9:$C$2584,"N/A",0)</f>
        <v>98.75</v>
      </c>
      <c r="K825">
        <f>_xlfn.XLOOKUP($A825,[1]Sheet1!$E$9:$E$2584,[1]Sheet1!$F$9:$F$2584,"N/A",0)</f>
        <v>128.05</v>
      </c>
      <c r="L825">
        <f>_xlfn.XLOOKUP($A825,[1]Sheet1!$H$9:$H$2584,[1]Sheet1!$I$9:$I$2584,"N/A",0)</f>
        <v>82.17</v>
      </c>
      <c r="M825">
        <f>_xlfn.XLOOKUP($A825,[1]Sheet1!$K$9:$K$2584,[1]Sheet1!$L$9:$L$2584,"N/A",0)</f>
        <v>139.02</v>
      </c>
      <c r="N825">
        <f>_xlfn.XLOOKUP($A825,[1]Sheet1!$N$9:$N$2584,[1]Sheet1!$O$9:$O$2584,"N/A",0)</f>
        <v>102.09</v>
      </c>
      <c r="O825">
        <v>98.75</v>
      </c>
      <c r="P825">
        <v>128.05</v>
      </c>
      <c r="Q825">
        <v>82.17</v>
      </c>
      <c r="R825">
        <v>102.09</v>
      </c>
      <c r="S825">
        <v>139.02</v>
      </c>
    </row>
    <row r="826" spans="1:19">
      <c r="A826" s="1">
        <v>43565</v>
      </c>
      <c r="B826" t="s">
        <v>393</v>
      </c>
      <c r="C826" t="s">
        <v>404</v>
      </c>
      <c r="D826">
        <v>14.425</v>
      </c>
      <c r="E826">
        <v>15.775</v>
      </c>
      <c r="F826">
        <v>0.0935875216637781</v>
      </c>
      <c r="G826">
        <f ca="1" t="shared" si="36"/>
        <v>1.32259699691666</v>
      </c>
      <c r="H826" t="str">
        <f ca="1" t="shared" si="37"/>
        <v>Risk-Off</v>
      </c>
      <c r="I826">
        <f ca="1" t="shared" si="38"/>
        <v>1</v>
      </c>
      <c r="J826">
        <f>_xlfn.XLOOKUP($A826,[1]Sheet1!$B$9:$B$2584,[1]Sheet1!$C$9:$C$2584,"N/A",0)</f>
        <v>98.71</v>
      </c>
      <c r="K826">
        <f>_xlfn.XLOOKUP($A826,[1]Sheet1!$E$9:$E$2584,[1]Sheet1!$F$9:$F$2584,"N/A",0)</f>
        <v>128.11</v>
      </c>
      <c r="L826">
        <f>_xlfn.XLOOKUP($A826,[1]Sheet1!$H$9:$H$2584,[1]Sheet1!$I$9:$I$2584,"N/A",0)</f>
        <v>82.41</v>
      </c>
      <c r="M826">
        <f>_xlfn.XLOOKUP($A826,[1]Sheet1!$K$9:$K$2584,[1]Sheet1!$L$9:$L$2584,"N/A",0)</f>
        <v>139.01</v>
      </c>
      <c r="N826">
        <f>_xlfn.XLOOKUP($A826,[1]Sheet1!$N$9:$N$2584,[1]Sheet1!$O$9:$O$2584,"N/A",0)</f>
        <v>101.26</v>
      </c>
      <c r="O826">
        <v>98.71</v>
      </c>
      <c r="P826">
        <v>128.11</v>
      </c>
      <c r="Q826">
        <v>82.41</v>
      </c>
      <c r="R826">
        <v>101.26</v>
      </c>
      <c r="S826">
        <v>139.01</v>
      </c>
    </row>
    <row r="827" spans="1:19">
      <c r="A827" s="1">
        <v>43566</v>
      </c>
      <c r="B827" t="s">
        <v>393</v>
      </c>
      <c r="C827" t="s">
        <v>404</v>
      </c>
      <c r="D827">
        <v>13.825</v>
      </c>
      <c r="E827">
        <v>15.525</v>
      </c>
      <c r="F827" s="2" t="s">
        <v>407</v>
      </c>
      <c r="G827">
        <f ca="1" t="shared" si="36"/>
        <v>1.84899356932777</v>
      </c>
      <c r="H827" t="str">
        <f ca="1" t="shared" si="37"/>
        <v>Risk-Off</v>
      </c>
      <c r="I827">
        <f ca="1" t="shared" si="38"/>
        <v>1</v>
      </c>
      <c r="J827">
        <f>_xlfn.XLOOKUP($A827,[1]Sheet1!$B$9:$B$2584,[1]Sheet1!$C$9:$C$2584,"N/A",0)</f>
        <v>98.32</v>
      </c>
      <c r="K827">
        <f>_xlfn.XLOOKUP($A827,[1]Sheet1!$E$9:$E$2584,[1]Sheet1!$F$9:$F$2584,"N/A",0)</f>
        <v>128.02</v>
      </c>
      <c r="L827">
        <f>_xlfn.XLOOKUP($A827,[1]Sheet1!$H$9:$H$2584,[1]Sheet1!$I$9:$I$2584,"N/A",0)</f>
        <v>82.55</v>
      </c>
      <c r="M827">
        <f>_xlfn.XLOOKUP($A827,[1]Sheet1!$K$9:$K$2584,[1]Sheet1!$L$9:$L$2584,"N/A",0)</f>
        <v>139.67</v>
      </c>
      <c r="N827">
        <f>_xlfn.XLOOKUP($A827,[1]Sheet1!$N$9:$N$2584,[1]Sheet1!$O$9:$O$2584,"N/A",0)</f>
        <v>101.46</v>
      </c>
      <c r="O827">
        <v>98.32</v>
      </c>
      <c r="P827">
        <v>128.02</v>
      </c>
      <c r="Q827">
        <v>82.55</v>
      </c>
      <c r="R827">
        <v>101.46</v>
      </c>
      <c r="S827">
        <v>139.67</v>
      </c>
    </row>
    <row r="828" spans="1:19">
      <c r="A828" s="1">
        <v>43567</v>
      </c>
      <c r="B828" t="s">
        <v>393</v>
      </c>
      <c r="C828" t="s">
        <v>404</v>
      </c>
      <c r="D828">
        <v>12.775</v>
      </c>
      <c r="E828">
        <v>14.775</v>
      </c>
      <c r="F828" s="2" t="s">
        <v>408</v>
      </c>
      <c r="G828">
        <f ca="1" t="shared" si="36"/>
        <v>2.46059477221846</v>
      </c>
      <c r="H828" t="str">
        <f ca="1" t="shared" si="37"/>
        <v>Risk-Off</v>
      </c>
      <c r="I828">
        <f ca="1" t="shared" si="38"/>
        <v>1</v>
      </c>
      <c r="J828">
        <f>_xlfn.XLOOKUP($A828,[1]Sheet1!$B$9:$B$2584,[1]Sheet1!$C$9:$C$2584,"N/A",0)</f>
        <v>98.6</v>
      </c>
      <c r="K828">
        <f>_xlfn.XLOOKUP($A828,[1]Sheet1!$E$9:$E$2584,[1]Sheet1!$F$9:$F$2584,"N/A",0)</f>
        <v>127</v>
      </c>
      <c r="L828">
        <f>_xlfn.XLOOKUP($A828,[1]Sheet1!$H$9:$H$2584,[1]Sheet1!$I$9:$I$2584,"N/A",0)</f>
        <v>82.71</v>
      </c>
      <c r="M828">
        <f>_xlfn.XLOOKUP($A828,[1]Sheet1!$K$9:$K$2584,[1]Sheet1!$L$9:$L$2584,"N/A",0)</f>
        <v>139.34</v>
      </c>
      <c r="N828">
        <f>_xlfn.XLOOKUP($A828,[1]Sheet1!$N$9:$N$2584,[1]Sheet1!$O$9:$O$2584,"N/A",0)</f>
        <v>102.06</v>
      </c>
      <c r="O828">
        <v>98.6</v>
      </c>
      <c r="P828">
        <v>127</v>
      </c>
      <c r="Q828">
        <v>82.71</v>
      </c>
      <c r="R828">
        <v>102.06</v>
      </c>
      <c r="S828">
        <v>139.34</v>
      </c>
    </row>
    <row r="829" spans="1:19">
      <c r="A829" s="1">
        <v>43570</v>
      </c>
      <c r="B829" t="s">
        <v>393</v>
      </c>
      <c r="C829" t="s">
        <v>404</v>
      </c>
      <c r="D829">
        <v>12.575</v>
      </c>
      <c r="E829">
        <v>14.675</v>
      </c>
      <c r="F829" s="2" t="s">
        <v>409</v>
      </c>
      <c r="G829">
        <f ca="1" t="shared" si="36"/>
        <v>2.65276346498503</v>
      </c>
      <c r="H829" t="str">
        <f ca="1" t="shared" si="37"/>
        <v>Risk-Off</v>
      </c>
      <c r="I829">
        <f ca="1" t="shared" si="38"/>
        <v>1</v>
      </c>
      <c r="J829">
        <f>_xlfn.XLOOKUP($A829,[1]Sheet1!$B$9:$B$2584,[1]Sheet1!$C$9:$C$2584,"N/A",0)</f>
        <v>98.69</v>
      </c>
      <c r="K829">
        <f>_xlfn.XLOOKUP($A829,[1]Sheet1!$E$9:$E$2584,[1]Sheet1!$F$9:$F$2584,"N/A",0)</f>
        <v>127.53</v>
      </c>
      <c r="L829">
        <f>_xlfn.XLOOKUP($A829,[1]Sheet1!$H$9:$H$2584,[1]Sheet1!$I$9:$I$2584,"N/A",0)</f>
        <v>82.47</v>
      </c>
      <c r="M829">
        <f>_xlfn.XLOOKUP($A829,[1]Sheet1!$K$9:$K$2584,[1]Sheet1!$L$9:$L$2584,"N/A",0)</f>
        <v>139.31</v>
      </c>
      <c r="N829">
        <f>_xlfn.XLOOKUP($A829,[1]Sheet1!$N$9:$N$2584,[1]Sheet1!$O$9:$O$2584,"N/A",0)</f>
        <v>102.31</v>
      </c>
      <c r="O829">
        <v>98.69</v>
      </c>
      <c r="P829">
        <v>127.53</v>
      </c>
      <c r="Q829">
        <v>82.47</v>
      </c>
      <c r="R829">
        <v>102.31</v>
      </c>
      <c r="S829">
        <v>139.31</v>
      </c>
    </row>
    <row r="830" spans="1:19">
      <c r="A830" s="1">
        <v>43571</v>
      </c>
      <c r="B830" t="s">
        <v>393</v>
      </c>
      <c r="C830" t="s">
        <v>404</v>
      </c>
      <c r="D830">
        <v>12.575</v>
      </c>
      <c r="E830">
        <v>14.625</v>
      </c>
      <c r="F830" s="2" t="s">
        <v>410</v>
      </c>
      <c r="G830">
        <f ca="1" t="shared" si="36"/>
        <v>2.5728864172951</v>
      </c>
      <c r="H830" t="str">
        <f ca="1" t="shared" si="37"/>
        <v>Risk-Off</v>
      </c>
      <c r="I830">
        <f ca="1" t="shared" si="38"/>
        <v>1</v>
      </c>
      <c r="J830">
        <f>_xlfn.XLOOKUP($A830,[1]Sheet1!$B$9:$B$2584,[1]Sheet1!$C$9:$C$2584,"N/A",0)</f>
        <v>98.9</v>
      </c>
      <c r="K830">
        <f>_xlfn.XLOOKUP($A830,[1]Sheet1!$E$9:$E$2584,[1]Sheet1!$F$9:$F$2584,"N/A",0)</f>
        <v>126.65</v>
      </c>
      <c r="L830">
        <f>_xlfn.XLOOKUP($A830,[1]Sheet1!$H$9:$H$2584,[1]Sheet1!$I$9:$I$2584,"N/A",0)</f>
        <v>82.33</v>
      </c>
      <c r="M830">
        <f>_xlfn.XLOOKUP($A830,[1]Sheet1!$K$9:$K$2584,[1]Sheet1!$L$9:$L$2584,"N/A",0)</f>
        <v>138.44</v>
      </c>
      <c r="N830">
        <f>_xlfn.XLOOKUP($A830,[1]Sheet1!$N$9:$N$2584,[1]Sheet1!$O$9:$O$2584,"N/A",0)</f>
        <v>102.16</v>
      </c>
      <c r="O830">
        <v>98.9</v>
      </c>
      <c r="P830">
        <v>126.65</v>
      </c>
      <c r="Q830">
        <v>82.33</v>
      </c>
      <c r="R830">
        <v>102.16</v>
      </c>
      <c r="S830">
        <v>138.44</v>
      </c>
    </row>
    <row r="831" spans="1:19">
      <c r="A831" s="1">
        <v>43572</v>
      </c>
      <c r="B831" t="s">
        <v>393</v>
      </c>
      <c r="C831" t="s">
        <v>404</v>
      </c>
      <c r="D831">
        <v>11.71</v>
      </c>
      <c r="E831">
        <v>14.625</v>
      </c>
      <c r="F831" s="2" t="s">
        <v>411</v>
      </c>
      <c r="G831">
        <f ca="1" t="shared" si="36"/>
        <v>4.15081251946222</v>
      </c>
      <c r="H831" t="str">
        <f ca="1" t="shared" si="37"/>
        <v>Risk-Off</v>
      </c>
      <c r="I831">
        <f ca="1" t="shared" si="38"/>
        <v>1</v>
      </c>
      <c r="J831">
        <f>_xlfn.XLOOKUP($A831,[1]Sheet1!$B$9:$B$2584,[1]Sheet1!$C$9:$C$2584,"N/A",0)</f>
        <v>99.04</v>
      </c>
      <c r="K831">
        <f>_xlfn.XLOOKUP($A831,[1]Sheet1!$E$9:$E$2584,[1]Sheet1!$F$9:$F$2584,"N/A",0)</f>
        <v>125.78</v>
      </c>
      <c r="L831">
        <f>_xlfn.XLOOKUP($A831,[1]Sheet1!$H$9:$H$2584,[1]Sheet1!$I$9:$I$2584,"N/A",0)</f>
        <v>82.5</v>
      </c>
      <c r="M831">
        <f>_xlfn.XLOOKUP($A831,[1]Sheet1!$K$9:$K$2584,[1]Sheet1!$L$9:$L$2584,"N/A",0)</f>
        <v>137.78</v>
      </c>
      <c r="N831">
        <f>_xlfn.XLOOKUP($A831,[1]Sheet1!$N$9:$N$2584,[1]Sheet1!$O$9:$O$2584,"N/A",0)</f>
        <v>102.65</v>
      </c>
      <c r="O831">
        <v>99.04</v>
      </c>
      <c r="P831">
        <v>125.78</v>
      </c>
      <c r="Q831">
        <v>82.5</v>
      </c>
      <c r="R831">
        <v>102.65</v>
      </c>
      <c r="S831">
        <v>137.78</v>
      </c>
    </row>
    <row r="832" spans="1:19">
      <c r="A832" s="1">
        <v>43573</v>
      </c>
      <c r="B832" t="s">
        <v>404</v>
      </c>
      <c r="C832" t="s">
        <v>412</v>
      </c>
      <c r="D832">
        <v>14.425</v>
      </c>
      <c r="E832">
        <v>15.575</v>
      </c>
      <c r="F832">
        <v>0.0797227036395146</v>
      </c>
      <c r="G832">
        <f ca="1" t="shared" si="36"/>
        <v>1.04274029532456</v>
      </c>
      <c r="H832" t="str">
        <f ca="1" t="shared" si="37"/>
        <v>Risk-Off</v>
      </c>
      <c r="I832">
        <f ca="1" t="shared" si="38"/>
        <v>1</v>
      </c>
      <c r="J832">
        <f>_xlfn.XLOOKUP($A832,[1]Sheet1!$B$9:$B$2584,[1]Sheet1!$C$9:$C$2584,"N/A",0)</f>
        <v>99.02</v>
      </c>
      <c r="K832">
        <f>_xlfn.XLOOKUP($A832,[1]Sheet1!$E$9:$E$2584,[1]Sheet1!$F$9:$F$2584,"N/A",0)</f>
        <v>125.73</v>
      </c>
      <c r="L832">
        <f>_xlfn.XLOOKUP($A832,[1]Sheet1!$H$9:$H$2584,[1]Sheet1!$I$9:$I$2584,"N/A",0)</f>
        <v>82.7</v>
      </c>
      <c r="M832">
        <f>_xlfn.XLOOKUP($A832,[1]Sheet1!$K$9:$K$2584,[1]Sheet1!$L$9:$L$2584,"N/A",0)</f>
        <v>138.28</v>
      </c>
      <c r="N832">
        <f>_xlfn.XLOOKUP($A832,[1]Sheet1!$N$9:$N$2584,[1]Sheet1!$O$9:$O$2584,"N/A",0)</f>
        <v>103.01</v>
      </c>
      <c r="O832">
        <v>99.02</v>
      </c>
      <c r="P832">
        <v>125.73</v>
      </c>
      <c r="Q832">
        <v>82.7</v>
      </c>
      <c r="R832">
        <v>103.01</v>
      </c>
      <c r="S832">
        <v>138.28</v>
      </c>
    </row>
    <row r="833" spans="1:19">
      <c r="A833" s="1">
        <v>43577</v>
      </c>
      <c r="B833" t="s">
        <v>404</v>
      </c>
      <c r="C833" t="s">
        <v>412</v>
      </c>
      <c r="D833">
        <v>14.175</v>
      </c>
      <c r="E833">
        <v>15.375</v>
      </c>
      <c r="F833">
        <v>0.0846560846560846</v>
      </c>
      <c r="G833">
        <f ca="1" t="shared" si="36"/>
        <v>1.1273356113863</v>
      </c>
      <c r="H833" t="str">
        <f ca="1" t="shared" si="37"/>
        <v>Risk-Off</v>
      </c>
      <c r="I833">
        <f ca="1" t="shared" si="38"/>
        <v>1</v>
      </c>
      <c r="J833">
        <f>_xlfn.XLOOKUP($A833,[1]Sheet1!$B$9:$B$2584,[1]Sheet1!$C$9:$C$2584,"N/A",0)</f>
        <v>99</v>
      </c>
      <c r="K833">
        <f>_xlfn.XLOOKUP($A833,[1]Sheet1!$E$9:$E$2584,[1]Sheet1!$F$9:$F$2584,"N/A",0)</f>
        <v>126.85</v>
      </c>
      <c r="L833">
        <f>_xlfn.XLOOKUP($A833,[1]Sheet1!$H$9:$H$2584,[1]Sheet1!$I$9:$I$2584,"N/A",0)</f>
        <v>82.09</v>
      </c>
      <c r="M833">
        <f>_xlfn.XLOOKUP($A833,[1]Sheet1!$K$9:$K$2584,[1]Sheet1!$L$9:$L$2584,"N/A",0)</f>
        <v>137.87</v>
      </c>
      <c r="N833">
        <f>_xlfn.XLOOKUP($A833,[1]Sheet1!$N$9:$N$2584,[1]Sheet1!$O$9:$O$2584,"N/A",0)</f>
        <v>103.39</v>
      </c>
      <c r="O833">
        <v>99</v>
      </c>
      <c r="P833">
        <v>126.85</v>
      </c>
      <c r="Q833">
        <v>82.09</v>
      </c>
      <c r="R833">
        <v>103.39</v>
      </c>
      <c r="S833">
        <v>137.87</v>
      </c>
    </row>
    <row r="834" spans="1:19">
      <c r="A834" s="1">
        <v>43578</v>
      </c>
      <c r="B834" t="s">
        <v>404</v>
      </c>
      <c r="C834" t="s">
        <v>412</v>
      </c>
      <c r="D834">
        <v>14.125</v>
      </c>
      <c r="E834">
        <v>15.325</v>
      </c>
      <c r="F834">
        <v>0.0849557522123893</v>
      </c>
      <c r="G834">
        <f ca="1" t="shared" si="36"/>
        <v>1.1210033570027</v>
      </c>
      <c r="H834" t="str">
        <f ca="1" t="shared" si="37"/>
        <v>Risk-Off</v>
      </c>
      <c r="I834">
        <f ca="1" t="shared" si="38"/>
        <v>1</v>
      </c>
      <c r="J834">
        <f>_xlfn.XLOOKUP($A834,[1]Sheet1!$B$9:$B$2584,[1]Sheet1!$C$9:$C$2584,"N/A",0)</f>
        <v>99.02</v>
      </c>
      <c r="K834">
        <f>_xlfn.XLOOKUP($A834,[1]Sheet1!$E$9:$E$2584,[1]Sheet1!$F$9:$F$2584,"N/A",0)</f>
        <v>126.86</v>
      </c>
      <c r="L834">
        <f>_xlfn.XLOOKUP($A834,[1]Sheet1!$H$9:$H$2584,[1]Sheet1!$I$9:$I$2584,"N/A",0)</f>
        <v>81.77</v>
      </c>
      <c r="M834">
        <f>_xlfn.XLOOKUP($A834,[1]Sheet1!$K$9:$K$2584,[1]Sheet1!$L$9:$L$2584,"N/A",0)</f>
        <v>138.25</v>
      </c>
      <c r="N834">
        <f>_xlfn.XLOOKUP($A834,[1]Sheet1!$N$9:$N$2584,[1]Sheet1!$O$9:$O$2584,"N/A",0)</f>
        <v>102.51</v>
      </c>
      <c r="O834">
        <v>99.02</v>
      </c>
      <c r="P834">
        <v>126.86</v>
      </c>
      <c r="Q834">
        <v>81.77</v>
      </c>
      <c r="R834">
        <v>102.51</v>
      </c>
      <c r="S834">
        <v>138.25</v>
      </c>
    </row>
    <row r="835" spans="1:19">
      <c r="A835" s="1">
        <v>43579</v>
      </c>
      <c r="B835" t="s">
        <v>404</v>
      </c>
      <c r="C835" t="s">
        <v>412</v>
      </c>
      <c r="D835">
        <v>14.575</v>
      </c>
      <c r="E835">
        <v>15.625</v>
      </c>
      <c r="F835">
        <v>0.072041166380789</v>
      </c>
      <c r="G835">
        <f ca="1" t="shared" ref="G835:G898" si="39">IF(ROW()-ROW($A$3)+1&gt;252,(F835-AVERAGE(OFFSET(F835,-252,0,252,1)))/_xlfn.STDEV.S(OFFSET(F835,-252,0,252,1)),"N/A")</f>
        <v>0.877705023967311</v>
      </c>
      <c r="H835" t="str">
        <f ca="1" t="shared" ref="H835:H898" si="40">IF(G835&lt;&gt;"N/A",IF(G1085&gt;-0.5,"Risk-On","Risk-Off"),"N/A")</f>
        <v>Risk-Off</v>
      </c>
      <c r="I835">
        <f ca="1" t="shared" si="38"/>
        <v>1</v>
      </c>
      <c r="J835">
        <f>_xlfn.XLOOKUP($A835,[1]Sheet1!$B$9:$B$2584,[1]Sheet1!$C$9:$C$2584,"N/A",0)</f>
        <v>99.19</v>
      </c>
      <c r="K835">
        <f>_xlfn.XLOOKUP($A835,[1]Sheet1!$E$9:$E$2584,[1]Sheet1!$F$9:$F$2584,"N/A",0)</f>
        <v>127.06</v>
      </c>
      <c r="L835">
        <f>_xlfn.XLOOKUP($A835,[1]Sheet1!$H$9:$H$2584,[1]Sheet1!$I$9:$I$2584,"N/A",0)</f>
        <v>81.42</v>
      </c>
      <c r="M835">
        <f>_xlfn.XLOOKUP($A835,[1]Sheet1!$K$9:$K$2584,[1]Sheet1!$L$9:$L$2584,"N/A",0)</f>
        <v>138.56</v>
      </c>
      <c r="N835">
        <f>_xlfn.XLOOKUP($A835,[1]Sheet1!$N$9:$N$2584,[1]Sheet1!$O$9:$O$2584,"N/A",0)</f>
        <v>102.26</v>
      </c>
      <c r="O835">
        <v>99.19</v>
      </c>
      <c r="P835">
        <v>127.06</v>
      </c>
      <c r="Q835">
        <v>81.42</v>
      </c>
      <c r="R835">
        <v>102.26</v>
      </c>
      <c r="S835">
        <v>138.56</v>
      </c>
    </row>
    <row r="836" spans="1:19">
      <c r="A836" s="1">
        <v>43580</v>
      </c>
      <c r="B836" t="s">
        <v>404</v>
      </c>
      <c r="C836" t="s">
        <v>412</v>
      </c>
      <c r="D836">
        <v>14.825</v>
      </c>
      <c r="E836">
        <v>15.975</v>
      </c>
      <c r="F836">
        <v>0.0775716694772344</v>
      </c>
      <c r="G836">
        <f ca="1" t="shared" si="39"/>
        <v>0.969573813274807</v>
      </c>
      <c r="H836" t="str">
        <f ca="1" t="shared" si="40"/>
        <v>Risk-Off</v>
      </c>
      <c r="I836">
        <f ca="1" t="shared" ref="I836:I899" si="41">IF(H836&lt;&gt;"N/A",IF(H1086&gt;-0.5,1,0),0)</f>
        <v>1</v>
      </c>
      <c r="J836">
        <f>_xlfn.XLOOKUP($A836,[1]Sheet1!$B$9:$B$2584,[1]Sheet1!$C$9:$C$2584,"N/A",0)</f>
        <v>99.57</v>
      </c>
      <c r="K836">
        <f>_xlfn.XLOOKUP($A836,[1]Sheet1!$E$9:$E$2584,[1]Sheet1!$F$9:$F$2584,"N/A",0)</f>
        <v>129.02</v>
      </c>
      <c r="L836">
        <f>_xlfn.XLOOKUP($A836,[1]Sheet1!$H$9:$H$2584,[1]Sheet1!$I$9:$I$2584,"N/A",0)</f>
        <v>81.27</v>
      </c>
      <c r="M836">
        <f>_xlfn.XLOOKUP($A836,[1]Sheet1!$K$9:$K$2584,[1]Sheet1!$L$9:$L$2584,"N/A",0)</f>
        <v>138.35</v>
      </c>
      <c r="N836">
        <f>_xlfn.XLOOKUP($A836,[1]Sheet1!$N$9:$N$2584,[1]Sheet1!$O$9:$O$2584,"N/A",0)</f>
        <v>102.79</v>
      </c>
      <c r="O836">
        <v>99.57</v>
      </c>
      <c r="P836">
        <v>129.02</v>
      </c>
      <c r="Q836">
        <v>81.27</v>
      </c>
      <c r="R836">
        <v>102.79</v>
      </c>
      <c r="S836">
        <v>138.35</v>
      </c>
    </row>
    <row r="837" spans="1:19">
      <c r="A837" s="1">
        <v>43581</v>
      </c>
      <c r="B837" t="s">
        <v>404</v>
      </c>
      <c r="C837" t="s">
        <v>412</v>
      </c>
      <c r="D837">
        <v>14.325</v>
      </c>
      <c r="E837">
        <v>15.525</v>
      </c>
      <c r="F837">
        <v>0.0837696335078534</v>
      </c>
      <c r="G837">
        <f ca="1" t="shared" si="39"/>
        <v>1.07274951814419</v>
      </c>
      <c r="H837" t="str">
        <f ca="1" t="shared" si="40"/>
        <v>Risk-Off</v>
      </c>
      <c r="I837">
        <f ca="1" t="shared" si="41"/>
        <v>1</v>
      </c>
      <c r="J837">
        <f>_xlfn.XLOOKUP($A837,[1]Sheet1!$B$9:$B$2584,[1]Sheet1!$C$9:$C$2584,"N/A",0)</f>
        <v>99.51</v>
      </c>
      <c r="K837">
        <f>_xlfn.XLOOKUP($A837,[1]Sheet1!$E$9:$E$2584,[1]Sheet1!$F$9:$F$2584,"N/A",0)</f>
        <v>129.35</v>
      </c>
      <c r="L837">
        <f>_xlfn.XLOOKUP($A837,[1]Sheet1!$H$9:$H$2584,[1]Sheet1!$I$9:$I$2584,"N/A",0)</f>
        <v>81.19</v>
      </c>
      <c r="M837">
        <f>_xlfn.XLOOKUP($A837,[1]Sheet1!$K$9:$K$2584,[1]Sheet1!$L$9:$L$2584,"N/A",0)</f>
        <v>137.86</v>
      </c>
      <c r="N837">
        <f>_xlfn.XLOOKUP($A837,[1]Sheet1!$N$9:$N$2584,[1]Sheet1!$O$9:$O$2584,"N/A",0)</f>
        <v>102.25</v>
      </c>
      <c r="O837">
        <v>99.51</v>
      </c>
      <c r="P837">
        <v>129.35</v>
      </c>
      <c r="Q837">
        <v>81.19</v>
      </c>
      <c r="R837">
        <v>102.25</v>
      </c>
      <c r="S837">
        <v>137.86</v>
      </c>
    </row>
    <row r="838" spans="1:19">
      <c r="A838" s="1">
        <v>43584</v>
      </c>
      <c r="B838" t="s">
        <v>404</v>
      </c>
      <c r="C838" t="s">
        <v>412</v>
      </c>
      <c r="D838">
        <v>14.525</v>
      </c>
      <c r="E838">
        <v>15.725</v>
      </c>
      <c r="F838">
        <v>0.0826161790017211</v>
      </c>
      <c r="G838">
        <f ca="1" t="shared" si="39"/>
        <v>1.04110738784381</v>
      </c>
      <c r="H838" t="str">
        <f ca="1" t="shared" si="40"/>
        <v>Risk-On</v>
      </c>
      <c r="I838">
        <f ca="1" t="shared" si="41"/>
        <v>1</v>
      </c>
      <c r="J838">
        <f>_xlfn.XLOOKUP($A838,[1]Sheet1!$B$9:$B$2584,[1]Sheet1!$C$9:$C$2584,"N/A",0)</f>
        <v>99.4</v>
      </c>
      <c r="K838">
        <f>_xlfn.XLOOKUP($A838,[1]Sheet1!$E$9:$E$2584,[1]Sheet1!$F$9:$F$2584,"N/A",0)</f>
        <v>129.1</v>
      </c>
      <c r="L838">
        <f>_xlfn.XLOOKUP($A838,[1]Sheet1!$H$9:$H$2584,[1]Sheet1!$I$9:$I$2584,"N/A",0)</f>
        <v>81.22</v>
      </c>
      <c r="M838">
        <f>_xlfn.XLOOKUP($A838,[1]Sheet1!$K$9:$K$2584,[1]Sheet1!$L$9:$L$2584,"N/A",0)</f>
        <v>137.42</v>
      </c>
      <c r="N838">
        <f>_xlfn.XLOOKUP($A838,[1]Sheet1!$N$9:$N$2584,[1]Sheet1!$O$9:$O$2584,"N/A",0)</f>
        <v>102.12</v>
      </c>
      <c r="O838">
        <v>99.4</v>
      </c>
      <c r="P838">
        <v>129.1</v>
      </c>
      <c r="Q838">
        <v>81.22</v>
      </c>
      <c r="R838">
        <v>102.12</v>
      </c>
      <c r="S838">
        <v>137.42</v>
      </c>
    </row>
    <row r="839" spans="1:19">
      <c r="A839" s="1">
        <v>43585</v>
      </c>
      <c r="B839" t="s">
        <v>404</v>
      </c>
      <c r="C839" t="s">
        <v>412</v>
      </c>
      <c r="D839">
        <v>14.425</v>
      </c>
      <c r="E839">
        <v>15.775</v>
      </c>
      <c r="F839">
        <v>0.0935875216637781</v>
      </c>
      <c r="G839">
        <f ca="1" t="shared" si="39"/>
        <v>1.23474434324286</v>
      </c>
      <c r="H839" t="str">
        <f ca="1" t="shared" si="40"/>
        <v>Risk-On</v>
      </c>
      <c r="I839">
        <f ca="1" t="shared" si="41"/>
        <v>1</v>
      </c>
      <c r="J839">
        <f>_xlfn.XLOOKUP($A839,[1]Sheet1!$B$9:$B$2584,[1]Sheet1!$C$9:$C$2584,"N/A",0)</f>
        <v>99.5</v>
      </c>
      <c r="K839">
        <f>_xlfn.XLOOKUP($A839,[1]Sheet1!$E$9:$E$2584,[1]Sheet1!$F$9:$F$2584,"N/A",0)</f>
        <v>129.44</v>
      </c>
      <c r="L839">
        <f>_xlfn.XLOOKUP($A839,[1]Sheet1!$H$9:$H$2584,[1]Sheet1!$I$9:$I$2584,"N/A",0)</f>
        <v>81.38</v>
      </c>
      <c r="M839">
        <f>_xlfn.XLOOKUP($A839,[1]Sheet1!$K$9:$K$2584,[1]Sheet1!$L$9:$L$2584,"N/A",0)</f>
        <v>137.88</v>
      </c>
      <c r="N839">
        <f>_xlfn.XLOOKUP($A839,[1]Sheet1!$N$9:$N$2584,[1]Sheet1!$O$9:$O$2584,"N/A",0)</f>
        <v>102.59</v>
      </c>
      <c r="O839">
        <v>99.5</v>
      </c>
      <c r="P839">
        <v>129.44</v>
      </c>
      <c r="Q839">
        <v>81.38</v>
      </c>
      <c r="R839">
        <v>102.59</v>
      </c>
      <c r="S839">
        <v>137.88</v>
      </c>
    </row>
    <row r="840" spans="1:19">
      <c r="A840" s="1">
        <v>43586</v>
      </c>
      <c r="B840" t="s">
        <v>404</v>
      </c>
      <c r="C840" t="s">
        <v>412</v>
      </c>
      <c r="D840">
        <v>15.225</v>
      </c>
      <c r="E840">
        <v>16.325</v>
      </c>
      <c r="F840">
        <v>0.0722495894909687</v>
      </c>
      <c r="G840">
        <f ca="1" t="shared" si="39"/>
        <v>0.835591275622307</v>
      </c>
      <c r="H840" t="str">
        <f ca="1" t="shared" si="40"/>
        <v>Risk-On</v>
      </c>
      <c r="I840">
        <f ca="1" t="shared" si="41"/>
        <v>1</v>
      </c>
      <c r="J840">
        <f>_xlfn.XLOOKUP($A840,[1]Sheet1!$B$9:$B$2584,[1]Sheet1!$C$9:$C$2584,"N/A",0)</f>
        <v>100.03</v>
      </c>
      <c r="K840">
        <f>_xlfn.XLOOKUP($A840,[1]Sheet1!$E$9:$E$2584,[1]Sheet1!$F$9:$F$2584,"N/A",0)</f>
        <v>129.44</v>
      </c>
      <c r="L840">
        <f>_xlfn.XLOOKUP($A840,[1]Sheet1!$H$9:$H$2584,[1]Sheet1!$I$9:$I$2584,"N/A",0)</f>
        <v>81.75</v>
      </c>
      <c r="M840">
        <f>_xlfn.XLOOKUP($A840,[1]Sheet1!$K$9:$K$2584,[1]Sheet1!$L$9:$L$2584,"N/A",0)</f>
        <v>137.69</v>
      </c>
      <c r="N840">
        <f>_xlfn.XLOOKUP($A840,[1]Sheet1!$N$9:$N$2584,[1]Sheet1!$O$9:$O$2584,"N/A",0)</f>
        <v>102.77</v>
      </c>
      <c r="O840">
        <v>100.03</v>
      </c>
      <c r="P840">
        <v>129.44</v>
      </c>
      <c r="Q840">
        <v>81.75</v>
      </c>
      <c r="R840">
        <v>102.77</v>
      </c>
      <c r="S840">
        <v>137.69</v>
      </c>
    </row>
    <row r="841" spans="1:19">
      <c r="A841" s="1">
        <v>43587</v>
      </c>
      <c r="B841" t="s">
        <v>404</v>
      </c>
      <c r="C841" t="s">
        <v>412</v>
      </c>
      <c r="D841">
        <v>15.175</v>
      </c>
      <c r="E841">
        <v>16.225</v>
      </c>
      <c r="F841">
        <v>0.0691927512355848</v>
      </c>
      <c r="G841">
        <f ca="1" t="shared" si="39"/>
        <v>0.776298345966786</v>
      </c>
      <c r="H841" t="str">
        <f ca="1" t="shared" si="40"/>
        <v>Risk-On</v>
      </c>
      <c r="I841">
        <f ca="1" t="shared" si="41"/>
        <v>1</v>
      </c>
      <c r="J841">
        <f>_xlfn.XLOOKUP($A841,[1]Sheet1!$B$9:$B$2584,[1]Sheet1!$C$9:$C$2584,"N/A",0)</f>
        <v>100.16</v>
      </c>
      <c r="K841">
        <f>_xlfn.XLOOKUP($A841,[1]Sheet1!$E$9:$E$2584,[1]Sheet1!$F$9:$F$2584,"N/A",0)</f>
        <v>130.57</v>
      </c>
      <c r="L841">
        <f>_xlfn.XLOOKUP($A841,[1]Sheet1!$H$9:$H$2584,[1]Sheet1!$I$9:$I$2584,"N/A",0)</f>
        <v>81.47</v>
      </c>
      <c r="M841">
        <f>_xlfn.XLOOKUP($A841,[1]Sheet1!$K$9:$K$2584,[1]Sheet1!$L$9:$L$2584,"N/A",0)</f>
        <v>139.05</v>
      </c>
      <c r="N841">
        <f>_xlfn.XLOOKUP($A841,[1]Sheet1!$N$9:$N$2584,[1]Sheet1!$O$9:$O$2584,"N/A",0)</f>
        <v>102.45</v>
      </c>
      <c r="O841">
        <v>100.16</v>
      </c>
      <c r="P841">
        <v>130.57</v>
      </c>
      <c r="Q841">
        <v>81.47</v>
      </c>
      <c r="R841">
        <v>102.45</v>
      </c>
      <c r="S841">
        <v>139.05</v>
      </c>
    </row>
    <row r="842" spans="1:19">
      <c r="A842" s="1">
        <v>43588</v>
      </c>
      <c r="B842" t="s">
        <v>404</v>
      </c>
      <c r="C842" t="s">
        <v>412</v>
      </c>
      <c r="D842">
        <v>14.275</v>
      </c>
      <c r="E842">
        <v>15.575</v>
      </c>
      <c r="F842">
        <v>0.0910683012259193</v>
      </c>
      <c r="G842">
        <f ca="1" t="shared" si="39"/>
        <v>1.16538545255355</v>
      </c>
      <c r="H842" t="str">
        <f ca="1" t="shared" si="40"/>
        <v>Risk-On</v>
      </c>
      <c r="I842">
        <f ca="1" t="shared" si="41"/>
        <v>1</v>
      </c>
      <c r="J842">
        <f>_xlfn.XLOOKUP($A842,[1]Sheet1!$B$9:$B$2584,[1]Sheet1!$C$9:$C$2584,"N/A",0)</f>
        <v>100.16</v>
      </c>
      <c r="K842">
        <f>_xlfn.XLOOKUP($A842,[1]Sheet1!$E$9:$E$2584,[1]Sheet1!$F$9:$F$2584,"N/A",0)</f>
        <v>130.33</v>
      </c>
      <c r="L842">
        <f>_xlfn.XLOOKUP($A842,[1]Sheet1!$H$9:$H$2584,[1]Sheet1!$I$9:$I$2584,"N/A",0)</f>
        <v>81.17</v>
      </c>
      <c r="M842">
        <f>_xlfn.XLOOKUP($A842,[1]Sheet1!$K$9:$K$2584,[1]Sheet1!$L$9:$L$2584,"N/A",0)</f>
        <v>139.14</v>
      </c>
      <c r="N842">
        <f>_xlfn.XLOOKUP($A842,[1]Sheet1!$N$9:$N$2584,[1]Sheet1!$O$9:$O$2584,"N/A",0)</f>
        <v>101.53</v>
      </c>
      <c r="O842">
        <v>100.16</v>
      </c>
      <c r="P842">
        <v>130.33</v>
      </c>
      <c r="Q842">
        <v>81.17</v>
      </c>
      <c r="R842">
        <v>101.53</v>
      </c>
      <c r="S842">
        <v>139.14</v>
      </c>
    </row>
    <row r="843" spans="1:19">
      <c r="A843" s="1">
        <v>43591</v>
      </c>
      <c r="B843" t="s">
        <v>404</v>
      </c>
      <c r="C843" t="s">
        <v>412</v>
      </c>
      <c r="D843">
        <v>15.525</v>
      </c>
      <c r="E843">
        <v>16.325</v>
      </c>
      <c r="F843">
        <v>0.0515297906602253</v>
      </c>
      <c r="G843">
        <f ca="1" t="shared" si="39"/>
        <v>0.439118067313515</v>
      </c>
      <c r="H843" t="str">
        <f ca="1" t="shared" si="40"/>
        <v>Risk-On</v>
      </c>
      <c r="I843">
        <f ca="1" t="shared" si="41"/>
        <v>1</v>
      </c>
      <c r="J843">
        <f>_xlfn.XLOOKUP($A843,[1]Sheet1!$B$9:$B$2584,[1]Sheet1!$C$9:$C$2584,"N/A",0)</f>
        <v>99.9</v>
      </c>
      <c r="K843">
        <f>_xlfn.XLOOKUP($A843,[1]Sheet1!$E$9:$E$2584,[1]Sheet1!$F$9:$F$2584,"N/A",0)</f>
        <v>130.94</v>
      </c>
      <c r="L843">
        <f>_xlfn.XLOOKUP($A843,[1]Sheet1!$H$9:$H$2584,[1]Sheet1!$I$9:$I$2584,"N/A",0)</f>
        <v>80.74</v>
      </c>
      <c r="M843">
        <f>_xlfn.XLOOKUP($A843,[1]Sheet1!$K$9:$K$2584,[1]Sheet1!$L$9:$L$2584,"N/A",0)</f>
        <v>138.99</v>
      </c>
      <c r="N843">
        <f>_xlfn.XLOOKUP($A843,[1]Sheet1!$N$9:$N$2584,[1]Sheet1!$O$9:$O$2584,"N/A",0)</f>
        <v>101.03</v>
      </c>
      <c r="O843">
        <v>99.9</v>
      </c>
      <c r="P843">
        <v>130.94</v>
      </c>
      <c r="Q843">
        <v>80.74</v>
      </c>
      <c r="R843">
        <v>101.03</v>
      </c>
      <c r="S843">
        <v>138.99</v>
      </c>
    </row>
    <row r="844" spans="1:19">
      <c r="A844" s="1">
        <v>43592</v>
      </c>
      <c r="B844" t="s">
        <v>404</v>
      </c>
      <c r="C844" t="s">
        <v>412</v>
      </c>
      <c r="D844">
        <v>17.875</v>
      </c>
      <c r="E844">
        <v>17.725</v>
      </c>
      <c r="F844">
        <v>-0.00839160839160831</v>
      </c>
      <c r="G844">
        <f ca="1" t="shared" si="39"/>
        <v>-0.646397067481355</v>
      </c>
      <c r="H844" t="str">
        <f ca="1" t="shared" si="40"/>
        <v>Risk-On</v>
      </c>
      <c r="I844">
        <f ca="1" t="shared" si="41"/>
        <v>1</v>
      </c>
      <c r="J844">
        <f>_xlfn.XLOOKUP($A844,[1]Sheet1!$B$9:$B$2584,[1]Sheet1!$C$9:$C$2584,"N/A",0)</f>
        <v>99.88</v>
      </c>
      <c r="K844">
        <f>_xlfn.XLOOKUP($A844,[1]Sheet1!$E$9:$E$2584,[1]Sheet1!$F$9:$F$2584,"N/A",0)</f>
        <v>131.33</v>
      </c>
      <c r="L844">
        <f>_xlfn.XLOOKUP($A844,[1]Sheet1!$H$9:$H$2584,[1]Sheet1!$I$9:$I$2584,"N/A",0)</f>
        <v>80.53</v>
      </c>
      <c r="M844">
        <f>_xlfn.XLOOKUP($A844,[1]Sheet1!$K$9:$K$2584,[1]Sheet1!$L$9:$L$2584,"N/A",0)</f>
        <v>138.75</v>
      </c>
      <c r="N844">
        <f>_xlfn.XLOOKUP($A844,[1]Sheet1!$N$9:$N$2584,[1]Sheet1!$O$9:$O$2584,"N/A",0)</f>
        <v>101.27</v>
      </c>
      <c r="O844">
        <v>99.88</v>
      </c>
      <c r="P844">
        <v>131.33</v>
      </c>
      <c r="Q844">
        <v>80.53</v>
      </c>
      <c r="R844">
        <v>101.27</v>
      </c>
      <c r="S844">
        <v>138.75</v>
      </c>
    </row>
    <row r="845" spans="1:19">
      <c r="A845" s="1">
        <v>43593</v>
      </c>
      <c r="B845" t="s">
        <v>404</v>
      </c>
      <c r="C845" t="s">
        <v>412</v>
      </c>
      <c r="D845">
        <v>18.175</v>
      </c>
      <c r="E845">
        <v>17.925</v>
      </c>
      <c r="F845">
        <v>-0.0137551581843191</v>
      </c>
      <c r="G845">
        <f ca="1" t="shared" si="39"/>
        <v>-0.738100243732695</v>
      </c>
      <c r="H845" t="str">
        <f ca="1" t="shared" si="40"/>
        <v>Risk-On</v>
      </c>
      <c r="I845">
        <f ca="1" t="shared" si="41"/>
        <v>1</v>
      </c>
      <c r="J845">
        <f>_xlfn.XLOOKUP($A845,[1]Sheet1!$B$9:$B$2584,[1]Sheet1!$C$9:$C$2584,"N/A",0)</f>
        <v>99.69</v>
      </c>
      <c r="K845">
        <f>_xlfn.XLOOKUP($A845,[1]Sheet1!$E$9:$E$2584,[1]Sheet1!$F$9:$F$2584,"N/A",0)</f>
        <v>131.85</v>
      </c>
      <c r="L845">
        <f>_xlfn.XLOOKUP($A845,[1]Sheet1!$H$9:$H$2584,[1]Sheet1!$I$9:$I$2584,"N/A",0)</f>
        <v>80.48</v>
      </c>
      <c r="M845">
        <f>_xlfn.XLOOKUP($A845,[1]Sheet1!$K$9:$K$2584,[1]Sheet1!$L$9:$L$2584,"N/A",0)</f>
        <v>138.61</v>
      </c>
      <c r="N845">
        <f>_xlfn.XLOOKUP($A845,[1]Sheet1!$N$9:$N$2584,[1]Sheet1!$O$9:$O$2584,"N/A",0)</f>
        <v>101.56</v>
      </c>
      <c r="O845">
        <v>99.69</v>
      </c>
      <c r="P845">
        <v>131.85</v>
      </c>
      <c r="Q845">
        <v>80.48</v>
      </c>
      <c r="R845">
        <v>101.56</v>
      </c>
      <c r="S845">
        <v>138.61</v>
      </c>
    </row>
    <row r="846" spans="1:19">
      <c r="A846" s="1">
        <v>43594</v>
      </c>
      <c r="B846" t="s">
        <v>404</v>
      </c>
      <c r="C846" t="s">
        <v>412</v>
      </c>
      <c r="D846">
        <v>17.975</v>
      </c>
      <c r="E846">
        <v>17.875</v>
      </c>
      <c r="F846">
        <v>-0.00556328233657866</v>
      </c>
      <c r="G846">
        <f ca="1" t="shared" si="39"/>
        <v>-0.586786206448106</v>
      </c>
      <c r="H846" t="str">
        <f ca="1" t="shared" si="40"/>
        <v>Risk-On</v>
      </c>
      <c r="I846">
        <f ca="1" t="shared" si="41"/>
        <v>1</v>
      </c>
      <c r="J846">
        <f>_xlfn.XLOOKUP($A846,[1]Sheet1!$B$9:$B$2584,[1]Sheet1!$C$9:$C$2584,"N/A",0)</f>
        <v>99.98</v>
      </c>
      <c r="K846">
        <f>_xlfn.XLOOKUP($A846,[1]Sheet1!$E$9:$E$2584,[1]Sheet1!$F$9:$F$2584,"N/A",0)</f>
        <v>131.58</v>
      </c>
      <c r="L846">
        <f>_xlfn.XLOOKUP($A846,[1]Sheet1!$H$9:$H$2584,[1]Sheet1!$I$9:$I$2584,"N/A",0)</f>
        <v>80.33</v>
      </c>
      <c r="M846">
        <f>_xlfn.XLOOKUP($A846,[1]Sheet1!$K$9:$K$2584,[1]Sheet1!$L$9:$L$2584,"N/A",0)</f>
        <v>138.35</v>
      </c>
      <c r="N846">
        <f>_xlfn.XLOOKUP($A846,[1]Sheet1!$N$9:$N$2584,[1]Sheet1!$O$9:$O$2584,"N/A",0)</f>
        <v>101.51</v>
      </c>
      <c r="O846">
        <v>99.98</v>
      </c>
      <c r="P846">
        <v>131.58</v>
      </c>
      <c r="Q846">
        <v>80.33</v>
      </c>
      <c r="R846">
        <v>101.51</v>
      </c>
      <c r="S846">
        <v>138.35</v>
      </c>
    </row>
    <row r="847" spans="1:19">
      <c r="A847" s="1">
        <v>43595</v>
      </c>
      <c r="B847" t="s">
        <v>404</v>
      </c>
      <c r="C847" t="s">
        <v>412</v>
      </c>
      <c r="D847">
        <v>16.125</v>
      </c>
      <c r="E847">
        <v>16.825</v>
      </c>
      <c r="F847">
        <v>0.0434108527131782</v>
      </c>
      <c r="G847">
        <f ca="1" t="shared" si="39"/>
        <v>0.303142416893568</v>
      </c>
      <c r="H847" t="str">
        <f ca="1" t="shared" si="40"/>
        <v>Risk-On</v>
      </c>
      <c r="I847">
        <f ca="1" t="shared" si="41"/>
        <v>1</v>
      </c>
      <c r="J847">
        <f>_xlfn.XLOOKUP($A847,[1]Sheet1!$B$9:$B$2584,[1]Sheet1!$C$9:$C$2584,"N/A",0)</f>
        <v>100.14</v>
      </c>
      <c r="K847">
        <f>_xlfn.XLOOKUP($A847,[1]Sheet1!$E$9:$E$2584,[1]Sheet1!$F$9:$F$2584,"N/A",0)</f>
        <v>133.05</v>
      </c>
      <c r="L847">
        <f>_xlfn.XLOOKUP($A847,[1]Sheet1!$H$9:$H$2584,[1]Sheet1!$I$9:$I$2584,"N/A",0)</f>
        <v>80.36</v>
      </c>
      <c r="M847">
        <f>_xlfn.XLOOKUP($A847,[1]Sheet1!$K$9:$K$2584,[1]Sheet1!$L$9:$L$2584,"N/A",0)</f>
        <v>138.29</v>
      </c>
      <c r="N847">
        <f>_xlfn.XLOOKUP($A847,[1]Sheet1!$N$9:$N$2584,[1]Sheet1!$O$9:$O$2584,"N/A",0)</f>
        <v>101.67</v>
      </c>
      <c r="O847">
        <v>100.14</v>
      </c>
      <c r="P847">
        <v>133.05</v>
      </c>
      <c r="Q847">
        <v>80.36</v>
      </c>
      <c r="R847">
        <v>101.67</v>
      </c>
      <c r="S847">
        <v>138.29</v>
      </c>
    </row>
    <row r="848" spans="1:19">
      <c r="A848" s="1">
        <v>43598</v>
      </c>
      <c r="B848" t="s">
        <v>404</v>
      </c>
      <c r="C848" t="s">
        <v>412</v>
      </c>
      <c r="D848">
        <v>19.525</v>
      </c>
      <c r="E848">
        <v>18.975</v>
      </c>
      <c r="F848">
        <v>-0.0281690140845068</v>
      </c>
      <c r="G848">
        <f ca="1" t="shared" si="39"/>
        <v>-0.993466664001737</v>
      </c>
      <c r="H848" t="str">
        <f ca="1" t="shared" si="40"/>
        <v>Risk-On</v>
      </c>
      <c r="I848">
        <f ca="1" t="shared" si="41"/>
        <v>1</v>
      </c>
      <c r="J848">
        <f>_xlfn.XLOOKUP($A848,[1]Sheet1!$B$9:$B$2584,[1]Sheet1!$C$9:$C$2584,"N/A",0)</f>
        <v>100.09</v>
      </c>
      <c r="K848">
        <f>_xlfn.XLOOKUP($A848,[1]Sheet1!$E$9:$E$2584,[1]Sheet1!$F$9:$F$2584,"N/A",0)</f>
        <v>133.59</v>
      </c>
      <c r="L848">
        <f>_xlfn.XLOOKUP($A848,[1]Sheet1!$H$9:$H$2584,[1]Sheet1!$I$9:$I$2584,"N/A",0)</f>
        <v>79.75</v>
      </c>
      <c r="M848">
        <f>_xlfn.XLOOKUP($A848,[1]Sheet1!$K$9:$K$2584,[1]Sheet1!$L$9:$L$2584,"N/A",0)</f>
        <v>137.99</v>
      </c>
      <c r="N848">
        <f>_xlfn.XLOOKUP($A848,[1]Sheet1!$N$9:$N$2584,[1]Sheet1!$O$9:$O$2584,"N/A",0)</f>
        <v>102.08</v>
      </c>
      <c r="O848">
        <v>100.09</v>
      </c>
      <c r="P848">
        <v>133.59</v>
      </c>
      <c r="Q848">
        <v>79.75</v>
      </c>
      <c r="R848">
        <v>102.08</v>
      </c>
      <c r="S848">
        <v>137.99</v>
      </c>
    </row>
    <row r="849" spans="1:19">
      <c r="A849" s="1">
        <v>43599</v>
      </c>
      <c r="B849" t="s">
        <v>404</v>
      </c>
      <c r="C849" t="s">
        <v>412</v>
      </c>
      <c r="D849">
        <v>18.125</v>
      </c>
      <c r="E849">
        <v>18.075</v>
      </c>
      <c r="F849">
        <v>-0.00275862068965521</v>
      </c>
      <c r="G849">
        <f ca="1" t="shared" si="39"/>
        <v>-0.52204099040788</v>
      </c>
      <c r="H849" t="str">
        <f ca="1" t="shared" si="40"/>
        <v>Risk-On</v>
      </c>
      <c r="I849">
        <f ca="1" t="shared" si="41"/>
        <v>1</v>
      </c>
      <c r="J849">
        <f>_xlfn.XLOOKUP($A849,[1]Sheet1!$B$9:$B$2584,[1]Sheet1!$C$9:$C$2584,"N/A",0)</f>
        <v>99.94</v>
      </c>
      <c r="K849">
        <f>_xlfn.XLOOKUP($A849,[1]Sheet1!$E$9:$E$2584,[1]Sheet1!$F$9:$F$2584,"N/A",0)</f>
        <v>133.84</v>
      </c>
      <c r="L849">
        <f>_xlfn.XLOOKUP($A849,[1]Sheet1!$H$9:$H$2584,[1]Sheet1!$I$9:$I$2584,"N/A",0)</f>
        <v>79.7</v>
      </c>
      <c r="M849">
        <f>_xlfn.XLOOKUP($A849,[1]Sheet1!$K$9:$K$2584,[1]Sheet1!$L$9:$L$2584,"N/A",0)</f>
        <v>137.66</v>
      </c>
      <c r="N849">
        <f>_xlfn.XLOOKUP($A849,[1]Sheet1!$N$9:$N$2584,[1]Sheet1!$O$9:$O$2584,"N/A",0)</f>
        <v>101.91</v>
      </c>
      <c r="O849">
        <v>99.94</v>
      </c>
      <c r="P849">
        <v>133.84</v>
      </c>
      <c r="Q849">
        <v>79.7</v>
      </c>
      <c r="R849">
        <v>101.91</v>
      </c>
      <c r="S849">
        <v>137.66</v>
      </c>
    </row>
    <row r="850" spans="1:19">
      <c r="A850" s="1">
        <v>43600</v>
      </c>
      <c r="B850" t="s">
        <v>404</v>
      </c>
      <c r="C850" t="s">
        <v>412</v>
      </c>
      <c r="D850">
        <v>16.925</v>
      </c>
      <c r="E850">
        <v>17.375</v>
      </c>
      <c r="F850">
        <v>0.0265878877400295</v>
      </c>
      <c r="G850">
        <f ca="1" t="shared" si="39"/>
        <v>0.0185114144675695</v>
      </c>
      <c r="H850" t="str">
        <f ca="1" t="shared" si="40"/>
        <v>Risk-On</v>
      </c>
      <c r="I850">
        <f ca="1" t="shared" si="41"/>
        <v>1</v>
      </c>
      <c r="J850">
        <f>_xlfn.XLOOKUP($A850,[1]Sheet1!$B$9:$B$2584,[1]Sheet1!$C$9:$C$2584,"N/A",0)</f>
        <v>100.07</v>
      </c>
      <c r="K850">
        <f>_xlfn.XLOOKUP($A850,[1]Sheet1!$E$9:$E$2584,[1]Sheet1!$F$9:$F$2584,"N/A",0)</f>
        <v>134.16</v>
      </c>
      <c r="L850">
        <f>_xlfn.XLOOKUP($A850,[1]Sheet1!$H$9:$H$2584,[1]Sheet1!$I$9:$I$2584,"N/A",0)</f>
        <v>79.72</v>
      </c>
      <c r="M850">
        <f>_xlfn.XLOOKUP($A850,[1]Sheet1!$K$9:$K$2584,[1]Sheet1!$L$9:$L$2584,"N/A",0)</f>
        <v>137.79</v>
      </c>
      <c r="N850">
        <f>_xlfn.XLOOKUP($A850,[1]Sheet1!$N$9:$N$2584,[1]Sheet1!$O$9:$O$2584,"N/A",0)</f>
        <v>102.08</v>
      </c>
      <c r="O850">
        <v>100.07</v>
      </c>
      <c r="P850">
        <v>134.16</v>
      </c>
      <c r="Q850">
        <v>79.72</v>
      </c>
      <c r="R850">
        <v>102.08</v>
      </c>
      <c r="S850">
        <v>137.79</v>
      </c>
    </row>
    <row r="851" spans="1:19">
      <c r="A851" s="1">
        <v>43601</v>
      </c>
      <c r="B851" t="s">
        <v>404</v>
      </c>
      <c r="C851" t="s">
        <v>412</v>
      </c>
      <c r="D851">
        <v>15.725</v>
      </c>
      <c r="E851">
        <v>16.775</v>
      </c>
      <c r="F851">
        <v>0.066772655007949</v>
      </c>
      <c r="G851">
        <f ca="1" t="shared" si="39"/>
        <v>0.750760133671516</v>
      </c>
      <c r="H851" t="str">
        <f ca="1" t="shared" si="40"/>
        <v>Risk-On</v>
      </c>
      <c r="I851">
        <f ca="1" t="shared" si="41"/>
        <v>1</v>
      </c>
      <c r="J851">
        <f>_xlfn.XLOOKUP($A851,[1]Sheet1!$B$9:$B$2584,[1]Sheet1!$C$9:$C$2584,"N/A",0)</f>
        <v>99.98</v>
      </c>
      <c r="K851">
        <f>_xlfn.XLOOKUP($A851,[1]Sheet1!$E$9:$E$2584,[1]Sheet1!$F$9:$F$2584,"N/A",0)</f>
        <v>135.15</v>
      </c>
      <c r="L851">
        <f>_xlfn.XLOOKUP($A851,[1]Sheet1!$H$9:$H$2584,[1]Sheet1!$I$9:$I$2584,"N/A",0)</f>
        <v>79.15</v>
      </c>
      <c r="M851">
        <f>_xlfn.XLOOKUP($A851,[1]Sheet1!$K$9:$K$2584,[1]Sheet1!$L$9:$L$2584,"N/A",0)</f>
        <v>138</v>
      </c>
      <c r="N851">
        <f>_xlfn.XLOOKUP($A851,[1]Sheet1!$N$9:$N$2584,[1]Sheet1!$O$9:$O$2584,"N/A",0)</f>
        <v>102.35</v>
      </c>
      <c r="O851">
        <v>99.98</v>
      </c>
      <c r="P851">
        <v>135.15</v>
      </c>
      <c r="Q851">
        <v>79.15</v>
      </c>
      <c r="R851">
        <v>102.35</v>
      </c>
      <c r="S851">
        <v>138</v>
      </c>
    </row>
    <row r="852" spans="1:19">
      <c r="A852" s="1">
        <v>43602</v>
      </c>
      <c r="B852" t="s">
        <v>404</v>
      </c>
      <c r="C852" t="s">
        <v>412</v>
      </c>
      <c r="D852">
        <v>15.875</v>
      </c>
      <c r="E852">
        <v>17.025</v>
      </c>
      <c r="F852">
        <v>0.0724409448818896</v>
      </c>
      <c r="G852">
        <f ca="1" t="shared" si="39"/>
        <v>0.853644171184875</v>
      </c>
      <c r="H852" t="str">
        <f ca="1" t="shared" si="40"/>
        <v>Risk-On</v>
      </c>
      <c r="I852">
        <f ca="1" t="shared" si="41"/>
        <v>1</v>
      </c>
      <c r="J852">
        <f>_xlfn.XLOOKUP($A852,[1]Sheet1!$B$9:$B$2584,[1]Sheet1!$C$9:$C$2584,"N/A",0)</f>
        <v>99.9</v>
      </c>
      <c r="K852">
        <f>_xlfn.XLOOKUP($A852,[1]Sheet1!$E$9:$E$2584,[1]Sheet1!$F$9:$F$2584,"N/A",0)</f>
        <v>135.59</v>
      </c>
      <c r="L852">
        <f>_xlfn.XLOOKUP($A852,[1]Sheet1!$H$9:$H$2584,[1]Sheet1!$I$9:$I$2584,"N/A",0)</f>
        <v>78.94</v>
      </c>
      <c r="M852">
        <f>_xlfn.XLOOKUP($A852,[1]Sheet1!$K$9:$K$2584,[1]Sheet1!$L$9:$L$2584,"N/A",0)</f>
        <v>138.16</v>
      </c>
      <c r="N852">
        <f>_xlfn.XLOOKUP($A852,[1]Sheet1!$N$9:$N$2584,[1]Sheet1!$O$9:$O$2584,"N/A",0)</f>
        <v>103.04</v>
      </c>
      <c r="O852">
        <v>99.9</v>
      </c>
      <c r="P852">
        <v>135.59</v>
      </c>
      <c r="Q852">
        <v>78.94</v>
      </c>
      <c r="R852">
        <v>103.04</v>
      </c>
      <c r="S852">
        <v>138.16</v>
      </c>
    </row>
    <row r="853" spans="1:19">
      <c r="A853" s="1">
        <v>43605</v>
      </c>
      <c r="B853" t="s">
        <v>404</v>
      </c>
      <c r="C853" t="s">
        <v>412</v>
      </c>
      <c r="D853">
        <v>16.125</v>
      </c>
      <c r="E853">
        <v>17.175</v>
      </c>
      <c r="F853">
        <v>0.0651162790697674</v>
      </c>
      <c r="G853">
        <f ca="1" t="shared" si="39"/>
        <v>0.716175903578112</v>
      </c>
      <c r="H853" t="str">
        <f ca="1" t="shared" si="40"/>
        <v>Risk-On</v>
      </c>
      <c r="I853">
        <f ca="1" t="shared" si="41"/>
        <v>1</v>
      </c>
      <c r="J853">
        <f>_xlfn.XLOOKUP($A853,[1]Sheet1!$B$9:$B$2584,[1]Sheet1!$C$9:$C$2584,"N/A",0)</f>
        <v>99.68</v>
      </c>
      <c r="K853">
        <f>_xlfn.XLOOKUP($A853,[1]Sheet1!$E$9:$E$2584,[1]Sheet1!$F$9:$F$2584,"N/A",0)</f>
        <v>135.62</v>
      </c>
      <c r="L853">
        <f>_xlfn.XLOOKUP($A853,[1]Sheet1!$H$9:$H$2584,[1]Sheet1!$I$9:$I$2584,"N/A",0)</f>
        <v>78.82</v>
      </c>
      <c r="M853">
        <f>_xlfn.XLOOKUP($A853,[1]Sheet1!$K$9:$K$2584,[1]Sheet1!$L$9:$L$2584,"N/A",0)</f>
        <v>137.99</v>
      </c>
      <c r="N853">
        <f>_xlfn.XLOOKUP($A853,[1]Sheet1!$N$9:$N$2584,[1]Sheet1!$O$9:$O$2584,"N/A",0)</f>
        <v>103.18</v>
      </c>
      <c r="O853">
        <v>99.68</v>
      </c>
      <c r="P853">
        <v>135.62</v>
      </c>
      <c r="Q853">
        <v>78.82</v>
      </c>
      <c r="R853">
        <v>103.18</v>
      </c>
      <c r="S853">
        <v>137.99</v>
      </c>
    </row>
    <row r="854" spans="1:19">
      <c r="A854" s="1">
        <v>43606</v>
      </c>
      <c r="B854" t="s">
        <v>404</v>
      </c>
      <c r="C854" t="s">
        <v>412</v>
      </c>
      <c r="D854">
        <v>15.025</v>
      </c>
      <c r="E854">
        <v>16.275</v>
      </c>
      <c r="F854">
        <v>0.0831946755407652</v>
      </c>
      <c r="G854">
        <f ca="1" t="shared" si="39"/>
        <v>1.0441938148381</v>
      </c>
      <c r="H854" t="str">
        <f ca="1" t="shared" si="40"/>
        <v>Risk-On</v>
      </c>
      <c r="I854">
        <f ca="1" t="shared" si="41"/>
        <v>1</v>
      </c>
      <c r="J854">
        <f>_xlfn.XLOOKUP($A854,[1]Sheet1!$B$9:$B$2584,[1]Sheet1!$C$9:$C$2584,"N/A",0)</f>
        <v>99.6</v>
      </c>
      <c r="K854">
        <f>_xlfn.XLOOKUP($A854,[1]Sheet1!$E$9:$E$2584,[1]Sheet1!$F$9:$F$2584,"N/A",0)</f>
        <v>135.41</v>
      </c>
      <c r="L854">
        <f>_xlfn.XLOOKUP($A854,[1]Sheet1!$H$9:$H$2584,[1]Sheet1!$I$9:$I$2584,"N/A",0)</f>
        <v>78.96</v>
      </c>
      <c r="M854">
        <f>_xlfn.XLOOKUP($A854,[1]Sheet1!$K$9:$K$2584,[1]Sheet1!$L$9:$L$2584,"N/A",0)</f>
        <v>138.65</v>
      </c>
      <c r="N854">
        <f>_xlfn.XLOOKUP($A854,[1]Sheet1!$N$9:$N$2584,[1]Sheet1!$O$9:$O$2584,"N/A",0)</f>
        <v>102.89</v>
      </c>
      <c r="O854">
        <v>99.6</v>
      </c>
      <c r="P854">
        <v>135.41</v>
      </c>
      <c r="Q854">
        <v>78.96</v>
      </c>
      <c r="R854">
        <v>102.89</v>
      </c>
      <c r="S854">
        <v>138.65</v>
      </c>
    </row>
    <row r="855" spans="1:19">
      <c r="A855" s="1">
        <v>43607</v>
      </c>
      <c r="B855" t="s">
        <v>404</v>
      </c>
      <c r="C855" t="s">
        <v>412</v>
      </c>
      <c r="D855">
        <v>15.01</v>
      </c>
      <c r="E855">
        <v>16.225</v>
      </c>
      <c r="F855">
        <v>0.0809460359760161</v>
      </c>
      <c r="G855">
        <f ca="1" t="shared" si="39"/>
        <v>0.997469497685898</v>
      </c>
      <c r="H855" t="str">
        <f ca="1" t="shared" si="40"/>
        <v>Risk-On</v>
      </c>
      <c r="I855">
        <f ca="1" t="shared" si="41"/>
        <v>1</v>
      </c>
      <c r="J855">
        <f>_xlfn.XLOOKUP($A855,[1]Sheet1!$B$9:$B$2584,[1]Sheet1!$C$9:$C$2584,"N/A",0)</f>
        <v>99.75</v>
      </c>
      <c r="K855">
        <f>_xlfn.XLOOKUP($A855,[1]Sheet1!$E$9:$E$2584,[1]Sheet1!$F$9:$F$2584,"N/A",0)</f>
        <v>136.82</v>
      </c>
      <c r="L855">
        <f>_xlfn.XLOOKUP($A855,[1]Sheet1!$H$9:$H$2584,[1]Sheet1!$I$9:$I$2584,"N/A",0)</f>
        <v>78.49</v>
      </c>
      <c r="M855">
        <f>_xlfn.XLOOKUP($A855,[1]Sheet1!$K$9:$K$2584,[1]Sheet1!$L$9:$L$2584,"N/A",0)</f>
        <v>138.59</v>
      </c>
      <c r="N855">
        <f>_xlfn.XLOOKUP($A855,[1]Sheet1!$N$9:$N$2584,[1]Sheet1!$O$9:$O$2584,"N/A",0)</f>
        <v>103.36</v>
      </c>
      <c r="O855">
        <v>99.75</v>
      </c>
      <c r="P855">
        <v>136.82</v>
      </c>
      <c r="Q855">
        <v>78.49</v>
      </c>
      <c r="R855">
        <v>103.36</v>
      </c>
      <c r="S855">
        <v>138.59</v>
      </c>
    </row>
    <row r="856" spans="1:19">
      <c r="A856" s="1">
        <v>43608</v>
      </c>
      <c r="B856" t="s">
        <v>412</v>
      </c>
      <c r="C856" t="s">
        <v>413</v>
      </c>
      <c r="D856">
        <v>17.325</v>
      </c>
      <c r="E856">
        <v>17.625</v>
      </c>
      <c r="F856" s="2" t="s">
        <v>414</v>
      </c>
      <c r="G856">
        <f ca="1" t="shared" si="39"/>
        <v>-0.164137453067928</v>
      </c>
      <c r="H856" t="str">
        <f ca="1" t="shared" si="40"/>
        <v>Risk-On</v>
      </c>
      <c r="I856">
        <f ca="1" t="shared" si="41"/>
        <v>1</v>
      </c>
      <c r="J856">
        <f>_xlfn.XLOOKUP($A856,[1]Sheet1!$B$9:$B$2584,[1]Sheet1!$C$9:$C$2584,"N/A",0)</f>
        <v>99.75</v>
      </c>
      <c r="K856">
        <f>_xlfn.XLOOKUP($A856,[1]Sheet1!$E$9:$E$2584,[1]Sheet1!$F$9:$F$2584,"N/A",0)</f>
        <v>136.68</v>
      </c>
      <c r="L856">
        <f>_xlfn.XLOOKUP($A856,[1]Sheet1!$H$9:$H$2584,[1]Sheet1!$I$9:$I$2584,"N/A",0)</f>
        <v>78.7</v>
      </c>
      <c r="M856">
        <f>_xlfn.XLOOKUP($A856,[1]Sheet1!$K$9:$K$2584,[1]Sheet1!$L$9:$L$2584,"N/A",0)</f>
        <v>138.98</v>
      </c>
      <c r="N856">
        <f>_xlfn.XLOOKUP($A856,[1]Sheet1!$N$9:$N$2584,[1]Sheet1!$O$9:$O$2584,"N/A",0)</f>
        <v>104.09</v>
      </c>
      <c r="O856">
        <v>99.75</v>
      </c>
      <c r="P856">
        <v>136.68</v>
      </c>
      <c r="Q856">
        <v>78.7</v>
      </c>
      <c r="R856">
        <v>104.09</v>
      </c>
      <c r="S856">
        <v>138.98</v>
      </c>
    </row>
    <row r="857" spans="1:19">
      <c r="A857" s="1">
        <v>43609</v>
      </c>
      <c r="B857" t="s">
        <v>412</v>
      </c>
      <c r="C857" t="s">
        <v>413</v>
      </c>
      <c r="D857">
        <v>16.725</v>
      </c>
      <c r="E857">
        <v>17.325</v>
      </c>
      <c r="F857" s="2" t="s">
        <v>415</v>
      </c>
      <c r="G857">
        <f ca="1" t="shared" si="39"/>
        <v>0.176376997508073</v>
      </c>
      <c r="H857" t="str">
        <f ca="1" t="shared" si="40"/>
        <v>Risk-On</v>
      </c>
      <c r="I857">
        <f ca="1" t="shared" si="41"/>
        <v>1</v>
      </c>
      <c r="J857">
        <f>_xlfn.XLOOKUP($A857,[1]Sheet1!$B$9:$B$2584,[1]Sheet1!$C$9:$C$2584,"N/A",0)</f>
        <v>99.86</v>
      </c>
      <c r="K857">
        <f>_xlfn.XLOOKUP($A857,[1]Sheet1!$E$9:$E$2584,[1]Sheet1!$F$9:$F$2584,"N/A",0)</f>
        <v>136.87</v>
      </c>
      <c r="L857">
        <f>_xlfn.XLOOKUP($A857,[1]Sheet1!$H$9:$H$2584,[1]Sheet1!$I$9:$I$2584,"N/A",0)</f>
        <v>78.99</v>
      </c>
      <c r="M857">
        <f>_xlfn.XLOOKUP($A857,[1]Sheet1!$K$9:$K$2584,[1]Sheet1!$L$9:$L$2584,"N/A",0)</f>
        <v>138.93</v>
      </c>
      <c r="N857">
        <f>_xlfn.XLOOKUP($A857,[1]Sheet1!$N$9:$N$2584,[1]Sheet1!$O$9:$O$2584,"N/A",0)</f>
        <v>103.46</v>
      </c>
      <c r="O857">
        <v>99.86</v>
      </c>
      <c r="P857">
        <v>136.87</v>
      </c>
      <c r="Q857">
        <v>78.99</v>
      </c>
      <c r="R857">
        <v>103.46</v>
      </c>
      <c r="S857">
        <v>138.93</v>
      </c>
    </row>
    <row r="858" spans="1:19">
      <c r="A858" s="1">
        <v>43613</v>
      </c>
      <c r="B858" t="s">
        <v>412</v>
      </c>
      <c r="C858" t="s">
        <v>413</v>
      </c>
      <c r="D858">
        <v>17.375</v>
      </c>
      <c r="E858">
        <v>17.725</v>
      </c>
      <c r="F858" s="2" t="s">
        <v>416</v>
      </c>
      <c r="G858">
        <f ca="1" t="shared" si="39"/>
        <v>-0.106069601496458</v>
      </c>
      <c r="H858" t="str">
        <f ca="1" t="shared" si="40"/>
        <v>Risk-On</v>
      </c>
      <c r="I858">
        <f ca="1" t="shared" si="41"/>
        <v>1</v>
      </c>
      <c r="J858">
        <f>_xlfn.XLOOKUP($A858,[1]Sheet1!$B$9:$B$2584,[1]Sheet1!$C$9:$C$2584,"N/A",0)</f>
        <v>99.81</v>
      </c>
      <c r="K858">
        <f>_xlfn.XLOOKUP($A858,[1]Sheet1!$E$9:$E$2584,[1]Sheet1!$F$9:$F$2584,"N/A",0)</f>
        <v>137.98</v>
      </c>
      <c r="L858">
        <f>_xlfn.XLOOKUP($A858,[1]Sheet1!$H$9:$H$2584,[1]Sheet1!$I$9:$I$2584,"N/A",0)</f>
        <v>78.84</v>
      </c>
      <c r="M858">
        <f>_xlfn.XLOOKUP($A858,[1]Sheet1!$K$9:$K$2584,[1]Sheet1!$L$9:$L$2584,"N/A",0)</f>
        <v>138.67</v>
      </c>
      <c r="N858">
        <f>_xlfn.XLOOKUP($A858,[1]Sheet1!$N$9:$N$2584,[1]Sheet1!$O$9:$O$2584,"N/A",0)</f>
        <v>103.05</v>
      </c>
      <c r="O858">
        <v>99.81</v>
      </c>
      <c r="P858">
        <v>137.98</v>
      </c>
      <c r="Q858">
        <v>78.84</v>
      </c>
      <c r="R858">
        <v>103.05</v>
      </c>
      <c r="S858">
        <v>138.67</v>
      </c>
    </row>
    <row r="859" spans="1:19">
      <c r="A859" s="1">
        <v>43614</v>
      </c>
      <c r="B859" t="s">
        <v>412</v>
      </c>
      <c r="C859" t="s">
        <v>413</v>
      </c>
      <c r="D859">
        <v>17.775</v>
      </c>
      <c r="E859">
        <v>18.025</v>
      </c>
      <c r="F859" s="2" t="s">
        <v>417</v>
      </c>
      <c r="G859">
        <f ca="1" t="shared" si="39"/>
        <v>-0.216214099609517</v>
      </c>
      <c r="H859" t="str">
        <f ca="1" t="shared" si="40"/>
        <v>Risk-On</v>
      </c>
      <c r="I859">
        <f ca="1" t="shared" si="41"/>
        <v>1</v>
      </c>
      <c r="J859">
        <f>_xlfn.XLOOKUP($A859,[1]Sheet1!$B$9:$B$2584,[1]Sheet1!$C$9:$C$2584,"N/A",0)</f>
        <v>99.91</v>
      </c>
      <c r="K859">
        <f>_xlfn.XLOOKUP($A859,[1]Sheet1!$E$9:$E$2584,[1]Sheet1!$F$9:$F$2584,"N/A",0)</f>
        <v>137.47</v>
      </c>
      <c r="L859">
        <f>_xlfn.XLOOKUP($A859,[1]Sheet1!$H$9:$H$2584,[1]Sheet1!$I$9:$I$2584,"N/A",0)</f>
        <v>78.73</v>
      </c>
      <c r="M859">
        <f>_xlfn.XLOOKUP($A859,[1]Sheet1!$K$9:$K$2584,[1]Sheet1!$L$9:$L$2584,"N/A",0)</f>
        <v>138.61</v>
      </c>
      <c r="N859">
        <f>_xlfn.XLOOKUP($A859,[1]Sheet1!$N$9:$N$2584,[1]Sheet1!$O$9:$O$2584,"N/A",0)</f>
        <v>103.36</v>
      </c>
      <c r="O859">
        <v>99.91</v>
      </c>
      <c r="P859">
        <v>137.47</v>
      </c>
      <c r="Q859">
        <v>78.73</v>
      </c>
      <c r="R859">
        <v>103.36</v>
      </c>
      <c r="S859">
        <v>138.61</v>
      </c>
    </row>
    <row r="860" spans="1:19">
      <c r="A860" s="1">
        <v>43615</v>
      </c>
      <c r="B860" t="s">
        <v>412</v>
      </c>
      <c r="C860" t="s">
        <v>413</v>
      </c>
      <c r="D860">
        <v>17.425</v>
      </c>
      <c r="E860">
        <v>17.825</v>
      </c>
      <c r="F860" s="2" t="s">
        <v>418</v>
      </c>
      <c r="G860">
        <f ca="1" t="shared" si="39"/>
        <v>-0.0562937352726409</v>
      </c>
      <c r="H860" t="str">
        <f ca="1" t="shared" si="40"/>
        <v>Risk-On</v>
      </c>
      <c r="I860">
        <f ca="1" t="shared" si="41"/>
        <v>1</v>
      </c>
      <c r="J860">
        <f>_xlfn.XLOOKUP($A860,[1]Sheet1!$B$9:$B$2584,[1]Sheet1!$C$9:$C$2584,"N/A",0)</f>
        <v>100.22</v>
      </c>
      <c r="K860">
        <f>_xlfn.XLOOKUP($A860,[1]Sheet1!$E$9:$E$2584,[1]Sheet1!$F$9:$F$2584,"N/A",0)</f>
        <v>139.69</v>
      </c>
      <c r="L860">
        <f>_xlfn.XLOOKUP($A860,[1]Sheet1!$H$9:$H$2584,[1]Sheet1!$I$9:$I$2584,"N/A",0)</f>
        <v>78.39</v>
      </c>
      <c r="M860">
        <f>_xlfn.XLOOKUP($A860,[1]Sheet1!$K$9:$K$2584,[1]Sheet1!$L$9:$L$2584,"N/A",0)</f>
        <v>138.76</v>
      </c>
      <c r="N860">
        <f>_xlfn.XLOOKUP($A860,[1]Sheet1!$N$9:$N$2584,[1]Sheet1!$O$9:$O$2584,"N/A",0)</f>
        <v>103.93</v>
      </c>
      <c r="O860">
        <v>100.22</v>
      </c>
      <c r="P860">
        <v>139.69</v>
      </c>
      <c r="Q860">
        <v>78.39</v>
      </c>
      <c r="R860">
        <v>103.93</v>
      </c>
      <c r="S860">
        <v>138.76</v>
      </c>
    </row>
    <row r="861" spans="1:19">
      <c r="A861" s="1">
        <v>43616</v>
      </c>
      <c r="B861" t="s">
        <v>412</v>
      </c>
      <c r="C861" t="s">
        <v>413</v>
      </c>
      <c r="D861">
        <v>18.175</v>
      </c>
      <c r="E861">
        <v>18.375</v>
      </c>
      <c r="F861" s="2" t="s">
        <v>419</v>
      </c>
      <c r="G861">
        <f ca="1" t="shared" si="39"/>
        <v>-0.272284388477502</v>
      </c>
      <c r="H861" t="str">
        <f ca="1" t="shared" si="40"/>
        <v>Risk-On</v>
      </c>
      <c r="I861">
        <f ca="1" t="shared" si="41"/>
        <v>1</v>
      </c>
      <c r="J861">
        <f>_xlfn.XLOOKUP($A861,[1]Sheet1!$B$9:$B$2584,[1]Sheet1!$C$9:$C$2584,"N/A",0)</f>
        <v>100.2</v>
      </c>
      <c r="K861">
        <f>_xlfn.XLOOKUP($A861,[1]Sheet1!$E$9:$E$2584,[1]Sheet1!$F$9:$F$2584,"N/A",0)</f>
        <v>139.7</v>
      </c>
      <c r="L861">
        <f>_xlfn.XLOOKUP($A861,[1]Sheet1!$H$9:$H$2584,[1]Sheet1!$I$9:$I$2584,"N/A",0)</f>
        <v>77.5</v>
      </c>
      <c r="M861">
        <f>_xlfn.XLOOKUP($A861,[1]Sheet1!$K$9:$K$2584,[1]Sheet1!$L$9:$L$2584,"N/A",0)</f>
        <v>137.95</v>
      </c>
      <c r="N861">
        <f>_xlfn.XLOOKUP($A861,[1]Sheet1!$N$9:$N$2584,[1]Sheet1!$O$9:$O$2584,"N/A",0)</f>
        <v>103.98</v>
      </c>
      <c r="O861">
        <v>100.2</v>
      </c>
      <c r="P861">
        <v>139.7</v>
      </c>
      <c r="Q861">
        <v>77.5</v>
      </c>
      <c r="R861">
        <v>103.98</v>
      </c>
      <c r="S861">
        <v>137.95</v>
      </c>
    </row>
    <row r="862" spans="1:19">
      <c r="A862" s="1">
        <v>43619</v>
      </c>
      <c r="B862" t="s">
        <v>412</v>
      </c>
      <c r="C862" t="s">
        <v>413</v>
      </c>
      <c r="D862">
        <v>18.275</v>
      </c>
      <c r="E862">
        <v>18.325</v>
      </c>
      <c r="F862">
        <v>0.00273597811217514</v>
      </c>
      <c r="G862">
        <f ca="1" t="shared" si="39"/>
        <v>-0.421709829084042</v>
      </c>
      <c r="H862" t="str">
        <f ca="1" t="shared" si="40"/>
        <v>Risk-On</v>
      </c>
      <c r="I862">
        <f ca="1" t="shared" si="41"/>
        <v>1</v>
      </c>
      <c r="J862">
        <f>_xlfn.XLOOKUP($A862,[1]Sheet1!$B$9:$B$2584,[1]Sheet1!$C$9:$C$2584,"N/A",0)</f>
        <v>100.09</v>
      </c>
      <c r="K862">
        <f>_xlfn.XLOOKUP($A862,[1]Sheet1!$E$9:$E$2584,[1]Sheet1!$F$9:$F$2584,"N/A",0)</f>
        <v>138.07</v>
      </c>
      <c r="L862">
        <f>_xlfn.XLOOKUP($A862,[1]Sheet1!$H$9:$H$2584,[1]Sheet1!$I$9:$I$2584,"N/A",0)</f>
        <v>78.25</v>
      </c>
      <c r="M862">
        <f>_xlfn.XLOOKUP($A862,[1]Sheet1!$K$9:$K$2584,[1]Sheet1!$L$9:$L$2584,"N/A",0)</f>
        <v>138.15</v>
      </c>
      <c r="N862">
        <f>_xlfn.XLOOKUP($A862,[1]Sheet1!$N$9:$N$2584,[1]Sheet1!$O$9:$O$2584,"N/A",0)</f>
        <v>103.7</v>
      </c>
      <c r="O862">
        <v>100.09</v>
      </c>
      <c r="P862">
        <v>138.07</v>
      </c>
      <c r="Q862">
        <v>78.25</v>
      </c>
      <c r="R862">
        <v>103.7</v>
      </c>
      <c r="S862">
        <v>138.15</v>
      </c>
    </row>
    <row r="863" spans="1:19">
      <c r="A863" s="1">
        <v>43620</v>
      </c>
      <c r="B863" t="s">
        <v>412</v>
      </c>
      <c r="C863" t="s">
        <v>413</v>
      </c>
      <c r="D863">
        <v>17.225</v>
      </c>
      <c r="E863">
        <v>17.675</v>
      </c>
      <c r="F863">
        <v>0.0261248185776487</v>
      </c>
      <c r="G863">
        <f ca="1" t="shared" si="39"/>
        <v>0.00576979837213478</v>
      </c>
      <c r="H863" t="str">
        <f ca="1" t="shared" si="40"/>
        <v>Risk-On</v>
      </c>
      <c r="I863">
        <f ca="1" t="shared" si="41"/>
        <v>1</v>
      </c>
      <c r="J863">
        <f>_xlfn.XLOOKUP($A863,[1]Sheet1!$B$9:$B$2584,[1]Sheet1!$C$9:$C$2584,"N/A",0)</f>
        <v>100.49</v>
      </c>
      <c r="K863">
        <f>_xlfn.XLOOKUP($A863,[1]Sheet1!$E$9:$E$2584,[1]Sheet1!$F$9:$F$2584,"N/A",0)</f>
        <v>137.49</v>
      </c>
      <c r="L863">
        <f>_xlfn.XLOOKUP($A863,[1]Sheet1!$H$9:$H$2584,[1]Sheet1!$I$9:$I$2584,"N/A",0)</f>
        <v>78.59</v>
      </c>
      <c r="M863">
        <f>_xlfn.XLOOKUP($A863,[1]Sheet1!$K$9:$K$2584,[1]Sheet1!$L$9:$L$2584,"N/A",0)</f>
        <v>137.74</v>
      </c>
      <c r="N863">
        <f>_xlfn.XLOOKUP($A863,[1]Sheet1!$N$9:$N$2584,[1]Sheet1!$O$9:$O$2584,"N/A",0)</f>
        <v>103.51</v>
      </c>
      <c r="O863">
        <v>100.49</v>
      </c>
      <c r="P863">
        <v>137.49</v>
      </c>
      <c r="Q863">
        <v>78.59</v>
      </c>
      <c r="R863">
        <v>103.51</v>
      </c>
      <c r="S863">
        <v>137.74</v>
      </c>
    </row>
    <row r="864" spans="1:19">
      <c r="A864" s="1">
        <v>43621</v>
      </c>
      <c r="B864" t="s">
        <v>412</v>
      </c>
      <c r="C864" t="s">
        <v>413</v>
      </c>
      <c r="D864">
        <v>16.625</v>
      </c>
      <c r="E864">
        <v>17.325</v>
      </c>
      <c r="F864" s="2" t="s">
        <v>141</v>
      </c>
      <c r="G864">
        <f ca="1" t="shared" si="39"/>
        <v>0.297513980163753</v>
      </c>
      <c r="H864" t="str">
        <f ca="1" t="shared" si="40"/>
        <v>Risk-On</v>
      </c>
      <c r="I864">
        <f ca="1" t="shared" si="41"/>
        <v>1</v>
      </c>
      <c r="J864">
        <f>_xlfn.XLOOKUP($A864,[1]Sheet1!$B$9:$B$2584,[1]Sheet1!$C$9:$C$2584,"N/A",0)</f>
        <v>100.38</v>
      </c>
      <c r="K864">
        <f>_xlfn.XLOOKUP($A864,[1]Sheet1!$E$9:$E$2584,[1]Sheet1!$F$9:$F$2584,"N/A",0)</f>
        <v>139.28</v>
      </c>
      <c r="L864">
        <f>_xlfn.XLOOKUP($A864,[1]Sheet1!$H$9:$H$2584,[1]Sheet1!$I$9:$I$2584,"N/A",0)</f>
        <v>77.9</v>
      </c>
      <c r="M864">
        <f>_xlfn.XLOOKUP($A864,[1]Sheet1!$K$9:$K$2584,[1]Sheet1!$L$9:$L$2584,"N/A",0)</f>
        <v>138.6</v>
      </c>
      <c r="N864">
        <f>_xlfn.XLOOKUP($A864,[1]Sheet1!$N$9:$N$2584,[1]Sheet1!$O$9:$O$2584,"N/A",0)</f>
        <v>104.27</v>
      </c>
      <c r="O864">
        <v>100.38</v>
      </c>
      <c r="P864">
        <v>139.28</v>
      </c>
      <c r="Q864">
        <v>77.9</v>
      </c>
      <c r="R864">
        <v>104.27</v>
      </c>
      <c r="S864">
        <v>138.6</v>
      </c>
    </row>
    <row r="865" spans="1:19">
      <c r="A865" s="1">
        <v>43622</v>
      </c>
      <c r="B865" t="s">
        <v>412</v>
      </c>
      <c r="C865" t="s">
        <v>413</v>
      </c>
      <c r="D865">
        <v>16.475</v>
      </c>
      <c r="E865">
        <v>17.125</v>
      </c>
      <c r="F865">
        <v>0.0394537177541729</v>
      </c>
      <c r="G865">
        <f ca="1" t="shared" si="39"/>
        <v>0.253185942363955</v>
      </c>
      <c r="H865" t="str">
        <f ca="1" t="shared" si="40"/>
        <v>Risk-On</v>
      </c>
      <c r="I865">
        <f ca="1" t="shared" si="41"/>
        <v>1</v>
      </c>
      <c r="J865">
        <f>_xlfn.XLOOKUP($A865,[1]Sheet1!$B$9:$B$2584,[1]Sheet1!$C$9:$C$2584,"N/A",0)</f>
        <v>100.44</v>
      </c>
      <c r="K865">
        <f>_xlfn.XLOOKUP($A865,[1]Sheet1!$E$9:$E$2584,[1]Sheet1!$F$9:$F$2584,"N/A",0)</f>
        <v>139.78</v>
      </c>
      <c r="L865">
        <f>_xlfn.XLOOKUP($A865,[1]Sheet1!$H$9:$H$2584,[1]Sheet1!$I$9:$I$2584,"N/A",0)</f>
        <v>77.57</v>
      </c>
      <c r="M865">
        <f>_xlfn.XLOOKUP($A865,[1]Sheet1!$K$9:$K$2584,[1]Sheet1!$L$9:$L$2584,"N/A",0)</f>
        <v>138.94</v>
      </c>
      <c r="N865">
        <f>_xlfn.XLOOKUP($A865,[1]Sheet1!$N$9:$N$2584,[1]Sheet1!$O$9:$O$2584,"N/A",0)</f>
        <v>104.98</v>
      </c>
      <c r="O865">
        <v>100.44</v>
      </c>
      <c r="P865">
        <v>139.78</v>
      </c>
      <c r="Q865">
        <v>77.57</v>
      </c>
      <c r="R865">
        <v>104.98</v>
      </c>
      <c r="S865">
        <v>138.94</v>
      </c>
    </row>
    <row r="866" spans="1:19">
      <c r="A866" s="1">
        <v>43623</v>
      </c>
      <c r="B866" t="s">
        <v>412</v>
      </c>
      <c r="C866" t="s">
        <v>413</v>
      </c>
      <c r="D866">
        <v>16.725</v>
      </c>
      <c r="E866">
        <v>17.225</v>
      </c>
      <c r="F866" s="2" t="s">
        <v>420</v>
      </c>
      <c r="G866">
        <f ca="1" t="shared" si="39"/>
        <v>0.0843148976756861</v>
      </c>
      <c r="H866" t="str">
        <f ca="1" t="shared" si="40"/>
        <v>Risk-On</v>
      </c>
      <c r="I866">
        <f ca="1" t="shared" si="41"/>
        <v>1</v>
      </c>
      <c r="J866">
        <f>_xlfn.XLOOKUP($A866,[1]Sheet1!$B$9:$B$2584,[1]Sheet1!$C$9:$C$2584,"N/A",0)</f>
        <v>100.3</v>
      </c>
      <c r="K866">
        <f>_xlfn.XLOOKUP($A866,[1]Sheet1!$E$9:$E$2584,[1]Sheet1!$F$9:$F$2584,"N/A",0)</f>
        <v>140.86</v>
      </c>
      <c r="L866">
        <f>_xlfn.XLOOKUP($A866,[1]Sheet1!$H$9:$H$2584,[1]Sheet1!$I$9:$I$2584,"N/A",0)</f>
        <v>77.42</v>
      </c>
      <c r="M866">
        <f>_xlfn.XLOOKUP($A866,[1]Sheet1!$K$9:$K$2584,[1]Sheet1!$L$9:$L$2584,"N/A",0)</f>
        <v>138.97</v>
      </c>
      <c r="N866">
        <f>_xlfn.XLOOKUP($A866,[1]Sheet1!$N$9:$N$2584,[1]Sheet1!$O$9:$O$2584,"N/A",0)</f>
        <v>105.17</v>
      </c>
      <c r="O866">
        <v>100.3</v>
      </c>
      <c r="P866">
        <v>140.86</v>
      </c>
      <c r="Q866">
        <v>77.42</v>
      </c>
      <c r="R866">
        <v>105.17</v>
      </c>
      <c r="S866">
        <v>138.97</v>
      </c>
    </row>
    <row r="867" spans="1:19">
      <c r="A867" s="1">
        <v>43626</v>
      </c>
      <c r="B867" t="s">
        <v>412</v>
      </c>
      <c r="C867" t="s">
        <v>413</v>
      </c>
      <c r="D867">
        <v>16.375</v>
      </c>
      <c r="E867">
        <v>17.025</v>
      </c>
      <c r="F867">
        <v>0.0396946564885495</v>
      </c>
      <c r="G867">
        <f ca="1" t="shared" si="39"/>
        <v>0.266587839504241</v>
      </c>
      <c r="H867" t="str">
        <f ca="1" t="shared" si="40"/>
        <v>Risk-On</v>
      </c>
      <c r="I867">
        <f ca="1" t="shared" si="41"/>
        <v>1</v>
      </c>
      <c r="J867">
        <f>_xlfn.XLOOKUP($A867,[1]Sheet1!$B$9:$B$2584,[1]Sheet1!$C$9:$C$2584,"N/A",0)</f>
        <v>100.28</v>
      </c>
      <c r="K867">
        <f>_xlfn.XLOOKUP($A867,[1]Sheet1!$E$9:$E$2584,[1]Sheet1!$F$9:$F$2584,"N/A",0)</f>
        <v>141.33</v>
      </c>
      <c r="L867">
        <f>_xlfn.XLOOKUP($A867,[1]Sheet1!$H$9:$H$2584,[1]Sheet1!$I$9:$I$2584,"N/A",0)</f>
        <v>77.6</v>
      </c>
      <c r="M867">
        <f>_xlfn.XLOOKUP($A867,[1]Sheet1!$K$9:$K$2584,[1]Sheet1!$L$9:$L$2584,"N/A",0)</f>
        <v>138.15</v>
      </c>
      <c r="N867">
        <f>_xlfn.XLOOKUP($A867,[1]Sheet1!$N$9:$N$2584,[1]Sheet1!$O$9:$O$2584,"N/A",0)</f>
        <v>104.85</v>
      </c>
      <c r="O867">
        <v>100.28</v>
      </c>
      <c r="P867">
        <v>141.33</v>
      </c>
      <c r="Q867">
        <v>77.6</v>
      </c>
      <c r="R867">
        <v>104.85</v>
      </c>
      <c r="S867">
        <v>138.15</v>
      </c>
    </row>
    <row r="868" spans="1:19">
      <c r="A868" s="1">
        <v>43627</v>
      </c>
      <c r="B868" t="s">
        <v>412</v>
      </c>
      <c r="C868" t="s">
        <v>413</v>
      </c>
      <c r="D868">
        <v>16.475</v>
      </c>
      <c r="E868">
        <v>17.125</v>
      </c>
      <c r="F868">
        <v>0.0394537177541729</v>
      </c>
      <c r="G868">
        <f ca="1" t="shared" si="39"/>
        <v>0.265346744704843</v>
      </c>
      <c r="H868" t="str">
        <f ca="1" t="shared" si="40"/>
        <v>Risk-On</v>
      </c>
      <c r="I868">
        <f ca="1" t="shared" si="41"/>
        <v>1</v>
      </c>
      <c r="J868">
        <f>_xlfn.XLOOKUP($A868,[1]Sheet1!$B$9:$B$2584,[1]Sheet1!$C$9:$C$2584,"N/A",0)</f>
        <v>100.17</v>
      </c>
      <c r="K868">
        <f>_xlfn.XLOOKUP($A868,[1]Sheet1!$E$9:$E$2584,[1]Sheet1!$F$9:$F$2584,"N/A",0)</f>
        <v>140.36</v>
      </c>
      <c r="L868">
        <f>_xlfn.XLOOKUP($A868,[1]Sheet1!$H$9:$H$2584,[1]Sheet1!$I$9:$I$2584,"N/A",0)</f>
        <v>78.03</v>
      </c>
      <c r="M868">
        <f>_xlfn.XLOOKUP($A868,[1]Sheet1!$K$9:$K$2584,[1]Sheet1!$L$9:$L$2584,"N/A",0)</f>
        <v>138.08</v>
      </c>
      <c r="N868">
        <f>_xlfn.XLOOKUP($A868,[1]Sheet1!$N$9:$N$2584,[1]Sheet1!$O$9:$O$2584,"N/A",0)</f>
        <v>104.95</v>
      </c>
      <c r="O868">
        <v>100.17</v>
      </c>
      <c r="P868">
        <v>140.36</v>
      </c>
      <c r="Q868">
        <v>78.03</v>
      </c>
      <c r="R868">
        <v>104.95</v>
      </c>
      <c r="S868">
        <v>138.08</v>
      </c>
    </row>
    <row r="869" spans="1:19">
      <c r="A869" s="1">
        <v>43628</v>
      </c>
      <c r="B869" t="s">
        <v>412</v>
      </c>
      <c r="C869" t="s">
        <v>413</v>
      </c>
      <c r="D869">
        <v>16.325</v>
      </c>
      <c r="E869">
        <v>17.025</v>
      </c>
      <c r="F869">
        <v>0.0428790199081163</v>
      </c>
      <c r="G869">
        <f ca="1" t="shared" si="39"/>
        <v>0.332987136511133</v>
      </c>
      <c r="H869" t="str">
        <f ca="1" t="shared" si="40"/>
        <v>Risk-On</v>
      </c>
      <c r="I869">
        <f ca="1" t="shared" si="41"/>
        <v>1</v>
      </c>
      <c r="J869">
        <f>_xlfn.XLOOKUP($A869,[1]Sheet1!$B$9:$B$2584,[1]Sheet1!$C$9:$C$2584,"N/A",0)</f>
        <v>100.1</v>
      </c>
      <c r="K869">
        <f>_xlfn.XLOOKUP($A869,[1]Sheet1!$E$9:$E$2584,[1]Sheet1!$F$9:$F$2584,"N/A",0)</f>
        <v>141.62</v>
      </c>
      <c r="L869">
        <f>_xlfn.XLOOKUP($A869,[1]Sheet1!$H$9:$H$2584,[1]Sheet1!$I$9:$I$2584,"N/A",0)</f>
        <v>77.64</v>
      </c>
      <c r="M869">
        <f>_xlfn.XLOOKUP($A869,[1]Sheet1!$K$9:$K$2584,[1]Sheet1!$L$9:$L$2584,"N/A",0)</f>
        <v>138.4</v>
      </c>
      <c r="N869">
        <f>_xlfn.XLOOKUP($A869,[1]Sheet1!$N$9:$N$2584,[1]Sheet1!$O$9:$O$2584,"N/A",0)</f>
        <v>104.75</v>
      </c>
      <c r="O869">
        <v>100.1</v>
      </c>
      <c r="P869">
        <v>141.62</v>
      </c>
      <c r="Q869">
        <v>77.64</v>
      </c>
      <c r="R869">
        <v>104.75</v>
      </c>
      <c r="S869">
        <v>138.4</v>
      </c>
    </row>
    <row r="870" spans="1:19">
      <c r="A870" s="1">
        <v>43629</v>
      </c>
      <c r="B870" t="s">
        <v>412</v>
      </c>
      <c r="C870" t="s">
        <v>413</v>
      </c>
      <c r="D870">
        <v>16.125</v>
      </c>
      <c r="E870">
        <v>17.025</v>
      </c>
      <c r="F870">
        <v>0.055813953488372</v>
      </c>
      <c r="G870">
        <f ca="1" t="shared" si="39"/>
        <v>0.574841545480103</v>
      </c>
      <c r="H870" t="str">
        <f ca="1" t="shared" si="40"/>
        <v>Risk-On</v>
      </c>
      <c r="I870">
        <f ca="1" t="shared" si="41"/>
        <v>1</v>
      </c>
      <c r="J870">
        <f>_xlfn.XLOOKUP($A870,[1]Sheet1!$B$9:$B$2584,[1]Sheet1!$C$9:$C$2584,"N/A",0)</f>
        <v>100.21</v>
      </c>
      <c r="K870">
        <f>_xlfn.XLOOKUP($A870,[1]Sheet1!$E$9:$E$2584,[1]Sheet1!$F$9:$F$2584,"N/A",0)</f>
        <v>139.82</v>
      </c>
      <c r="L870">
        <f>_xlfn.XLOOKUP($A870,[1]Sheet1!$H$9:$H$2584,[1]Sheet1!$I$9:$I$2584,"N/A",0)</f>
        <v>77.8</v>
      </c>
      <c r="M870">
        <f>_xlfn.XLOOKUP($A870,[1]Sheet1!$K$9:$K$2584,[1]Sheet1!$L$9:$L$2584,"N/A",0)</f>
        <v>138.74</v>
      </c>
      <c r="N870">
        <f>_xlfn.XLOOKUP($A870,[1]Sheet1!$N$9:$N$2584,[1]Sheet1!$O$9:$O$2584,"N/A",0)</f>
        <v>104.26</v>
      </c>
      <c r="O870">
        <v>100.21</v>
      </c>
      <c r="P870">
        <v>139.82</v>
      </c>
      <c r="Q870">
        <v>77.8</v>
      </c>
      <c r="R870">
        <v>104.26</v>
      </c>
      <c r="S870">
        <v>138.74</v>
      </c>
    </row>
    <row r="871" spans="1:19">
      <c r="A871" s="1">
        <v>43630</v>
      </c>
      <c r="B871" t="s">
        <v>412</v>
      </c>
      <c r="C871" t="s">
        <v>413</v>
      </c>
      <c r="D871">
        <v>15.775</v>
      </c>
      <c r="E871">
        <v>16.775</v>
      </c>
      <c r="F871">
        <v>0.0633914421553089</v>
      </c>
      <c r="G871">
        <f ca="1" t="shared" si="39"/>
        <v>0.715497700552486</v>
      </c>
      <c r="H871" t="str">
        <f ca="1" t="shared" si="40"/>
        <v>Risk-On</v>
      </c>
      <c r="I871">
        <f ca="1" t="shared" si="41"/>
        <v>1</v>
      </c>
      <c r="J871">
        <f>_xlfn.XLOOKUP($A871,[1]Sheet1!$B$9:$B$2584,[1]Sheet1!$C$9:$C$2584,"N/A",0)</f>
        <v>100.22</v>
      </c>
      <c r="K871">
        <f>_xlfn.XLOOKUP($A871,[1]Sheet1!$E$9:$E$2584,[1]Sheet1!$F$9:$F$2584,"N/A",0)</f>
        <v>140.37</v>
      </c>
      <c r="L871">
        <f>_xlfn.XLOOKUP($A871,[1]Sheet1!$H$9:$H$2584,[1]Sheet1!$I$9:$I$2584,"N/A",0)</f>
        <v>77.49</v>
      </c>
      <c r="M871">
        <f>_xlfn.XLOOKUP($A871,[1]Sheet1!$K$9:$K$2584,[1]Sheet1!$L$9:$L$2584,"N/A",0)</f>
        <v>138.97</v>
      </c>
      <c r="N871">
        <f>_xlfn.XLOOKUP($A871,[1]Sheet1!$N$9:$N$2584,[1]Sheet1!$O$9:$O$2584,"N/A",0)</f>
        <v>104.5</v>
      </c>
      <c r="O871">
        <v>100.22</v>
      </c>
      <c r="P871">
        <v>140.37</v>
      </c>
      <c r="Q871">
        <v>77.49</v>
      </c>
      <c r="R871">
        <v>104.5</v>
      </c>
      <c r="S871">
        <v>138.97</v>
      </c>
    </row>
    <row r="872" spans="1:19">
      <c r="A872" s="1">
        <v>43633</v>
      </c>
      <c r="B872" t="s">
        <v>412</v>
      </c>
      <c r="C872" t="s">
        <v>413</v>
      </c>
      <c r="D872">
        <v>15.275</v>
      </c>
      <c r="E872">
        <v>16.625</v>
      </c>
      <c r="F872">
        <v>0.0883797054009819</v>
      </c>
      <c r="G872">
        <f ca="1" t="shared" si="39"/>
        <v>1.17500602630366</v>
      </c>
      <c r="H872" t="str">
        <f ca="1" t="shared" si="40"/>
        <v>Risk-On</v>
      </c>
      <c r="I872">
        <f ca="1" t="shared" si="41"/>
        <v>1</v>
      </c>
      <c r="J872">
        <f>_xlfn.XLOOKUP($A872,[1]Sheet1!$B$9:$B$2584,[1]Sheet1!$C$9:$C$2584,"N/A",0)</f>
        <v>100.5</v>
      </c>
      <c r="K872">
        <f>_xlfn.XLOOKUP($A872,[1]Sheet1!$E$9:$E$2584,[1]Sheet1!$F$9:$F$2584,"N/A",0)</f>
        <v>139.81</v>
      </c>
      <c r="L872">
        <f>_xlfn.XLOOKUP($A872,[1]Sheet1!$H$9:$H$2584,[1]Sheet1!$I$9:$I$2584,"N/A",0)</f>
        <v>77.12</v>
      </c>
      <c r="M872">
        <f>_xlfn.XLOOKUP($A872,[1]Sheet1!$K$9:$K$2584,[1]Sheet1!$L$9:$L$2584,"N/A",0)</f>
        <v>138.53</v>
      </c>
      <c r="N872">
        <f>_xlfn.XLOOKUP($A872,[1]Sheet1!$N$9:$N$2584,[1]Sheet1!$O$9:$O$2584,"N/A",0)</f>
        <v>104.14</v>
      </c>
      <c r="O872">
        <v>100.5</v>
      </c>
      <c r="P872">
        <v>139.81</v>
      </c>
      <c r="Q872">
        <v>77.12</v>
      </c>
      <c r="R872">
        <v>104.14</v>
      </c>
      <c r="S872">
        <v>138.53</v>
      </c>
    </row>
    <row r="873" spans="1:19">
      <c r="A873" s="1">
        <v>43634</v>
      </c>
      <c r="B873" t="s">
        <v>412</v>
      </c>
      <c r="C873" t="s">
        <v>413</v>
      </c>
      <c r="D873">
        <v>15.075</v>
      </c>
      <c r="E873">
        <v>16.625</v>
      </c>
      <c r="F873" s="2" t="s">
        <v>421</v>
      </c>
      <c r="G873">
        <f ca="1" t="shared" si="39"/>
        <v>1.43993090926361</v>
      </c>
      <c r="H873" t="str">
        <f ca="1" t="shared" si="40"/>
        <v>Risk-On</v>
      </c>
      <c r="I873">
        <f ca="1" t="shared" si="41"/>
        <v>1</v>
      </c>
      <c r="J873">
        <f>_xlfn.XLOOKUP($A873,[1]Sheet1!$B$9:$B$2584,[1]Sheet1!$C$9:$C$2584,"N/A",0)</f>
        <v>100.76</v>
      </c>
      <c r="K873">
        <f>_xlfn.XLOOKUP($A873,[1]Sheet1!$E$9:$E$2584,[1]Sheet1!$F$9:$F$2584,"N/A",0)</f>
        <v>139.47</v>
      </c>
      <c r="L873">
        <f>_xlfn.XLOOKUP($A873,[1]Sheet1!$H$9:$H$2584,[1]Sheet1!$I$9:$I$2584,"N/A",0)</f>
        <v>77.72</v>
      </c>
      <c r="M873">
        <f>_xlfn.XLOOKUP($A873,[1]Sheet1!$K$9:$K$2584,[1]Sheet1!$L$9:$L$2584,"N/A",0)</f>
        <v>138.43</v>
      </c>
      <c r="N873">
        <f>_xlfn.XLOOKUP($A873,[1]Sheet1!$N$9:$N$2584,[1]Sheet1!$O$9:$O$2584,"N/A",0)</f>
        <v>104.39</v>
      </c>
      <c r="O873">
        <v>100.76</v>
      </c>
      <c r="P873">
        <v>139.47</v>
      </c>
      <c r="Q873">
        <v>77.72</v>
      </c>
      <c r="R873">
        <v>104.39</v>
      </c>
      <c r="S873">
        <v>138.43</v>
      </c>
    </row>
    <row r="874" spans="1:19">
      <c r="A874" s="1">
        <v>43635</v>
      </c>
      <c r="B874" t="s">
        <v>412</v>
      </c>
      <c r="C874" t="s">
        <v>413</v>
      </c>
      <c r="D874">
        <v>14.8</v>
      </c>
      <c r="E874">
        <v>15.875</v>
      </c>
      <c r="F874">
        <v>0.072635135135135</v>
      </c>
      <c r="G874">
        <f ca="1" t="shared" si="39"/>
        <v>0.893184561296212</v>
      </c>
      <c r="H874" t="str">
        <f ca="1" t="shared" si="40"/>
        <v>Risk-On</v>
      </c>
      <c r="I874">
        <f ca="1" t="shared" si="41"/>
        <v>1</v>
      </c>
      <c r="J874">
        <f>_xlfn.XLOOKUP($A874,[1]Sheet1!$B$9:$B$2584,[1]Sheet1!$C$9:$C$2584,"N/A",0)</f>
        <v>100.51</v>
      </c>
      <c r="K874">
        <f>_xlfn.XLOOKUP($A874,[1]Sheet1!$E$9:$E$2584,[1]Sheet1!$F$9:$F$2584,"N/A",0)</f>
        <v>140.89</v>
      </c>
      <c r="L874">
        <f>_xlfn.XLOOKUP($A874,[1]Sheet1!$H$9:$H$2584,[1]Sheet1!$I$9:$I$2584,"N/A",0)</f>
        <v>77.46</v>
      </c>
      <c r="M874">
        <f>_xlfn.XLOOKUP($A874,[1]Sheet1!$K$9:$K$2584,[1]Sheet1!$L$9:$L$2584,"N/A",0)</f>
        <v>138.55</v>
      </c>
      <c r="N874">
        <f>_xlfn.XLOOKUP($A874,[1]Sheet1!$N$9:$N$2584,[1]Sheet1!$O$9:$O$2584,"N/A",0)</f>
        <v>104.36</v>
      </c>
      <c r="O874">
        <v>100.51</v>
      </c>
      <c r="P874">
        <v>140.89</v>
      </c>
      <c r="Q874">
        <v>77.46</v>
      </c>
      <c r="R874">
        <v>104.36</v>
      </c>
      <c r="S874">
        <v>138.55</v>
      </c>
    </row>
    <row r="875" spans="1:19">
      <c r="A875" s="1">
        <v>43636</v>
      </c>
      <c r="B875" t="s">
        <v>413</v>
      </c>
      <c r="C875" t="s">
        <v>422</v>
      </c>
      <c r="D875">
        <v>16.125</v>
      </c>
      <c r="E875">
        <v>16.725</v>
      </c>
      <c r="F875" s="2" t="s">
        <v>423</v>
      </c>
      <c r="G875">
        <f ca="1" t="shared" si="39"/>
        <v>0.24029835614474</v>
      </c>
      <c r="H875" t="str">
        <f ca="1" t="shared" si="40"/>
        <v>Risk-On</v>
      </c>
      <c r="I875">
        <f ca="1" t="shared" si="41"/>
        <v>1</v>
      </c>
      <c r="J875">
        <f>_xlfn.XLOOKUP($A875,[1]Sheet1!$B$9:$B$2584,[1]Sheet1!$C$9:$C$2584,"N/A",0)</f>
        <v>100.56</v>
      </c>
      <c r="K875">
        <f>_xlfn.XLOOKUP($A875,[1]Sheet1!$E$9:$E$2584,[1]Sheet1!$F$9:$F$2584,"N/A",0)</f>
        <v>140.33</v>
      </c>
      <c r="L875">
        <f>_xlfn.XLOOKUP($A875,[1]Sheet1!$H$9:$H$2584,[1]Sheet1!$I$9:$I$2584,"N/A",0)</f>
        <v>77.4</v>
      </c>
      <c r="M875">
        <f>_xlfn.XLOOKUP($A875,[1]Sheet1!$K$9:$K$2584,[1]Sheet1!$L$9:$L$2584,"N/A",0)</f>
        <v>138.2</v>
      </c>
      <c r="N875">
        <f>_xlfn.XLOOKUP($A875,[1]Sheet1!$N$9:$N$2584,[1]Sheet1!$O$9:$O$2584,"N/A",0)</f>
        <v>104.9</v>
      </c>
      <c r="O875">
        <v>100.56</v>
      </c>
      <c r="P875">
        <v>140.33</v>
      </c>
      <c r="Q875">
        <v>77.4</v>
      </c>
      <c r="R875">
        <v>104.9</v>
      </c>
      <c r="S875">
        <v>138.2</v>
      </c>
    </row>
    <row r="876" spans="1:19">
      <c r="A876" s="1">
        <v>43637</v>
      </c>
      <c r="B876" t="s">
        <v>413</v>
      </c>
      <c r="C876" t="s">
        <v>422</v>
      </c>
      <c r="D876">
        <v>16.525</v>
      </c>
      <c r="E876">
        <v>17.125</v>
      </c>
      <c r="F876" s="2" t="s">
        <v>142</v>
      </c>
      <c r="G876">
        <f ca="1" t="shared" si="39"/>
        <v>0.223809803510888</v>
      </c>
      <c r="H876" t="str">
        <f ca="1" t="shared" si="40"/>
        <v>Risk-On</v>
      </c>
      <c r="I876">
        <f ca="1" t="shared" si="41"/>
        <v>1</v>
      </c>
      <c r="J876">
        <f>_xlfn.XLOOKUP($A876,[1]Sheet1!$B$9:$B$2584,[1]Sheet1!$C$9:$C$2584,"N/A",0)</f>
        <v>100.6</v>
      </c>
      <c r="K876">
        <f>_xlfn.XLOOKUP($A876,[1]Sheet1!$E$9:$E$2584,[1]Sheet1!$F$9:$F$2584,"N/A",0)</f>
        <v>139.36</v>
      </c>
      <c r="L876">
        <f>_xlfn.XLOOKUP($A876,[1]Sheet1!$H$9:$H$2584,[1]Sheet1!$I$9:$I$2584,"N/A",0)</f>
        <v>77.28</v>
      </c>
      <c r="M876">
        <f>_xlfn.XLOOKUP($A876,[1]Sheet1!$K$9:$K$2584,[1]Sheet1!$L$9:$L$2584,"N/A",0)</f>
        <v>138.29</v>
      </c>
      <c r="N876">
        <f>_xlfn.XLOOKUP($A876,[1]Sheet1!$N$9:$N$2584,[1]Sheet1!$O$9:$O$2584,"N/A",0)</f>
        <v>105.44</v>
      </c>
      <c r="O876">
        <v>100.6</v>
      </c>
      <c r="P876">
        <v>139.36</v>
      </c>
      <c r="Q876">
        <v>77.28</v>
      </c>
      <c r="R876">
        <v>105.44</v>
      </c>
      <c r="S876">
        <v>138.29</v>
      </c>
    </row>
    <row r="877" spans="1:19">
      <c r="A877" s="1">
        <v>43640</v>
      </c>
      <c r="B877" t="s">
        <v>413</v>
      </c>
      <c r="C877" t="s">
        <v>422</v>
      </c>
      <c r="D877">
        <v>16.275</v>
      </c>
      <c r="E877">
        <v>16.975</v>
      </c>
      <c r="F877">
        <v>0.0430107526881722</v>
      </c>
      <c r="G877">
        <f ca="1" t="shared" si="39"/>
        <v>0.345838938341112</v>
      </c>
      <c r="H877" t="str">
        <f ca="1" t="shared" si="40"/>
        <v>Risk-On</v>
      </c>
      <c r="I877">
        <f ca="1" t="shared" si="41"/>
        <v>1</v>
      </c>
      <c r="J877">
        <f>_xlfn.XLOOKUP($A877,[1]Sheet1!$B$9:$B$2584,[1]Sheet1!$C$9:$C$2584,"N/A",0)</f>
        <v>100.8</v>
      </c>
      <c r="K877">
        <f>_xlfn.XLOOKUP($A877,[1]Sheet1!$E$9:$E$2584,[1]Sheet1!$F$9:$F$2584,"N/A",0)</f>
        <v>140.21</v>
      </c>
      <c r="L877">
        <f>_xlfn.XLOOKUP($A877,[1]Sheet1!$H$9:$H$2584,[1]Sheet1!$I$9:$I$2584,"N/A",0)</f>
        <v>77.11</v>
      </c>
      <c r="M877">
        <f>_xlfn.XLOOKUP($A877,[1]Sheet1!$K$9:$K$2584,[1]Sheet1!$L$9:$L$2584,"N/A",0)</f>
        <v>138.13</v>
      </c>
      <c r="N877">
        <f>_xlfn.XLOOKUP($A877,[1]Sheet1!$N$9:$N$2584,[1]Sheet1!$O$9:$O$2584,"N/A",0)</f>
        <v>106.4</v>
      </c>
      <c r="O877">
        <v>100.8</v>
      </c>
      <c r="P877">
        <v>140.21</v>
      </c>
      <c r="Q877">
        <v>77.11</v>
      </c>
      <c r="R877">
        <v>106.4</v>
      </c>
      <c r="S877">
        <v>138.13</v>
      </c>
    </row>
    <row r="878" spans="1:19">
      <c r="A878" s="1">
        <v>43641</v>
      </c>
      <c r="B878" t="s">
        <v>413</v>
      </c>
      <c r="C878" t="s">
        <v>422</v>
      </c>
      <c r="D878">
        <v>16.675</v>
      </c>
      <c r="E878">
        <v>17.325</v>
      </c>
      <c r="F878">
        <v>0.0389805097451273</v>
      </c>
      <c r="G878">
        <f ca="1" t="shared" si="39"/>
        <v>0.272484347857477</v>
      </c>
      <c r="H878" t="str">
        <f ca="1" t="shared" si="40"/>
        <v>Risk-On</v>
      </c>
      <c r="I878">
        <f ca="1" t="shared" si="41"/>
        <v>1</v>
      </c>
      <c r="J878">
        <f>_xlfn.XLOOKUP($A878,[1]Sheet1!$B$9:$B$2584,[1]Sheet1!$C$9:$C$2584,"N/A",0)</f>
        <v>100.39</v>
      </c>
      <c r="K878">
        <f>_xlfn.XLOOKUP($A878,[1]Sheet1!$E$9:$E$2584,[1]Sheet1!$F$9:$F$2584,"N/A",0)</f>
        <v>139.03</v>
      </c>
      <c r="L878">
        <f>_xlfn.XLOOKUP($A878,[1]Sheet1!$H$9:$H$2584,[1]Sheet1!$I$9:$I$2584,"N/A",0)</f>
        <v>77.14</v>
      </c>
      <c r="M878">
        <f>_xlfn.XLOOKUP($A878,[1]Sheet1!$K$9:$K$2584,[1]Sheet1!$L$9:$L$2584,"N/A",0)</f>
        <v>137.73</v>
      </c>
      <c r="N878">
        <f>_xlfn.XLOOKUP($A878,[1]Sheet1!$N$9:$N$2584,[1]Sheet1!$O$9:$O$2584,"N/A",0)</f>
        <v>106.18</v>
      </c>
      <c r="O878">
        <v>100.39</v>
      </c>
      <c r="P878">
        <v>139.03</v>
      </c>
      <c r="Q878">
        <v>77.14</v>
      </c>
      <c r="R878">
        <v>106.18</v>
      </c>
      <c r="S878">
        <v>137.73</v>
      </c>
    </row>
    <row r="879" spans="1:19">
      <c r="A879" s="1">
        <v>43642</v>
      </c>
      <c r="B879" t="s">
        <v>413</v>
      </c>
      <c r="C879" t="s">
        <v>422</v>
      </c>
      <c r="D879">
        <v>16.525</v>
      </c>
      <c r="E879">
        <v>17.275</v>
      </c>
      <c r="F879">
        <v>0.0453857791225416</v>
      </c>
      <c r="G879">
        <f ca="1" t="shared" si="39"/>
        <v>0.385422853432439</v>
      </c>
      <c r="H879" t="str">
        <f ca="1" t="shared" si="40"/>
        <v>Risk-On</v>
      </c>
      <c r="I879">
        <f ca="1" t="shared" si="41"/>
        <v>1</v>
      </c>
      <c r="J879">
        <f>_xlfn.XLOOKUP($A879,[1]Sheet1!$B$9:$B$2584,[1]Sheet1!$C$9:$C$2584,"N/A",0)</f>
        <v>100.05</v>
      </c>
      <c r="K879">
        <f>_xlfn.XLOOKUP($A879,[1]Sheet1!$E$9:$E$2584,[1]Sheet1!$F$9:$F$2584,"N/A",0)</f>
        <v>137.94</v>
      </c>
      <c r="L879">
        <f>_xlfn.XLOOKUP($A879,[1]Sheet1!$H$9:$H$2584,[1]Sheet1!$I$9:$I$2584,"N/A",0)</f>
        <v>77.78</v>
      </c>
      <c r="M879">
        <f>_xlfn.XLOOKUP($A879,[1]Sheet1!$K$9:$K$2584,[1]Sheet1!$L$9:$L$2584,"N/A",0)</f>
        <v>137.52</v>
      </c>
      <c r="N879">
        <f>_xlfn.XLOOKUP($A879,[1]Sheet1!$N$9:$N$2584,[1]Sheet1!$O$9:$O$2584,"N/A",0)</f>
        <v>106.55</v>
      </c>
      <c r="O879">
        <v>100.05</v>
      </c>
      <c r="P879">
        <v>137.94</v>
      </c>
      <c r="Q879">
        <v>77.78</v>
      </c>
      <c r="R879">
        <v>106.55</v>
      </c>
      <c r="S879">
        <v>137.52</v>
      </c>
    </row>
    <row r="880" spans="1:19">
      <c r="A880" s="1">
        <v>43643</v>
      </c>
      <c r="B880" t="s">
        <v>413</v>
      </c>
      <c r="C880" t="s">
        <v>422</v>
      </c>
      <c r="D880">
        <v>16.075</v>
      </c>
      <c r="E880">
        <v>16.975</v>
      </c>
      <c r="F880">
        <v>0.0559875583203733</v>
      </c>
      <c r="G880">
        <f ca="1" t="shared" si="39"/>
        <v>0.578338693163914</v>
      </c>
      <c r="H880" t="str">
        <f ca="1" t="shared" si="40"/>
        <v>Risk-On</v>
      </c>
      <c r="I880">
        <f ca="1" t="shared" si="41"/>
        <v>1</v>
      </c>
      <c r="J880">
        <f>_xlfn.XLOOKUP($A880,[1]Sheet1!$B$9:$B$2584,[1]Sheet1!$C$9:$C$2584,"N/A",0)</f>
        <v>100.03</v>
      </c>
      <c r="K880">
        <f>_xlfn.XLOOKUP($A880,[1]Sheet1!$E$9:$E$2584,[1]Sheet1!$F$9:$F$2584,"N/A",0)</f>
        <v>137.78</v>
      </c>
      <c r="L880">
        <f>_xlfn.XLOOKUP($A880,[1]Sheet1!$H$9:$H$2584,[1]Sheet1!$I$9:$I$2584,"N/A",0)</f>
        <v>77.76</v>
      </c>
      <c r="M880">
        <f>_xlfn.XLOOKUP($A880,[1]Sheet1!$K$9:$K$2584,[1]Sheet1!$L$9:$L$2584,"N/A",0)</f>
        <v>137.42</v>
      </c>
      <c r="N880">
        <f>_xlfn.XLOOKUP($A880,[1]Sheet1!$N$9:$N$2584,[1]Sheet1!$O$9:$O$2584,"N/A",0)</f>
        <v>105.37</v>
      </c>
      <c r="O880">
        <v>100.03</v>
      </c>
      <c r="P880">
        <v>137.78</v>
      </c>
      <c r="Q880">
        <v>77.76</v>
      </c>
      <c r="R880">
        <v>105.37</v>
      </c>
      <c r="S880">
        <v>137.42</v>
      </c>
    </row>
    <row r="881" spans="1:19">
      <c r="A881" s="1">
        <v>43644</v>
      </c>
      <c r="B881" t="s">
        <v>413</v>
      </c>
      <c r="C881" t="s">
        <v>422</v>
      </c>
      <c r="D881">
        <v>15.525</v>
      </c>
      <c r="E881">
        <v>16.575</v>
      </c>
      <c r="F881">
        <v>0.0676328502415458</v>
      </c>
      <c r="G881">
        <f ca="1" t="shared" si="39"/>
        <v>0.785528751973819</v>
      </c>
      <c r="H881" t="str">
        <f ca="1" t="shared" si="40"/>
        <v>Risk-On</v>
      </c>
      <c r="I881">
        <f ca="1" t="shared" si="41"/>
        <v>1</v>
      </c>
      <c r="J881">
        <f>_xlfn.XLOOKUP($A881,[1]Sheet1!$B$9:$B$2584,[1]Sheet1!$C$9:$C$2584,"N/A",0)</f>
        <v>99.85</v>
      </c>
      <c r="K881">
        <f>_xlfn.XLOOKUP($A881,[1]Sheet1!$E$9:$E$2584,[1]Sheet1!$F$9:$F$2584,"N/A",0)</f>
        <v>136.9</v>
      </c>
      <c r="L881">
        <f>_xlfn.XLOOKUP($A881,[1]Sheet1!$H$9:$H$2584,[1]Sheet1!$I$9:$I$2584,"N/A",0)</f>
        <v>77.84</v>
      </c>
      <c r="M881">
        <f>_xlfn.XLOOKUP($A881,[1]Sheet1!$K$9:$K$2584,[1]Sheet1!$L$9:$L$2584,"N/A",0)</f>
        <v>136.58</v>
      </c>
      <c r="N881">
        <f>_xlfn.XLOOKUP($A881,[1]Sheet1!$N$9:$N$2584,[1]Sheet1!$O$9:$O$2584,"N/A",0)</f>
        <v>104.58</v>
      </c>
      <c r="O881">
        <v>99.85</v>
      </c>
      <c r="P881">
        <v>136.9</v>
      </c>
      <c r="Q881">
        <v>77.84</v>
      </c>
      <c r="R881">
        <v>104.58</v>
      </c>
      <c r="S881">
        <v>136.58</v>
      </c>
    </row>
    <row r="882" spans="1:19">
      <c r="A882" s="1">
        <v>43647</v>
      </c>
      <c r="B882" t="s">
        <v>413</v>
      </c>
      <c r="C882" t="s">
        <v>422</v>
      </c>
      <c r="D882">
        <v>14.925</v>
      </c>
      <c r="E882">
        <v>16.125</v>
      </c>
      <c r="F882">
        <v>0.0804020100502512</v>
      </c>
      <c r="G882">
        <f ca="1" t="shared" si="39"/>
        <v>1.01160276735203</v>
      </c>
      <c r="H882" t="str">
        <f ca="1" t="shared" si="40"/>
        <v>Risk-On</v>
      </c>
      <c r="I882">
        <f ca="1" t="shared" si="41"/>
        <v>1</v>
      </c>
      <c r="J882">
        <f>_xlfn.XLOOKUP($A882,[1]Sheet1!$B$9:$B$2584,[1]Sheet1!$C$9:$C$2584,"N/A",0)</f>
        <v>99.93</v>
      </c>
      <c r="K882">
        <f>_xlfn.XLOOKUP($A882,[1]Sheet1!$E$9:$E$2584,[1]Sheet1!$F$9:$F$2584,"N/A",0)</f>
        <v>137.68</v>
      </c>
      <c r="L882">
        <f>_xlfn.XLOOKUP($A882,[1]Sheet1!$H$9:$H$2584,[1]Sheet1!$I$9:$I$2584,"N/A",0)</f>
        <v>77.99</v>
      </c>
      <c r="M882">
        <f>_xlfn.XLOOKUP($A882,[1]Sheet1!$K$9:$K$2584,[1]Sheet1!$L$9:$L$2584,"N/A",0)</f>
        <v>136.86</v>
      </c>
      <c r="N882">
        <f>_xlfn.XLOOKUP($A882,[1]Sheet1!$N$9:$N$2584,[1]Sheet1!$O$9:$O$2584,"N/A",0)</f>
        <v>105.46</v>
      </c>
      <c r="O882">
        <v>99.93</v>
      </c>
      <c r="P882">
        <v>137.68</v>
      </c>
      <c r="Q882">
        <v>77.99</v>
      </c>
      <c r="R882">
        <v>105.46</v>
      </c>
      <c r="S882">
        <v>136.86</v>
      </c>
    </row>
    <row r="883" spans="1:19">
      <c r="A883" s="1">
        <v>43648</v>
      </c>
      <c r="B883" t="s">
        <v>413</v>
      </c>
      <c r="C883" t="s">
        <v>422</v>
      </c>
      <c r="D883">
        <v>14.225</v>
      </c>
      <c r="E883">
        <v>15.575</v>
      </c>
      <c r="F883">
        <v>0.0949033391915641</v>
      </c>
      <c r="G883">
        <f ca="1" t="shared" si="39"/>
        <v>1.26740972544734</v>
      </c>
      <c r="H883" t="str">
        <f ca="1" t="shared" si="40"/>
        <v>Risk-On</v>
      </c>
      <c r="I883">
        <f ca="1" t="shared" si="41"/>
        <v>1</v>
      </c>
      <c r="J883">
        <f>_xlfn.XLOOKUP($A883,[1]Sheet1!$B$9:$B$2584,[1]Sheet1!$C$9:$C$2584,"N/A",0)</f>
        <v>99.67</v>
      </c>
      <c r="K883">
        <f>_xlfn.XLOOKUP($A883,[1]Sheet1!$E$9:$E$2584,[1]Sheet1!$F$9:$F$2584,"N/A",0)</f>
        <v>139.02</v>
      </c>
      <c r="L883">
        <f>_xlfn.XLOOKUP($A883,[1]Sheet1!$H$9:$H$2584,[1]Sheet1!$I$9:$I$2584,"N/A",0)</f>
        <v>77.61</v>
      </c>
      <c r="M883">
        <f>_xlfn.XLOOKUP($A883,[1]Sheet1!$K$9:$K$2584,[1]Sheet1!$L$9:$L$2584,"N/A",0)</f>
        <v>136.98</v>
      </c>
      <c r="N883">
        <f>_xlfn.XLOOKUP($A883,[1]Sheet1!$N$9:$N$2584,[1]Sheet1!$O$9:$O$2584,"N/A",0)</f>
        <v>105.89</v>
      </c>
      <c r="O883">
        <v>99.67</v>
      </c>
      <c r="P883">
        <v>139.02</v>
      </c>
      <c r="Q883">
        <v>77.61</v>
      </c>
      <c r="R883">
        <v>105.89</v>
      </c>
      <c r="S883">
        <v>136.98</v>
      </c>
    </row>
    <row r="884" spans="1:19">
      <c r="A884" s="1">
        <v>43649</v>
      </c>
      <c r="B884" t="s">
        <v>413</v>
      </c>
      <c r="C884" t="s">
        <v>422</v>
      </c>
      <c r="D884">
        <v>14.025</v>
      </c>
      <c r="E884">
        <v>15.525</v>
      </c>
      <c r="F884" s="2" t="s">
        <v>424</v>
      </c>
      <c r="G884">
        <f ca="1" t="shared" si="39"/>
        <v>1.4778392485427</v>
      </c>
      <c r="H884" t="str">
        <f ca="1" t="shared" si="40"/>
        <v>Risk-On</v>
      </c>
      <c r="I884">
        <f ca="1" t="shared" si="41"/>
        <v>1</v>
      </c>
      <c r="J884">
        <f>_xlfn.XLOOKUP($A884,[1]Sheet1!$B$9:$B$2584,[1]Sheet1!$C$9:$C$2584,"N/A",0)</f>
        <v>99.83</v>
      </c>
      <c r="K884">
        <f>_xlfn.XLOOKUP($A884,[1]Sheet1!$E$9:$E$2584,[1]Sheet1!$F$9:$F$2584,"N/A",0)</f>
        <v>139.1</v>
      </c>
      <c r="L884">
        <f>_xlfn.XLOOKUP($A884,[1]Sheet1!$H$9:$H$2584,[1]Sheet1!$I$9:$I$2584,"N/A",0)</f>
        <v>77.41</v>
      </c>
      <c r="M884">
        <f>_xlfn.XLOOKUP($A884,[1]Sheet1!$K$9:$K$2584,[1]Sheet1!$L$9:$L$2584,"N/A",0)</f>
        <v>137.14</v>
      </c>
      <c r="N884">
        <f>_xlfn.XLOOKUP($A884,[1]Sheet1!$N$9:$N$2584,[1]Sheet1!$O$9:$O$2584,"N/A",0)</f>
        <v>105.89</v>
      </c>
      <c r="O884">
        <v>99.83</v>
      </c>
      <c r="P884">
        <v>139.1</v>
      </c>
      <c r="Q884">
        <v>77.41</v>
      </c>
      <c r="R884">
        <v>105.89</v>
      </c>
      <c r="S884">
        <v>137.14</v>
      </c>
    </row>
    <row r="885" spans="1:19">
      <c r="A885" s="1">
        <v>43651</v>
      </c>
      <c r="B885" t="s">
        <v>413</v>
      </c>
      <c r="C885" t="s">
        <v>422</v>
      </c>
      <c r="D885">
        <v>14.325</v>
      </c>
      <c r="E885">
        <v>15.675</v>
      </c>
      <c r="F885">
        <v>0.0942408376963351</v>
      </c>
      <c r="G885">
        <f ca="1" t="shared" si="39"/>
        <v>1.24645695618829</v>
      </c>
      <c r="H885" t="str">
        <f ca="1" t="shared" si="40"/>
        <v>Risk-On</v>
      </c>
      <c r="I885">
        <f ca="1" t="shared" si="41"/>
        <v>1</v>
      </c>
      <c r="J885">
        <f>_xlfn.XLOOKUP($A885,[1]Sheet1!$B$9:$B$2584,[1]Sheet1!$C$9:$C$2584,"N/A",0)</f>
        <v>99.9</v>
      </c>
      <c r="K885">
        <f>_xlfn.XLOOKUP($A885,[1]Sheet1!$E$9:$E$2584,[1]Sheet1!$F$9:$F$2584,"N/A",0)</f>
        <v>138.99</v>
      </c>
      <c r="L885">
        <f>_xlfn.XLOOKUP($A885,[1]Sheet1!$H$9:$H$2584,[1]Sheet1!$I$9:$I$2584,"N/A",0)</f>
        <v>77.46</v>
      </c>
      <c r="M885">
        <f>_xlfn.XLOOKUP($A885,[1]Sheet1!$K$9:$K$2584,[1]Sheet1!$L$9:$L$2584,"N/A",0)</f>
        <v>137.21</v>
      </c>
      <c r="N885">
        <f>_xlfn.XLOOKUP($A885,[1]Sheet1!$N$9:$N$2584,[1]Sheet1!$O$9:$O$2584,"N/A",0)</f>
        <v>105.21</v>
      </c>
      <c r="O885">
        <v>99.9</v>
      </c>
      <c r="P885">
        <v>138.99</v>
      </c>
      <c r="Q885">
        <v>77.46</v>
      </c>
      <c r="R885">
        <v>105.21</v>
      </c>
      <c r="S885">
        <v>137.21</v>
      </c>
    </row>
    <row r="886" spans="1:19">
      <c r="A886" s="1">
        <v>43654</v>
      </c>
      <c r="B886" t="s">
        <v>413</v>
      </c>
      <c r="C886" t="s">
        <v>422</v>
      </c>
      <c r="D886">
        <v>14.875</v>
      </c>
      <c r="E886">
        <v>16.025</v>
      </c>
      <c r="F886">
        <v>0.0773109243697478</v>
      </c>
      <c r="G886">
        <f ca="1" t="shared" si="39"/>
        <v>0.929060036002452</v>
      </c>
      <c r="H886" t="str">
        <f ca="1" t="shared" si="40"/>
        <v>Risk-On</v>
      </c>
      <c r="I886">
        <f ca="1" t="shared" si="41"/>
        <v>1</v>
      </c>
      <c r="J886">
        <f>_xlfn.XLOOKUP($A886,[1]Sheet1!$B$9:$B$2584,[1]Sheet1!$C$9:$C$2584,"N/A",0)</f>
        <v>99.85</v>
      </c>
      <c r="K886">
        <f>_xlfn.XLOOKUP($A886,[1]Sheet1!$E$9:$E$2584,[1]Sheet1!$F$9:$F$2584,"N/A",0)</f>
        <v>139.84</v>
      </c>
      <c r="L886">
        <f>_xlfn.XLOOKUP($A886,[1]Sheet1!$H$9:$H$2584,[1]Sheet1!$I$9:$I$2584,"N/A",0)</f>
        <v>77.75</v>
      </c>
      <c r="M886">
        <f>_xlfn.XLOOKUP($A886,[1]Sheet1!$K$9:$K$2584,[1]Sheet1!$L$9:$L$2584,"N/A",0)</f>
        <v>137.46</v>
      </c>
      <c r="N886">
        <f>_xlfn.XLOOKUP($A886,[1]Sheet1!$N$9:$N$2584,[1]Sheet1!$O$9:$O$2584,"N/A",0)</f>
        <v>105.51</v>
      </c>
      <c r="O886">
        <v>99.85</v>
      </c>
      <c r="P886">
        <v>139.84</v>
      </c>
      <c r="Q886">
        <v>77.75</v>
      </c>
      <c r="R886">
        <v>105.51</v>
      </c>
      <c r="S886">
        <v>137.46</v>
      </c>
    </row>
    <row r="887" spans="1:19">
      <c r="A887" s="1">
        <v>43655</v>
      </c>
      <c r="B887" t="s">
        <v>413</v>
      </c>
      <c r="C887" t="s">
        <v>422</v>
      </c>
      <c r="D887">
        <v>14.825</v>
      </c>
      <c r="E887">
        <v>16.075</v>
      </c>
      <c r="F887">
        <v>0.0843170320404721</v>
      </c>
      <c r="G887">
        <f ca="1" t="shared" si="39"/>
        <v>1.05386074228012</v>
      </c>
      <c r="H887" t="str">
        <f ca="1" t="shared" si="40"/>
        <v>Risk-On</v>
      </c>
      <c r="I887">
        <f ca="1" t="shared" si="41"/>
        <v>1</v>
      </c>
      <c r="J887">
        <f>_xlfn.XLOOKUP($A887,[1]Sheet1!$B$9:$B$2584,[1]Sheet1!$C$9:$C$2584,"N/A",0)</f>
        <v>99.81</v>
      </c>
      <c r="K887">
        <f>_xlfn.XLOOKUP($A887,[1]Sheet1!$E$9:$E$2584,[1]Sheet1!$F$9:$F$2584,"N/A",0)</f>
        <v>140.5</v>
      </c>
      <c r="L887">
        <f>_xlfn.XLOOKUP($A887,[1]Sheet1!$H$9:$H$2584,[1]Sheet1!$I$9:$I$2584,"N/A",0)</f>
        <v>77.34</v>
      </c>
      <c r="M887">
        <f>_xlfn.XLOOKUP($A887,[1]Sheet1!$K$9:$K$2584,[1]Sheet1!$L$9:$L$2584,"N/A",0)</f>
        <v>137.48</v>
      </c>
      <c r="N887">
        <f>_xlfn.XLOOKUP($A887,[1]Sheet1!$N$9:$N$2584,[1]Sheet1!$O$9:$O$2584,"N/A",0)</f>
        <v>105.89</v>
      </c>
      <c r="O887">
        <v>99.81</v>
      </c>
      <c r="P887">
        <v>140.5</v>
      </c>
      <c r="Q887">
        <v>77.34</v>
      </c>
      <c r="R887">
        <v>105.89</v>
      </c>
      <c r="S887">
        <v>137.48</v>
      </c>
    </row>
    <row r="888" spans="1:19">
      <c r="A888" s="1">
        <v>43656</v>
      </c>
      <c r="B888" t="s">
        <v>413</v>
      </c>
      <c r="C888" t="s">
        <v>422</v>
      </c>
      <c r="D888">
        <v>14.025</v>
      </c>
      <c r="E888">
        <v>15.575</v>
      </c>
      <c r="F888" s="2" t="s">
        <v>425</v>
      </c>
      <c r="G888">
        <f ca="1" t="shared" si="39"/>
        <v>1.52331227326815</v>
      </c>
      <c r="H888" t="str">
        <f ca="1" t="shared" si="40"/>
        <v>Risk-On</v>
      </c>
      <c r="I888">
        <f ca="1" t="shared" si="41"/>
        <v>1</v>
      </c>
      <c r="J888">
        <f>_xlfn.XLOOKUP($A888,[1]Sheet1!$B$9:$B$2584,[1]Sheet1!$C$9:$C$2584,"N/A",0)</f>
        <v>99.98</v>
      </c>
      <c r="K888">
        <f>_xlfn.XLOOKUP($A888,[1]Sheet1!$E$9:$E$2584,[1]Sheet1!$F$9:$F$2584,"N/A",0)</f>
        <v>140.76</v>
      </c>
      <c r="L888">
        <f>_xlfn.XLOOKUP($A888,[1]Sheet1!$H$9:$H$2584,[1]Sheet1!$I$9:$I$2584,"N/A",0)</f>
        <v>76.95</v>
      </c>
      <c r="M888">
        <f>_xlfn.XLOOKUP($A888,[1]Sheet1!$K$9:$K$2584,[1]Sheet1!$L$9:$L$2584,"N/A",0)</f>
        <v>137.31</v>
      </c>
      <c r="N888">
        <f>_xlfn.XLOOKUP($A888,[1]Sheet1!$N$9:$N$2584,[1]Sheet1!$O$9:$O$2584,"N/A",0)</f>
        <v>106.15</v>
      </c>
      <c r="O888">
        <v>99.98</v>
      </c>
      <c r="P888">
        <v>140.76</v>
      </c>
      <c r="Q888">
        <v>76.95</v>
      </c>
      <c r="R888">
        <v>106.15</v>
      </c>
      <c r="S888">
        <v>137.31</v>
      </c>
    </row>
    <row r="889" spans="1:19">
      <c r="A889" s="1">
        <v>43657</v>
      </c>
      <c r="B889" t="s">
        <v>413</v>
      </c>
      <c r="C889" t="s">
        <v>422</v>
      </c>
      <c r="D889">
        <v>13.625</v>
      </c>
      <c r="E889">
        <v>15.425</v>
      </c>
      <c r="F889" s="2" t="s">
        <v>426</v>
      </c>
      <c r="G889">
        <f ca="1" t="shared" si="39"/>
        <v>1.9171812468214</v>
      </c>
      <c r="H889" t="str">
        <f ca="1" t="shared" si="40"/>
        <v>Risk-On</v>
      </c>
      <c r="I889">
        <f ca="1" t="shared" si="41"/>
        <v>1</v>
      </c>
      <c r="J889">
        <f>_xlfn.XLOOKUP($A889,[1]Sheet1!$B$9:$B$2584,[1]Sheet1!$C$9:$C$2584,"N/A",0)</f>
        <v>99.95</v>
      </c>
      <c r="K889">
        <f>_xlfn.XLOOKUP($A889,[1]Sheet1!$E$9:$E$2584,[1]Sheet1!$F$9:$F$2584,"N/A",0)</f>
        <v>140.91</v>
      </c>
      <c r="L889">
        <f>_xlfn.XLOOKUP($A889,[1]Sheet1!$H$9:$H$2584,[1]Sheet1!$I$9:$I$2584,"N/A",0)</f>
        <v>76.7</v>
      </c>
      <c r="M889">
        <f>_xlfn.XLOOKUP($A889,[1]Sheet1!$K$9:$K$2584,[1]Sheet1!$L$9:$L$2584,"N/A",0)</f>
        <v>137.55</v>
      </c>
      <c r="N889">
        <f>_xlfn.XLOOKUP($A889,[1]Sheet1!$N$9:$N$2584,[1]Sheet1!$O$9:$O$2584,"N/A",0)</f>
        <v>106.66</v>
      </c>
      <c r="O889">
        <v>99.95</v>
      </c>
      <c r="P889">
        <v>140.91</v>
      </c>
      <c r="Q889">
        <v>76.7</v>
      </c>
      <c r="R889">
        <v>106.66</v>
      </c>
      <c r="S889">
        <v>137.55</v>
      </c>
    </row>
    <row r="890" spans="1:19">
      <c r="A890" s="1">
        <v>43658</v>
      </c>
      <c r="B890" t="s">
        <v>413</v>
      </c>
      <c r="C890" t="s">
        <v>422</v>
      </c>
      <c r="D890">
        <v>13.125</v>
      </c>
      <c r="E890">
        <v>15.225</v>
      </c>
      <c r="F890" s="2" t="s">
        <v>427</v>
      </c>
      <c r="G890">
        <f ca="1" t="shared" si="39"/>
        <v>2.42105371450459</v>
      </c>
      <c r="H890" t="str">
        <f ca="1" t="shared" si="40"/>
        <v>Risk-On</v>
      </c>
      <c r="I890">
        <f ca="1" t="shared" si="41"/>
        <v>1</v>
      </c>
      <c r="J890">
        <f>_xlfn.XLOOKUP($A890,[1]Sheet1!$B$9:$B$2584,[1]Sheet1!$C$9:$C$2584,"N/A",0)</f>
        <v>99.93</v>
      </c>
      <c r="K890">
        <f>_xlfn.XLOOKUP($A890,[1]Sheet1!$E$9:$E$2584,[1]Sheet1!$F$9:$F$2584,"N/A",0)</f>
        <v>140.11</v>
      </c>
      <c r="L890">
        <f>_xlfn.XLOOKUP($A890,[1]Sheet1!$H$9:$H$2584,[1]Sheet1!$I$9:$I$2584,"N/A",0)</f>
        <v>77.34</v>
      </c>
      <c r="M890">
        <f>_xlfn.XLOOKUP($A890,[1]Sheet1!$K$9:$K$2584,[1]Sheet1!$L$9:$L$2584,"N/A",0)</f>
        <v>138.09</v>
      </c>
      <c r="N890">
        <f>_xlfn.XLOOKUP($A890,[1]Sheet1!$N$9:$N$2584,[1]Sheet1!$O$9:$O$2584,"N/A",0)</f>
        <v>106.56</v>
      </c>
      <c r="O890">
        <v>99.93</v>
      </c>
      <c r="P890">
        <v>140.11</v>
      </c>
      <c r="Q890">
        <v>77.34</v>
      </c>
      <c r="R890">
        <v>106.56</v>
      </c>
      <c r="S890">
        <v>138.09</v>
      </c>
    </row>
    <row r="891" spans="1:19">
      <c r="A891" s="1">
        <v>43661</v>
      </c>
      <c r="B891" t="s">
        <v>413</v>
      </c>
      <c r="C891" t="s">
        <v>422</v>
      </c>
      <c r="D891">
        <v>12.875</v>
      </c>
      <c r="E891">
        <v>15.225</v>
      </c>
      <c r="F891" s="2" t="s">
        <v>428</v>
      </c>
      <c r="G891">
        <f ca="1" t="shared" si="39"/>
        <v>2.83545207885748</v>
      </c>
      <c r="H891" t="str">
        <f ca="1" t="shared" si="40"/>
        <v>Risk-On</v>
      </c>
      <c r="I891">
        <f ca="1" t="shared" si="41"/>
        <v>1</v>
      </c>
      <c r="J891">
        <f>_xlfn.XLOOKUP($A891,[1]Sheet1!$B$9:$B$2584,[1]Sheet1!$C$9:$C$2584,"N/A",0)</f>
        <v>99.67</v>
      </c>
      <c r="K891">
        <f>_xlfn.XLOOKUP($A891,[1]Sheet1!$E$9:$E$2584,[1]Sheet1!$F$9:$F$2584,"N/A",0)</f>
        <v>140.72</v>
      </c>
      <c r="L891">
        <f>_xlfn.XLOOKUP($A891,[1]Sheet1!$H$9:$H$2584,[1]Sheet1!$I$9:$I$2584,"N/A",0)</f>
        <v>77.55</v>
      </c>
      <c r="M891">
        <f>_xlfn.XLOOKUP($A891,[1]Sheet1!$K$9:$K$2584,[1]Sheet1!$L$9:$L$2584,"N/A",0)</f>
        <v>137.57</v>
      </c>
      <c r="N891">
        <f>_xlfn.XLOOKUP($A891,[1]Sheet1!$N$9:$N$2584,[1]Sheet1!$O$9:$O$2584,"N/A",0)</f>
        <v>107.01</v>
      </c>
      <c r="O891">
        <v>99.67</v>
      </c>
      <c r="P891">
        <v>140.72</v>
      </c>
      <c r="Q891">
        <v>77.55</v>
      </c>
      <c r="R891">
        <v>107.01</v>
      </c>
      <c r="S891">
        <v>137.57</v>
      </c>
    </row>
    <row r="892" spans="1:19">
      <c r="A892" s="1">
        <v>43662</v>
      </c>
      <c r="B892" t="s">
        <v>413</v>
      </c>
      <c r="C892" t="s">
        <v>422</v>
      </c>
      <c r="D892">
        <v>12.775</v>
      </c>
      <c r="E892">
        <v>15.325</v>
      </c>
      <c r="F892" s="2" t="s">
        <v>429</v>
      </c>
      <c r="G892">
        <f ca="1" t="shared" si="39"/>
        <v>3.15688597140557</v>
      </c>
      <c r="H892" t="str">
        <f ca="1" t="shared" si="40"/>
        <v>Risk-On</v>
      </c>
      <c r="I892">
        <f ca="1" t="shared" si="41"/>
        <v>1</v>
      </c>
      <c r="J892">
        <f>_xlfn.XLOOKUP($A892,[1]Sheet1!$B$9:$B$2584,[1]Sheet1!$C$9:$C$2584,"N/A",0)</f>
        <v>99.82</v>
      </c>
      <c r="K892">
        <f>_xlfn.XLOOKUP($A892,[1]Sheet1!$E$9:$E$2584,[1]Sheet1!$F$9:$F$2584,"N/A",0)</f>
        <v>140.41</v>
      </c>
      <c r="L892">
        <f>_xlfn.XLOOKUP($A892,[1]Sheet1!$H$9:$H$2584,[1]Sheet1!$I$9:$I$2584,"N/A",0)</f>
        <v>77.82</v>
      </c>
      <c r="M892">
        <f>_xlfn.XLOOKUP($A892,[1]Sheet1!$K$9:$K$2584,[1]Sheet1!$L$9:$L$2584,"N/A",0)</f>
        <v>137.46</v>
      </c>
      <c r="N892">
        <f>_xlfn.XLOOKUP($A892,[1]Sheet1!$N$9:$N$2584,[1]Sheet1!$O$9:$O$2584,"N/A",0)</f>
        <v>106.79</v>
      </c>
      <c r="O892">
        <v>99.82</v>
      </c>
      <c r="P892">
        <v>140.41</v>
      </c>
      <c r="Q892">
        <v>77.82</v>
      </c>
      <c r="R892">
        <v>106.79</v>
      </c>
      <c r="S892">
        <v>137.46</v>
      </c>
    </row>
    <row r="893" spans="1:19">
      <c r="A893" s="1">
        <v>43663</v>
      </c>
      <c r="B893" t="s">
        <v>413</v>
      </c>
      <c r="C893" t="s">
        <v>422</v>
      </c>
      <c r="D893">
        <v>12.69</v>
      </c>
      <c r="E893">
        <v>15.725</v>
      </c>
      <c r="F893" s="2" t="s">
        <v>430</v>
      </c>
      <c r="G893">
        <f ca="1" t="shared" si="39"/>
        <v>3.87317566530544</v>
      </c>
      <c r="H893" t="str">
        <f ca="1" t="shared" si="40"/>
        <v>Risk-On</v>
      </c>
      <c r="I893">
        <f ca="1" t="shared" si="41"/>
        <v>1</v>
      </c>
      <c r="J893">
        <f>_xlfn.XLOOKUP($A893,[1]Sheet1!$B$9:$B$2584,[1]Sheet1!$C$9:$C$2584,"N/A",0)</f>
        <v>99.93</v>
      </c>
      <c r="K893">
        <f>_xlfn.XLOOKUP($A893,[1]Sheet1!$E$9:$E$2584,[1]Sheet1!$F$9:$F$2584,"N/A",0)</f>
        <v>141.7</v>
      </c>
      <c r="L893">
        <f>_xlfn.XLOOKUP($A893,[1]Sheet1!$H$9:$H$2584,[1]Sheet1!$I$9:$I$2584,"N/A",0)</f>
        <v>77.58</v>
      </c>
      <c r="M893">
        <f>_xlfn.XLOOKUP($A893,[1]Sheet1!$K$9:$K$2584,[1]Sheet1!$L$9:$L$2584,"N/A",0)</f>
        <v>137.26</v>
      </c>
      <c r="N893">
        <f>_xlfn.XLOOKUP($A893,[1]Sheet1!$N$9:$N$2584,[1]Sheet1!$O$9:$O$2584,"N/A",0)</f>
        <v>106.65</v>
      </c>
      <c r="O893">
        <v>99.93</v>
      </c>
      <c r="P893">
        <v>141.7</v>
      </c>
      <c r="Q893">
        <v>77.58</v>
      </c>
      <c r="R893">
        <v>106.65</v>
      </c>
      <c r="S893">
        <v>137.26</v>
      </c>
    </row>
    <row r="894" spans="1:19">
      <c r="A894" s="1">
        <v>43664</v>
      </c>
      <c r="B894" t="s">
        <v>422</v>
      </c>
      <c r="C894" t="s">
        <v>431</v>
      </c>
      <c r="D894">
        <v>15.325</v>
      </c>
      <c r="E894">
        <v>16.375</v>
      </c>
      <c r="F894">
        <v>0.0685154975530179</v>
      </c>
      <c r="G894">
        <f ca="1" t="shared" si="39"/>
        <v>0.783025077051538</v>
      </c>
      <c r="H894" t="str">
        <f ca="1" t="shared" si="40"/>
        <v>Risk-On</v>
      </c>
      <c r="I894">
        <f ca="1" t="shared" si="41"/>
        <v>1</v>
      </c>
      <c r="J894">
        <f>_xlfn.XLOOKUP($A894,[1]Sheet1!$B$9:$B$2584,[1]Sheet1!$C$9:$C$2584,"N/A",0)</f>
        <v>99.93</v>
      </c>
      <c r="K894">
        <f>_xlfn.XLOOKUP($A894,[1]Sheet1!$E$9:$E$2584,[1]Sheet1!$F$9:$F$2584,"N/A",0)</f>
        <v>141.67</v>
      </c>
      <c r="L894">
        <f>_xlfn.XLOOKUP($A894,[1]Sheet1!$H$9:$H$2584,[1]Sheet1!$I$9:$I$2584,"N/A",0)</f>
        <v>77.64</v>
      </c>
      <c r="M894">
        <f>_xlfn.XLOOKUP($A894,[1]Sheet1!$K$9:$K$2584,[1]Sheet1!$L$9:$L$2584,"N/A",0)</f>
        <v>137.68</v>
      </c>
      <c r="N894">
        <f>_xlfn.XLOOKUP($A894,[1]Sheet1!$N$9:$N$2584,[1]Sheet1!$O$9:$O$2584,"N/A",0)</f>
        <v>106.86</v>
      </c>
      <c r="O894">
        <v>99.93</v>
      </c>
      <c r="P894">
        <v>141.67</v>
      </c>
      <c r="Q894">
        <v>77.64</v>
      </c>
      <c r="R894">
        <v>106.86</v>
      </c>
      <c r="S894">
        <v>137.68</v>
      </c>
    </row>
    <row r="895" spans="1:19">
      <c r="A895" s="1">
        <v>43665</v>
      </c>
      <c r="B895" t="s">
        <v>422</v>
      </c>
      <c r="C895" t="s">
        <v>431</v>
      </c>
      <c r="D895">
        <v>15.875</v>
      </c>
      <c r="E895">
        <v>16.725</v>
      </c>
      <c r="F895">
        <v>0.0535433070866142</v>
      </c>
      <c r="G895">
        <f ca="1" t="shared" si="39"/>
        <v>0.508171837546257</v>
      </c>
      <c r="H895" t="str">
        <f ca="1" t="shared" si="40"/>
        <v>Risk-On</v>
      </c>
      <c r="I895">
        <f ca="1" t="shared" si="41"/>
        <v>1</v>
      </c>
      <c r="J895">
        <f>_xlfn.XLOOKUP($A895,[1]Sheet1!$B$9:$B$2584,[1]Sheet1!$C$9:$C$2584,"N/A",0)</f>
        <v>99.9</v>
      </c>
      <c r="K895">
        <f>_xlfn.XLOOKUP($A895,[1]Sheet1!$E$9:$E$2584,[1]Sheet1!$F$9:$F$2584,"N/A",0)</f>
        <v>140.27</v>
      </c>
      <c r="L895">
        <f>_xlfn.XLOOKUP($A895,[1]Sheet1!$H$9:$H$2584,[1]Sheet1!$I$9:$I$2584,"N/A",0)</f>
        <v>78.04</v>
      </c>
      <c r="M895">
        <f>_xlfn.XLOOKUP($A895,[1]Sheet1!$K$9:$K$2584,[1]Sheet1!$L$9:$L$2584,"N/A",0)</f>
        <v>137.19</v>
      </c>
      <c r="N895">
        <f>_xlfn.XLOOKUP($A895,[1]Sheet1!$N$9:$N$2584,[1]Sheet1!$O$9:$O$2584,"N/A",0)</f>
        <v>106.78</v>
      </c>
      <c r="O895">
        <v>99.9</v>
      </c>
      <c r="P895">
        <v>140.27</v>
      </c>
      <c r="Q895">
        <v>78.04</v>
      </c>
      <c r="R895">
        <v>106.78</v>
      </c>
      <c r="S895">
        <v>137.19</v>
      </c>
    </row>
    <row r="896" spans="1:19">
      <c r="A896" s="1">
        <v>43668</v>
      </c>
      <c r="B896" t="s">
        <v>422</v>
      </c>
      <c r="C896" t="s">
        <v>431</v>
      </c>
      <c r="D896">
        <v>15.175</v>
      </c>
      <c r="E896">
        <v>16.375</v>
      </c>
      <c r="F896">
        <v>0.0790774299835254</v>
      </c>
      <c r="G896">
        <f ca="1" t="shared" si="39"/>
        <v>0.972033912704095</v>
      </c>
      <c r="H896" t="str">
        <f ca="1" t="shared" si="40"/>
        <v>Risk-On</v>
      </c>
      <c r="I896">
        <f ca="1" t="shared" si="41"/>
        <v>1</v>
      </c>
      <c r="J896">
        <f>_xlfn.XLOOKUP($A896,[1]Sheet1!$B$9:$B$2584,[1]Sheet1!$C$9:$C$2584,"N/A",0)</f>
        <v>99.74</v>
      </c>
      <c r="K896">
        <f>_xlfn.XLOOKUP($A896,[1]Sheet1!$E$9:$E$2584,[1]Sheet1!$F$9:$F$2584,"N/A",0)</f>
        <v>140.51</v>
      </c>
      <c r="L896">
        <f>_xlfn.XLOOKUP($A896,[1]Sheet1!$H$9:$H$2584,[1]Sheet1!$I$9:$I$2584,"N/A",0)</f>
        <v>78.01</v>
      </c>
      <c r="M896">
        <f>_xlfn.XLOOKUP($A896,[1]Sheet1!$K$9:$K$2584,[1]Sheet1!$L$9:$L$2584,"N/A",0)</f>
        <v>136.96</v>
      </c>
      <c r="N896">
        <f>_xlfn.XLOOKUP($A896,[1]Sheet1!$N$9:$N$2584,[1]Sheet1!$O$9:$O$2584,"N/A",0)</f>
        <v>107.37</v>
      </c>
      <c r="O896">
        <v>99.74</v>
      </c>
      <c r="P896">
        <v>140.51</v>
      </c>
      <c r="Q896">
        <v>78.01</v>
      </c>
      <c r="R896">
        <v>107.37</v>
      </c>
      <c r="S896">
        <v>136.96</v>
      </c>
    </row>
    <row r="897" spans="1:19">
      <c r="A897" s="1">
        <v>43669</v>
      </c>
      <c r="B897" t="s">
        <v>422</v>
      </c>
      <c r="C897" t="s">
        <v>431</v>
      </c>
      <c r="D897">
        <v>14.775</v>
      </c>
      <c r="E897">
        <v>16.125</v>
      </c>
      <c r="F897">
        <v>0.0913705583756344</v>
      </c>
      <c r="G897">
        <f ca="1" t="shared" si="39"/>
        <v>1.19180063601302</v>
      </c>
      <c r="H897" t="str">
        <f ca="1" t="shared" si="40"/>
        <v>Risk-On</v>
      </c>
      <c r="I897">
        <f ca="1" t="shared" si="41"/>
        <v>1</v>
      </c>
      <c r="J897">
        <f>_xlfn.XLOOKUP($A897,[1]Sheet1!$B$9:$B$2584,[1]Sheet1!$C$9:$C$2584,"N/A",0)</f>
        <v>99.57</v>
      </c>
      <c r="K897">
        <f>_xlfn.XLOOKUP($A897,[1]Sheet1!$E$9:$E$2584,[1]Sheet1!$F$9:$F$2584,"N/A",0)</f>
        <v>139.07</v>
      </c>
      <c r="L897">
        <f>_xlfn.XLOOKUP($A897,[1]Sheet1!$H$9:$H$2584,[1]Sheet1!$I$9:$I$2584,"N/A",0)</f>
        <v>78.49</v>
      </c>
      <c r="M897">
        <f>_xlfn.XLOOKUP($A897,[1]Sheet1!$K$9:$K$2584,[1]Sheet1!$L$9:$L$2584,"N/A",0)</f>
        <v>137.52</v>
      </c>
      <c r="N897">
        <f>_xlfn.XLOOKUP($A897,[1]Sheet1!$N$9:$N$2584,[1]Sheet1!$O$9:$O$2584,"N/A",0)</f>
        <v>107.61</v>
      </c>
      <c r="O897">
        <v>99.57</v>
      </c>
      <c r="P897">
        <v>139.07</v>
      </c>
      <c r="Q897">
        <v>78.49</v>
      </c>
      <c r="R897">
        <v>107.61</v>
      </c>
      <c r="S897">
        <v>137.52</v>
      </c>
    </row>
    <row r="898" spans="1:19">
      <c r="A898" s="1">
        <v>43670</v>
      </c>
      <c r="B898" t="s">
        <v>422</v>
      </c>
      <c r="C898" t="s">
        <v>431</v>
      </c>
      <c r="D898">
        <v>14.375</v>
      </c>
      <c r="E898">
        <v>15.825</v>
      </c>
      <c r="F898" s="2" t="s">
        <v>432</v>
      </c>
      <c r="G898">
        <f ca="1" t="shared" si="39"/>
        <v>1.35832732481244</v>
      </c>
      <c r="H898" t="str">
        <f ca="1" t="shared" si="40"/>
        <v>Risk-On</v>
      </c>
      <c r="I898">
        <f ca="1" t="shared" si="41"/>
        <v>1</v>
      </c>
      <c r="J898">
        <f>_xlfn.XLOOKUP($A898,[1]Sheet1!$B$9:$B$2584,[1]Sheet1!$C$9:$C$2584,"N/A",0)</f>
        <v>100.01</v>
      </c>
      <c r="K898">
        <f>_xlfn.XLOOKUP($A898,[1]Sheet1!$E$9:$E$2584,[1]Sheet1!$F$9:$F$2584,"N/A",0)</f>
        <v>137.94</v>
      </c>
      <c r="L898">
        <f>_xlfn.XLOOKUP($A898,[1]Sheet1!$H$9:$H$2584,[1]Sheet1!$I$9:$I$2584,"N/A",0)</f>
        <v>78.68</v>
      </c>
      <c r="M898">
        <f>_xlfn.XLOOKUP($A898,[1]Sheet1!$K$9:$K$2584,[1]Sheet1!$L$9:$L$2584,"N/A",0)</f>
        <v>137.72</v>
      </c>
      <c r="N898">
        <f>_xlfn.XLOOKUP($A898,[1]Sheet1!$N$9:$N$2584,[1]Sheet1!$O$9:$O$2584,"N/A",0)</f>
        <v>106.98</v>
      </c>
      <c r="O898">
        <v>100.01</v>
      </c>
      <c r="P898">
        <v>137.94</v>
      </c>
      <c r="Q898">
        <v>78.68</v>
      </c>
      <c r="R898">
        <v>106.98</v>
      </c>
      <c r="S898">
        <v>137.72</v>
      </c>
    </row>
    <row r="899" spans="1:19">
      <c r="A899" s="1">
        <v>43671</v>
      </c>
      <c r="B899" t="s">
        <v>422</v>
      </c>
      <c r="C899" t="s">
        <v>431</v>
      </c>
      <c r="D899">
        <v>14.675</v>
      </c>
      <c r="E899">
        <v>16.125</v>
      </c>
      <c r="F899">
        <v>0.0988074957410561</v>
      </c>
      <c r="G899">
        <f ca="1" t="shared" ref="G899:G962" si="42">IF(ROW()-ROW($A$3)+1&gt;252,(F899-AVERAGE(OFFSET(F899,-252,0,252,1)))/_xlfn.STDEV.S(OFFSET(F899,-252,0,252,1)),"N/A")</f>
        <v>1.32296800278641</v>
      </c>
      <c r="H899" t="str">
        <f ca="1" t="shared" ref="H899:H962" si="43">IF(G899&lt;&gt;"N/A",IF(G1149&gt;-0.5,"Risk-On","Risk-Off"),"N/A")</f>
        <v>Risk-On</v>
      </c>
      <c r="I899">
        <f ca="1" t="shared" si="41"/>
        <v>1</v>
      </c>
      <c r="J899">
        <f>_xlfn.XLOOKUP($A899,[1]Sheet1!$B$9:$B$2584,[1]Sheet1!$C$9:$C$2584,"N/A",0)</f>
        <v>100.49</v>
      </c>
      <c r="K899">
        <f>_xlfn.XLOOKUP($A899,[1]Sheet1!$E$9:$E$2584,[1]Sheet1!$F$9:$F$2584,"N/A",0)</f>
        <v>138.85</v>
      </c>
      <c r="L899">
        <f>_xlfn.XLOOKUP($A899,[1]Sheet1!$H$9:$H$2584,[1]Sheet1!$I$9:$I$2584,"N/A",0)</f>
        <v>78.74</v>
      </c>
      <c r="M899">
        <f>_xlfn.XLOOKUP($A899,[1]Sheet1!$K$9:$K$2584,[1]Sheet1!$L$9:$L$2584,"N/A",0)</f>
        <v>137.54</v>
      </c>
      <c r="N899">
        <f>_xlfn.XLOOKUP($A899,[1]Sheet1!$N$9:$N$2584,[1]Sheet1!$O$9:$O$2584,"N/A",0)</f>
        <v>107.65</v>
      </c>
      <c r="O899">
        <v>100.49</v>
      </c>
      <c r="P899">
        <v>138.85</v>
      </c>
      <c r="Q899">
        <v>78.74</v>
      </c>
      <c r="R899">
        <v>107.65</v>
      </c>
      <c r="S899">
        <v>137.54</v>
      </c>
    </row>
    <row r="900" spans="1:19">
      <c r="A900" s="1">
        <v>43672</v>
      </c>
      <c r="B900" t="s">
        <v>422</v>
      </c>
      <c r="C900" t="s">
        <v>431</v>
      </c>
      <c r="D900">
        <v>14.375</v>
      </c>
      <c r="E900">
        <v>15.825</v>
      </c>
      <c r="F900" s="2" t="s">
        <v>432</v>
      </c>
      <c r="G900">
        <f ca="1" t="shared" si="42"/>
        <v>1.35446847546933</v>
      </c>
      <c r="H900" t="str">
        <f ca="1" t="shared" si="43"/>
        <v>Risk-On</v>
      </c>
      <c r="I900">
        <f ca="1" t="shared" ref="I900:I963" si="44">IF(H900&lt;&gt;"N/A",IF(H1150&gt;-0.5,1,0),0)</f>
        <v>1</v>
      </c>
      <c r="J900">
        <f>_xlfn.XLOOKUP($A900,[1]Sheet1!$B$9:$B$2584,[1]Sheet1!$C$9:$C$2584,"N/A",0)</f>
        <v>100.21</v>
      </c>
      <c r="K900">
        <f>_xlfn.XLOOKUP($A900,[1]Sheet1!$E$9:$E$2584,[1]Sheet1!$F$9:$F$2584,"N/A",0)</f>
        <v>138.56</v>
      </c>
      <c r="L900">
        <f>_xlfn.XLOOKUP($A900,[1]Sheet1!$H$9:$H$2584,[1]Sheet1!$I$9:$I$2584,"N/A",0)</f>
        <v>78.39</v>
      </c>
      <c r="M900">
        <f>_xlfn.XLOOKUP($A900,[1]Sheet1!$K$9:$K$2584,[1]Sheet1!$L$9:$L$2584,"N/A",0)</f>
        <v>137.45</v>
      </c>
      <c r="N900">
        <f>_xlfn.XLOOKUP($A900,[1]Sheet1!$N$9:$N$2584,[1]Sheet1!$O$9:$O$2584,"N/A",0)</f>
        <v>106.76</v>
      </c>
      <c r="O900">
        <v>100.21</v>
      </c>
      <c r="P900">
        <v>138.56</v>
      </c>
      <c r="Q900">
        <v>78.39</v>
      </c>
      <c r="R900">
        <v>106.76</v>
      </c>
      <c r="S900">
        <v>137.45</v>
      </c>
    </row>
    <row r="901" spans="1:19">
      <c r="A901" s="1">
        <v>43675</v>
      </c>
      <c r="B901" t="s">
        <v>422</v>
      </c>
      <c r="C901" t="s">
        <v>431</v>
      </c>
      <c r="D901">
        <v>14.475</v>
      </c>
      <c r="E901">
        <v>15.925</v>
      </c>
      <c r="F901" s="2" t="s">
        <v>433</v>
      </c>
      <c r="G901">
        <f ca="1" t="shared" si="42"/>
        <v>1.34665314573348</v>
      </c>
      <c r="H901" t="str">
        <f ca="1" t="shared" si="43"/>
        <v>Risk-On</v>
      </c>
      <c r="I901">
        <f ca="1" t="shared" si="44"/>
        <v>1</v>
      </c>
      <c r="J901">
        <f>_xlfn.XLOOKUP($A901,[1]Sheet1!$B$9:$B$2584,[1]Sheet1!$C$9:$C$2584,"N/A",0)</f>
        <v>100</v>
      </c>
      <c r="K901">
        <f>_xlfn.XLOOKUP($A901,[1]Sheet1!$E$9:$E$2584,[1]Sheet1!$F$9:$F$2584,"N/A",0)</f>
        <v>137.66</v>
      </c>
      <c r="L901">
        <f>_xlfn.XLOOKUP($A901,[1]Sheet1!$H$9:$H$2584,[1]Sheet1!$I$9:$I$2584,"N/A",0)</f>
        <v>78.65</v>
      </c>
      <c r="M901">
        <f>_xlfn.XLOOKUP($A901,[1]Sheet1!$K$9:$K$2584,[1]Sheet1!$L$9:$L$2584,"N/A",0)</f>
        <v>137.51</v>
      </c>
      <c r="N901">
        <f>_xlfn.XLOOKUP($A901,[1]Sheet1!$N$9:$N$2584,[1]Sheet1!$O$9:$O$2584,"N/A",0)</f>
        <v>107.08</v>
      </c>
      <c r="O901">
        <v>100</v>
      </c>
      <c r="P901">
        <v>137.66</v>
      </c>
      <c r="Q901">
        <v>78.65</v>
      </c>
      <c r="R901">
        <v>107.08</v>
      </c>
      <c r="S901">
        <v>137.51</v>
      </c>
    </row>
    <row r="902" spans="1:19">
      <c r="A902" s="1">
        <v>43676</v>
      </c>
      <c r="B902" t="s">
        <v>422</v>
      </c>
      <c r="C902" t="s">
        <v>431</v>
      </c>
      <c r="D902">
        <v>15.075</v>
      </c>
      <c r="E902">
        <v>16.425</v>
      </c>
      <c r="F902">
        <v>0.0895522388059702</v>
      </c>
      <c r="G902">
        <f ca="1" t="shared" si="42"/>
        <v>1.1555797730354</v>
      </c>
      <c r="H902" t="str">
        <f ca="1" t="shared" si="43"/>
        <v>Risk-On</v>
      </c>
      <c r="I902">
        <f ca="1" t="shared" si="44"/>
        <v>1</v>
      </c>
      <c r="J902">
        <f>_xlfn.XLOOKUP($A902,[1]Sheet1!$B$9:$B$2584,[1]Sheet1!$C$9:$C$2584,"N/A",0)</f>
        <v>100</v>
      </c>
      <c r="K902">
        <f>_xlfn.XLOOKUP($A902,[1]Sheet1!$E$9:$E$2584,[1]Sheet1!$F$9:$F$2584,"N/A",0)</f>
        <v>136.44</v>
      </c>
      <c r="L902">
        <f>_xlfn.XLOOKUP($A902,[1]Sheet1!$H$9:$H$2584,[1]Sheet1!$I$9:$I$2584,"N/A",0)</f>
        <v>78.31</v>
      </c>
      <c r="M902">
        <f>_xlfn.XLOOKUP($A902,[1]Sheet1!$K$9:$K$2584,[1]Sheet1!$L$9:$L$2584,"N/A",0)</f>
        <v>136.92</v>
      </c>
      <c r="N902">
        <f>_xlfn.XLOOKUP($A902,[1]Sheet1!$N$9:$N$2584,[1]Sheet1!$O$9:$O$2584,"N/A",0)</f>
        <v>106.07</v>
      </c>
      <c r="O902">
        <v>100</v>
      </c>
      <c r="P902">
        <v>136.44</v>
      </c>
      <c r="Q902">
        <v>78.31</v>
      </c>
      <c r="R902">
        <v>106.07</v>
      </c>
      <c r="S902">
        <v>136.92</v>
      </c>
    </row>
    <row r="903" spans="1:19">
      <c r="A903" s="1">
        <v>43677</v>
      </c>
      <c r="B903" t="s">
        <v>422</v>
      </c>
      <c r="C903" t="s">
        <v>431</v>
      </c>
      <c r="D903">
        <v>16.075</v>
      </c>
      <c r="E903">
        <v>17.175</v>
      </c>
      <c r="F903">
        <v>0.0684292379471229</v>
      </c>
      <c r="G903">
        <f ca="1" t="shared" si="42"/>
        <v>0.769257203337412</v>
      </c>
      <c r="H903" t="str">
        <f ca="1" t="shared" si="43"/>
        <v>Risk-On</v>
      </c>
      <c r="I903">
        <f ca="1" t="shared" si="44"/>
        <v>1</v>
      </c>
      <c r="J903">
        <f>_xlfn.XLOOKUP($A903,[1]Sheet1!$B$9:$B$2584,[1]Sheet1!$C$9:$C$2584,"N/A",0)</f>
        <v>100.1</v>
      </c>
      <c r="K903">
        <f>_xlfn.XLOOKUP($A903,[1]Sheet1!$E$9:$E$2584,[1]Sheet1!$F$9:$F$2584,"N/A",0)</f>
        <v>135.55</v>
      </c>
      <c r="L903">
        <f>_xlfn.XLOOKUP($A903,[1]Sheet1!$H$9:$H$2584,[1]Sheet1!$I$9:$I$2584,"N/A",0)</f>
        <v>77.73</v>
      </c>
      <c r="M903">
        <f>_xlfn.XLOOKUP($A903,[1]Sheet1!$K$9:$K$2584,[1]Sheet1!$L$9:$L$2584,"N/A",0)</f>
        <v>136.75</v>
      </c>
      <c r="N903">
        <f>_xlfn.XLOOKUP($A903,[1]Sheet1!$N$9:$N$2584,[1]Sheet1!$O$9:$O$2584,"N/A",0)</f>
        <v>105.61</v>
      </c>
      <c r="O903">
        <v>100.1</v>
      </c>
      <c r="P903">
        <v>135.55</v>
      </c>
      <c r="Q903">
        <v>77.73</v>
      </c>
      <c r="R903">
        <v>105.61</v>
      </c>
      <c r="S903">
        <v>136.75</v>
      </c>
    </row>
    <row r="904" spans="1:19">
      <c r="A904" s="1">
        <v>43678</v>
      </c>
      <c r="B904" t="s">
        <v>422</v>
      </c>
      <c r="C904" t="s">
        <v>431</v>
      </c>
      <c r="D904">
        <v>17.475</v>
      </c>
      <c r="E904">
        <v>17.775</v>
      </c>
      <c r="F904" s="2" t="s">
        <v>434</v>
      </c>
      <c r="G904">
        <f ca="1" t="shared" si="42"/>
        <v>-0.150200829721798</v>
      </c>
      <c r="H904" t="str">
        <f ca="1" t="shared" si="43"/>
        <v>Risk-On</v>
      </c>
      <c r="I904">
        <f ca="1" t="shared" si="44"/>
        <v>1</v>
      </c>
      <c r="J904">
        <f>_xlfn.XLOOKUP($A904,[1]Sheet1!$B$9:$B$2584,[1]Sheet1!$C$9:$C$2584,"N/A",0)</f>
        <v>100.28</v>
      </c>
      <c r="K904">
        <f>_xlfn.XLOOKUP($A904,[1]Sheet1!$E$9:$E$2584,[1]Sheet1!$F$9:$F$2584,"N/A",0)</f>
        <v>138.21</v>
      </c>
      <c r="L904">
        <f>_xlfn.XLOOKUP($A904,[1]Sheet1!$H$9:$H$2584,[1]Sheet1!$I$9:$I$2584,"N/A",0)</f>
        <v>77.22</v>
      </c>
      <c r="M904">
        <f>_xlfn.XLOOKUP($A904,[1]Sheet1!$K$9:$K$2584,[1]Sheet1!$L$9:$L$2584,"N/A",0)</f>
        <v>137.48</v>
      </c>
      <c r="N904">
        <f>_xlfn.XLOOKUP($A904,[1]Sheet1!$N$9:$N$2584,[1]Sheet1!$O$9:$O$2584,"N/A",0)</f>
        <v>106.1</v>
      </c>
      <c r="O904">
        <v>100.28</v>
      </c>
      <c r="P904">
        <v>138.21</v>
      </c>
      <c r="Q904">
        <v>77.22</v>
      </c>
      <c r="R904">
        <v>106.1</v>
      </c>
      <c r="S904">
        <v>137.48</v>
      </c>
    </row>
    <row r="905" spans="1:19">
      <c r="A905" s="1">
        <v>43679</v>
      </c>
      <c r="B905" t="s">
        <v>422</v>
      </c>
      <c r="C905" t="s">
        <v>431</v>
      </c>
      <c r="D905">
        <v>17.475</v>
      </c>
      <c r="E905">
        <v>17.675</v>
      </c>
      <c r="F905">
        <v>0.0114449213161659</v>
      </c>
      <c r="G905">
        <f ca="1" t="shared" si="42"/>
        <v>-0.25282531318716</v>
      </c>
      <c r="H905" t="str">
        <f ca="1" t="shared" si="43"/>
        <v>Risk-On</v>
      </c>
      <c r="I905">
        <f ca="1" t="shared" si="44"/>
        <v>1</v>
      </c>
      <c r="J905">
        <f>_xlfn.XLOOKUP($A905,[1]Sheet1!$B$9:$B$2584,[1]Sheet1!$C$9:$C$2584,"N/A",0)</f>
        <v>100.74</v>
      </c>
      <c r="K905">
        <f>_xlfn.XLOOKUP($A905,[1]Sheet1!$E$9:$E$2584,[1]Sheet1!$F$9:$F$2584,"N/A",0)</f>
        <v>138.27</v>
      </c>
      <c r="L905">
        <f>_xlfn.XLOOKUP($A905,[1]Sheet1!$H$9:$H$2584,[1]Sheet1!$I$9:$I$2584,"N/A",0)</f>
        <v>76.51</v>
      </c>
      <c r="M905">
        <f>_xlfn.XLOOKUP($A905,[1]Sheet1!$K$9:$K$2584,[1]Sheet1!$L$9:$L$2584,"N/A",0)</f>
        <v>136.26</v>
      </c>
      <c r="N905">
        <f>_xlfn.XLOOKUP($A905,[1]Sheet1!$N$9:$N$2584,[1]Sheet1!$O$9:$O$2584,"N/A",0)</f>
        <v>106.67</v>
      </c>
      <c r="O905">
        <v>100.74</v>
      </c>
      <c r="P905">
        <v>138.27</v>
      </c>
      <c r="Q905">
        <v>76.51</v>
      </c>
      <c r="R905">
        <v>106.67</v>
      </c>
      <c r="S905">
        <v>136.26</v>
      </c>
    </row>
    <row r="906" spans="1:19">
      <c r="A906" s="1">
        <v>43682</v>
      </c>
      <c r="B906" t="s">
        <v>422</v>
      </c>
      <c r="C906" t="s">
        <v>431</v>
      </c>
      <c r="D906">
        <v>21.625</v>
      </c>
      <c r="E906">
        <v>20.225</v>
      </c>
      <c r="F906">
        <v>-0.0647398843930635</v>
      </c>
      <c r="G906">
        <f ca="1" t="shared" si="42"/>
        <v>-1.61609677017298</v>
      </c>
      <c r="H906" t="str">
        <f ca="1" t="shared" si="43"/>
        <v>Risk-On</v>
      </c>
      <c r="I906">
        <f ca="1" t="shared" si="44"/>
        <v>1</v>
      </c>
      <c r="J906">
        <f>_xlfn.XLOOKUP($A906,[1]Sheet1!$B$9:$B$2584,[1]Sheet1!$C$9:$C$2584,"N/A",0)</f>
        <v>100.68</v>
      </c>
      <c r="K906">
        <f>_xlfn.XLOOKUP($A906,[1]Sheet1!$E$9:$E$2584,[1]Sheet1!$F$9:$F$2584,"N/A",0)</f>
        <v>138.51</v>
      </c>
      <c r="L906">
        <f>_xlfn.XLOOKUP($A906,[1]Sheet1!$H$9:$H$2584,[1]Sheet1!$I$9:$I$2584,"N/A",0)</f>
        <v>76.89</v>
      </c>
      <c r="M906">
        <f>_xlfn.XLOOKUP($A906,[1]Sheet1!$K$9:$K$2584,[1]Sheet1!$L$9:$L$2584,"N/A",0)</f>
        <v>135.34</v>
      </c>
      <c r="N906">
        <f>_xlfn.XLOOKUP($A906,[1]Sheet1!$N$9:$N$2584,[1]Sheet1!$O$9:$O$2584,"N/A",0)</f>
        <v>106.14</v>
      </c>
      <c r="O906">
        <v>100.68</v>
      </c>
      <c r="P906">
        <v>138.51</v>
      </c>
      <c r="Q906">
        <v>76.89</v>
      </c>
      <c r="R906">
        <v>106.14</v>
      </c>
      <c r="S906">
        <v>135.34</v>
      </c>
    </row>
    <row r="907" spans="1:19">
      <c r="A907" s="1">
        <v>43683</v>
      </c>
      <c r="B907" t="s">
        <v>422</v>
      </c>
      <c r="C907" t="s">
        <v>431</v>
      </c>
      <c r="D907">
        <v>19.675</v>
      </c>
      <c r="E907">
        <v>19.425</v>
      </c>
      <c r="F907">
        <v>-0.0127064803049555</v>
      </c>
      <c r="G907">
        <f ca="1" t="shared" si="42"/>
        <v>-0.66334294990502</v>
      </c>
      <c r="H907" t="str">
        <f ca="1" t="shared" si="43"/>
        <v>Risk-On</v>
      </c>
      <c r="I907">
        <f ca="1" t="shared" si="44"/>
        <v>1</v>
      </c>
      <c r="J907">
        <f>_xlfn.XLOOKUP($A907,[1]Sheet1!$B$9:$B$2584,[1]Sheet1!$C$9:$C$2584,"N/A",0)</f>
        <v>100.53</v>
      </c>
      <c r="K907">
        <f>_xlfn.XLOOKUP($A907,[1]Sheet1!$E$9:$E$2584,[1]Sheet1!$F$9:$F$2584,"N/A",0)</f>
        <v>140.77</v>
      </c>
      <c r="L907">
        <f>_xlfn.XLOOKUP($A907,[1]Sheet1!$H$9:$H$2584,[1]Sheet1!$I$9:$I$2584,"N/A",0)</f>
        <v>76.71</v>
      </c>
      <c r="M907">
        <f>_xlfn.XLOOKUP($A907,[1]Sheet1!$K$9:$K$2584,[1]Sheet1!$L$9:$L$2584,"N/A",0)</f>
        <v>135.64</v>
      </c>
      <c r="N907">
        <f>_xlfn.XLOOKUP($A907,[1]Sheet1!$N$9:$N$2584,[1]Sheet1!$O$9:$O$2584,"N/A",0)</f>
        <v>106.51</v>
      </c>
      <c r="O907">
        <v>100.53</v>
      </c>
      <c r="P907">
        <v>140.77</v>
      </c>
      <c r="Q907">
        <v>76.71</v>
      </c>
      <c r="R907">
        <v>106.51</v>
      </c>
      <c r="S907">
        <v>135.64</v>
      </c>
    </row>
    <row r="908" spans="1:19">
      <c r="A908" s="1">
        <v>43684</v>
      </c>
      <c r="B908" t="s">
        <v>422</v>
      </c>
      <c r="C908" t="s">
        <v>431</v>
      </c>
      <c r="D908">
        <v>19.375</v>
      </c>
      <c r="E908">
        <v>19.125</v>
      </c>
      <c r="F908">
        <v>-0.0129032258064516</v>
      </c>
      <c r="G908">
        <f ca="1" t="shared" si="42"/>
        <v>-0.664256618976479</v>
      </c>
      <c r="H908" t="str">
        <f ca="1" t="shared" si="43"/>
        <v>Risk-On</v>
      </c>
      <c r="I908">
        <f ca="1" t="shared" si="44"/>
        <v>1</v>
      </c>
      <c r="J908">
        <f>_xlfn.XLOOKUP($A908,[1]Sheet1!$B$9:$B$2584,[1]Sheet1!$C$9:$C$2584,"N/A",0)</f>
        <v>101.32</v>
      </c>
      <c r="K908">
        <f>_xlfn.XLOOKUP($A908,[1]Sheet1!$E$9:$E$2584,[1]Sheet1!$F$9:$F$2584,"N/A",0)</f>
        <v>141.64</v>
      </c>
      <c r="L908">
        <f>_xlfn.XLOOKUP($A908,[1]Sheet1!$H$9:$H$2584,[1]Sheet1!$I$9:$I$2584,"N/A",0)</f>
        <v>76.72</v>
      </c>
      <c r="M908">
        <f>_xlfn.XLOOKUP($A908,[1]Sheet1!$K$9:$K$2584,[1]Sheet1!$L$9:$L$2584,"N/A",0)</f>
        <v>135.48</v>
      </c>
      <c r="N908">
        <f>_xlfn.XLOOKUP($A908,[1]Sheet1!$N$9:$N$2584,[1]Sheet1!$O$9:$O$2584,"N/A",0)</f>
        <v>106.5</v>
      </c>
      <c r="O908">
        <v>101.32</v>
      </c>
      <c r="P908">
        <v>141.64</v>
      </c>
      <c r="Q908">
        <v>76.72</v>
      </c>
      <c r="R908">
        <v>106.5</v>
      </c>
      <c r="S908">
        <v>135.48</v>
      </c>
    </row>
    <row r="909" spans="1:19">
      <c r="A909" s="1">
        <v>43685</v>
      </c>
      <c r="B909" t="s">
        <v>422</v>
      </c>
      <c r="C909" t="s">
        <v>431</v>
      </c>
      <c r="D909">
        <v>17.725</v>
      </c>
      <c r="E909">
        <v>18.075</v>
      </c>
      <c r="F909" s="2" t="s">
        <v>435</v>
      </c>
      <c r="G909">
        <f ca="1" t="shared" si="42"/>
        <v>-0.0747620164726283</v>
      </c>
      <c r="H909" t="str">
        <f ca="1" t="shared" si="43"/>
        <v>Risk-On</v>
      </c>
      <c r="I909">
        <f ca="1" t="shared" si="44"/>
        <v>1</v>
      </c>
      <c r="J909">
        <f>_xlfn.XLOOKUP($A909,[1]Sheet1!$B$9:$B$2584,[1]Sheet1!$C$9:$C$2584,"N/A",0)</f>
        <v>101.09</v>
      </c>
      <c r="K909">
        <f>_xlfn.XLOOKUP($A909,[1]Sheet1!$E$9:$E$2584,[1]Sheet1!$F$9:$F$2584,"N/A",0)</f>
        <v>143.45</v>
      </c>
      <c r="L909">
        <f>_xlfn.XLOOKUP($A909,[1]Sheet1!$H$9:$H$2584,[1]Sheet1!$I$9:$I$2584,"N/A",0)</f>
        <v>76.42</v>
      </c>
      <c r="M909">
        <f>_xlfn.XLOOKUP($A909,[1]Sheet1!$K$9:$K$2584,[1]Sheet1!$L$9:$L$2584,"N/A",0)</f>
        <v>135.97</v>
      </c>
      <c r="N909">
        <f>_xlfn.XLOOKUP($A909,[1]Sheet1!$N$9:$N$2584,[1]Sheet1!$O$9:$O$2584,"N/A",0)</f>
        <v>106.3</v>
      </c>
      <c r="O909">
        <v>101.09</v>
      </c>
      <c r="P909">
        <v>143.45</v>
      </c>
      <c r="Q909">
        <v>76.42</v>
      </c>
      <c r="R909">
        <v>106.3</v>
      </c>
      <c r="S909">
        <v>135.97</v>
      </c>
    </row>
    <row r="910" spans="1:19">
      <c r="A910" s="1">
        <v>43686</v>
      </c>
      <c r="B910" t="s">
        <v>422</v>
      </c>
      <c r="C910" t="s">
        <v>431</v>
      </c>
      <c r="D910">
        <v>18.475</v>
      </c>
      <c r="E910">
        <v>18.575</v>
      </c>
      <c r="F910">
        <v>0.00541271989174548</v>
      </c>
      <c r="G910">
        <f ca="1" t="shared" si="42"/>
        <v>-0.332410882630937</v>
      </c>
      <c r="H910" t="str">
        <f ca="1" t="shared" si="43"/>
        <v>Risk-On</v>
      </c>
      <c r="I910">
        <f ca="1" t="shared" si="44"/>
        <v>1</v>
      </c>
      <c r="J910">
        <f>_xlfn.XLOOKUP($A910,[1]Sheet1!$B$9:$B$2584,[1]Sheet1!$C$9:$C$2584,"N/A",0)</f>
        <v>101.2</v>
      </c>
      <c r="K910">
        <f>_xlfn.XLOOKUP($A910,[1]Sheet1!$E$9:$E$2584,[1]Sheet1!$F$9:$F$2584,"N/A",0)</f>
        <v>145.92</v>
      </c>
      <c r="L910">
        <f>_xlfn.XLOOKUP($A910,[1]Sheet1!$H$9:$H$2584,[1]Sheet1!$I$9:$I$2584,"N/A",0)</f>
        <v>75.69</v>
      </c>
      <c r="M910">
        <f>_xlfn.XLOOKUP($A910,[1]Sheet1!$K$9:$K$2584,[1]Sheet1!$L$9:$L$2584,"N/A",0)</f>
        <v>135.52</v>
      </c>
      <c r="N910">
        <f>_xlfn.XLOOKUP($A910,[1]Sheet1!$N$9:$N$2584,[1]Sheet1!$O$9:$O$2584,"N/A",0)</f>
        <v>106.73</v>
      </c>
      <c r="O910">
        <v>101.2</v>
      </c>
      <c r="P910">
        <v>145.92</v>
      </c>
      <c r="Q910">
        <v>75.69</v>
      </c>
      <c r="R910">
        <v>106.73</v>
      </c>
      <c r="S910">
        <v>135.52</v>
      </c>
    </row>
    <row r="911" spans="1:19">
      <c r="A911" s="1">
        <v>43689</v>
      </c>
      <c r="B911" t="s">
        <v>422</v>
      </c>
      <c r="C911" t="s">
        <v>431</v>
      </c>
      <c r="D911">
        <v>20.775</v>
      </c>
      <c r="E911">
        <v>19.975</v>
      </c>
      <c r="F911">
        <v>-0.0385078219013235</v>
      </c>
      <c r="G911">
        <f ca="1" t="shared" si="42"/>
        <v>-1.12282837306541</v>
      </c>
      <c r="H911" t="str">
        <f ca="1" t="shared" si="43"/>
        <v>Risk-On</v>
      </c>
      <c r="I911">
        <f ca="1" t="shared" si="44"/>
        <v>1</v>
      </c>
      <c r="J911">
        <f>_xlfn.XLOOKUP($A911,[1]Sheet1!$B$9:$B$2584,[1]Sheet1!$C$9:$C$2584,"N/A",0)</f>
        <v>101.27</v>
      </c>
      <c r="K911">
        <f>_xlfn.XLOOKUP($A911,[1]Sheet1!$E$9:$E$2584,[1]Sheet1!$F$9:$F$2584,"N/A",0)</f>
        <v>146.4</v>
      </c>
      <c r="L911">
        <f>_xlfn.XLOOKUP($A911,[1]Sheet1!$H$9:$H$2584,[1]Sheet1!$I$9:$I$2584,"N/A",0)</f>
        <v>75.6</v>
      </c>
      <c r="M911">
        <f>_xlfn.XLOOKUP($A911,[1]Sheet1!$K$9:$K$2584,[1]Sheet1!$L$9:$L$2584,"N/A",0)</f>
        <v>135.1</v>
      </c>
      <c r="N911">
        <f>_xlfn.XLOOKUP($A911,[1]Sheet1!$N$9:$N$2584,[1]Sheet1!$O$9:$O$2584,"N/A",0)</f>
        <v>106.5</v>
      </c>
      <c r="O911">
        <v>101.27</v>
      </c>
      <c r="P911">
        <v>146.4</v>
      </c>
      <c r="Q911">
        <v>75.6</v>
      </c>
      <c r="R911">
        <v>106.5</v>
      </c>
      <c r="S911">
        <v>135.1</v>
      </c>
    </row>
    <row r="912" spans="1:19">
      <c r="A912" s="1">
        <v>43690</v>
      </c>
      <c r="B912" t="s">
        <v>422</v>
      </c>
      <c r="C912" t="s">
        <v>431</v>
      </c>
      <c r="D912">
        <v>18.125</v>
      </c>
      <c r="E912">
        <v>18.475</v>
      </c>
      <c r="F912" s="2" t="s">
        <v>436</v>
      </c>
      <c r="G912">
        <f ca="1" t="shared" si="42"/>
        <v>-0.070016370423188</v>
      </c>
      <c r="H912" t="str">
        <f ca="1" t="shared" si="43"/>
        <v>Risk-On</v>
      </c>
      <c r="I912">
        <f ca="1" t="shared" si="44"/>
        <v>1</v>
      </c>
      <c r="J912">
        <f>_xlfn.XLOOKUP($A912,[1]Sheet1!$B$9:$B$2584,[1]Sheet1!$C$9:$C$2584,"N/A",0)</f>
        <v>101</v>
      </c>
      <c r="K912">
        <f>_xlfn.XLOOKUP($A912,[1]Sheet1!$E$9:$E$2584,[1]Sheet1!$F$9:$F$2584,"N/A",0)</f>
        <v>146.77</v>
      </c>
      <c r="L912">
        <f>_xlfn.XLOOKUP($A912,[1]Sheet1!$H$9:$H$2584,[1]Sheet1!$I$9:$I$2584,"N/A",0)</f>
        <v>75.78</v>
      </c>
      <c r="M912">
        <f>_xlfn.XLOOKUP($A912,[1]Sheet1!$K$9:$K$2584,[1]Sheet1!$L$9:$L$2584,"N/A",0)</f>
        <v>135.01</v>
      </c>
      <c r="N912">
        <f>_xlfn.XLOOKUP($A912,[1]Sheet1!$N$9:$N$2584,[1]Sheet1!$O$9:$O$2584,"N/A",0)</f>
        <v>106.95</v>
      </c>
      <c r="O912">
        <v>101</v>
      </c>
      <c r="P912">
        <v>146.77</v>
      </c>
      <c r="Q912">
        <v>75.78</v>
      </c>
      <c r="R912">
        <v>106.95</v>
      </c>
      <c r="S912">
        <v>135.01</v>
      </c>
    </row>
    <row r="913" spans="1:19">
      <c r="A913" s="1">
        <v>43691</v>
      </c>
      <c r="B913" t="s">
        <v>422</v>
      </c>
      <c r="C913" t="s">
        <v>431</v>
      </c>
      <c r="D913">
        <v>21.425</v>
      </c>
      <c r="E913">
        <v>20.425</v>
      </c>
      <c r="F913">
        <v>-0.0466744457409568</v>
      </c>
      <c r="G913">
        <f ca="1" t="shared" si="42"/>
        <v>-1.25271089866707</v>
      </c>
      <c r="H913" t="str">
        <f ca="1" t="shared" si="43"/>
        <v>Risk-On</v>
      </c>
      <c r="I913">
        <f ca="1" t="shared" si="44"/>
        <v>1</v>
      </c>
      <c r="J913">
        <f>_xlfn.XLOOKUP($A913,[1]Sheet1!$B$9:$B$2584,[1]Sheet1!$C$9:$C$2584,"N/A",0)</f>
        <v>101.49</v>
      </c>
      <c r="K913">
        <f>_xlfn.XLOOKUP($A913,[1]Sheet1!$E$9:$E$2584,[1]Sheet1!$F$9:$F$2584,"N/A",0)</f>
        <v>147.42</v>
      </c>
      <c r="L913">
        <f>_xlfn.XLOOKUP($A913,[1]Sheet1!$H$9:$H$2584,[1]Sheet1!$I$9:$I$2584,"N/A",0)</f>
        <v>75.31</v>
      </c>
      <c r="M913">
        <f>_xlfn.XLOOKUP($A913,[1]Sheet1!$K$9:$K$2584,[1]Sheet1!$L$9:$L$2584,"N/A",0)</f>
        <v>134.88</v>
      </c>
      <c r="N913">
        <f>_xlfn.XLOOKUP($A913,[1]Sheet1!$N$9:$N$2584,[1]Sheet1!$O$9:$O$2584,"N/A",0)</f>
        <v>106.81</v>
      </c>
      <c r="O913">
        <v>101.49</v>
      </c>
      <c r="P913">
        <v>147.42</v>
      </c>
      <c r="Q913">
        <v>75.31</v>
      </c>
      <c r="R913">
        <v>106.81</v>
      </c>
      <c r="S913">
        <v>134.88</v>
      </c>
    </row>
    <row r="914" spans="1:19">
      <c r="A914" s="1">
        <v>43692</v>
      </c>
      <c r="B914" t="s">
        <v>422</v>
      </c>
      <c r="C914" t="s">
        <v>431</v>
      </c>
      <c r="D914">
        <v>21.175</v>
      </c>
      <c r="E914">
        <v>20.475</v>
      </c>
      <c r="F914">
        <v>-0.0330578512396693</v>
      </c>
      <c r="G914">
        <f ca="1" t="shared" si="42"/>
        <v>-0.99450467410875</v>
      </c>
      <c r="H914" t="str">
        <f ca="1" t="shared" si="43"/>
        <v>Risk-On</v>
      </c>
      <c r="I914">
        <f ca="1" t="shared" si="44"/>
        <v>1</v>
      </c>
      <c r="J914">
        <f>_xlfn.XLOOKUP($A914,[1]Sheet1!$B$9:$B$2584,[1]Sheet1!$C$9:$C$2584,"N/A",0)</f>
        <v>102.12</v>
      </c>
      <c r="K914">
        <f>_xlfn.XLOOKUP($A914,[1]Sheet1!$E$9:$E$2584,[1]Sheet1!$F$9:$F$2584,"N/A",0)</f>
        <v>149.41</v>
      </c>
      <c r="L914">
        <f>_xlfn.XLOOKUP($A914,[1]Sheet1!$H$9:$H$2584,[1]Sheet1!$I$9:$I$2584,"N/A",0)</f>
        <v>75.21</v>
      </c>
      <c r="M914">
        <f>_xlfn.XLOOKUP($A914,[1]Sheet1!$K$9:$K$2584,[1]Sheet1!$L$9:$L$2584,"N/A",0)</f>
        <v>135.36</v>
      </c>
      <c r="N914">
        <f>_xlfn.XLOOKUP($A914,[1]Sheet1!$N$9:$N$2584,[1]Sheet1!$O$9:$O$2584,"N/A",0)</f>
        <v>107.39</v>
      </c>
      <c r="O914">
        <v>102.12</v>
      </c>
      <c r="P914">
        <v>149.41</v>
      </c>
      <c r="Q914">
        <v>75.21</v>
      </c>
      <c r="R914">
        <v>107.39</v>
      </c>
      <c r="S914">
        <v>135.36</v>
      </c>
    </row>
    <row r="915" spans="1:19">
      <c r="A915" s="1">
        <v>43693</v>
      </c>
      <c r="B915" t="s">
        <v>422</v>
      </c>
      <c r="C915" t="s">
        <v>431</v>
      </c>
      <c r="D915">
        <v>18.775</v>
      </c>
      <c r="E915">
        <v>19.325</v>
      </c>
      <c r="F915" s="2" t="s">
        <v>437</v>
      </c>
      <c r="G915">
        <f ca="1" t="shared" si="42"/>
        <v>0.127953435563074</v>
      </c>
      <c r="H915" t="str">
        <f ca="1" t="shared" si="43"/>
        <v>Risk-On</v>
      </c>
      <c r="I915">
        <f ca="1" t="shared" si="44"/>
        <v>1</v>
      </c>
      <c r="J915">
        <f>_xlfn.XLOOKUP($A915,[1]Sheet1!$B$9:$B$2584,[1]Sheet1!$C$9:$C$2584,"N/A",0)</f>
        <v>102.06</v>
      </c>
      <c r="K915">
        <f>_xlfn.XLOOKUP($A915,[1]Sheet1!$E$9:$E$2584,[1]Sheet1!$F$9:$F$2584,"N/A",0)</f>
        <v>148.51</v>
      </c>
      <c r="L915">
        <f>_xlfn.XLOOKUP($A915,[1]Sheet1!$H$9:$H$2584,[1]Sheet1!$I$9:$I$2584,"N/A",0)</f>
        <v>75.25</v>
      </c>
      <c r="M915">
        <f>_xlfn.XLOOKUP($A915,[1]Sheet1!$K$9:$K$2584,[1]Sheet1!$L$9:$L$2584,"N/A",0)</f>
        <v>135.36</v>
      </c>
      <c r="N915">
        <f>_xlfn.XLOOKUP($A915,[1]Sheet1!$N$9:$N$2584,[1]Sheet1!$O$9:$O$2584,"N/A",0)</f>
        <v>106.86</v>
      </c>
      <c r="O915">
        <v>102.06</v>
      </c>
      <c r="P915">
        <v>148.51</v>
      </c>
      <c r="Q915">
        <v>75.25</v>
      </c>
      <c r="R915">
        <v>106.86</v>
      </c>
      <c r="S915">
        <v>135.36</v>
      </c>
    </row>
    <row r="916" spans="1:19">
      <c r="A916" s="1">
        <v>43696</v>
      </c>
      <c r="B916" t="s">
        <v>422</v>
      </c>
      <c r="C916" t="s">
        <v>431</v>
      </c>
      <c r="D916">
        <v>16.825</v>
      </c>
      <c r="E916">
        <v>18.075</v>
      </c>
      <c r="F916">
        <v>0.0742942050520059</v>
      </c>
      <c r="G916">
        <f ca="1" t="shared" si="42"/>
        <v>0.939370364851601</v>
      </c>
      <c r="H916" t="str">
        <f ca="1" t="shared" si="43"/>
        <v>Risk-On</v>
      </c>
      <c r="I916">
        <f ca="1" t="shared" si="44"/>
        <v>1</v>
      </c>
      <c r="J916">
        <f>_xlfn.XLOOKUP($A916,[1]Sheet1!$B$9:$B$2584,[1]Sheet1!$C$9:$C$2584,"N/A",0)</f>
        <v>102.14</v>
      </c>
      <c r="K916">
        <f>_xlfn.XLOOKUP($A916,[1]Sheet1!$E$9:$E$2584,[1]Sheet1!$F$9:$F$2584,"N/A",0)</f>
        <v>147.15</v>
      </c>
      <c r="L916">
        <f>_xlfn.XLOOKUP($A916,[1]Sheet1!$H$9:$H$2584,[1]Sheet1!$I$9:$I$2584,"N/A",0)</f>
        <v>75.55</v>
      </c>
      <c r="M916">
        <f>_xlfn.XLOOKUP($A916,[1]Sheet1!$K$9:$K$2584,[1]Sheet1!$L$9:$L$2584,"N/A",0)</f>
        <v>135.19</v>
      </c>
      <c r="N916">
        <f>_xlfn.XLOOKUP($A916,[1]Sheet1!$N$9:$N$2584,[1]Sheet1!$O$9:$O$2584,"N/A",0)</f>
        <v>107.15</v>
      </c>
      <c r="O916">
        <v>102.14</v>
      </c>
      <c r="P916">
        <v>147.15</v>
      </c>
      <c r="Q916">
        <v>75.55</v>
      </c>
      <c r="R916">
        <v>107.15</v>
      </c>
      <c r="S916">
        <v>135.19</v>
      </c>
    </row>
    <row r="917" spans="1:19">
      <c r="A917" s="1">
        <v>43697</v>
      </c>
      <c r="B917" t="s">
        <v>422</v>
      </c>
      <c r="C917" t="s">
        <v>431</v>
      </c>
      <c r="D917">
        <v>17.225</v>
      </c>
      <c r="E917">
        <v>18.475</v>
      </c>
      <c r="F917">
        <v>0.0725689404934687</v>
      </c>
      <c r="G917">
        <f ca="1" t="shared" si="42"/>
        <v>0.912718479963237</v>
      </c>
      <c r="H917" t="str">
        <f ca="1" t="shared" si="43"/>
        <v>Risk-On</v>
      </c>
      <c r="I917">
        <f ca="1" t="shared" si="44"/>
        <v>1</v>
      </c>
      <c r="J917">
        <f>_xlfn.XLOOKUP($A917,[1]Sheet1!$B$9:$B$2584,[1]Sheet1!$C$9:$C$2584,"N/A",0)</f>
        <v>102.2</v>
      </c>
      <c r="K917">
        <f>_xlfn.XLOOKUP($A917,[1]Sheet1!$E$9:$E$2584,[1]Sheet1!$F$9:$F$2584,"N/A",0)</f>
        <v>148.5</v>
      </c>
      <c r="L917">
        <f>_xlfn.XLOOKUP($A917,[1]Sheet1!$H$9:$H$2584,[1]Sheet1!$I$9:$I$2584,"N/A",0)</f>
        <v>75.36</v>
      </c>
      <c r="M917">
        <f>_xlfn.XLOOKUP($A917,[1]Sheet1!$K$9:$K$2584,[1]Sheet1!$L$9:$L$2584,"N/A",0)</f>
        <v>134.86</v>
      </c>
      <c r="N917">
        <f>_xlfn.XLOOKUP($A917,[1]Sheet1!$N$9:$N$2584,[1]Sheet1!$O$9:$O$2584,"N/A",0)</f>
        <v>107.13</v>
      </c>
      <c r="O917">
        <v>102.2</v>
      </c>
      <c r="P917">
        <v>148.5</v>
      </c>
      <c r="Q917">
        <v>75.36</v>
      </c>
      <c r="R917">
        <v>107.13</v>
      </c>
      <c r="S917">
        <v>134.86</v>
      </c>
    </row>
    <row r="918" spans="1:19">
      <c r="A918" s="1">
        <v>43698</v>
      </c>
      <c r="B918" t="s">
        <v>422</v>
      </c>
      <c r="C918" t="s">
        <v>431</v>
      </c>
      <c r="D918">
        <v>15.63</v>
      </c>
      <c r="E918">
        <v>17.375</v>
      </c>
      <c r="F918" s="2" t="s">
        <v>438</v>
      </c>
      <c r="G918">
        <f ca="1" t="shared" si="42"/>
        <v>1.61016116735742</v>
      </c>
      <c r="H918" t="str">
        <f ca="1" t="shared" si="43"/>
        <v>Risk-On</v>
      </c>
      <c r="I918">
        <f ca="1" t="shared" si="44"/>
        <v>1</v>
      </c>
      <c r="J918">
        <f>_xlfn.XLOOKUP($A918,[1]Sheet1!$B$9:$B$2584,[1]Sheet1!$C$9:$C$2584,"N/A",0)</f>
        <v>102.2</v>
      </c>
      <c r="K918">
        <f>_xlfn.XLOOKUP($A918,[1]Sheet1!$E$9:$E$2584,[1]Sheet1!$F$9:$F$2584,"N/A",0)</f>
        <v>148.71</v>
      </c>
      <c r="L918">
        <f>_xlfn.XLOOKUP($A918,[1]Sheet1!$H$9:$H$2584,[1]Sheet1!$I$9:$I$2584,"N/A",0)</f>
        <v>75.43</v>
      </c>
      <c r="M918">
        <f>_xlfn.XLOOKUP($A918,[1]Sheet1!$K$9:$K$2584,[1]Sheet1!$L$9:$L$2584,"N/A",0)</f>
        <v>135.13</v>
      </c>
      <c r="N918">
        <f>_xlfn.XLOOKUP($A918,[1]Sheet1!$N$9:$N$2584,[1]Sheet1!$O$9:$O$2584,"N/A",0)</f>
        <v>107.13</v>
      </c>
      <c r="O918">
        <v>102.2</v>
      </c>
      <c r="P918">
        <v>148.71</v>
      </c>
      <c r="Q918">
        <v>75.43</v>
      </c>
      <c r="R918">
        <v>107.13</v>
      </c>
      <c r="S918">
        <v>135.13</v>
      </c>
    </row>
    <row r="919" spans="1:19">
      <c r="A919" s="1">
        <v>43699</v>
      </c>
      <c r="B919" t="s">
        <v>431</v>
      </c>
      <c r="C919" t="s">
        <v>439</v>
      </c>
      <c r="D919">
        <v>17.875</v>
      </c>
      <c r="E919">
        <v>18.325</v>
      </c>
      <c r="F919" s="2" t="s">
        <v>440</v>
      </c>
      <c r="G919">
        <f ca="1" t="shared" si="42"/>
        <v>0.0567615030301872</v>
      </c>
      <c r="H919" t="str">
        <f ca="1" t="shared" si="43"/>
        <v>Risk-On</v>
      </c>
      <c r="I919">
        <f ca="1" t="shared" si="44"/>
        <v>1</v>
      </c>
      <c r="J919">
        <f>_xlfn.XLOOKUP($A919,[1]Sheet1!$B$9:$B$2584,[1]Sheet1!$C$9:$C$2584,"N/A",0)</f>
        <v>102.38</v>
      </c>
      <c r="K919">
        <f>_xlfn.XLOOKUP($A919,[1]Sheet1!$E$9:$E$2584,[1]Sheet1!$F$9:$F$2584,"N/A",0)</f>
        <v>148.2</v>
      </c>
      <c r="L919">
        <f>_xlfn.XLOOKUP($A919,[1]Sheet1!$H$9:$H$2584,[1]Sheet1!$I$9:$I$2584,"N/A",0)</f>
        <v>75.38</v>
      </c>
      <c r="M919">
        <f>_xlfn.XLOOKUP($A919,[1]Sheet1!$K$9:$K$2584,[1]Sheet1!$L$9:$L$2584,"N/A",0)</f>
        <v>135.63</v>
      </c>
      <c r="N919">
        <f>_xlfn.XLOOKUP($A919,[1]Sheet1!$N$9:$N$2584,[1]Sheet1!$O$9:$O$2584,"N/A",0)</f>
        <v>106.96</v>
      </c>
      <c r="O919">
        <v>102.38</v>
      </c>
      <c r="P919">
        <v>148.2</v>
      </c>
      <c r="Q919">
        <v>75.38</v>
      </c>
      <c r="R919">
        <v>106.96</v>
      </c>
      <c r="S919">
        <v>135.63</v>
      </c>
    </row>
    <row r="920" spans="1:19">
      <c r="A920" s="1">
        <v>43700</v>
      </c>
      <c r="B920" t="s">
        <v>431</v>
      </c>
      <c r="C920" t="s">
        <v>439</v>
      </c>
      <c r="D920">
        <v>19.675</v>
      </c>
      <c r="E920">
        <v>19.475</v>
      </c>
      <c r="F920">
        <v>-0.0101651842439643</v>
      </c>
      <c r="G920">
        <f ca="1" t="shared" si="42"/>
        <v>-0.578111965238155</v>
      </c>
      <c r="H920" t="str">
        <f ca="1" t="shared" si="43"/>
        <v>Risk-On</v>
      </c>
      <c r="I920">
        <f ca="1" t="shared" si="44"/>
        <v>1</v>
      </c>
      <c r="J920">
        <f>_xlfn.XLOOKUP($A920,[1]Sheet1!$B$9:$B$2584,[1]Sheet1!$C$9:$C$2584,"N/A",0)</f>
        <v>102.75</v>
      </c>
      <c r="K920">
        <f>_xlfn.XLOOKUP($A920,[1]Sheet1!$E$9:$E$2584,[1]Sheet1!$F$9:$F$2584,"N/A",0)</f>
        <v>148.96</v>
      </c>
      <c r="L920">
        <f>_xlfn.XLOOKUP($A920,[1]Sheet1!$H$9:$H$2584,[1]Sheet1!$I$9:$I$2584,"N/A",0)</f>
        <v>75.35</v>
      </c>
      <c r="M920">
        <f>_xlfn.XLOOKUP($A920,[1]Sheet1!$K$9:$K$2584,[1]Sheet1!$L$9:$L$2584,"N/A",0)</f>
        <v>135.27</v>
      </c>
      <c r="N920">
        <f>_xlfn.XLOOKUP($A920,[1]Sheet1!$N$9:$N$2584,[1]Sheet1!$O$9:$O$2584,"N/A",0)</f>
        <v>107.33</v>
      </c>
      <c r="O920">
        <v>102.75</v>
      </c>
      <c r="P920">
        <v>148.96</v>
      </c>
      <c r="Q920">
        <v>75.35</v>
      </c>
      <c r="R920">
        <v>107.33</v>
      </c>
      <c r="S920">
        <v>135.27</v>
      </c>
    </row>
    <row r="921" spans="1:19">
      <c r="A921" s="1">
        <v>43703</v>
      </c>
      <c r="B921" t="s">
        <v>431</v>
      </c>
      <c r="C921" t="s">
        <v>439</v>
      </c>
      <c r="D921">
        <v>19.425</v>
      </c>
      <c r="E921">
        <v>19.425</v>
      </c>
      <c r="F921">
        <v>0</v>
      </c>
      <c r="G921">
        <f ca="1" t="shared" si="42"/>
        <v>-0.388327236207207</v>
      </c>
      <c r="H921" t="str">
        <f ca="1" t="shared" si="43"/>
        <v>Risk-On</v>
      </c>
      <c r="I921">
        <f ca="1" t="shared" si="44"/>
        <v>1</v>
      </c>
      <c r="J921">
        <f>_xlfn.XLOOKUP($A921,[1]Sheet1!$B$9:$B$2584,[1]Sheet1!$C$9:$C$2584,"N/A",0)</f>
        <v>102.82</v>
      </c>
      <c r="K921">
        <f>_xlfn.XLOOKUP($A921,[1]Sheet1!$E$9:$E$2584,[1]Sheet1!$F$9:$F$2584,"N/A",0)</f>
        <v>149.85</v>
      </c>
      <c r="L921">
        <f>_xlfn.XLOOKUP($A921,[1]Sheet1!$H$9:$H$2584,[1]Sheet1!$I$9:$I$2584,"N/A",0)</f>
        <v>75.17</v>
      </c>
      <c r="M921">
        <f>_xlfn.XLOOKUP($A921,[1]Sheet1!$K$9:$K$2584,[1]Sheet1!$L$9:$L$2584,"N/A",0)</f>
        <v>135.72</v>
      </c>
      <c r="N921">
        <f>_xlfn.XLOOKUP($A921,[1]Sheet1!$N$9:$N$2584,[1]Sheet1!$O$9:$O$2584,"N/A",0)</f>
        <v>107.21</v>
      </c>
      <c r="O921">
        <v>102.82</v>
      </c>
      <c r="P921">
        <v>149.85</v>
      </c>
      <c r="Q921">
        <v>75.17</v>
      </c>
      <c r="R921">
        <v>107.21</v>
      </c>
      <c r="S921">
        <v>135.72</v>
      </c>
    </row>
    <row r="922" spans="1:19">
      <c r="A922" s="1">
        <v>43704</v>
      </c>
      <c r="B922" t="s">
        <v>431</v>
      </c>
      <c r="C922" t="s">
        <v>439</v>
      </c>
      <c r="D922">
        <v>20.125</v>
      </c>
      <c r="E922">
        <v>20.075</v>
      </c>
      <c r="F922">
        <v>-0.00248447204968947</v>
      </c>
      <c r="G922">
        <f ca="1" t="shared" si="42"/>
        <v>-0.42661998157063</v>
      </c>
      <c r="H922" t="str">
        <f ca="1" t="shared" si="43"/>
        <v>Risk-On</v>
      </c>
      <c r="I922">
        <f ca="1" t="shared" si="44"/>
        <v>1</v>
      </c>
      <c r="J922">
        <f>_xlfn.XLOOKUP($A922,[1]Sheet1!$B$9:$B$2584,[1]Sheet1!$C$9:$C$2584,"N/A",0)</f>
        <v>102.91</v>
      </c>
      <c r="K922">
        <f>_xlfn.XLOOKUP($A922,[1]Sheet1!$E$9:$E$2584,[1]Sheet1!$F$9:$F$2584,"N/A",0)</f>
        <v>151.64</v>
      </c>
      <c r="L922">
        <f>_xlfn.XLOOKUP($A922,[1]Sheet1!$H$9:$H$2584,[1]Sheet1!$I$9:$I$2584,"N/A",0)</f>
        <v>74.93</v>
      </c>
      <c r="M922">
        <f>_xlfn.XLOOKUP($A922,[1]Sheet1!$K$9:$K$2584,[1]Sheet1!$L$9:$L$2584,"N/A",0)</f>
        <v>135.83</v>
      </c>
      <c r="N922">
        <f>_xlfn.XLOOKUP($A922,[1]Sheet1!$N$9:$N$2584,[1]Sheet1!$O$9:$O$2584,"N/A",0)</f>
        <v>107.91</v>
      </c>
      <c r="O922">
        <v>102.91</v>
      </c>
      <c r="P922">
        <v>151.64</v>
      </c>
      <c r="Q922">
        <v>74.93</v>
      </c>
      <c r="R922">
        <v>107.91</v>
      </c>
      <c r="S922">
        <v>135.83</v>
      </c>
    </row>
    <row r="923" spans="1:19">
      <c r="A923" s="1">
        <v>43705</v>
      </c>
      <c r="B923" t="s">
        <v>431</v>
      </c>
      <c r="C923" t="s">
        <v>439</v>
      </c>
      <c r="D923">
        <v>19.375</v>
      </c>
      <c r="E923">
        <v>19.625</v>
      </c>
      <c r="F923" s="2" t="s">
        <v>441</v>
      </c>
      <c r="G923">
        <f ca="1" t="shared" si="42"/>
        <v>-0.141834362277027</v>
      </c>
      <c r="H923" t="str">
        <f ca="1" t="shared" si="43"/>
        <v>Risk-On</v>
      </c>
      <c r="I923">
        <f ca="1" t="shared" si="44"/>
        <v>1</v>
      </c>
      <c r="J923">
        <f>_xlfn.XLOOKUP($A923,[1]Sheet1!$B$9:$B$2584,[1]Sheet1!$C$9:$C$2584,"N/A",0)</f>
        <v>102.94</v>
      </c>
      <c r="K923">
        <f>_xlfn.XLOOKUP($A923,[1]Sheet1!$E$9:$E$2584,[1]Sheet1!$F$9:$F$2584,"N/A",0)</f>
        <v>150.42</v>
      </c>
      <c r="L923">
        <f>_xlfn.XLOOKUP($A923,[1]Sheet1!$H$9:$H$2584,[1]Sheet1!$I$9:$I$2584,"N/A",0)</f>
        <v>75.18</v>
      </c>
      <c r="M923">
        <f>_xlfn.XLOOKUP($A923,[1]Sheet1!$K$9:$K$2584,[1]Sheet1!$L$9:$L$2584,"N/A",0)</f>
        <v>135.82</v>
      </c>
      <c r="N923">
        <f>_xlfn.XLOOKUP($A923,[1]Sheet1!$N$9:$N$2584,[1]Sheet1!$O$9:$O$2584,"N/A",0)</f>
        <v>107.57</v>
      </c>
      <c r="O923">
        <v>102.94</v>
      </c>
      <c r="P923">
        <v>150.42</v>
      </c>
      <c r="Q923">
        <v>75.18</v>
      </c>
      <c r="R923">
        <v>107.57</v>
      </c>
      <c r="S923">
        <v>135.82</v>
      </c>
    </row>
    <row r="924" spans="1:19">
      <c r="A924" s="1">
        <v>43706</v>
      </c>
      <c r="B924" t="s">
        <v>431</v>
      </c>
      <c r="C924" t="s">
        <v>439</v>
      </c>
      <c r="D924">
        <v>18.475</v>
      </c>
      <c r="E924">
        <v>19.025</v>
      </c>
      <c r="F924" s="2" t="s">
        <v>442</v>
      </c>
      <c r="G924">
        <f ca="1" t="shared" si="42"/>
        <v>0.169332401161413</v>
      </c>
      <c r="H924" t="str">
        <f ca="1" t="shared" si="43"/>
        <v>Risk-On</v>
      </c>
      <c r="I924">
        <f ca="1" t="shared" si="44"/>
        <v>1</v>
      </c>
      <c r="J924">
        <f>_xlfn.XLOOKUP($A924,[1]Sheet1!$B$9:$B$2584,[1]Sheet1!$C$9:$C$2584,"N/A",0)</f>
        <v>102.69</v>
      </c>
      <c r="K924">
        <f>_xlfn.XLOOKUP($A924,[1]Sheet1!$E$9:$E$2584,[1]Sheet1!$F$9:$F$2584,"N/A",0)</f>
        <v>149.66</v>
      </c>
      <c r="L924">
        <f>_xlfn.XLOOKUP($A924,[1]Sheet1!$H$9:$H$2584,[1]Sheet1!$I$9:$I$2584,"N/A",0)</f>
        <v>75.19</v>
      </c>
      <c r="M924">
        <f>_xlfn.XLOOKUP($A924,[1]Sheet1!$K$9:$K$2584,[1]Sheet1!$L$9:$L$2584,"N/A",0)</f>
        <v>135.97</v>
      </c>
      <c r="N924">
        <f>_xlfn.XLOOKUP($A924,[1]Sheet1!$N$9:$N$2584,[1]Sheet1!$O$9:$O$2584,"N/A",0)</f>
        <v>107.44</v>
      </c>
      <c r="O924">
        <v>102.69</v>
      </c>
      <c r="P924">
        <v>149.66</v>
      </c>
      <c r="Q924">
        <v>75.19</v>
      </c>
      <c r="R924">
        <v>107.44</v>
      </c>
      <c r="S924">
        <v>135.97</v>
      </c>
    </row>
    <row r="925" spans="1:19">
      <c r="A925" s="1">
        <v>43707</v>
      </c>
      <c r="B925" t="s">
        <v>431</v>
      </c>
      <c r="C925" t="s">
        <v>439</v>
      </c>
      <c r="D925">
        <v>18.825</v>
      </c>
      <c r="E925">
        <v>19.175</v>
      </c>
      <c r="F925" s="2" t="s">
        <v>443</v>
      </c>
      <c r="G925">
        <f ca="1" t="shared" si="42"/>
        <v>-0.0255565993032963</v>
      </c>
      <c r="H925" t="str">
        <f ca="1" t="shared" si="43"/>
        <v>Risk-On</v>
      </c>
      <c r="I925">
        <f ca="1" t="shared" si="44"/>
        <v>1</v>
      </c>
      <c r="J925">
        <f>_xlfn.XLOOKUP($A925,[1]Sheet1!$B$9:$B$2584,[1]Sheet1!$C$9:$C$2584,"N/A",0)</f>
        <v>102.64</v>
      </c>
      <c r="K925">
        <f>_xlfn.XLOOKUP($A925,[1]Sheet1!$E$9:$E$2584,[1]Sheet1!$F$9:$F$2584,"N/A",0)</f>
        <v>148.3</v>
      </c>
      <c r="L925">
        <f>_xlfn.XLOOKUP($A925,[1]Sheet1!$H$9:$H$2584,[1]Sheet1!$I$9:$I$2584,"N/A",0)</f>
        <v>75.02</v>
      </c>
      <c r="M925">
        <f>_xlfn.XLOOKUP($A925,[1]Sheet1!$K$9:$K$2584,[1]Sheet1!$L$9:$L$2584,"N/A",0)</f>
        <v>135.69</v>
      </c>
      <c r="N925">
        <f>_xlfn.XLOOKUP($A925,[1]Sheet1!$N$9:$N$2584,[1]Sheet1!$O$9:$O$2584,"N/A",0)</f>
        <v>107.64</v>
      </c>
      <c r="O925">
        <v>102.64</v>
      </c>
      <c r="P925">
        <v>148.3</v>
      </c>
      <c r="Q925">
        <v>75.02</v>
      </c>
      <c r="R925">
        <v>107.64</v>
      </c>
      <c r="S925">
        <v>135.69</v>
      </c>
    </row>
    <row r="926" spans="1:19">
      <c r="A926" s="1">
        <v>43711</v>
      </c>
      <c r="B926" t="s">
        <v>431</v>
      </c>
      <c r="C926" t="s">
        <v>439</v>
      </c>
      <c r="D926">
        <v>19.525</v>
      </c>
      <c r="E926">
        <v>19.525</v>
      </c>
      <c r="F926">
        <v>0</v>
      </c>
      <c r="G926">
        <f ca="1" t="shared" si="42"/>
        <v>-0.356619421192034</v>
      </c>
      <c r="H926" t="str">
        <f ca="1" t="shared" si="43"/>
        <v>Risk-On</v>
      </c>
      <c r="I926">
        <f ca="1" t="shared" si="44"/>
        <v>1</v>
      </c>
      <c r="J926">
        <f>_xlfn.XLOOKUP($A926,[1]Sheet1!$B$9:$B$2584,[1]Sheet1!$C$9:$C$2584,"N/A",0)</f>
        <v>102.56</v>
      </c>
      <c r="K926">
        <f>_xlfn.XLOOKUP($A926,[1]Sheet1!$E$9:$E$2584,[1]Sheet1!$F$9:$F$2584,"N/A",0)</f>
        <v>148.96</v>
      </c>
      <c r="L926">
        <f>_xlfn.XLOOKUP($A926,[1]Sheet1!$H$9:$H$2584,[1]Sheet1!$I$9:$I$2584,"N/A",0)</f>
        <v>74.55</v>
      </c>
      <c r="M926">
        <f>_xlfn.XLOOKUP($A926,[1]Sheet1!$K$9:$K$2584,[1]Sheet1!$L$9:$L$2584,"N/A",0)</f>
        <v>135.39</v>
      </c>
      <c r="N926">
        <f>_xlfn.XLOOKUP($A926,[1]Sheet1!$N$9:$N$2584,[1]Sheet1!$O$9:$O$2584,"N/A",0)</f>
        <v>108.5</v>
      </c>
      <c r="O926">
        <v>102.56</v>
      </c>
      <c r="P926">
        <v>148.96</v>
      </c>
      <c r="Q926">
        <v>74.55</v>
      </c>
      <c r="R926">
        <v>108.5</v>
      </c>
      <c r="S926">
        <v>135.39</v>
      </c>
    </row>
    <row r="927" spans="1:19">
      <c r="A927" s="1">
        <v>43712</v>
      </c>
      <c r="B927" t="s">
        <v>431</v>
      </c>
      <c r="C927" t="s">
        <v>439</v>
      </c>
      <c r="D927">
        <v>18.075</v>
      </c>
      <c r="E927">
        <v>18.675</v>
      </c>
      <c r="F927">
        <v>0.033195020746888</v>
      </c>
      <c r="G927">
        <f ca="1" t="shared" si="42"/>
        <v>0.254056465158183</v>
      </c>
      <c r="H927" t="str">
        <f ca="1" t="shared" si="43"/>
        <v>Risk-On</v>
      </c>
      <c r="I927">
        <f ca="1" t="shared" si="44"/>
        <v>1</v>
      </c>
      <c r="J927">
        <f>_xlfn.XLOOKUP($A927,[1]Sheet1!$B$9:$B$2584,[1]Sheet1!$C$9:$C$2584,"N/A",0)</f>
        <v>101.79</v>
      </c>
      <c r="K927">
        <f>_xlfn.XLOOKUP($A927,[1]Sheet1!$E$9:$E$2584,[1]Sheet1!$F$9:$F$2584,"N/A",0)</f>
        <v>148.24</v>
      </c>
      <c r="L927">
        <f>_xlfn.XLOOKUP($A927,[1]Sheet1!$H$9:$H$2584,[1]Sheet1!$I$9:$I$2584,"N/A",0)</f>
        <v>74.84</v>
      </c>
      <c r="M927">
        <f>_xlfn.XLOOKUP($A927,[1]Sheet1!$K$9:$K$2584,[1]Sheet1!$L$9:$L$2584,"N/A",0)</f>
        <v>135.4</v>
      </c>
      <c r="N927">
        <f>_xlfn.XLOOKUP($A927,[1]Sheet1!$N$9:$N$2584,[1]Sheet1!$O$9:$O$2584,"N/A",0)</f>
        <v>108.88</v>
      </c>
      <c r="O927">
        <v>101.79</v>
      </c>
      <c r="P927">
        <v>148.24</v>
      </c>
      <c r="Q927">
        <v>74.84</v>
      </c>
      <c r="R927">
        <v>108.88</v>
      </c>
      <c r="S927">
        <v>135.4</v>
      </c>
    </row>
    <row r="928" spans="1:19">
      <c r="A928" s="1">
        <v>43713</v>
      </c>
      <c r="B928" t="s">
        <v>431</v>
      </c>
      <c r="C928" t="s">
        <v>439</v>
      </c>
      <c r="D928">
        <v>17.275</v>
      </c>
      <c r="E928">
        <v>18.225</v>
      </c>
      <c r="F928">
        <v>0.0549927641099857</v>
      </c>
      <c r="G928">
        <f ca="1" t="shared" si="42"/>
        <v>0.655597608335898</v>
      </c>
      <c r="H928" t="str">
        <f ca="1" t="shared" si="43"/>
        <v>Risk-On</v>
      </c>
      <c r="I928">
        <f ca="1" t="shared" si="44"/>
        <v>1</v>
      </c>
      <c r="J928">
        <f>_xlfn.XLOOKUP($A928,[1]Sheet1!$B$9:$B$2584,[1]Sheet1!$C$9:$C$2584,"N/A",0)</f>
        <v>101.68</v>
      </c>
      <c r="K928">
        <f>_xlfn.XLOOKUP($A928,[1]Sheet1!$E$9:$E$2584,[1]Sheet1!$F$9:$F$2584,"N/A",0)</f>
        <v>145.86</v>
      </c>
      <c r="L928">
        <f>_xlfn.XLOOKUP($A928,[1]Sheet1!$H$9:$H$2584,[1]Sheet1!$I$9:$I$2584,"N/A",0)</f>
        <v>75.46</v>
      </c>
      <c r="M928">
        <f>_xlfn.XLOOKUP($A928,[1]Sheet1!$K$9:$K$2584,[1]Sheet1!$L$9:$L$2584,"N/A",0)</f>
        <v>135.48</v>
      </c>
      <c r="N928">
        <f>_xlfn.XLOOKUP($A928,[1]Sheet1!$N$9:$N$2584,[1]Sheet1!$O$9:$O$2584,"N/A",0)</f>
        <v>108.51</v>
      </c>
      <c r="O928">
        <v>101.68</v>
      </c>
      <c r="P928">
        <v>145.86</v>
      </c>
      <c r="Q928">
        <v>75.46</v>
      </c>
      <c r="R928">
        <v>108.51</v>
      </c>
      <c r="S928">
        <v>135.48</v>
      </c>
    </row>
    <row r="929" spans="1:19">
      <c r="A929" s="1">
        <v>43714</v>
      </c>
      <c r="B929" t="s">
        <v>431</v>
      </c>
      <c r="C929" t="s">
        <v>439</v>
      </c>
      <c r="D929">
        <v>16.525</v>
      </c>
      <c r="E929">
        <v>17.725</v>
      </c>
      <c r="F929">
        <v>0.0726172465960667</v>
      </c>
      <c r="G929">
        <f ca="1" t="shared" si="42"/>
        <v>0.978565236365595</v>
      </c>
      <c r="H929" t="str">
        <f ca="1" t="shared" si="43"/>
        <v>Risk-On</v>
      </c>
      <c r="I929">
        <f ca="1" t="shared" si="44"/>
        <v>1</v>
      </c>
      <c r="J929">
        <f>_xlfn.XLOOKUP($A929,[1]Sheet1!$B$9:$B$2584,[1]Sheet1!$C$9:$C$2584,"N/A",0)</f>
        <v>101.27</v>
      </c>
      <c r="K929">
        <f>_xlfn.XLOOKUP($A929,[1]Sheet1!$E$9:$E$2584,[1]Sheet1!$F$9:$F$2584,"N/A",0)</f>
        <v>145.47</v>
      </c>
      <c r="L929">
        <f>_xlfn.XLOOKUP($A929,[1]Sheet1!$H$9:$H$2584,[1]Sheet1!$I$9:$I$2584,"N/A",0)</f>
        <v>75.53</v>
      </c>
      <c r="M929">
        <f>_xlfn.XLOOKUP($A929,[1]Sheet1!$K$9:$K$2584,[1]Sheet1!$L$9:$L$2584,"N/A",0)</f>
        <v>135.52</v>
      </c>
      <c r="N929">
        <f>_xlfn.XLOOKUP($A929,[1]Sheet1!$N$9:$N$2584,[1]Sheet1!$O$9:$O$2584,"N/A",0)</f>
        <v>108.84</v>
      </c>
      <c r="O929">
        <v>101.27</v>
      </c>
      <c r="P929">
        <v>145.47</v>
      </c>
      <c r="Q929">
        <v>75.53</v>
      </c>
      <c r="R929">
        <v>108.84</v>
      </c>
      <c r="S929">
        <v>135.52</v>
      </c>
    </row>
    <row r="930" spans="1:19">
      <c r="A930" s="1">
        <v>43717</v>
      </c>
      <c r="B930" t="s">
        <v>431</v>
      </c>
      <c r="C930" t="s">
        <v>439</v>
      </c>
      <c r="D930">
        <v>16.425</v>
      </c>
      <c r="E930">
        <v>17.675</v>
      </c>
      <c r="F930">
        <v>0.076103500761035</v>
      </c>
      <c r="G930">
        <f ca="1" t="shared" si="42"/>
        <v>1.03690713142925</v>
      </c>
      <c r="H930" t="str">
        <f ca="1" t="shared" si="43"/>
        <v>Risk-On</v>
      </c>
      <c r="I930">
        <f ca="1" t="shared" si="44"/>
        <v>1</v>
      </c>
      <c r="J930">
        <f>_xlfn.XLOOKUP($A930,[1]Sheet1!$B$9:$B$2584,[1]Sheet1!$C$9:$C$2584,"N/A",0)</f>
        <v>101.36</v>
      </c>
      <c r="K930">
        <f>_xlfn.XLOOKUP($A930,[1]Sheet1!$E$9:$E$2584,[1]Sheet1!$F$9:$F$2584,"N/A",0)</f>
        <v>138.33</v>
      </c>
      <c r="L930">
        <f>_xlfn.XLOOKUP($A930,[1]Sheet1!$H$9:$H$2584,[1]Sheet1!$I$9:$I$2584,"N/A",0)</f>
        <v>76.63</v>
      </c>
      <c r="M930">
        <f>_xlfn.XLOOKUP($A930,[1]Sheet1!$K$9:$K$2584,[1]Sheet1!$L$9:$L$2584,"N/A",0)</f>
        <v>135.53</v>
      </c>
      <c r="N930">
        <f>_xlfn.XLOOKUP($A930,[1]Sheet1!$N$9:$N$2584,[1]Sheet1!$O$9:$O$2584,"N/A",0)</f>
        <v>107.69</v>
      </c>
      <c r="O930">
        <v>101.36</v>
      </c>
      <c r="P930">
        <v>138.33</v>
      </c>
      <c r="Q930">
        <v>76.63</v>
      </c>
      <c r="R930">
        <v>107.69</v>
      </c>
      <c r="S930">
        <v>135.53</v>
      </c>
    </row>
    <row r="931" spans="1:19">
      <c r="A931" s="1">
        <v>43718</v>
      </c>
      <c r="B931" t="s">
        <v>431</v>
      </c>
      <c r="C931" t="s">
        <v>439</v>
      </c>
      <c r="D931">
        <v>16.225</v>
      </c>
      <c r="E931">
        <v>17.675</v>
      </c>
      <c r="F931">
        <v>0.0893682588597842</v>
      </c>
      <c r="G931">
        <f ca="1" t="shared" si="42"/>
        <v>1.27451409370944</v>
      </c>
      <c r="H931" t="str">
        <f ca="1" t="shared" si="43"/>
        <v>Risk-On</v>
      </c>
      <c r="I931">
        <f ca="1" t="shared" si="44"/>
        <v>1</v>
      </c>
      <c r="J931">
        <f>_xlfn.XLOOKUP($A931,[1]Sheet1!$B$9:$B$2584,[1]Sheet1!$C$9:$C$2584,"N/A",0)</f>
        <v>101.14</v>
      </c>
      <c r="K931">
        <f>_xlfn.XLOOKUP($A931,[1]Sheet1!$E$9:$E$2584,[1]Sheet1!$F$9:$F$2584,"N/A",0)</f>
        <v>132.76</v>
      </c>
      <c r="L931">
        <f>_xlfn.XLOOKUP($A931,[1]Sheet1!$H$9:$H$2584,[1]Sheet1!$I$9:$I$2584,"N/A",0)</f>
        <v>77.39</v>
      </c>
      <c r="M931">
        <f>_xlfn.XLOOKUP($A931,[1]Sheet1!$K$9:$K$2584,[1]Sheet1!$L$9:$L$2584,"N/A",0)</f>
        <v>134.82</v>
      </c>
      <c r="N931">
        <f>_xlfn.XLOOKUP($A931,[1]Sheet1!$N$9:$N$2584,[1]Sheet1!$O$9:$O$2584,"N/A",0)</f>
        <v>106.81</v>
      </c>
      <c r="O931">
        <v>101.14</v>
      </c>
      <c r="P931">
        <v>132.76</v>
      </c>
      <c r="Q931">
        <v>77.39</v>
      </c>
      <c r="R931">
        <v>106.81</v>
      </c>
      <c r="S931">
        <v>134.82</v>
      </c>
    </row>
    <row r="932" spans="1:19">
      <c r="A932" s="1">
        <v>43719</v>
      </c>
      <c r="B932" t="s">
        <v>431</v>
      </c>
      <c r="C932" t="s">
        <v>439</v>
      </c>
      <c r="D932">
        <v>15.725</v>
      </c>
      <c r="E932">
        <v>17.325</v>
      </c>
      <c r="F932" s="2" t="s">
        <v>444</v>
      </c>
      <c r="G932">
        <f ca="1" t="shared" si="42"/>
        <v>1.4927663004154</v>
      </c>
      <c r="H932" t="str">
        <f ca="1" t="shared" si="43"/>
        <v>Risk-On</v>
      </c>
      <c r="I932">
        <f ca="1" t="shared" si="44"/>
        <v>1</v>
      </c>
      <c r="J932">
        <f>_xlfn.XLOOKUP($A932,[1]Sheet1!$B$9:$B$2584,[1]Sheet1!$C$9:$C$2584,"N/A",0)</f>
        <v>100.89</v>
      </c>
      <c r="K932">
        <f>_xlfn.XLOOKUP($A932,[1]Sheet1!$E$9:$E$2584,[1]Sheet1!$F$9:$F$2584,"N/A",0)</f>
        <v>130.88</v>
      </c>
      <c r="L932">
        <f>_xlfn.XLOOKUP($A932,[1]Sheet1!$H$9:$H$2584,[1]Sheet1!$I$9:$I$2584,"N/A",0)</f>
        <v>77.11</v>
      </c>
      <c r="M932">
        <f>_xlfn.XLOOKUP($A932,[1]Sheet1!$K$9:$K$2584,[1]Sheet1!$L$9:$L$2584,"N/A",0)</f>
        <v>134.65</v>
      </c>
      <c r="N932">
        <f>_xlfn.XLOOKUP($A932,[1]Sheet1!$N$9:$N$2584,[1]Sheet1!$O$9:$O$2584,"N/A",0)</f>
        <v>105.69</v>
      </c>
      <c r="O932">
        <v>100.89</v>
      </c>
      <c r="P932">
        <v>130.88</v>
      </c>
      <c r="Q932">
        <v>77.11</v>
      </c>
      <c r="R932">
        <v>105.69</v>
      </c>
      <c r="S932">
        <v>134.65</v>
      </c>
    </row>
    <row r="933" spans="1:19">
      <c r="A933" s="1">
        <v>43720</v>
      </c>
      <c r="B933" t="s">
        <v>431</v>
      </c>
      <c r="C933" t="s">
        <v>439</v>
      </c>
      <c r="D933">
        <v>14.975</v>
      </c>
      <c r="E933">
        <v>17.025</v>
      </c>
      <c r="F933" s="2" t="s">
        <v>445</v>
      </c>
      <c r="G933">
        <f ca="1" t="shared" si="42"/>
        <v>2.13307805834736</v>
      </c>
      <c r="H933" t="str">
        <f ca="1" t="shared" si="43"/>
        <v>Risk-On</v>
      </c>
      <c r="I933">
        <f ca="1" t="shared" si="44"/>
        <v>1</v>
      </c>
      <c r="J933">
        <f>_xlfn.XLOOKUP($A933,[1]Sheet1!$B$9:$B$2584,[1]Sheet1!$C$9:$C$2584,"N/A",0)</f>
        <v>101.1</v>
      </c>
      <c r="K933">
        <f>_xlfn.XLOOKUP($A933,[1]Sheet1!$E$9:$E$2584,[1]Sheet1!$F$9:$F$2584,"N/A",0)</f>
        <v>132.58</v>
      </c>
      <c r="L933">
        <f>_xlfn.XLOOKUP($A933,[1]Sheet1!$H$9:$H$2584,[1]Sheet1!$I$9:$I$2584,"N/A",0)</f>
        <v>76.88</v>
      </c>
      <c r="M933">
        <f>_xlfn.XLOOKUP($A933,[1]Sheet1!$K$9:$K$2584,[1]Sheet1!$L$9:$L$2584,"N/A",0)</f>
        <v>134.41</v>
      </c>
      <c r="N933">
        <f>_xlfn.XLOOKUP($A933,[1]Sheet1!$N$9:$N$2584,[1]Sheet1!$O$9:$O$2584,"N/A",0)</f>
        <v>106.52</v>
      </c>
      <c r="O933">
        <v>101.1</v>
      </c>
      <c r="P933">
        <v>132.58</v>
      </c>
      <c r="Q933">
        <v>76.88</v>
      </c>
      <c r="R933">
        <v>106.52</v>
      </c>
      <c r="S933">
        <v>134.41</v>
      </c>
    </row>
    <row r="934" spans="1:19">
      <c r="A934" s="1">
        <v>43721</v>
      </c>
      <c r="B934" t="s">
        <v>431</v>
      </c>
      <c r="C934" t="s">
        <v>439</v>
      </c>
      <c r="D934">
        <v>14.475</v>
      </c>
      <c r="E934">
        <v>16.875</v>
      </c>
      <c r="F934" s="2" t="s">
        <v>77</v>
      </c>
      <c r="G934">
        <f ca="1" t="shared" si="42"/>
        <v>2.66184791524669</v>
      </c>
      <c r="H934" t="str">
        <f ca="1" t="shared" si="43"/>
        <v>Risk-On</v>
      </c>
      <c r="I934">
        <f ca="1" t="shared" si="44"/>
        <v>1</v>
      </c>
      <c r="J934">
        <f>_xlfn.XLOOKUP($A934,[1]Sheet1!$B$9:$B$2584,[1]Sheet1!$C$9:$C$2584,"N/A",0)</f>
        <v>101.31</v>
      </c>
      <c r="K934">
        <f>_xlfn.XLOOKUP($A934,[1]Sheet1!$E$9:$E$2584,[1]Sheet1!$F$9:$F$2584,"N/A",0)</f>
        <v>131.34</v>
      </c>
      <c r="L934">
        <f>_xlfn.XLOOKUP($A934,[1]Sheet1!$H$9:$H$2584,[1]Sheet1!$I$9:$I$2584,"N/A",0)</f>
        <v>76.92</v>
      </c>
      <c r="M934">
        <f>_xlfn.XLOOKUP($A934,[1]Sheet1!$K$9:$K$2584,[1]Sheet1!$L$9:$L$2584,"N/A",0)</f>
        <v>133.66</v>
      </c>
      <c r="N934">
        <f>_xlfn.XLOOKUP($A934,[1]Sheet1!$N$9:$N$2584,[1]Sheet1!$O$9:$O$2584,"N/A",0)</f>
        <v>106.37</v>
      </c>
      <c r="O934">
        <v>101.31</v>
      </c>
      <c r="P934">
        <v>131.34</v>
      </c>
      <c r="Q934">
        <v>76.92</v>
      </c>
      <c r="R934">
        <v>106.37</v>
      </c>
      <c r="S934">
        <v>133.66</v>
      </c>
    </row>
    <row r="935" spans="1:19">
      <c r="A935" s="1">
        <v>43724</v>
      </c>
      <c r="B935" t="s">
        <v>431</v>
      </c>
      <c r="C935" t="s">
        <v>439</v>
      </c>
      <c r="D935">
        <v>14.625</v>
      </c>
      <c r="E935">
        <v>17.275</v>
      </c>
      <c r="F935" s="2" t="s">
        <v>446</v>
      </c>
      <c r="G935">
        <f ca="1" t="shared" si="42"/>
        <v>2.9554232351757</v>
      </c>
      <c r="H935" t="str">
        <f ca="1" t="shared" si="43"/>
        <v>Risk-On</v>
      </c>
      <c r="I935">
        <f ca="1" t="shared" si="44"/>
        <v>1</v>
      </c>
      <c r="J935">
        <f>_xlfn.XLOOKUP($A935,[1]Sheet1!$B$9:$B$2584,[1]Sheet1!$C$9:$C$2584,"N/A",0)</f>
        <v>101.27</v>
      </c>
      <c r="K935">
        <f>_xlfn.XLOOKUP($A935,[1]Sheet1!$E$9:$E$2584,[1]Sheet1!$F$9:$F$2584,"N/A",0)</f>
        <v>130.23</v>
      </c>
      <c r="L935">
        <f>_xlfn.XLOOKUP($A935,[1]Sheet1!$H$9:$H$2584,[1]Sheet1!$I$9:$I$2584,"N/A",0)</f>
        <v>76.57</v>
      </c>
      <c r="M935">
        <f>_xlfn.XLOOKUP($A935,[1]Sheet1!$K$9:$K$2584,[1]Sheet1!$L$9:$L$2584,"N/A",0)</f>
        <v>133.44</v>
      </c>
      <c r="N935">
        <f>_xlfn.XLOOKUP($A935,[1]Sheet1!$N$9:$N$2584,[1]Sheet1!$O$9:$O$2584,"N/A",0)</f>
        <v>105.94</v>
      </c>
      <c r="O935">
        <v>101.27</v>
      </c>
      <c r="P935">
        <v>130.23</v>
      </c>
      <c r="Q935">
        <v>76.57</v>
      </c>
      <c r="R935">
        <v>105.94</v>
      </c>
      <c r="S935">
        <v>133.44</v>
      </c>
    </row>
    <row r="936" spans="1:19">
      <c r="A936" s="1">
        <v>43725</v>
      </c>
      <c r="B936" t="s">
        <v>431</v>
      </c>
      <c r="C936" t="s">
        <v>439</v>
      </c>
      <c r="D936">
        <v>14.525</v>
      </c>
      <c r="E936">
        <v>17.075</v>
      </c>
      <c r="F936" s="2" t="s">
        <v>447</v>
      </c>
      <c r="G936">
        <f ca="1" t="shared" si="42"/>
        <v>2.85297130170024</v>
      </c>
      <c r="H936" t="str">
        <f ca="1" t="shared" si="43"/>
        <v>Risk-On</v>
      </c>
      <c r="I936">
        <f ca="1" t="shared" si="44"/>
        <v>1</v>
      </c>
      <c r="J936">
        <f>_xlfn.XLOOKUP($A936,[1]Sheet1!$B$9:$B$2584,[1]Sheet1!$C$9:$C$2584,"N/A",0)</f>
        <v>101.32</v>
      </c>
      <c r="K936">
        <f>_xlfn.XLOOKUP($A936,[1]Sheet1!$E$9:$E$2584,[1]Sheet1!$F$9:$F$2584,"N/A",0)</f>
        <v>134</v>
      </c>
      <c r="L936">
        <f>_xlfn.XLOOKUP($A936,[1]Sheet1!$H$9:$H$2584,[1]Sheet1!$I$9:$I$2584,"N/A",0)</f>
        <v>75.85</v>
      </c>
      <c r="M936">
        <f>_xlfn.XLOOKUP($A936,[1]Sheet1!$K$9:$K$2584,[1]Sheet1!$L$9:$L$2584,"N/A",0)</f>
        <v>133.23</v>
      </c>
      <c r="N936">
        <f>_xlfn.XLOOKUP($A936,[1]Sheet1!$N$9:$N$2584,[1]Sheet1!$O$9:$O$2584,"N/A",0)</f>
        <v>106.52</v>
      </c>
      <c r="O936">
        <v>101.32</v>
      </c>
      <c r="P936">
        <v>134</v>
      </c>
      <c r="Q936">
        <v>75.85</v>
      </c>
      <c r="R936">
        <v>106.52</v>
      </c>
      <c r="S936">
        <v>133.23</v>
      </c>
    </row>
    <row r="937" spans="1:19">
      <c r="A937" s="1">
        <v>43726</v>
      </c>
      <c r="B937" t="s">
        <v>431</v>
      </c>
      <c r="C937" t="s">
        <v>439</v>
      </c>
      <c r="D937">
        <v>14.54</v>
      </c>
      <c r="E937">
        <v>16.375</v>
      </c>
      <c r="F937">
        <v>0.126203576341128</v>
      </c>
      <c r="G937">
        <f ca="1" t="shared" si="42"/>
        <v>1.95596626050986</v>
      </c>
      <c r="H937" t="str">
        <f ca="1" t="shared" si="43"/>
        <v>Risk-On</v>
      </c>
      <c r="I937">
        <f ca="1" t="shared" si="44"/>
        <v>1</v>
      </c>
      <c r="J937">
        <f>_xlfn.XLOOKUP($A937,[1]Sheet1!$B$9:$B$2584,[1]Sheet1!$C$9:$C$2584,"N/A",0)</f>
        <v>101.45</v>
      </c>
      <c r="K937">
        <f>_xlfn.XLOOKUP($A937,[1]Sheet1!$E$9:$E$2584,[1]Sheet1!$F$9:$F$2584,"N/A",0)</f>
        <v>134.25</v>
      </c>
      <c r="L937">
        <f>_xlfn.XLOOKUP($A937,[1]Sheet1!$H$9:$H$2584,[1]Sheet1!$I$9:$I$2584,"N/A",0)</f>
        <v>75.46</v>
      </c>
      <c r="M937">
        <f>_xlfn.XLOOKUP($A937,[1]Sheet1!$K$9:$K$2584,[1]Sheet1!$L$9:$L$2584,"N/A",0)</f>
        <v>133.68</v>
      </c>
      <c r="N937">
        <f>_xlfn.XLOOKUP($A937,[1]Sheet1!$N$9:$N$2584,[1]Sheet1!$O$9:$O$2584,"N/A",0)</f>
        <v>106.78</v>
      </c>
      <c r="O937">
        <v>101.45</v>
      </c>
      <c r="P937">
        <v>134.25</v>
      </c>
      <c r="Q937">
        <v>75.46</v>
      </c>
      <c r="R937">
        <v>106.78</v>
      </c>
      <c r="S937">
        <v>133.68</v>
      </c>
    </row>
    <row r="938" spans="1:19">
      <c r="A938" s="1">
        <v>43727</v>
      </c>
      <c r="B938" t="s">
        <v>439</v>
      </c>
      <c r="C938" t="s">
        <v>448</v>
      </c>
      <c r="D938">
        <v>16.225</v>
      </c>
      <c r="E938">
        <v>17.575</v>
      </c>
      <c r="F938">
        <v>0.0832049306625576</v>
      </c>
      <c r="G938">
        <f ca="1" t="shared" si="42"/>
        <v>1.15462129081909</v>
      </c>
      <c r="H938" t="str">
        <f ca="1" t="shared" si="43"/>
        <v>Risk-On</v>
      </c>
      <c r="I938">
        <f ca="1" t="shared" si="44"/>
        <v>1</v>
      </c>
      <c r="J938">
        <f>_xlfn.XLOOKUP($A938,[1]Sheet1!$B$9:$B$2584,[1]Sheet1!$C$9:$C$2584,"N/A",0)</f>
        <v>101.93</v>
      </c>
      <c r="K938">
        <f>_xlfn.XLOOKUP($A938,[1]Sheet1!$E$9:$E$2584,[1]Sheet1!$F$9:$F$2584,"N/A",0)</f>
        <v>134.7</v>
      </c>
      <c r="L938">
        <f>_xlfn.XLOOKUP($A938,[1]Sheet1!$H$9:$H$2584,[1]Sheet1!$I$9:$I$2584,"N/A",0)</f>
        <v>75.48</v>
      </c>
      <c r="M938">
        <f>_xlfn.XLOOKUP($A938,[1]Sheet1!$K$9:$K$2584,[1]Sheet1!$L$9:$L$2584,"N/A",0)</f>
        <v>134.14</v>
      </c>
      <c r="N938">
        <f>_xlfn.XLOOKUP($A938,[1]Sheet1!$N$9:$N$2584,[1]Sheet1!$O$9:$O$2584,"N/A",0)</f>
        <v>107.1</v>
      </c>
      <c r="O938">
        <v>101.93</v>
      </c>
      <c r="P938">
        <v>134.7</v>
      </c>
      <c r="Q938">
        <v>75.48</v>
      </c>
      <c r="R938">
        <v>107.1</v>
      </c>
      <c r="S938">
        <v>134.14</v>
      </c>
    </row>
    <row r="939" spans="1:19">
      <c r="A939" s="1">
        <v>43728</v>
      </c>
      <c r="B939" t="s">
        <v>439</v>
      </c>
      <c r="C939" t="s">
        <v>448</v>
      </c>
      <c r="D939">
        <v>17.225</v>
      </c>
      <c r="E939">
        <v>18.375</v>
      </c>
      <c r="F939">
        <v>0.0667634252539912</v>
      </c>
      <c r="G939">
        <f ca="1" t="shared" si="42"/>
        <v>0.850974006392981</v>
      </c>
      <c r="H939" t="str">
        <f ca="1" t="shared" si="43"/>
        <v>Risk-On</v>
      </c>
      <c r="I939">
        <f ca="1" t="shared" si="44"/>
        <v>1</v>
      </c>
      <c r="J939">
        <f>_xlfn.XLOOKUP($A939,[1]Sheet1!$B$9:$B$2584,[1]Sheet1!$C$9:$C$2584,"N/A",0)</f>
        <v>102.08</v>
      </c>
      <c r="K939">
        <f>_xlfn.XLOOKUP($A939,[1]Sheet1!$E$9:$E$2584,[1]Sheet1!$F$9:$F$2584,"N/A",0)</f>
        <v>134.16</v>
      </c>
      <c r="L939">
        <f>_xlfn.XLOOKUP($A939,[1]Sheet1!$H$9:$H$2584,[1]Sheet1!$I$9:$I$2584,"N/A",0)</f>
        <v>75.79</v>
      </c>
      <c r="M939">
        <f>_xlfn.XLOOKUP($A939,[1]Sheet1!$K$9:$K$2584,[1]Sheet1!$L$9:$L$2584,"N/A",0)</f>
        <v>133.76</v>
      </c>
      <c r="N939">
        <f>_xlfn.XLOOKUP($A939,[1]Sheet1!$N$9:$N$2584,[1]Sheet1!$O$9:$O$2584,"N/A",0)</f>
        <v>106.71</v>
      </c>
      <c r="O939">
        <v>102.08</v>
      </c>
      <c r="P939">
        <v>134.16</v>
      </c>
      <c r="Q939">
        <v>75.79</v>
      </c>
      <c r="R939">
        <v>106.71</v>
      </c>
      <c r="S939">
        <v>133.76</v>
      </c>
    </row>
    <row r="940" spans="1:19">
      <c r="A940" s="1">
        <v>43731</v>
      </c>
      <c r="B940" t="s">
        <v>439</v>
      </c>
      <c r="C940" t="s">
        <v>448</v>
      </c>
      <c r="D940">
        <v>16.725</v>
      </c>
      <c r="E940">
        <v>18.025</v>
      </c>
      <c r="F940">
        <v>0.0777279521674138</v>
      </c>
      <c r="G940">
        <f ca="1" t="shared" si="42"/>
        <v>1.04804140692709</v>
      </c>
      <c r="H940" t="str">
        <f ca="1" t="shared" si="43"/>
        <v>Risk-On</v>
      </c>
      <c r="I940">
        <f ca="1" t="shared" si="44"/>
        <v>1</v>
      </c>
      <c r="J940">
        <f>_xlfn.XLOOKUP($A940,[1]Sheet1!$B$9:$B$2584,[1]Sheet1!$C$9:$C$2584,"N/A",0)</f>
        <v>102.09</v>
      </c>
      <c r="K940">
        <f>_xlfn.XLOOKUP($A940,[1]Sheet1!$E$9:$E$2584,[1]Sheet1!$F$9:$F$2584,"N/A",0)</f>
        <v>134.6</v>
      </c>
      <c r="L940">
        <f>_xlfn.XLOOKUP($A940,[1]Sheet1!$H$9:$H$2584,[1]Sheet1!$I$9:$I$2584,"N/A",0)</f>
        <v>75.72</v>
      </c>
      <c r="M940">
        <f>_xlfn.XLOOKUP($A940,[1]Sheet1!$K$9:$K$2584,[1]Sheet1!$L$9:$L$2584,"N/A",0)</f>
        <v>133.91</v>
      </c>
      <c r="N940">
        <f>_xlfn.XLOOKUP($A940,[1]Sheet1!$N$9:$N$2584,[1]Sheet1!$O$9:$O$2584,"N/A",0)</f>
        <v>106.72</v>
      </c>
      <c r="O940">
        <v>102.09</v>
      </c>
      <c r="P940">
        <v>134.6</v>
      </c>
      <c r="Q940">
        <v>75.72</v>
      </c>
      <c r="R940">
        <v>106.72</v>
      </c>
      <c r="S940">
        <v>133.91</v>
      </c>
    </row>
    <row r="941" spans="1:19">
      <c r="A941" s="1">
        <v>43732</v>
      </c>
      <c r="B941" t="s">
        <v>439</v>
      </c>
      <c r="C941" t="s">
        <v>448</v>
      </c>
      <c r="D941">
        <v>17.875</v>
      </c>
      <c r="E941">
        <v>18.675</v>
      </c>
      <c r="F941">
        <v>0.0447552447552448</v>
      </c>
      <c r="G941">
        <f ca="1" t="shared" si="42"/>
        <v>0.452597938462402</v>
      </c>
      <c r="H941" t="str">
        <f ca="1" t="shared" si="43"/>
        <v>Risk-On</v>
      </c>
      <c r="I941">
        <f ca="1" t="shared" si="44"/>
        <v>1</v>
      </c>
      <c r="J941">
        <f>_xlfn.XLOOKUP($A941,[1]Sheet1!$B$9:$B$2584,[1]Sheet1!$C$9:$C$2584,"N/A",0)</f>
        <v>101.99</v>
      </c>
      <c r="K941">
        <f>_xlfn.XLOOKUP($A941,[1]Sheet1!$E$9:$E$2584,[1]Sheet1!$F$9:$F$2584,"N/A",0)</f>
        <v>135.57</v>
      </c>
      <c r="L941">
        <f>_xlfn.XLOOKUP($A941,[1]Sheet1!$H$9:$H$2584,[1]Sheet1!$I$9:$I$2584,"N/A",0)</f>
        <v>76.27</v>
      </c>
      <c r="M941">
        <f>_xlfn.XLOOKUP($A941,[1]Sheet1!$K$9:$K$2584,[1]Sheet1!$L$9:$L$2584,"N/A",0)</f>
        <v>134.67</v>
      </c>
      <c r="N941">
        <f>_xlfn.XLOOKUP($A941,[1]Sheet1!$N$9:$N$2584,[1]Sheet1!$O$9:$O$2584,"N/A",0)</f>
        <v>107.19</v>
      </c>
      <c r="O941">
        <v>101.99</v>
      </c>
      <c r="P941">
        <v>135.57</v>
      </c>
      <c r="Q941">
        <v>76.27</v>
      </c>
      <c r="R941">
        <v>107.19</v>
      </c>
      <c r="S941">
        <v>134.67</v>
      </c>
    </row>
    <row r="942" spans="1:19">
      <c r="A942" s="1">
        <v>43733</v>
      </c>
      <c r="B942" t="s">
        <v>439</v>
      </c>
      <c r="C942" t="s">
        <v>448</v>
      </c>
      <c r="D942">
        <v>17.225</v>
      </c>
      <c r="E942">
        <v>18.375</v>
      </c>
      <c r="F942">
        <v>0.0667634252539912</v>
      </c>
      <c r="G942">
        <f ca="1" t="shared" si="42"/>
        <v>0.851613526389397</v>
      </c>
      <c r="H942" t="str">
        <f ca="1" t="shared" si="43"/>
        <v>Risk-On</v>
      </c>
      <c r="I942">
        <f ca="1" t="shared" si="44"/>
        <v>1</v>
      </c>
      <c r="J942">
        <f>_xlfn.XLOOKUP($A942,[1]Sheet1!$B$9:$B$2584,[1]Sheet1!$C$9:$C$2584,"N/A",0)</f>
        <v>102.07</v>
      </c>
      <c r="K942">
        <f>_xlfn.XLOOKUP($A942,[1]Sheet1!$E$9:$E$2584,[1]Sheet1!$F$9:$F$2584,"N/A",0)</f>
        <v>134.94</v>
      </c>
      <c r="L942">
        <f>_xlfn.XLOOKUP($A942,[1]Sheet1!$H$9:$H$2584,[1]Sheet1!$I$9:$I$2584,"N/A",0)</f>
        <v>76.42</v>
      </c>
      <c r="M942">
        <f>_xlfn.XLOOKUP($A942,[1]Sheet1!$K$9:$K$2584,[1]Sheet1!$L$9:$L$2584,"N/A",0)</f>
        <v>135.14</v>
      </c>
      <c r="N942">
        <f>_xlfn.XLOOKUP($A942,[1]Sheet1!$N$9:$N$2584,[1]Sheet1!$O$9:$O$2584,"N/A",0)</f>
        <v>106.32</v>
      </c>
      <c r="O942">
        <v>102.07</v>
      </c>
      <c r="P942">
        <v>134.94</v>
      </c>
      <c r="Q942">
        <v>76.42</v>
      </c>
      <c r="R942">
        <v>106.32</v>
      </c>
      <c r="S942">
        <v>135.14</v>
      </c>
    </row>
    <row r="943" spans="1:19">
      <c r="A943" s="1">
        <v>43734</v>
      </c>
      <c r="B943" t="s">
        <v>439</v>
      </c>
      <c r="C943" t="s">
        <v>448</v>
      </c>
      <c r="D943">
        <v>17.425</v>
      </c>
      <c r="E943">
        <v>18.575</v>
      </c>
      <c r="F943">
        <v>0.0659971305595408</v>
      </c>
      <c r="G943">
        <f ca="1" t="shared" si="42"/>
        <v>0.837330918627667</v>
      </c>
      <c r="H943" t="str">
        <f ca="1" t="shared" si="43"/>
        <v>Risk-On</v>
      </c>
      <c r="I943">
        <f ca="1" t="shared" si="44"/>
        <v>1</v>
      </c>
      <c r="J943">
        <f>_xlfn.XLOOKUP($A943,[1]Sheet1!$B$9:$B$2584,[1]Sheet1!$C$9:$C$2584,"N/A",0)</f>
        <v>102.37</v>
      </c>
      <c r="K943">
        <f>_xlfn.XLOOKUP($A943,[1]Sheet1!$E$9:$E$2584,[1]Sheet1!$F$9:$F$2584,"N/A",0)</f>
        <v>135.91</v>
      </c>
      <c r="L943">
        <f>_xlfn.XLOOKUP($A943,[1]Sheet1!$H$9:$H$2584,[1]Sheet1!$I$9:$I$2584,"N/A",0)</f>
        <v>76.62</v>
      </c>
      <c r="M943">
        <f>_xlfn.XLOOKUP($A943,[1]Sheet1!$K$9:$K$2584,[1]Sheet1!$L$9:$L$2584,"N/A",0)</f>
        <v>135.52</v>
      </c>
      <c r="N943">
        <f>_xlfn.XLOOKUP($A943,[1]Sheet1!$N$9:$N$2584,[1]Sheet1!$O$9:$O$2584,"N/A",0)</f>
        <v>107.11</v>
      </c>
      <c r="O943">
        <v>102.37</v>
      </c>
      <c r="P943">
        <v>135.91</v>
      </c>
      <c r="Q943">
        <v>76.62</v>
      </c>
      <c r="R943">
        <v>107.11</v>
      </c>
      <c r="S943">
        <v>135.52</v>
      </c>
    </row>
    <row r="944" spans="1:19">
      <c r="A944" s="1">
        <v>43735</v>
      </c>
      <c r="B944" t="s">
        <v>439</v>
      </c>
      <c r="C944" t="s">
        <v>448</v>
      </c>
      <c r="D944">
        <v>18.025</v>
      </c>
      <c r="E944">
        <v>19.025</v>
      </c>
      <c r="F944">
        <v>0.0554785020804438</v>
      </c>
      <c r="G944">
        <f ca="1" t="shared" si="42"/>
        <v>0.646799267179712</v>
      </c>
      <c r="H944" t="str">
        <f ca="1" t="shared" si="43"/>
        <v>Risk-On</v>
      </c>
      <c r="I944">
        <f ca="1" t="shared" si="44"/>
        <v>1</v>
      </c>
      <c r="J944">
        <f>_xlfn.XLOOKUP($A944,[1]Sheet1!$B$9:$B$2584,[1]Sheet1!$C$9:$C$2584,"N/A",0)</f>
        <v>102.45</v>
      </c>
      <c r="K944">
        <f>_xlfn.XLOOKUP($A944,[1]Sheet1!$E$9:$E$2584,[1]Sheet1!$F$9:$F$2584,"N/A",0)</f>
        <v>133.6</v>
      </c>
      <c r="L944">
        <f>_xlfn.XLOOKUP($A944,[1]Sheet1!$H$9:$H$2584,[1]Sheet1!$I$9:$I$2584,"N/A",0)</f>
        <v>77.01</v>
      </c>
      <c r="M944">
        <f>_xlfn.XLOOKUP($A944,[1]Sheet1!$K$9:$K$2584,[1]Sheet1!$L$9:$L$2584,"N/A",0)</f>
        <v>135.99</v>
      </c>
      <c r="N944">
        <f>_xlfn.XLOOKUP($A944,[1]Sheet1!$N$9:$N$2584,[1]Sheet1!$O$9:$O$2584,"N/A",0)</f>
        <v>107.07</v>
      </c>
      <c r="O944">
        <v>102.45</v>
      </c>
      <c r="P944">
        <v>133.6</v>
      </c>
      <c r="Q944">
        <v>77.01</v>
      </c>
      <c r="R944">
        <v>107.07</v>
      </c>
      <c r="S944">
        <v>135.99</v>
      </c>
    </row>
    <row r="945" spans="1:19">
      <c r="A945" s="1">
        <v>43738</v>
      </c>
      <c r="B945" t="s">
        <v>439</v>
      </c>
      <c r="C945" t="s">
        <v>448</v>
      </c>
      <c r="D945">
        <v>17.125</v>
      </c>
      <c r="E945">
        <v>18.275</v>
      </c>
      <c r="F945">
        <v>0.0671532846715327</v>
      </c>
      <c r="G945">
        <f ca="1" t="shared" si="42"/>
        <v>0.858314075724808</v>
      </c>
      <c r="H945" t="str">
        <f ca="1" t="shared" si="43"/>
        <v>Risk-On</v>
      </c>
      <c r="I945">
        <f ca="1" t="shared" si="44"/>
        <v>1</v>
      </c>
      <c r="J945">
        <f>_xlfn.XLOOKUP($A945,[1]Sheet1!$B$9:$B$2584,[1]Sheet1!$C$9:$C$2584,"N/A",0)</f>
        <v>102.49</v>
      </c>
      <c r="K945">
        <f>_xlfn.XLOOKUP($A945,[1]Sheet1!$E$9:$E$2584,[1]Sheet1!$F$9:$F$2584,"N/A",0)</f>
        <v>133.99</v>
      </c>
      <c r="L945">
        <f>_xlfn.XLOOKUP($A945,[1]Sheet1!$H$9:$H$2584,[1]Sheet1!$I$9:$I$2584,"N/A",0)</f>
        <v>76.85</v>
      </c>
      <c r="M945">
        <f>_xlfn.XLOOKUP($A945,[1]Sheet1!$K$9:$K$2584,[1]Sheet1!$L$9:$L$2584,"N/A",0)</f>
        <v>136.3</v>
      </c>
      <c r="N945">
        <f>_xlfn.XLOOKUP($A945,[1]Sheet1!$N$9:$N$2584,[1]Sheet1!$O$9:$O$2584,"N/A",0)</f>
        <v>107.03</v>
      </c>
      <c r="O945">
        <v>102.49</v>
      </c>
      <c r="P945">
        <v>133.99</v>
      </c>
      <c r="Q945">
        <v>76.85</v>
      </c>
      <c r="R945">
        <v>107.03</v>
      </c>
      <c r="S945">
        <v>136.3</v>
      </c>
    </row>
    <row r="946" spans="1:19">
      <c r="A946" s="1">
        <v>43739</v>
      </c>
      <c r="B946" t="s">
        <v>439</v>
      </c>
      <c r="C946" t="s">
        <v>448</v>
      </c>
      <c r="D946">
        <v>18.575</v>
      </c>
      <c r="E946">
        <v>19.325</v>
      </c>
      <c r="F946">
        <v>0.0403768506056527</v>
      </c>
      <c r="G946">
        <f ca="1" t="shared" si="42"/>
        <v>0.376549390922051</v>
      </c>
      <c r="H946" t="str">
        <f ca="1" t="shared" si="43"/>
        <v>Risk-On</v>
      </c>
      <c r="I946">
        <f ca="1" t="shared" si="44"/>
        <v>1</v>
      </c>
      <c r="J946">
        <f>_xlfn.XLOOKUP($A946,[1]Sheet1!$B$9:$B$2584,[1]Sheet1!$C$9:$C$2584,"N/A",0)</f>
        <v>102.16</v>
      </c>
      <c r="K946">
        <f>_xlfn.XLOOKUP($A946,[1]Sheet1!$E$9:$E$2584,[1]Sheet1!$F$9:$F$2584,"N/A",0)</f>
        <v>135.33</v>
      </c>
      <c r="L946">
        <f>_xlfn.XLOOKUP($A946,[1]Sheet1!$H$9:$H$2584,[1]Sheet1!$I$9:$I$2584,"N/A",0)</f>
        <v>77.1</v>
      </c>
      <c r="M946">
        <f>_xlfn.XLOOKUP($A946,[1]Sheet1!$K$9:$K$2584,[1]Sheet1!$L$9:$L$2584,"N/A",0)</f>
        <v>136.89</v>
      </c>
      <c r="N946">
        <f>_xlfn.XLOOKUP($A946,[1]Sheet1!$N$9:$N$2584,[1]Sheet1!$O$9:$O$2584,"N/A",0)</f>
        <v>107.28</v>
      </c>
      <c r="O946">
        <v>102.16</v>
      </c>
      <c r="P946">
        <v>135.33</v>
      </c>
      <c r="Q946">
        <v>77.1</v>
      </c>
      <c r="R946">
        <v>107.28</v>
      </c>
      <c r="S946">
        <v>136.89</v>
      </c>
    </row>
    <row r="947" spans="1:19">
      <c r="A947" s="1">
        <v>43740</v>
      </c>
      <c r="B947" t="s">
        <v>439</v>
      </c>
      <c r="C947" t="s">
        <v>448</v>
      </c>
      <c r="D947">
        <v>20.075</v>
      </c>
      <c r="E947">
        <v>20.175</v>
      </c>
      <c r="F947">
        <v>0.00498132004981327</v>
      </c>
      <c r="G947">
        <f ca="1" t="shared" si="42"/>
        <v>-0.259001909591754</v>
      </c>
      <c r="H947" t="str">
        <f ca="1" t="shared" si="43"/>
        <v>Risk-On</v>
      </c>
      <c r="I947">
        <f ca="1" t="shared" si="44"/>
        <v>1</v>
      </c>
      <c r="J947">
        <f>_xlfn.XLOOKUP($A947,[1]Sheet1!$B$9:$B$2584,[1]Sheet1!$C$9:$C$2584,"N/A",0)</f>
        <v>101.95</v>
      </c>
      <c r="K947">
        <f>_xlfn.XLOOKUP($A947,[1]Sheet1!$E$9:$E$2584,[1]Sheet1!$F$9:$F$2584,"N/A",0)</f>
        <v>135.88</v>
      </c>
      <c r="L947">
        <f>_xlfn.XLOOKUP($A947,[1]Sheet1!$H$9:$H$2584,[1]Sheet1!$I$9:$I$2584,"N/A",0)</f>
        <v>76.5</v>
      </c>
      <c r="M947">
        <f>_xlfn.XLOOKUP($A947,[1]Sheet1!$K$9:$K$2584,[1]Sheet1!$L$9:$L$2584,"N/A",0)</f>
        <v>136.3</v>
      </c>
      <c r="N947">
        <f>_xlfn.XLOOKUP($A947,[1]Sheet1!$N$9:$N$2584,[1]Sheet1!$O$9:$O$2584,"N/A",0)</f>
        <v>106.5</v>
      </c>
      <c r="O947">
        <v>101.95</v>
      </c>
      <c r="P947">
        <v>135.88</v>
      </c>
      <c r="Q947">
        <v>76.5</v>
      </c>
      <c r="R947">
        <v>106.5</v>
      </c>
      <c r="S947">
        <v>136.3</v>
      </c>
    </row>
    <row r="948" spans="1:19">
      <c r="A948" s="1">
        <v>43741</v>
      </c>
      <c r="B948" t="s">
        <v>439</v>
      </c>
      <c r="C948" t="s">
        <v>448</v>
      </c>
      <c r="D948">
        <v>18.975</v>
      </c>
      <c r="E948">
        <v>19.375</v>
      </c>
      <c r="F948" s="2" t="s">
        <v>449</v>
      </c>
      <c r="G948">
        <f ca="1" t="shared" si="42"/>
        <v>0.0379904055668719</v>
      </c>
      <c r="H948" t="str">
        <f ca="1" t="shared" si="43"/>
        <v>Risk-On</v>
      </c>
      <c r="I948">
        <f ca="1" t="shared" si="44"/>
        <v>1</v>
      </c>
      <c r="J948">
        <f>_xlfn.XLOOKUP($A948,[1]Sheet1!$B$9:$B$2584,[1]Sheet1!$C$9:$C$2584,"N/A",0)</f>
        <v>101.92</v>
      </c>
      <c r="K948">
        <f>_xlfn.XLOOKUP($A948,[1]Sheet1!$E$9:$E$2584,[1]Sheet1!$F$9:$F$2584,"N/A",0)</f>
        <v>136.84</v>
      </c>
      <c r="L948">
        <f>_xlfn.XLOOKUP($A948,[1]Sheet1!$H$9:$H$2584,[1]Sheet1!$I$9:$I$2584,"N/A",0)</f>
        <v>76.24</v>
      </c>
      <c r="M948">
        <f>_xlfn.XLOOKUP($A948,[1]Sheet1!$K$9:$K$2584,[1]Sheet1!$L$9:$L$2584,"N/A",0)</f>
        <v>136.24</v>
      </c>
      <c r="N948">
        <f>_xlfn.XLOOKUP($A948,[1]Sheet1!$N$9:$N$2584,[1]Sheet1!$O$9:$O$2584,"N/A",0)</f>
        <v>106.81</v>
      </c>
      <c r="O948">
        <v>101.92</v>
      </c>
      <c r="P948">
        <v>136.84</v>
      </c>
      <c r="Q948">
        <v>76.24</v>
      </c>
      <c r="R948">
        <v>106.81</v>
      </c>
      <c r="S948">
        <v>136.24</v>
      </c>
    </row>
    <row r="949" spans="1:19">
      <c r="A949" s="1">
        <v>43742</v>
      </c>
      <c r="B949" t="s">
        <v>439</v>
      </c>
      <c r="C949" t="s">
        <v>448</v>
      </c>
      <c r="D949">
        <v>17.625</v>
      </c>
      <c r="E949">
        <v>18.675</v>
      </c>
      <c r="F949">
        <v>0.0595744680851064</v>
      </c>
      <c r="G949">
        <f ca="1" t="shared" si="42"/>
        <v>0.738952297331007</v>
      </c>
      <c r="H949" t="str">
        <f ca="1" t="shared" si="43"/>
        <v>Risk-On</v>
      </c>
      <c r="I949">
        <f ca="1" t="shared" si="44"/>
        <v>1</v>
      </c>
      <c r="J949">
        <f>_xlfn.XLOOKUP($A949,[1]Sheet1!$B$9:$B$2584,[1]Sheet1!$C$9:$C$2584,"N/A",0)</f>
        <v>102.04</v>
      </c>
      <c r="K949">
        <f>_xlfn.XLOOKUP($A949,[1]Sheet1!$E$9:$E$2584,[1]Sheet1!$F$9:$F$2584,"N/A",0)</f>
        <v>137.43</v>
      </c>
      <c r="L949">
        <f>_xlfn.XLOOKUP($A949,[1]Sheet1!$H$9:$H$2584,[1]Sheet1!$I$9:$I$2584,"N/A",0)</f>
        <v>76.05</v>
      </c>
      <c r="M949">
        <f>_xlfn.XLOOKUP($A949,[1]Sheet1!$K$9:$K$2584,[1]Sheet1!$L$9:$L$2584,"N/A",0)</f>
        <v>136.63</v>
      </c>
      <c r="N949">
        <f>_xlfn.XLOOKUP($A949,[1]Sheet1!$N$9:$N$2584,[1]Sheet1!$O$9:$O$2584,"N/A",0)</f>
        <v>107.19</v>
      </c>
      <c r="O949">
        <v>102.04</v>
      </c>
      <c r="P949">
        <v>137.43</v>
      </c>
      <c r="Q949">
        <v>76.05</v>
      </c>
      <c r="R949">
        <v>107.19</v>
      </c>
      <c r="S949">
        <v>136.63</v>
      </c>
    </row>
    <row r="950" spans="1:19">
      <c r="A950" s="1">
        <v>43745</v>
      </c>
      <c r="B950" t="s">
        <v>439</v>
      </c>
      <c r="C950" t="s">
        <v>448</v>
      </c>
      <c r="D950">
        <v>17.975</v>
      </c>
      <c r="E950">
        <v>18.775</v>
      </c>
      <c r="F950">
        <v>0.0445062586926284</v>
      </c>
      <c r="G950">
        <f ca="1" t="shared" si="42"/>
        <v>0.463029754506079</v>
      </c>
      <c r="H950" t="str">
        <f ca="1" t="shared" si="43"/>
        <v>Risk-On</v>
      </c>
      <c r="I950">
        <f ca="1" t="shared" si="44"/>
        <v>1</v>
      </c>
      <c r="J950">
        <f>_xlfn.XLOOKUP($A950,[1]Sheet1!$B$9:$B$2584,[1]Sheet1!$C$9:$C$2584,"N/A",0)</f>
        <v>101.71</v>
      </c>
      <c r="K950">
        <f>_xlfn.XLOOKUP($A950,[1]Sheet1!$E$9:$E$2584,[1]Sheet1!$F$9:$F$2584,"N/A",0)</f>
        <v>137.45</v>
      </c>
      <c r="L950">
        <f>_xlfn.XLOOKUP($A950,[1]Sheet1!$H$9:$H$2584,[1]Sheet1!$I$9:$I$2584,"N/A",0)</f>
        <v>76.17</v>
      </c>
      <c r="M950">
        <f>_xlfn.XLOOKUP($A950,[1]Sheet1!$K$9:$K$2584,[1]Sheet1!$L$9:$L$2584,"N/A",0)</f>
        <v>137.14</v>
      </c>
      <c r="N950">
        <f>_xlfn.XLOOKUP($A950,[1]Sheet1!$N$9:$N$2584,[1]Sheet1!$O$9:$O$2584,"N/A",0)</f>
        <v>106.99</v>
      </c>
      <c r="O950">
        <v>101.71</v>
      </c>
      <c r="P950">
        <v>137.45</v>
      </c>
      <c r="Q950">
        <v>76.17</v>
      </c>
      <c r="R950">
        <v>106.99</v>
      </c>
      <c r="S950">
        <v>137.14</v>
      </c>
    </row>
    <row r="951" spans="1:19">
      <c r="A951" s="1">
        <v>43746</v>
      </c>
      <c r="B951" t="s">
        <v>439</v>
      </c>
      <c r="C951" t="s">
        <v>448</v>
      </c>
      <c r="D951">
        <v>20.075</v>
      </c>
      <c r="E951">
        <v>19.975</v>
      </c>
      <c r="F951">
        <v>-0.00498132004981309</v>
      </c>
      <c r="G951">
        <f ca="1" t="shared" si="42"/>
        <v>-0.436320026276175</v>
      </c>
      <c r="H951" t="str">
        <f ca="1" t="shared" si="43"/>
        <v>Risk-On</v>
      </c>
      <c r="I951">
        <f ca="1" t="shared" si="44"/>
        <v>1</v>
      </c>
      <c r="J951">
        <f>_xlfn.XLOOKUP($A951,[1]Sheet1!$B$9:$B$2584,[1]Sheet1!$C$9:$C$2584,"N/A",0)</f>
        <v>101.68</v>
      </c>
      <c r="K951">
        <f>_xlfn.XLOOKUP($A951,[1]Sheet1!$E$9:$E$2584,[1]Sheet1!$F$9:$F$2584,"N/A",0)</f>
        <v>137.4</v>
      </c>
      <c r="L951">
        <f>_xlfn.XLOOKUP($A951,[1]Sheet1!$H$9:$H$2584,[1]Sheet1!$I$9:$I$2584,"N/A",0)</f>
        <v>75.86</v>
      </c>
      <c r="M951">
        <f>_xlfn.XLOOKUP($A951,[1]Sheet1!$K$9:$K$2584,[1]Sheet1!$L$9:$L$2584,"N/A",0)</f>
        <v>137.32</v>
      </c>
      <c r="N951">
        <f>_xlfn.XLOOKUP($A951,[1]Sheet1!$N$9:$N$2584,[1]Sheet1!$O$9:$O$2584,"N/A",0)</f>
        <v>107.06</v>
      </c>
      <c r="O951">
        <v>101.68</v>
      </c>
      <c r="P951">
        <v>137.4</v>
      </c>
      <c r="Q951">
        <v>75.86</v>
      </c>
      <c r="R951">
        <v>107.06</v>
      </c>
      <c r="S951">
        <v>137.32</v>
      </c>
    </row>
    <row r="952" spans="1:19">
      <c r="A952" s="1">
        <v>43747</v>
      </c>
      <c r="B952" t="s">
        <v>439</v>
      </c>
      <c r="C952" t="s">
        <v>448</v>
      </c>
      <c r="D952">
        <v>18.575</v>
      </c>
      <c r="E952">
        <v>19.275</v>
      </c>
      <c r="F952" s="2" t="s">
        <v>450</v>
      </c>
      <c r="G952">
        <f ca="1" t="shared" si="42"/>
        <v>0.3384529632479</v>
      </c>
      <c r="H952" t="str">
        <f ca="1" t="shared" si="43"/>
        <v>Risk-On</v>
      </c>
      <c r="I952">
        <f ca="1" t="shared" si="44"/>
        <v>1</v>
      </c>
      <c r="J952">
        <f>_xlfn.XLOOKUP($A952,[1]Sheet1!$B$9:$B$2584,[1]Sheet1!$C$9:$C$2584,"N/A",0)</f>
        <v>101.81</v>
      </c>
      <c r="K952">
        <f>_xlfn.XLOOKUP($A952,[1]Sheet1!$E$9:$E$2584,[1]Sheet1!$F$9:$F$2584,"N/A",0)</f>
        <v>138.59</v>
      </c>
      <c r="L952">
        <f>_xlfn.XLOOKUP($A952,[1]Sheet1!$H$9:$H$2584,[1]Sheet1!$I$9:$I$2584,"N/A",0)</f>
        <v>75.79</v>
      </c>
      <c r="M952">
        <f>_xlfn.XLOOKUP($A952,[1]Sheet1!$K$9:$K$2584,[1]Sheet1!$L$9:$L$2584,"N/A",0)</f>
        <v>137.72</v>
      </c>
      <c r="N952">
        <f>_xlfn.XLOOKUP($A952,[1]Sheet1!$N$9:$N$2584,[1]Sheet1!$O$9:$O$2584,"N/A",0)</f>
        <v>107.63</v>
      </c>
      <c r="O952">
        <v>101.81</v>
      </c>
      <c r="P952">
        <v>138.59</v>
      </c>
      <c r="Q952">
        <v>75.79</v>
      </c>
      <c r="R952">
        <v>107.63</v>
      </c>
      <c r="S952">
        <v>137.72</v>
      </c>
    </row>
    <row r="953" spans="1:19">
      <c r="A953" s="1">
        <v>43748</v>
      </c>
      <c r="B953" t="s">
        <v>439</v>
      </c>
      <c r="C953" t="s">
        <v>448</v>
      </c>
      <c r="D953">
        <v>17.625</v>
      </c>
      <c r="E953">
        <v>18.825</v>
      </c>
      <c r="F953">
        <v>0.0680851063829786</v>
      </c>
      <c r="G953">
        <f ca="1" t="shared" si="42"/>
        <v>0.885533012228763</v>
      </c>
      <c r="H953" t="str">
        <f ca="1" t="shared" si="43"/>
        <v>Risk-On</v>
      </c>
      <c r="I953">
        <f ca="1" t="shared" si="44"/>
        <v>1</v>
      </c>
      <c r="J953">
        <f>_xlfn.XLOOKUP($A953,[1]Sheet1!$B$9:$B$2584,[1]Sheet1!$C$9:$C$2584,"N/A",0)</f>
        <v>101.89</v>
      </c>
      <c r="K953">
        <f>_xlfn.XLOOKUP($A953,[1]Sheet1!$E$9:$E$2584,[1]Sheet1!$F$9:$F$2584,"N/A",0)</f>
        <v>138.49</v>
      </c>
      <c r="L953">
        <f>_xlfn.XLOOKUP($A953,[1]Sheet1!$H$9:$H$2584,[1]Sheet1!$I$9:$I$2584,"N/A",0)</f>
        <v>76.27</v>
      </c>
      <c r="M953">
        <f>_xlfn.XLOOKUP($A953,[1]Sheet1!$K$9:$K$2584,[1]Sheet1!$L$9:$L$2584,"N/A",0)</f>
        <v>138.07</v>
      </c>
      <c r="N953">
        <f>_xlfn.XLOOKUP($A953,[1]Sheet1!$N$9:$N$2584,[1]Sheet1!$O$9:$O$2584,"N/A",0)</f>
        <v>107.91</v>
      </c>
      <c r="O953">
        <v>101.89</v>
      </c>
      <c r="P953">
        <v>138.49</v>
      </c>
      <c r="Q953">
        <v>76.27</v>
      </c>
      <c r="R953">
        <v>107.91</v>
      </c>
      <c r="S953">
        <v>138.07</v>
      </c>
    </row>
    <row r="954" spans="1:19">
      <c r="A954" s="1">
        <v>43749</v>
      </c>
      <c r="B954" t="s">
        <v>439</v>
      </c>
      <c r="C954" t="s">
        <v>448</v>
      </c>
      <c r="D954">
        <v>15.825</v>
      </c>
      <c r="E954">
        <v>18.075</v>
      </c>
      <c r="F954" s="2" t="s">
        <v>451</v>
      </c>
      <c r="G954">
        <f ca="1" t="shared" si="42"/>
        <v>2.22665781941043</v>
      </c>
      <c r="H954" t="str">
        <f ca="1" t="shared" si="43"/>
        <v>Risk-On</v>
      </c>
      <c r="I954">
        <f ca="1" t="shared" si="44"/>
        <v>1</v>
      </c>
      <c r="J954">
        <f>_xlfn.XLOOKUP($A954,[1]Sheet1!$B$9:$B$2584,[1]Sheet1!$C$9:$C$2584,"N/A",0)</f>
        <v>101.54</v>
      </c>
      <c r="K954">
        <f>_xlfn.XLOOKUP($A954,[1]Sheet1!$E$9:$E$2584,[1]Sheet1!$F$9:$F$2584,"N/A",0)</f>
        <v>137.38</v>
      </c>
      <c r="L954">
        <f>_xlfn.XLOOKUP($A954,[1]Sheet1!$H$9:$H$2584,[1]Sheet1!$I$9:$I$2584,"N/A",0)</f>
        <v>76.81</v>
      </c>
      <c r="M954">
        <f>_xlfn.XLOOKUP($A954,[1]Sheet1!$K$9:$K$2584,[1]Sheet1!$L$9:$L$2584,"N/A",0)</f>
        <v>138.82</v>
      </c>
      <c r="N954">
        <f>_xlfn.XLOOKUP($A954,[1]Sheet1!$N$9:$N$2584,[1]Sheet1!$O$9:$O$2584,"N/A",0)</f>
        <v>107.59</v>
      </c>
      <c r="O954">
        <v>101.54</v>
      </c>
      <c r="P954">
        <v>137.38</v>
      </c>
      <c r="Q954">
        <v>76.81</v>
      </c>
      <c r="R954">
        <v>107.59</v>
      </c>
      <c r="S954">
        <v>138.82</v>
      </c>
    </row>
    <row r="955" spans="1:19">
      <c r="A955" s="1">
        <v>43752</v>
      </c>
      <c r="B955" t="s">
        <v>439</v>
      </c>
      <c r="C955" t="s">
        <v>448</v>
      </c>
      <c r="D955">
        <v>14.525</v>
      </c>
      <c r="E955">
        <v>17.325</v>
      </c>
      <c r="F955" s="2" t="s">
        <v>452</v>
      </c>
      <c r="G955">
        <f ca="1" t="shared" si="42"/>
        <v>3.18780729547871</v>
      </c>
      <c r="H955" t="str">
        <f ca="1" t="shared" si="43"/>
        <v>Risk-On</v>
      </c>
      <c r="I955">
        <f ca="1" t="shared" si="44"/>
        <v>1</v>
      </c>
      <c r="J955">
        <f>_xlfn.XLOOKUP($A955,[1]Sheet1!$B$9:$B$2584,[1]Sheet1!$C$9:$C$2584,"N/A",0)</f>
        <v>101.61</v>
      </c>
      <c r="K955">
        <f>_xlfn.XLOOKUP($A955,[1]Sheet1!$E$9:$E$2584,[1]Sheet1!$F$9:$F$2584,"N/A",0)</f>
        <v>137.54</v>
      </c>
      <c r="L955">
        <f>_xlfn.XLOOKUP($A955,[1]Sheet1!$H$9:$H$2584,[1]Sheet1!$I$9:$I$2584,"N/A",0)</f>
        <v>76.66</v>
      </c>
      <c r="M955">
        <f>_xlfn.XLOOKUP($A955,[1]Sheet1!$K$9:$K$2584,[1]Sheet1!$L$9:$L$2584,"N/A",0)</f>
        <v>138.75</v>
      </c>
      <c r="N955">
        <f>_xlfn.XLOOKUP($A955,[1]Sheet1!$N$9:$N$2584,[1]Sheet1!$O$9:$O$2584,"N/A",0)</f>
        <v>107.84</v>
      </c>
      <c r="O955">
        <v>101.61</v>
      </c>
      <c r="P955">
        <v>137.54</v>
      </c>
      <c r="Q955">
        <v>76.66</v>
      </c>
      <c r="R955">
        <v>107.84</v>
      </c>
      <c r="S955">
        <v>138.75</v>
      </c>
    </row>
    <row r="956" spans="1:19">
      <c r="A956" s="1">
        <v>43753</v>
      </c>
      <c r="B956" t="s">
        <v>439</v>
      </c>
      <c r="C956" t="s">
        <v>448</v>
      </c>
      <c r="D956">
        <v>13.625</v>
      </c>
      <c r="E956">
        <v>16.875</v>
      </c>
      <c r="F956" s="2" t="s">
        <v>453</v>
      </c>
      <c r="G956">
        <f ca="1" t="shared" si="42"/>
        <v>4.0618240877987</v>
      </c>
      <c r="H956" t="str">
        <f ca="1" t="shared" si="43"/>
        <v>Risk-On</v>
      </c>
      <c r="I956">
        <f ca="1" t="shared" si="44"/>
        <v>1</v>
      </c>
      <c r="J956">
        <f>_xlfn.XLOOKUP($A956,[1]Sheet1!$B$9:$B$2584,[1]Sheet1!$C$9:$C$2584,"N/A",0)</f>
        <v>101.38</v>
      </c>
      <c r="K956">
        <f>_xlfn.XLOOKUP($A956,[1]Sheet1!$E$9:$E$2584,[1]Sheet1!$F$9:$F$2584,"N/A",0)</f>
        <v>137.11</v>
      </c>
      <c r="L956">
        <f>_xlfn.XLOOKUP($A956,[1]Sheet1!$H$9:$H$2584,[1]Sheet1!$I$9:$I$2584,"N/A",0)</f>
        <v>76.73</v>
      </c>
      <c r="M956">
        <f>_xlfn.XLOOKUP($A956,[1]Sheet1!$K$9:$K$2584,[1]Sheet1!$L$9:$L$2584,"N/A",0)</f>
        <v>139.02</v>
      </c>
      <c r="N956">
        <f>_xlfn.XLOOKUP($A956,[1]Sheet1!$N$9:$N$2584,[1]Sheet1!$O$9:$O$2584,"N/A",0)</f>
        <v>107.79</v>
      </c>
      <c r="O956">
        <v>101.38</v>
      </c>
      <c r="P956">
        <v>137.11</v>
      </c>
      <c r="Q956">
        <v>76.73</v>
      </c>
      <c r="R956">
        <v>107.79</v>
      </c>
      <c r="S956">
        <v>139.02</v>
      </c>
    </row>
    <row r="957" spans="1:19">
      <c r="A957" s="1">
        <v>43754</v>
      </c>
      <c r="B957" t="s">
        <v>439</v>
      </c>
      <c r="C957" t="s">
        <v>448</v>
      </c>
      <c r="D957">
        <v>13.78</v>
      </c>
      <c r="E957">
        <v>16.725</v>
      </c>
      <c r="F957" s="2" t="s">
        <v>454</v>
      </c>
      <c r="G957">
        <f ca="1" t="shared" si="42"/>
        <v>3.61345959423195</v>
      </c>
      <c r="H957" t="str">
        <f ca="1" t="shared" si="43"/>
        <v>Risk-On</v>
      </c>
      <c r="I957">
        <f ca="1" t="shared" si="44"/>
        <v>1</v>
      </c>
      <c r="J957">
        <f>_xlfn.XLOOKUP($A957,[1]Sheet1!$B$9:$B$2584,[1]Sheet1!$C$9:$C$2584,"N/A",0)</f>
        <v>100.99</v>
      </c>
      <c r="K957">
        <f>_xlfn.XLOOKUP($A957,[1]Sheet1!$E$9:$E$2584,[1]Sheet1!$F$9:$F$2584,"N/A",0)</f>
        <v>135.56</v>
      </c>
      <c r="L957">
        <f>_xlfn.XLOOKUP($A957,[1]Sheet1!$H$9:$H$2584,[1]Sheet1!$I$9:$I$2584,"N/A",0)</f>
        <v>76.66</v>
      </c>
      <c r="M957">
        <f>_xlfn.XLOOKUP($A957,[1]Sheet1!$K$9:$K$2584,[1]Sheet1!$L$9:$L$2584,"N/A",0)</f>
        <v>139.2</v>
      </c>
      <c r="N957">
        <f>_xlfn.XLOOKUP($A957,[1]Sheet1!$N$9:$N$2584,[1]Sheet1!$O$9:$O$2584,"N/A",0)</f>
        <v>107.26</v>
      </c>
      <c r="O957">
        <v>100.99</v>
      </c>
      <c r="P957">
        <v>135.56</v>
      </c>
      <c r="Q957">
        <v>76.66</v>
      </c>
      <c r="R957">
        <v>107.26</v>
      </c>
      <c r="S957">
        <v>139.2</v>
      </c>
    </row>
    <row r="958" spans="1:19">
      <c r="A958" s="1">
        <v>43755</v>
      </c>
      <c r="B958" t="s">
        <v>448</v>
      </c>
      <c r="C958" t="s">
        <v>455</v>
      </c>
      <c r="D958">
        <v>16.575</v>
      </c>
      <c r="E958">
        <v>17.425</v>
      </c>
      <c r="F958">
        <v>0.0512820512820513</v>
      </c>
      <c r="G958">
        <f ca="1" t="shared" si="42"/>
        <v>0.547423731365712</v>
      </c>
      <c r="H958" t="str">
        <f ca="1" t="shared" si="43"/>
        <v>Risk-On</v>
      </c>
      <c r="I958">
        <f ca="1" t="shared" si="44"/>
        <v>1</v>
      </c>
      <c r="J958">
        <f>_xlfn.XLOOKUP($A958,[1]Sheet1!$B$9:$B$2584,[1]Sheet1!$C$9:$C$2584,"N/A",0)</f>
        <v>100.84</v>
      </c>
      <c r="K958">
        <f>_xlfn.XLOOKUP($A958,[1]Sheet1!$E$9:$E$2584,[1]Sheet1!$F$9:$F$2584,"N/A",0)</f>
        <v>135.74</v>
      </c>
      <c r="L958">
        <f>_xlfn.XLOOKUP($A958,[1]Sheet1!$H$9:$H$2584,[1]Sheet1!$I$9:$I$2584,"N/A",0)</f>
        <v>76.85</v>
      </c>
      <c r="M958">
        <f>_xlfn.XLOOKUP($A958,[1]Sheet1!$K$9:$K$2584,[1]Sheet1!$L$9:$L$2584,"N/A",0)</f>
        <v>139.16</v>
      </c>
      <c r="N958">
        <f>_xlfn.XLOOKUP($A958,[1]Sheet1!$N$9:$N$2584,[1]Sheet1!$O$9:$O$2584,"N/A",0)</f>
        <v>106.34</v>
      </c>
      <c r="O958">
        <v>100.84</v>
      </c>
      <c r="P958">
        <v>135.74</v>
      </c>
      <c r="Q958">
        <v>76.85</v>
      </c>
      <c r="R958">
        <v>106.34</v>
      </c>
      <c r="S958">
        <v>139.16</v>
      </c>
    </row>
    <row r="959" spans="1:19">
      <c r="A959" s="1">
        <v>43756</v>
      </c>
      <c r="B959" t="s">
        <v>448</v>
      </c>
      <c r="C959" t="s">
        <v>455</v>
      </c>
      <c r="D959">
        <v>16.675</v>
      </c>
      <c r="E959">
        <v>17.525</v>
      </c>
      <c r="F959" s="2" t="s">
        <v>456</v>
      </c>
      <c r="G959">
        <f ca="1" t="shared" si="42"/>
        <v>0.535516152502145</v>
      </c>
      <c r="H959" t="str">
        <f ca="1" t="shared" si="43"/>
        <v>Risk-On</v>
      </c>
      <c r="I959">
        <f ca="1" t="shared" si="44"/>
        <v>1</v>
      </c>
      <c r="J959">
        <f>_xlfn.XLOOKUP($A959,[1]Sheet1!$B$9:$B$2584,[1]Sheet1!$C$9:$C$2584,"N/A",0)</f>
        <v>100.74</v>
      </c>
      <c r="K959">
        <f>_xlfn.XLOOKUP($A959,[1]Sheet1!$E$9:$E$2584,[1]Sheet1!$F$9:$F$2584,"N/A",0)</f>
        <v>135.33</v>
      </c>
      <c r="L959">
        <f>_xlfn.XLOOKUP($A959,[1]Sheet1!$H$9:$H$2584,[1]Sheet1!$I$9:$I$2584,"N/A",0)</f>
        <v>76.94</v>
      </c>
      <c r="M959">
        <f>_xlfn.XLOOKUP($A959,[1]Sheet1!$K$9:$K$2584,[1]Sheet1!$L$9:$L$2584,"N/A",0)</f>
        <v>139.12</v>
      </c>
      <c r="N959">
        <f>_xlfn.XLOOKUP($A959,[1]Sheet1!$N$9:$N$2584,[1]Sheet1!$O$9:$O$2584,"N/A",0)</f>
        <v>106.62</v>
      </c>
      <c r="O959">
        <v>100.74</v>
      </c>
      <c r="P959">
        <v>135.33</v>
      </c>
      <c r="Q959">
        <v>76.94</v>
      </c>
      <c r="R959">
        <v>106.62</v>
      </c>
      <c r="S959">
        <v>139.12</v>
      </c>
    </row>
    <row r="960" spans="1:19">
      <c r="A960" s="1">
        <v>43759</v>
      </c>
      <c r="B960" t="s">
        <v>448</v>
      </c>
      <c r="C960" t="s">
        <v>455</v>
      </c>
      <c r="D960">
        <v>16.075</v>
      </c>
      <c r="E960">
        <v>17.225</v>
      </c>
      <c r="F960">
        <v>0.0715396578538104</v>
      </c>
      <c r="G960">
        <f ca="1" t="shared" si="42"/>
        <v>0.917257892963566</v>
      </c>
      <c r="H960" t="str">
        <f ca="1" t="shared" si="43"/>
        <v>Risk-On</v>
      </c>
      <c r="I960">
        <f ca="1" t="shared" si="44"/>
        <v>1</v>
      </c>
      <c r="J960">
        <f>_xlfn.XLOOKUP($A960,[1]Sheet1!$B$9:$B$2584,[1]Sheet1!$C$9:$C$2584,"N/A",0)</f>
        <v>100.8</v>
      </c>
      <c r="K960">
        <f>_xlfn.XLOOKUP($A960,[1]Sheet1!$E$9:$E$2584,[1]Sheet1!$F$9:$F$2584,"N/A",0)</f>
        <v>134.55</v>
      </c>
      <c r="L960">
        <f>_xlfn.XLOOKUP($A960,[1]Sheet1!$H$9:$H$2584,[1]Sheet1!$I$9:$I$2584,"N/A",0)</f>
        <v>76.71</v>
      </c>
      <c r="M960">
        <f>_xlfn.XLOOKUP($A960,[1]Sheet1!$K$9:$K$2584,[1]Sheet1!$L$9:$L$2584,"N/A",0)</f>
        <v>138.94</v>
      </c>
      <c r="N960">
        <f>_xlfn.XLOOKUP($A960,[1]Sheet1!$N$9:$N$2584,[1]Sheet1!$O$9:$O$2584,"N/A",0)</f>
        <v>106.01</v>
      </c>
      <c r="O960">
        <v>100.8</v>
      </c>
      <c r="P960">
        <v>134.55</v>
      </c>
      <c r="Q960">
        <v>76.71</v>
      </c>
      <c r="R960">
        <v>106.01</v>
      </c>
      <c r="S960">
        <v>138.94</v>
      </c>
    </row>
    <row r="961" spans="1:19">
      <c r="A961" s="1">
        <v>43760</v>
      </c>
      <c r="B961" t="s">
        <v>448</v>
      </c>
      <c r="C961" t="s">
        <v>455</v>
      </c>
      <c r="D961">
        <v>16.475</v>
      </c>
      <c r="E961">
        <v>17.575</v>
      </c>
      <c r="F961">
        <v>0.0667678300455233</v>
      </c>
      <c r="G961">
        <f ca="1" t="shared" si="42"/>
        <v>0.817579822694282</v>
      </c>
      <c r="H961" t="str">
        <f ca="1" t="shared" si="43"/>
        <v>Risk-On</v>
      </c>
      <c r="I961">
        <f ca="1" t="shared" si="44"/>
        <v>1</v>
      </c>
      <c r="J961">
        <f>_xlfn.XLOOKUP($A961,[1]Sheet1!$B$9:$B$2584,[1]Sheet1!$C$9:$C$2584,"N/A",0)</f>
        <v>100.69</v>
      </c>
      <c r="K961">
        <f>_xlfn.XLOOKUP($A961,[1]Sheet1!$E$9:$E$2584,[1]Sheet1!$F$9:$F$2584,"N/A",0)</f>
        <v>130.53</v>
      </c>
      <c r="L961">
        <f>_xlfn.XLOOKUP($A961,[1]Sheet1!$H$9:$H$2584,[1]Sheet1!$I$9:$I$2584,"N/A",0)</f>
        <v>77.33</v>
      </c>
      <c r="M961">
        <f>_xlfn.XLOOKUP($A961,[1]Sheet1!$K$9:$K$2584,[1]Sheet1!$L$9:$L$2584,"N/A",0)</f>
        <v>138.95</v>
      </c>
      <c r="N961">
        <f>_xlfn.XLOOKUP($A961,[1]Sheet1!$N$9:$N$2584,[1]Sheet1!$O$9:$O$2584,"N/A",0)</f>
        <v>105.7</v>
      </c>
      <c r="O961">
        <v>100.69</v>
      </c>
      <c r="P961">
        <v>130.53</v>
      </c>
      <c r="Q961">
        <v>77.33</v>
      </c>
      <c r="R961">
        <v>105.7</v>
      </c>
      <c r="S961">
        <v>138.95</v>
      </c>
    </row>
    <row r="962" spans="1:19">
      <c r="A962" s="1">
        <v>43761</v>
      </c>
      <c r="B962" t="s">
        <v>448</v>
      </c>
      <c r="C962" t="s">
        <v>455</v>
      </c>
      <c r="D962">
        <v>16.175</v>
      </c>
      <c r="E962">
        <v>17.325</v>
      </c>
      <c r="F962">
        <v>0.0710973724884079</v>
      </c>
      <c r="G962">
        <f ca="1" t="shared" si="42"/>
        <v>0.889637383059076</v>
      </c>
      <c r="H962" t="str">
        <f ca="1" t="shared" si="43"/>
        <v>Risk-On</v>
      </c>
      <c r="I962">
        <f ca="1" t="shared" si="44"/>
        <v>1</v>
      </c>
      <c r="J962">
        <f>_xlfn.XLOOKUP($A962,[1]Sheet1!$B$9:$B$2584,[1]Sheet1!$C$9:$C$2584,"N/A",0)</f>
        <v>100.79</v>
      </c>
      <c r="K962">
        <f>_xlfn.XLOOKUP($A962,[1]Sheet1!$E$9:$E$2584,[1]Sheet1!$F$9:$F$2584,"N/A",0)</f>
        <v>129.55</v>
      </c>
      <c r="L962">
        <f>_xlfn.XLOOKUP($A962,[1]Sheet1!$H$9:$H$2584,[1]Sheet1!$I$9:$I$2584,"N/A",0)</f>
        <v>77.27</v>
      </c>
      <c r="M962">
        <f>_xlfn.XLOOKUP($A962,[1]Sheet1!$K$9:$K$2584,[1]Sheet1!$L$9:$L$2584,"N/A",0)</f>
        <v>139.18</v>
      </c>
      <c r="N962">
        <f>_xlfn.XLOOKUP($A962,[1]Sheet1!$N$9:$N$2584,[1]Sheet1!$O$9:$O$2584,"N/A",0)</f>
        <v>105.69</v>
      </c>
      <c r="O962">
        <v>100.79</v>
      </c>
      <c r="P962">
        <v>129.55</v>
      </c>
      <c r="Q962">
        <v>77.27</v>
      </c>
      <c r="R962">
        <v>105.69</v>
      </c>
      <c r="S962">
        <v>139.18</v>
      </c>
    </row>
    <row r="963" spans="1:19">
      <c r="A963" s="1">
        <v>43762</v>
      </c>
      <c r="B963" t="s">
        <v>448</v>
      </c>
      <c r="C963" t="s">
        <v>455</v>
      </c>
      <c r="D963">
        <v>16.025</v>
      </c>
      <c r="E963">
        <v>17.275</v>
      </c>
      <c r="F963">
        <v>0.078003120124805</v>
      </c>
      <c r="G963">
        <f ca="1" t="shared" ref="G963:G1026" si="45">IF(ROW()-ROW($A$3)+1&gt;252,(F963-AVERAGE(OFFSET(F963,-252,0,252,1)))/_xlfn.STDEV.S(OFFSET(F963,-252,0,252,1)),"N/A")</f>
        <v>1.00936958907362</v>
      </c>
      <c r="H963" t="str">
        <f ca="1" t="shared" ref="H963:H1026" si="46">IF(G963&lt;&gt;"N/A",IF(G1213&gt;-0.5,"Risk-On","Risk-Off"),"N/A")</f>
        <v>Risk-On</v>
      </c>
      <c r="I963">
        <f ca="1" t="shared" si="44"/>
        <v>1</v>
      </c>
      <c r="J963">
        <f>_xlfn.XLOOKUP($A963,[1]Sheet1!$B$9:$B$2584,[1]Sheet1!$C$9:$C$2584,"N/A",0)</f>
        <v>101.07</v>
      </c>
      <c r="K963">
        <f>_xlfn.XLOOKUP($A963,[1]Sheet1!$E$9:$E$2584,[1]Sheet1!$F$9:$F$2584,"N/A",0)</f>
        <v>131.51</v>
      </c>
      <c r="L963">
        <f>_xlfn.XLOOKUP($A963,[1]Sheet1!$H$9:$H$2584,[1]Sheet1!$I$9:$I$2584,"N/A",0)</f>
        <v>76.23</v>
      </c>
      <c r="M963">
        <f>_xlfn.XLOOKUP($A963,[1]Sheet1!$K$9:$K$2584,[1]Sheet1!$L$9:$L$2584,"N/A",0)</f>
        <v>140.02</v>
      </c>
      <c r="N963">
        <f>_xlfn.XLOOKUP($A963,[1]Sheet1!$N$9:$N$2584,[1]Sheet1!$O$9:$O$2584,"N/A",0)</f>
        <v>106.17</v>
      </c>
      <c r="O963">
        <v>101.07</v>
      </c>
      <c r="P963">
        <v>131.51</v>
      </c>
      <c r="Q963">
        <v>76.23</v>
      </c>
      <c r="R963">
        <v>106.17</v>
      </c>
      <c r="S963">
        <v>140.02</v>
      </c>
    </row>
    <row r="964" spans="1:19">
      <c r="A964" s="1">
        <v>43763</v>
      </c>
      <c r="B964" t="s">
        <v>448</v>
      </c>
      <c r="C964" t="s">
        <v>455</v>
      </c>
      <c r="D964">
        <v>15.425</v>
      </c>
      <c r="E964">
        <v>16.925</v>
      </c>
      <c r="F964">
        <v>0.0972447325769854</v>
      </c>
      <c r="G964">
        <f ca="1" t="shared" si="45"/>
        <v>1.36079927487262</v>
      </c>
      <c r="H964" t="str">
        <f ca="1" t="shared" si="46"/>
        <v>Risk-On</v>
      </c>
      <c r="I964">
        <f ca="1" t="shared" ref="I964:I1027" si="47">IF(H964&lt;&gt;"N/A",IF(H1214&gt;-0.5,1,0),0)</f>
        <v>1</v>
      </c>
      <c r="J964">
        <f>_xlfn.XLOOKUP($A964,[1]Sheet1!$B$9:$B$2584,[1]Sheet1!$C$9:$C$2584,"N/A",0)</f>
        <v>101.29</v>
      </c>
      <c r="K964">
        <f>_xlfn.XLOOKUP($A964,[1]Sheet1!$E$9:$E$2584,[1]Sheet1!$F$9:$F$2584,"N/A",0)</f>
        <v>130.97</v>
      </c>
      <c r="L964">
        <f>_xlfn.XLOOKUP($A964,[1]Sheet1!$H$9:$H$2584,[1]Sheet1!$I$9:$I$2584,"N/A",0)</f>
        <v>76.69</v>
      </c>
      <c r="M964">
        <f>_xlfn.XLOOKUP($A964,[1]Sheet1!$K$9:$K$2584,[1]Sheet1!$L$9:$L$2584,"N/A",0)</f>
        <v>139.72</v>
      </c>
      <c r="N964">
        <f>_xlfn.XLOOKUP($A964,[1]Sheet1!$N$9:$N$2584,[1]Sheet1!$O$9:$O$2584,"N/A",0)</f>
        <v>105.72</v>
      </c>
      <c r="O964">
        <v>101.29</v>
      </c>
      <c r="P964">
        <v>130.97</v>
      </c>
      <c r="Q964">
        <v>76.69</v>
      </c>
      <c r="R964">
        <v>105.72</v>
      </c>
      <c r="S964">
        <v>139.72</v>
      </c>
    </row>
    <row r="965" spans="1:19">
      <c r="A965" s="1">
        <v>43766</v>
      </c>
      <c r="B965" t="s">
        <v>448</v>
      </c>
      <c r="C965" t="s">
        <v>455</v>
      </c>
      <c r="D965">
        <v>15.625</v>
      </c>
      <c r="E965">
        <v>17.025</v>
      </c>
      <c r="F965">
        <v>0.0895999999999999</v>
      </c>
      <c r="G965">
        <f ca="1" t="shared" si="45"/>
        <v>1.20190541717061</v>
      </c>
      <c r="H965" t="str">
        <f ca="1" t="shared" si="46"/>
        <v>Risk-On</v>
      </c>
      <c r="I965">
        <f ca="1" t="shared" si="47"/>
        <v>1</v>
      </c>
      <c r="J965">
        <f>_xlfn.XLOOKUP($A965,[1]Sheet1!$B$9:$B$2584,[1]Sheet1!$C$9:$C$2584,"N/A",0)</f>
        <v>101.25</v>
      </c>
      <c r="K965">
        <f>_xlfn.XLOOKUP($A965,[1]Sheet1!$E$9:$E$2584,[1]Sheet1!$F$9:$F$2584,"N/A",0)</f>
        <v>131.27</v>
      </c>
      <c r="L965">
        <f>_xlfn.XLOOKUP($A965,[1]Sheet1!$H$9:$H$2584,[1]Sheet1!$I$9:$I$2584,"N/A",0)</f>
        <v>76.92</v>
      </c>
      <c r="M965">
        <f>_xlfn.XLOOKUP($A965,[1]Sheet1!$K$9:$K$2584,[1]Sheet1!$L$9:$L$2584,"N/A",0)</f>
        <v>140.06</v>
      </c>
      <c r="N965">
        <f>_xlfn.XLOOKUP($A965,[1]Sheet1!$N$9:$N$2584,[1]Sheet1!$O$9:$O$2584,"N/A",0)</f>
        <v>105.22</v>
      </c>
      <c r="O965">
        <v>101.25</v>
      </c>
      <c r="P965">
        <v>131.27</v>
      </c>
      <c r="Q965">
        <v>76.92</v>
      </c>
      <c r="R965">
        <v>105.22</v>
      </c>
      <c r="S965">
        <v>140.06</v>
      </c>
    </row>
    <row r="966" spans="1:19">
      <c r="A966" s="1">
        <v>43767</v>
      </c>
      <c r="B966" t="s">
        <v>448</v>
      </c>
      <c r="C966" t="s">
        <v>455</v>
      </c>
      <c r="D966">
        <v>15.475</v>
      </c>
      <c r="E966">
        <v>17.025</v>
      </c>
      <c r="F966" s="2" t="s">
        <v>457</v>
      </c>
      <c r="G966">
        <f ca="1" t="shared" si="45"/>
        <v>1.38833269135834</v>
      </c>
      <c r="H966" t="str">
        <f ca="1" t="shared" si="46"/>
        <v>Risk-On</v>
      </c>
      <c r="I966">
        <f ca="1" t="shared" si="47"/>
        <v>1</v>
      </c>
      <c r="J966">
        <f>_xlfn.XLOOKUP($A966,[1]Sheet1!$B$9:$B$2584,[1]Sheet1!$C$9:$C$2584,"N/A",0)</f>
        <v>100.76</v>
      </c>
      <c r="K966">
        <f>_xlfn.XLOOKUP($A966,[1]Sheet1!$E$9:$E$2584,[1]Sheet1!$F$9:$F$2584,"N/A",0)</f>
        <v>132.22</v>
      </c>
      <c r="L966">
        <f>_xlfn.XLOOKUP($A966,[1]Sheet1!$H$9:$H$2584,[1]Sheet1!$I$9:$I$2584,"N/A",0)</f>
        <v>77.21</v>
      </c>
      <c r="M966">
        <f>_xlfn.XLOOKUP($A966,[1]Sheet1!$K$9:$K$2584,[1]Sheet1!$L$9:$L$2584,"N/A",0)</f>
        <v>140.25</v>
      </c>
      <c r="N966">
        <f>_xlfn.XLOOKUP($A966,[1]Sheet1!$N$9:$N$2584,[1]Sheet1!$O$9:$O$2584,"N/A",0)</f>
        <v>104.83</v>
      </c>
      <c r="O966">
        <v>100.76</v>
      </c>
      <c r="P966">
        <v>132.22</v>
      </c>
      <c r="Q966">
        <v>77.21</v>
      </c>
      <c r="R966">
        <v>104.83</v>
      </c>
      <c r="S966">
        <v>140.25</v>
      </c>
    </row>
    <row r="967" spans="1:19">
      <c r="A967" s="1">
        <v>43768</v>
      </c>
      <c r="B967" t="s">
        <v>448</v>
      </c>
      <c r="C967" t="s">
        <v>455</v>
      </c>
      <c r="D967">
        <v>14.975</v>
      </c>
      <c r="E967">
        <v>16.475</v>
      </c>
      <c r="F967" s="2" t="s">
        <v>458</v>
      </c>
      <c r="G967">
        <f ca="1" t="shared" si="45"/>
        <v>1.38396554025181</v>
      </c>
      <c r="H967" t="str">
        <f ca="1" t="shared" si="46"/>
        <v>Risk-On</v>
      </c>
      <c r="I967">
        <f ca="1" t="shared" si="47"/>
        <v>1</v>
      </c>
      <c r="J967">
        <f>_xlfn.XLOOKUP($A967,[1]Sheet1!$B$9:$B$2584,[1]Sheet1!$C$9:$C$2584,"N/A",0)</f>
        <v>100.77</v>
      </c>
      <c r="K967">
        <f>_xlfn.XLOOKUP($A967,[1]Sheet1!$E$9:$E$2584,[1]Sheet1!$F$9:$F$2584,"N/A",0)</f>
        <v>133.29</v>
      </c>
      <c r="L967">
        <f>_xlfn.XLOOKUP($A967,[1]Sheet1!$H$9:$H$2584,[1]Sheet1!$I$9:$I$2584,"N/A",0)</f>
        <v>76.43</v>
      </c>
      <c r="M967">
        <f>_xlfn.XLOOKUP($A967,[1]Sheet1!$K$9:$K$2584,[1]Sheet1!$L$9:$L$2584,"N/A",0)</f>
        <v>140.32</v>
      </c>
      <c r="N967">
        <f>_xlfn.XLOOKUP($A967,[1]Sheet1!$N$9:$N$2584,[1]Sheet1!$O$9:$O$2584,"N/A",0)</f>
        <v>105.56</v>
      </c>
      <c r="O967">
        <v>100.77</v>
      </c>
      <c r="P967">
        <v>133.29</v>
      </c>
      <c r="Q967">
        <v>76.43</v>
      </c>
      <c r="R967">
        <v>105.56</v>
      </c>
      <c r="S967">
        <v>140.32</v>
      </c>
    </row>
    <row r="968" spans="1:19">
      <c r="A968" s="1">
        <v>43769</v>
      </c>
      <c r="B968" t="s">
        <v>448</v>
      </c>
      <c r="C968" t="s">
        <v>455</v>
      </c>
      <c r="D968">
        <v>15.275</v>
      </c>
      <c r="E968">
        <v>16.725</v>
      </c>
      <c r="F968">
        <v>0.0949263502454992</v>
      </c>
      <c r="G968">
        <f ca="1" t="shared" si="45"/>
        <v>1.27939482807122</v>
      </c>
      <c r="H968" t="str">
        <f ca="1" t="shared" si="46"/>
        <v>Risk-On</v>
      </c>
      <c r="I968">
        <f ca="1" t="shared" si="47"/>
        <v>1</v>
      </c>
      <c r="J968">
        <f>_xlfn.XLOOKUP($A968,[1]Sheet1!$B$9:$B$2584,[1]Sheet1!$C$9:$C$2584,"N/A",0)</f>
        <v>100.67</v>
      </c>
      <c r="K968">
        <f>_xlfn.XLOOKUP($A968,[1]Sheet1!$E$9:$E$2584,[1]Sheet1!$F$9:$F$2584,"N/A",0)</f>
        <v>132.39</v>
      </c>
      <c r="L968">
        <f>_xlfn.XLOOKUP($A968,[1]Sheet1!$H$9:$H$2584,[1]Sheet1!$I$9:$I$2584,"N/A",0)</f>
        <v>75.98</v>
      </c>
      <c r="M968">
        <f>_xlfn.XLOOKUP($A968,[1]Sheet1!$K$9:$K$2584,[1]Sheet1!$L$9:$L$2584,"N/A",0)</f>
        <v>140.13</v>
      </c>
      <c r="N968">
        <f>_xlfn.XLOOKUP($A968,[1]Sheet1!$N$9:$N$2584,[1]Sheet1!$O$9:$O$2584,"N/A",0)</f>
        <v>105.61</v>
      </c>
      <c r="O968">
        <v>100.67</v>
      </c>
      <c r="P968">
        <v>132.39</v>
      </c>
      <c r="Q968">
        <v>75.98</v>
      </c>
      <c r="R968">
        <v>105.61</v>
      </c>
      <c r="S968">
        <v>140.13</v>
      </c>
    </row>
    <row r="969" spans="1:19">
      <c r="A969" s="1">
        <v>43770</v>
      </c>
      <c r="B969" t="s">
        <v>448</v>
      </c>
      <c r="C969" t="s">
        <v>455</v>
      </c>
      <c r="D969">
        <v>14.575</v>
      </c>
      <c r="E969">
        <v>16.175</v>
      </c>
      <c r="F969" s="2" t="s">
        <v>459</v>
      </c>
      <c r="G969">
        <f ca="1" t="shared" si="45"/>
        <v>1.54481702960502</v>
      </c>
      <c r="H969" t="str">
        <f ca="1" t="shared" si="46"/>
        <v>Risk-On</v>
      </c>
      <c r="I969">
        <f ca="1" t="shared" si="47"/>
        <v>1</v>
      </c>
      <c r="J969">
        <f>_xlfn.XLOOKUP($A969,[1]Sheet1!$B$9:$B$2584,[1]Sheet1!$C$9:$C$2584,"N/A",0)</f>
        <v>100.98</v>
      </c>
      <c r="K969">
        <f>_xlfn.XLOOKUP($A969,[1]Sheet1!$E$9:$E$2584,[1]Sheet1!$F$9:$F$2584,"N/A",0)</f>
        <v>130.52</v>
      </c>
      <c r="L969">
        <f>_xlfn.XLOOKUP($A969,[1]Sheet1!$H$9:$H$2584,[1]Sheet1!$I$9:$I$2584,"N/A",0)</f>
        <v>75.98</v>
      </c>
      <c r="M969">
        <f>_xlfn.XLOOKUP($A969,[1]Sheet1!$K$9:$K$2584,[1]Sheet1!$L$9:$L$2584,"N/A",0)</f>
        <v>138.73</v>
      </c>
      <c r="N969">
        <f>_xlfn.XLOOKUP($A969,[1]Sheet1!$N$9:$N$2584,[1]Sheet1!$O$9:$O$2584,"N/A",0)</f>
        <v>105.41</v>
      </c>
      <c r="O969">
        <v>100.98</v>
      </c>
      <c r="P969">
        <v>130.52</v>
      </c>
      <c r="Q969">
        <v>75.98</v>
      </c>
      <c r="R969">
        <v>105.41</v>
      </c>
      <c r="S969">
        <v>138.73</v>
      </c>
    </row>
    <row r="970" spans="1:19">
      <c r="A970" s="1">
        <v>43773</v>
      </c>
      <c r="B970" t="s">
        <v>448</v>
      </c>
      <c r="C970" t="s">
        <v>455</v>
      </c>
      <c r="D970">
        <v>14.725</v>
      </c>
      <c r="E970">
        <v>16.225</v>
      </c>
      <c r="F970" s="2" t="s">
        <v>460</v>
      </c>
      <c r="G970">
        <f ca="1" t="shared" si="45"/>
        <v>1.38920706108158</v>
      </c>
      <c r="H970" t="str">
        <f ca="1" t="shared" si="46"/>
        <v>Risk-On</v>
      </c>
      <c r="I970">
        <f ca="1" t="shared" si="47"/>
        <v>1</v>
      </c>
      <c r="J970">
        <f>_xlfn.XLOOKUP($A970,[1]Sheet1!$B$9:$B$2584,[1]Sheet1!$C$9:$C$2584,"N/A",0)</f>
        <v>101.1</v>
      </c>
      <c r="K970">
        <f>_xlfn.XLOOKUP($A970,[1]Sheet1!$E$9:$E$2584,[1]Sheet1!$F$9:$F$2584,"N/A",0)</f>
        <v>127.55</v>
      </c>
      <c r="L970">
        <f>_xlfn.XLOOKUP($A970,[1]Sheet1!$H$9:$H$2584,[1]Sheet1!$I$9:$I$2584,"N/A",0)</f>
        <v>76.97</v>
      </c>
      <c r="M970">
        <f>_xlfn.XLOOKUP($A970,[1]Sheet1!$K$9:$K$2584,[1]Sheet1!$L$9:$L$2584,"N/A",0)</f>
        <v>138.14</v>
      </c>
      <c r="N970">
        <f>_xlfn.XLOOKUP($A970,[1]Sheet1!$N$9:$N$2584,[1]Sheet1!$O$9:$O$2584,"N/A",0)</f>
        <v>105.42</v>
      </c>
      <c r="O970">
        <v>101.1</v>
      </c>
      <c r="P970">
        <v>127.55</v>
      </c>
      <c r="Q970">
        <v>76.97</v>
      </c>
      <c r="R970">
        <v>105.42</v>
      </c>
      <c r="S970">
        <v>138.14</v>
      </c>
    </row>
    <row r="971" spans="1:19">
      <c r="A971" s="1">
        <v>43774</v>
      </c>
      <c r="B971" t="s">
        <v>448</v>
      </c>
      <c r="C971" t="s">
        <v>455</v>
      </c>
      <c r="D971">
        <v>15.025</v>
      </c>
      <c r="E971">
        <v>16.575</v>
      </c>
      <c r="F971" s="2" t="s">
        <v>461</v>
      </c>
      <c r="G971">
        <f ca="1" t="shared" si="45"/>
        <v>1.40789219758924</v>
      </c>
      <c r="H971" t="str">
        <f ca="1" t="shared" si="46"/>
        <v>Risk-On</v>
      </c>
      <c r="I971">
        <f ca="1" t="shared" si="47"/>
        <v>1</v>
      </c>
      <c r="J971">
        <f>_xlfn.XLOOKUP($A971,[1]Sheet1!$B$9:$B$2584,[1]Sheet1!$C$9:$C$2584,"N/A",0)</f>
        <v>101.25</v>
      </c>
      <c r="K971">
        <f>_xlfn.XLOOKUP($A971,[1]Sheet1!$E$9:$E$2584,[1]Sheet1!$F$9:$F$2584,"N/A",0)</f>
        <v>125.8</v>
      </c>
      <c r="L971">
        <f>_xlfn.XLOOKUP($A971,[1]Sheet1!$H$9:$H$2584,[1]Sheet1!$I$9:$I$2584,"N/A",0)</f>
        <v>77.87</v>
      </c>
      <c r="M971">
        <f>_xlfn.XLOOKUP($A971,[1]Sheet1!$K$9:$K$2584,[1]Sheet1!$L$9:$L$2584,"N/A",0)</f>
        <v>138.28</v>
      </c>
      <c r="N971">
        <f>_xlfn.XLOOKUP($A971,[1]Sheet1!$N$9:$N$2584,[1]Sheet1!$O$9:$O$2584,"N/A",0)</f>
        <v>104.97</v>
      </c>
      <c r="O971">
        <v>101.25</v>
      </c>
      <c r="P971">
        <v>125.8</v>
      </c>
      <c r="Q971">
        <v>77.87</v>
      </c>
      <c r="R971">
        <v>104.97</v>
      </c>
      <c r="S971">
        <v>138.28</v>
      </c>
    </row>
    <row r="972" spans="1:19">
      <c r="A972" s="1">
        <v>43775</v>
      </c>
      <c r="B972" t="s">
        <v>448</v>
      </c>
      <c r="C972" t="s">
        <v>455</v>
      </c>
      <c r="D972">
        <v>14.775</v>
      </c>
      <c r="E972">
        <v>16.325</v>
      </c>
      <c r="F972" s="2" t="s">
        <v>462</v>
      </c>
      <c r="G972">
        <f ca="1" t="shared" si="45"/>
        <v>1.4354283927824</v>
      </c>
      <c r="H972" t="str">
        <f ca="1" t="shared" si="46"/>
        <v>Risk-On</v>
      </c>
      <c r="I972">
        <f ca="1" t="shared" si="47"/>
        <v>1</v>
      </c>
      <c r="J972">
        <f>_xlfn.XLOOKUP($A972,[1]Sheet1!$B$9:$B$2584,[1]Sheet1!$C$9:$C$2584,"N/A",0)</f>
        <v>101.24</v>
      </c>
      <c r="K972">
        <f>_xlfn.XLOOKUP($A972,[1]Sheet1!$E$9:$E$2584,[1]Sheet1!$F$9:$F$2584,"N/A",0)</f>
        <v>126.48</v>
      </c>
      <c r="L972">
        <f>_xlfn.XLOOKUP($A972,[1]Sheet1!$H$9:$H$2584,[1]Sheet1!$I$9:$I$2584,"N/A",0)</f>
        <v>77.54</v>
      </c>
      <c r="M972">
        <f>_xlfn.XLOOKUP($A972,[1]Sheet1!$K$9:$K$2584,[1]Sheet1!$L$9:$L$2584,"N/A",0)</f>
        <v>138.56</v>
      </c>
      <c r="N972">
        <f>_xlfn.XLOOKUP($A972,[1]Sheet1!$N$9:$N$2584,[1]Sheet1!$O$9:$O$2584,"N/A",0)</f>
        <v>105.5</v>
      </c>
      <c r="O972">
        <v>101.24</v>
      </c>
      <c r="P972">
        <v>126.48</v>
      </c>
      <c r="Q972">
        <v>77.54</v>
      </c>
      <c r="R972">
        <v>105.5</v>
      </c>
      <c r="S972">
        <v>138.56</v>
      </c>
    </row>
    <row r="973" spans="1:19">
      <c r="A973" s="1">
        <v>43776</v>
      </c>
      <c r="B973" t="s">
        <v>448</v>
      </c>
      <c r="C973" t="s">
        <v>455</v>
      </c>
      <c r="D973">
        <v>14.625</v>
      </c>
      <c r="E973">
        <v>16.175</v>
      </c>
      <c r="F973" s="2" t="s">
        <v>463</v>
      </c>
      <c r="G973">
        <f ca="1" t="shared" si="45"/>
        <v>1.4497896810182</v>
      </c>
      <c r="H973" t="str">
        <f ca="1" t="shared" si="46"/>
        <v>Risk-On</v>
      </c>
      <c r="I973">
        <f ca="1" t="shared" si="47"/>
        <v>1</v>
      </c>
      <c r="J973">
        <f>_xlfn.XLOOKUP($A973,[1]Sheet1!$B$9:$B$2584,[1]Sheet1!$C$9:$C$2584,"N/A",0)</f>
        <v>100.66</v>
      </c>
      <c r="K973">
        <f>_xlfn.XLOOKUP($A973,[1]Sheet1!$E$9:$E$2584,[1]Sheet1!$F$9:$F$2584,"N/A",0)</f>
        <v>124.71</v>
      </c>
      <c r="L973">
        <f>_xlfn.XLOOKUP($A973,[1]Sheet1!$H$9:$H$2584,[1]Sheet1!$I$9:$I$2584,"N/A",0)</f>
        <v>78.16</v>
      </c>
      <c r="M973">
        <f>_xlfn.XLOOKUP($A973,[1]Sheet1!$K$9:$K$2584,[1]Sheet1!$L$9:$L$2584,"N/A",0)</f>
        <v>138.87</v>
      </c>
      <c r="N973">
        <f>_xlfn.XLOOKUP($A973,[1]Sheet1!$N$9:$N$2584,[1]Sheet1!$O$9:$O$2584,"N/A",0)</f>
        <v>105.95</v>
      </c>
      <c r="O973">
        <v>100.66</v>
      </c>
      <c r="P973">
        <v>124.71</v>
      </c>
      <c r="Q973">
        <v>78.16</v>
      </c>
      <c r="R973">
        <v>105.95</v>
      </c>
      <c r="S973">
        <v>138.87</v>
      </c>
    </row>
    <row r="974" spans="1:19">
      <c r="A974" s="1">
        <v>43777</v>
      </c>
      <c r="B974" t="s">
        <v>448</v>
      </c>
      <c r="C974" t="s">
        <v>455</v>
      </c>
      <c r="D974">
        <v>14.275</v>
      </c>
      <c r="E974">
        <v>16.025</v>
      </c>
      <c r="F974" s="2" t="s">
        <v>176</v>
      </c>
      <c r="G974">
        <f ca="1" t="shared" si="45"/>
        <v>1.75738460002994</v>
      </c>
      <c r="H974" t="str">
        <f ca="1" t="shared" si="46"/>
        <v>Risk-On</v>
      </c>
      <c r="I974">
        <f ca="1" t="shared" si="47"/>
        <v>1</v>
      </c>
      <c r="J974">
        <f>_xlfn.XLOOKUP($A974,[1]Sheet1!$B$9:$B$2584,[1]Sheet1!$C$9:$C$2584,"N/A",0)</f>
        <v>101.68</v>
      </c>
      <c r="K974">
        <f>_xlfn.XLOOKUP($A974,[1]Sheet1!$E$9:$E$2584,[1]Sheet1!$F$9:$F$2584,"N/A",0)</f>
        <v>124.54</v>
      </c>
      <c r="L974">
        <f>_xlfn.XLOOKUP($A974,[1]Sheet1!$H$9:$H$2584,[1]Sheet1!$I$9:$I$2584,"N/A",0)</f>
        <v>78.21</v>
      </c>
      <c r="M974">
        <f>_xlfn.XLOOKUP($A974,[1]Sheet1!$K$9:$K$2584,[1]Sheet1!$L$9:$L$2584,"N/A",0)</f>
        <v>138.43</v>
      </c>
      <c r="N974">
        <f>_xlfn.XLOOKUP($A974,[1]Sheet1!$N$9:$N$2584,[1]Sheet1!$O$9:$O$2584,"N/A",0)</f>
        <v>106.3</v>
      </c>
      <c r="O974">
        <v>101.68</v>
      </c>
      <c r="P974">
        <v>124.54</v>
      </c>
      <c r="Q974">
        <v>78.21</v>
      </c>
      <c r="R974">
        <v>106.3</v>
      </c>
      <c r="S974">
        <v>138.43</v>
      </c>
    </row>
    <row r="975" spans="1:19">
      <c r="A975" s="1">
        <v>43780</v>
      </c>
      <c r="B975" t="s">
        <v>448</v>
      </c>
      <c r="C975" t="s">
        <v>455</v>
      </c>
      <c r="D975">
        <v>14.075</v>
      </c>
      <c r="E975">
        <v>15.825</v>
      </c>
      <c r="F975" s="2" t="s">
        <v>464</v>
      </c>
      <c r="G975">
        <f ca="1" t="shared" si="45"/>
        <v>1.79020876902866</v>
      </c>
      <c r="H975" t="str">
        <f ca="1" t="shared" si="46"/>
        <v>Risk-On</v>
      </c>
      <c r="I975">
        <f ca="1" t="shared" si="47"/>
        <v>1</v>
      </c>
      <c r="J975">
        <f>_xlfn.XLOOKUP($A975,[1]Sheet1!$B$9:$B$2584,[1]Sheet1!$C$9:$C$2584,"N/A",0)</f>
        <v>101.98</v>
      </c>
      <c r="K975">
        <f>_xlfn.XLOOKUP($A975,[1]Sheet1!$E$9:$E$2584,[1]Sheet1!$F$9:$F$2584,"N/A",0)</f>
        <v>125.09</v>
      </c>
      <c r="L975">
        <f>_xlfn.XLOOKUP($A975,[1]Sheet1!$H$9:$H$2584,[1]Sheet1!$I$9:$I$2584,"N/A",0)</f>
        <v>77.93</v>
      </c>
      <c r="M975">
        <f>_xlfn.XLOOKUP($A975,[1]Sheet1!$K$9:$K$2584,[1]Sheet1!$L$9:$L$2584,"N/A",0)</f>
        <v>138.68</v>
      </c>
      <c r="N975">
        <f>_xlfn.XLOOKUP($A975,[1]Sheet1!$N$9:$N$2584,[1]Sheet1!$O$9:$O$2584,"N/A",0)</f>
        <v>106.22</v>
      </c>
      <c r="O975">
        <v>101.98</v>
      </c>
      <c r="P975">
        <v>125.09</v>
      </c>
      <c r="Q975">
        <v>77.93</v>
      </c>
      <c r="R975">
        <v>106.22</v>
      </c>
      <c r="S975">
        <v>138.68</v>
      </c>
    </row>
    <row r="976" spans="1:19">
      <c r="A976" s="1">
        <v>43781</v>
      </c>
      <c r="B976" t="s">
        <v>448</v>
      </c>
      <c r="C976" t="s">
        <v>455</v>
      </c>
      <c r="D976">
        <v>13.875</v>
      </c>
      <c r="E976">
        <v>15.825</v>
      </c>
      <c r="F976" s="2" t="s">
        <v>465</v>
      </c>
      <c r="G976">
        <f ca="1" t="shared" si="45"/>
        <v>2.08805413846936</v>
      </c>
      <c r="H976" t="str">
        <f ca="1" t="shared" si="46"/>
        <v>Risk-On</v>
      </c>
      <c r="I976">
        <f ca="1" t="shared" si="47"/>
        <v>1</v>
      </c>
      <c r="J976">
        <f>_xlfn.XLOOKUP($A976,[1]Sheet1!$B$9:$B$2584,[1]Sheet1!$C$9:$C$2584,"N/A",0)</f>
        <v>102.36</v>
      </c>
      <c r="K976">
        <f>_xlfn.XLOOKUP($A976,[1]Sheet1!$E$9:$E$2584,[1]Sheet1!$F$9:$F$2584,"N/A",0)</f>
        <v>125.92</v>
      </c>
      <c r="L976">
        <f>_xlfn.XLOOKUP($A976,[1]Sheet1!$H$9:$H$2584,[1]Sheet1!$I$9:$I$2584,"N/A",0)</f>
        <v>78.18</v>
      </c>
      <c r="M976">
        <f>_xlfn.XLOOKUP($A976,[1]Sheet1!$K$9:$K$2584,[1]Sheet1!$L$9:$L$2584,"N/A",0)</f>
        <v>138.69</v>
      </c>
      <c r="N976">
        <f>_xlfn.XLOOKUP($A976,[1]Sheet1!$N$9:$N$2584,[1]Sheet1!$O$9:$O$2584,"N/A",0)</f>
        <v>106.14</v>
      </c>
      <c r="O976">
        <v>102.36</v>
      </c>
      <c r="P976">
        <v>125.92</v>
      </c>
      <c r="Q976">
        <v>78.18</v>
      </c>
      <c r="R976">
        <v>106.14</v>
      </c>
      <c r="S976">
        <v>138.69</v>
      </c>
    </row>
    <row r="977" spans="1:19">
      <c r="A977" s="1">
        <v>43782</v>
      </c>
      <c r="B977" t="s">
        <v>448</v>
      </c>
      <c r="C977" t="s">
        <v>455</v>
      </c>
      <c r="D977">
        <v>13.975</v>
      </c>
      <c r="E977">
        <v>15.825</v>
      </c>
      <c r="F977" s="2" t="s">
        <v>466</v>
      </c>
      <c r="G977">
        <f ca="1" t="shared" si="45"/>
        <v>1.93163981660311</v>
      </c>
      <c r="H977" t="str">
        <f ca="1" t="shared" si="46"/>
        <v>Risk-On</v>
      </c>
      <c r="I977">
        <f ca="1" t="shared" si="47"/>
        <v>1</v>
      </c>
      <c r="J977">
        <f>_xlfn.XLOOKUP($A977,[1]Sheet1!$B$9:$B$2584,[1]Sheet1!$C$9:$C$2584,"N/A",0)</f>
        <v>102.52</v>
      </c>
      <c r="K977">
        <f>_xlfn.XLOOKUP($A977,[1]Sheet1!$E$9:$E$2584,[1]Sheet1!$F$9:$F$2584,"N/A",0)</f>
        <v>127.41</v>
      </c>
      <c r="L977">
        <f>_xlfn.XLOOKUP($A977,[1]Sheet1!$H$9:$H$2584,[1]Sheet1!$I$9:$I$2584,"N/A",0)</f>
        <v>77.68</v>
      </c>
      <c r="M977">
        <f>_xlfn.XLOOKUP($A977,[1]Sheet1!$K$9:$K$2584,[1]Sheet1!$L$9:$L$2584,"N/A",0)</f>
        <v>139.23</v>
      </c>
      <c r="N977">
        <f>_xlfn.XLOOKUP($A977,[1]Sheet1!$N$9:$N$2584,[1]Sheet1!$O$9:$O$2584,"N/A",0)</f>
        <v>106.29</v>
      </c>
      <c r="O977">
        <v>102.52</v>
      </c>
      <c r="P977">
        <v>127.41</v>
      </c>
      <c r="Q977">
        <v>77.68</v>
      </c>
      <c r="R977">
        <v>106.29</v>
      </c>
      <c r="S977">
        <v>139.23</v>
      </c>
    </row>
    <row r="978" spans="1:19">
      <c r="A978" s="1">
        <v>43783</v>
      </c>
      <c r="B978" t="s">
        <v>448</v>
      </c>
      <c r="C978" t="s">
        <v>455</v>
      </c>
      <c r="D978">
        <v>13.725</v>
      </c>
      <c r="E978">
        <v>15.625</v>
      </c>
      <c r="F978" s="2" t="s">
        <v>467</v>
      </c>
      <c r="G978">
        <f ca="1" t="shared" si="45"/>
        <v>2.04005863501527</v>
      </c>
      <c r="H978" t="str">
        <f ca="1" t="shared" si="46"/>
        <v>Risk-On</v>
      </c>
      <c r="I978">
        <f ca="1" t="shared" si="47"/>
        <v>1</v>
      </c>
      <c r="J978">
        <f>_xlfn.XLOOKUP($A978,[1]Sheet1!$B$9:$B$2584,[1]Sheet1!$C$9:$C$2584,"N/A",0)</f>
        <v>102.46</v>
      </c>
      <c r="K978">
        <f>_xlfn.XLOOKUP($A978,[1]Sheet1!$E$9:$E$2584,[1]Sheet1!$F$9:$F$2584,"N/A",0)</f>
        <v>127.93</v>
      </c>
      <c r="L978">
        <f>_xlfn.XLOOKUP($A978,[1]Sheet1!$H$9:$H$2584,[1]Sheet1!$I$9:$I$2584,"N/A",0)</f>
        <v>77.8</v>
      </c>
      <c r="M978">
        <f>_xlfn.XLOOKUP($A978,[1]Sheet1!$K$9:$K$2584,[1]Sheet1!$L$9:$L$2584,"N/A",0)</f>
        <v>140.06</v>
      </c>
      <c r="N978">
        <f>_xlfn.XLOOKUP($A978,[1]Sheet1!$N$9:$N$2584,[1]Sheet1!$O$9:$O$2584,"N/A",0)</f>
        <v>106.52</v>
      </c>
      <c r="O978">
        <v>102.46</v>
      </c>
      <c r="P978">
        <v>127.93</v>
      </c>
      <c r="Q978">
        <v>77.8</v>
      </c>
      <c r="R978">
        <v>106.52</v>
      </c>
      <c r="S978">
        <v>140.06</v>
      </c>
    </row>
    <row r="979" spans="1:19">
      <c r="A979" s="1">
        <v>43784</v>
      </c>
      <c r="B979" t="s">
        <v>448</v>
      </c>
      <c r="C979" t="s">
        <v>455</v>
      </c>
      <c r="D979">
        <v>12.975</v>
      </c>
      <c r="E979">
        <v>15.125</v>
      </c>
      <c r="F979" s="2" t="s">
        <v>468</v>
      </c>
      <c r="G979">
        <f ca="1" t="shared" si="45"/>
        <v>2.55123380607346</v>
      </c>
      <c r="H979" t="str">
        <f ca="1" t="shared" si="46"/>
        <v>Risk-On</v>
      </c>
      <c r="I979">
        <f ca="1" t="shared" si="47"/>
        <v>1</v>
      </c>
      <c r="J979">
        <f>_xlfn.XLOOKUP($A979,[1]Sheet1!$B$9:$B$2584,[1]Sheet1!$C$9:$C$2584,"N/A",0)</f>
        <v>102.72</v>
      </c>
      <c r="K979">
        <f>_xlfn.XLOOKUP($A979,[1]Sheet1!$E$9:$E$2584,[1]Sheet1!$F$9:$F$2584,"N/A",0)</f>
        <v>127.55</v>
      </c>
      <c r="L979">
        <f>_xlfn.XLOOKUP($A979,[1]Sheet1!$H$9:$H$2584,[1]Sheet1!$I$9:$I$2584,"N/A",0)</f>
        <v>78.16</v>
      </c>
      <c r="M979">
        <f>_xlfn.XLOOKUP($A979,[1]Sheet1!$K$9:$K$2584,[1]Sheet1!$L$9:$L$2584,"N/A",0)</f>
        <v>140.66</v>
      </c>
      <c r="N979">
        <f>_xlfn.XLOOKUP($A979,[1]Sheet1!$N$9:$N$2584,[1]Sheet1!$O$9:$O$2584,"N/A",0)</f>
        <v>106.89</v>
      </c>
      <c r="O979">
        <v>102.72</v>
      </c>
      <c r="P979">
        <v>127.55</v>
      </c>
      <c r="Q979">
        <v>78.16</v>
      </c>
      <c r="R979">
        <v>106.89</v>
      </c>
      <c r="S979">
        <v>140.66</v>
      </c>
    </row>
    <row r="980" spans="1:19">
      <c r="A980" s="1">
        <v>43787</v>
      </c>
      <c r="B980" t="s">
        <v>448</v>
      </c>
      <c r="C980" t="s">
        <v>455</v>
      </c>
      <c r="D980">
        <v>12.675</v>
      </c>
      <c r="E980">
        <v>15.025</v>
      </c>
      <c r="F980" s="2" t="s">
        <v>469</v>
      </c>
      <c r="G980">
        <f ca="1" t="shared" si="45"/>
        <v>2.91542179344742</v>
      </c>
      <c r="H980" t="str">
        <f ca="1" t="shared" si="46"/>
        <v>Risk-On</v>
      </c>
      <c r="I980">
        <f ca="1" t="shared" si="47"/>
        <v>1</v>
      </c>
      <c r="J980">
        <f>_xlfn.XLOOKUP($A980,[1]Sheet1!$B$9:$B$2584,[1]Sheet1!$C$9:$C$2584,"N/A",0)</f>
        <v>102.75</v>
      </c>
      <c r="K980">
        <f>_xlfn.XLOOKUP($A980,[1]Sheet1!$E$9:$E$2584,[1]Sheet1!$F$9:$F$2584,"N/A",0)</f>
        <v>128.84</v>
      </c>
      <c r="L980">
        <f>_xlfn.XLOOKUP($A980,[1]Sheet1!$H$9:$H$2584,[1]Sheet1!$I$9:$I$2584,"N/A",0)</f>
        <v>78.3</v>
      </c>
      <c r="M980">
        <f>_xlfn.XLOOKUP($A980,[1]Sheet1!$K$9:$K$2584,[1]Sheet1!$L$9:$L$2584,"N/A",0)</f>
        <v>141.34</v>
      </c>
      <c r="N980">
        <f>_xlfn.XLOOKUP($A980,[1]Sheet1!$N$9:$N$2584,[1]Sheet1!$O$9:$O$2584,"N/A",0)</f>
        <v>107.03</v>
      </c>
      <c r="O980">
        <v>102.75</v>
      </c>
      <c r="P980">
        <v>128.84</v>
      </c>
      <c r="Q980">
        <v>78.3</v>
      </c>
      <c r="R980">
        <v>107.03</v>
      </c>
      <c r="S980">
        <v>141.34</v>
      </c>
    </row>
    <row r="981" spans="1:19">
      <c r="A981" s="1">
        <v>43788</v>
      </c>
      <c r="B981" t="s">
        <v>448</v>
      </c>
      <c r="C981" t="s">
        <v>455</v>
      </c>
      <c r="D981">
        <v>13.075</v>
      </c>
      <c r="E981">
        <v>15.225</v>
      </c>
      <c r="F981" s="2" t="s">
        <v>470</v>
      </c>
      <c r="G981">
        <f ca="1" t="shared" si="45"/>
        <v>2.51100963224529</v>
      </c>
      <c r="H981" t="str">
        <f ca="1" t="shared" si="46"/>
        <v>Risk-On</v>
      </c>
      <c r="I981">
        <f ca="1" t="shared" si="47"/>
        <v>1</v>
      </c>
      <c r="J981">
        <f>_xlfn.XLOOKUP($A981,[1]Sheet1!$B$9:$B$2584,[1]Sheet1!$C$9:$C$2584,"N/A",0)</f>
        <v>103.07</v>
      </c>
      <c r="K981">
        <f>_xlfn.XLOOKUP($A981,[1]Sheet1!$E$9:$E$2584,[1]Sheet1!$F$9:$F$2584,"N/A",0)</f>
        <v>130.24</v>
      </c>
      <c r="L981">
        <f>_xlfn.XLOOKUP($A981,[1]Sheet1!$H$9:$H$2584,[1]Sheet1!$I$9:$I$2584,"N/A",0)</f>
        <v>77.4</v>
      </c>
      <c r="M981">
        <f>_xlfn.XLOOKUP($A981,[1]Sheet1!$K$9:$K$2584,[1]Sheet1!$L$9:$L$2584,"N/A",0)</f>
        <v>141.11</v>
      </c>
      <c r="N981">
        <f>_xlfn.XLOOKUP($A981,[1]Sheet1!$N$9:$N$2584,[1]Sheet1!$O$9:$O$2584,"N/A",0)</f>
        <v>106.82</v>
      </c>
      <c r="O981">
        <v>103.07</v>
      </c>
      <c r="P981">
        <v>130.24</v>
      </c>
      <c r="Q981">
        <v>77.4</v>
      </c>
      <c r="R981">
        <v>106.82</v>
      </c>
      <c r="S981">
        <v>141.11</v>
      </c>
    </row>
    <row r="982" spans="1:19">
      <c r="A982" s="1">
        <v>43789</v>
      </c>
      <c r="B982" t="s">
        <v>448</v>
      </c>
      <c r="C982" t="s">
        <v>455</v>
      </c>
      <c r="D982">
        <v>13.01</v>
      </c>
      <c r="E982">
        <v>15.175</v>
      </c>
      <c r="F982" s="2" t="s">
        <v>471</v>
      </c>
      <c r="G982">
        <f ca="1" t="shared" si="45"/>
        <v>2.54315614883565</v>
      </c>
      <c r="H982" t="str">
        <f ca="1" t="shared" si="46"/>
        <v>Risk-On</v>
      </c>
      <c r="I982">
        <f ca="1" t="shared" si="47"/>
        <v>1</v>
      </c>
      <c r="J982">
        <f>_xlfn.XLOOKUP($A982,[1]Sheet1!$B$9:$B$2584,[1]Sheet1!$C$9:$C$2584,"N/A",0)</f>
        <v>103.19</v>
      </c>
      <c r="K982">
        <f>_xlfn.XLOOKUP($A982,[1]Sheet1!$E$9:$E$2584,[1]Sheet1!$F$9:$F$2584,"N/A",0)</f>
        <v>130.86</v>
      </c>
      <c r="L982">
        <f>_xlfn.XLOOKUP($A982,[1]Sheet1!$H$9:$H$2584,[1]Sheet1!$I$9:$I$2584,"N/A",0)</f>
        <v>76.24</v>
      </c>
      <c r="M982">
        <f>_xlfn.XLOOKUP($A982,[1]Sheet1!$K$9:$K$2584,[1]Sheet1!$L$9:$L$2584,"N/A",0)</f>
        <v>140.28</v>
      </c>
      <c r="N982">
        <f>_xlfn.XLOOKUP($A982,[1]Sheet1!$N$9:$N$2584,[1]Sheet1!$O$9:$O$2584,"N/A",0)</f>
        <v>106.58</v>
      </c>
      <c r="O982">
        <v>103.19</v>
      </c>
      <c r="P982">
        <v>130.86</v>
      </c>
      <c r="Q982">
        <v>76.24</v>
      </c>
      <c r="R982">
        <v>106.58</v>
      </c>
      <c r="S982">
        <v>140.28</v>
      </c>
    </row>
    <row r="983" spans="1:19">
      <c r="A983" s="1">
        <v>43790</v>
      </c>
      <c r="B983" t="s">
        <v>455</v>
      </c>
      <c r="C983" t="s">
        <v>472</v>
      </c>
      <c r="D983">
        <v>15.325</v>
      </c>
      <c r="E983">
        <v>17.025</v>
      </c>
      <c r="F983" s="2" t="s">
        <v>473</v>
      </c>
      <c r="G983">
        <f ca="1" t="shared" si="45"/>
        <v>1.50084877995814</v>
      </c>
      <c r="H983" t="str">
        <f ca="1" t="shared" si="46"/>
        <v>Risk-On</v>
      </c>
      <c r="I983">
        <f ca="1" t="shared" si="47"/>
        <v>1</v>
      </c>
      <c r="J983">
        <f>_xlfn.XLOOKUP($A983,[1]Sheet1!$B$9:$B$2584,[1]Sheet1!$C$9:$C$2584,"N/A",0)</f>
        <v>103.57</v>
      </c>
      <c r="K983">
        <f>_xlfn.XLOOKUP($A983,[1]Sheet1!$E$9:$E$2584,[1]Sheet1!$F$9:$F$2584,"N/A",0)</f>
        <v>129.57</v>
      </c>
      <c r="L983">
        <f>_xlfn.XLOOKUP($A983,[1]Sheet1!$H$9:$H$2584,[1]Sheet1!$I$9:$I$2584,"N/A",0)</f>
        <v>76.45</v>
      </c>
      <c r="M983">
        <f>_xlfn.XLOOKUP($A983,[1]Sheet1!$K$9:$K$2584,[1]Sheet1!$L$9:$L$2584,"N/A",0)</f>
        <v>139.43</v>
      </c>
      <c r="N983">
        <f>_xlfn.XLOOKUP($A983,[1]Sheet1!$N$9:$N$2584,[1]Sheet1!$O$9:$O$2584,"N/A",0)</f>
        <v>106.79</v>
      </c>
      <c r="O983">
        <v>103.57</v>
      </c>
      <c r="P983">
        <v>129.57</v>
      </c>
      <c r="Q983">
        <v>76.45</v>
      </c>
      <c r="R983">
        <v>106.79</v>
      </c>
      <c r="S983">
        <v>139.43</v>
      </c>
    </row>
    <row r="984" spans="1:19">
      <c r="A984" s="1">
        <v>43791</v>
      </c>
      <c r="B984" t="s">
        <v>455</v>
      </c>
      <c r="C984" t="s">
        <v>472</v>
      </c>
      <c r="D984">
        <v>14.775</v>
      </c>
      <c r="E984">
        <v>16.725</v>
      </c>
      <c r="F984" s="2" t="s">
        <v>474</v>
      </c>
      <c r="G984">
        <f ca="1" t="shared" si="45"/>
        <v>1.91318444105466</v>
      </c>
      <c r="H984" t="str">
        <f ca="1" t="shared" si="46"/>
        <v>Risk-On</v>
      </c>
      <c r="I984">
        <f ca="1" t="shared" si="47"/>
        <v>1</v>
      </c>
      <c r="J984">
        <f>_xlfn.XLOOKUP($A984,[1]Sheet1!$B$9:$B$2584,[1]Sheet1!$C$9:$C$2584,"N/A",0)</f>
        <v>103.28</v>
      </c>
      <c r="K984">
        <f>_xlfn.XLOOKUP($A984,[1]Sheet1!$E$9:$E$2584,[1]Sheet1!$F$9:$F$2584,"N/A",0)</f>
        <v>128.65</v>
      </c>
      <c r="L984">
        <f>_xlfn.XLOOKUP($A984,[1]Sheet1!$H$9:$H$2584,[1]Sheet1!$I$9:$I$2584,"N/A",0)</f>
        <v>76.76</v>
      </c>
      <c r="M984">
        <f>_xlfn.XLOOKUP($A984,[1]Sheet1!$K$9:$K$2584,[1]Sheet1!$L$9:$L$2584,"N/A",0)</f>
        <v>139.83</v>
      </c>
      <c r="N984">
        <f>_xlfn.XLOOKUP($A984,[1]Sheet1!$N$9:$N$2584,[1]Sheet1!$O$9:$O$2584,"N/A",0)</f>
        <v>106.72</v>
      </c>
      <c r="O984">
        <v>103.28</v>
      </c>
      <c r="P984">
        <v>128.65</v>
      </c>
      <c r="Q984">
        <v>76.76</v>
      </c>
      <c r="R984">
        <v>106.72</v>
      </c>
      <c r="S984">
        <v>139.83</v>
      </c>
    </row>
    <row r="985" spans="1:19">
      <c r="A985" s="1">
        <v>43794</v>
      </c>
      <c r="B985" t="s">
        <v>455</v>
      </c>
      <c r="C985" t="s">
        <v>472</v>
      </c>
      <c r="D985">
        <v>14.075</v>
      </c>
      <c r="E985">
        <v>16.225</v>
      </c>
      <c r="F985" s="2" t="s">
        <v>475</v>
      </c>
      <c r="G985">
        <f ca="1" t="shared" si="45"/>
        <v>2.30565473194914</v>
      </c>
      <c r="H985" t="str">
        <f ca="1" t="shared" si="46"/>
        <v>Risk-On</v>
      </c>
      <c r="I985">
        <f ca="1" t="shared" si="47"/>
        <v>1</v>
      </c>
      <c r="J985">
        <f>_xlfn.XLOOKUP($A985,[1]Sheet1!$B$9:$B$2584,[1]Sheet1!$C$9:$C$2584,"N/A",0)</f>
        <v>103.52</v>
      </c>
      <c r="K985">
        <f>_xlfn.XLOOKUP($A985,[1]Sheet1!$E$9:$E$2584,[1]Sheet1!$F$9:$F$2584,"N/A",0)</f>
        <v>128.55</v>
      </c>
      <c r="L985">
        <f>_xlfn.XLOOKUP($A985,[1]Sheet1!$H$9:$H$2584,[1]Sheet1!$I$9:$I$2584,"N/A",0)</f>
        <v>76.81</v>
      </c>
      <c r="M985">
        <f>_xlfn.XLOOKUP($A985,[1]Sheet1!$K$9:$K$2584,[1]Sheet1!$L$9:$L$2584,"N/A",0)</f>
        <v>139.5</v>
      </c>
      <c r="N985">
        <f>_xlfn.XLOOKUP($A985,[1]Sheet1!$N$9:$N$2584,[1]Sheet1!$O$9:$O$2584,"N/A",0)</f>
        <v>105.55</v>
      </c>
      <c r="O985">
        <v>103.52</v>
      </c>
      <c r="P985">
        <v>128.55</v>
      </c>
      <c r="Q985">
        <v>76.81</v>
      </c>
      <c r="R985">
        <v>105.55</v>
      </c>
      <c r="S985">
        <v>139.5</v>
      </c>
    </row>
    <row r="986" spans="1:19">
      <c r="A986" s="1">
        <v>43795</v>
      </c>
      <c r="B986" t="s">
        <v>455</v>
      </c>
      <c r="C986" t="s">
        <v>472</v>
      </c>
      <c r="D986">
        <v>13.875</v>
      </c>
      <c r="E986">
        <v>16.075</v>
      </c>
      <c r="F986" s="2" t="s">
        <v>476</v>
      </c>
      <c r="G986">
        <f ca="1" t="shared" si="45"/>
        <v>2.41746813955092</v>
      </c>
      <c r="H986" t="str">
        <f ca="1" t="shared" si="46"/>
        <v>Risk-On</v>
      </c>
      <c r="I986">
        <f ca="1" t="shared" si="47"/>
        <v>1</v>
      </c>
      <c r="J986">
        <f>_xlfn.XLOOKUP($A986,[1]Sheet1!$B$9:$B$2584,[1]Sheet1!$C$9:$C$2584,"N/A",0)</f>
        <v>103.5</v>
      </c>
      <c r="K986">
        <f>_xlfn.XLOOKUP($A986,[1]Sheet1!$E$9:$E$2584,[1]Sheet1!$F$9:$F$2584,"N/A",0)</f>
        <v>129.83</v>
      </c>
      <c r="L986">
        <f>_xlfn.XLOOKUP($A986,[1]Sheet1!$H$9:$H$2584,[1]Sheet1!$I$9:$I$2584,"N/A",0)</f>
        <v>76.77</v>
      </c>
      <c r="M986">
        <f>_xlfn.XLOOKUP($A986,[1]Sheet1!$K$9:$K$2584,[1]Sheet1!$L$9:$L$2584,"N/A",0)</f>
        <v>140.67</v>
      </c>
      <c r="N986">
        <f>_xlfn.XLOOKUP($A986,[1]Sheet1!$N$9:$N$2584,[1]Sheet1!$O$9:$O$2584,"N/A",0)</f>
        <v>105.64</v>
      </c>
      <c r="O986">
        <v>103.5</v>
      </c>
      <c r="P986">
        <v>129.83</v>
      </c>
      <c r="Q986">
        <v>76.77</v>
      </c>
      <c r="R986">
        <v>105.64</v>
      </c>
      <c r="S986">
        <v>140.67</v>
      </c>
    </row>
    <row r="987" spans="1:19">
      <c r="A987" s="1">
        <v>43796</v>
      </c>
      <c r="B987" t="s">
        <v>455</v>
      </c>
      <c r="C987" t="s">
        <v>472</v>
      </c>
      <c r="D987">
        <v>13.825</v>
      </c>
      <c r="E987">
        <v>16.125</v>
      </c>
      <c r="F987" s="2" t="s">
        <v>477</v>
      </c>
      <c r="G987">
        <f ca="1" t="shared" si="45"/>
        <v>2.56782618712306</v>
      </c>
      <c r="H987" t="str">
        <f ca="1" t="shared" si="46"/>
        <v>Risk-On</v>
      </c>
      <c r="I987">
        <f ca="1" t="shared" si="47"/>
        <v>1</v>
      </c>
      <c r="J987">
        <f>_xlfn.XLOOKUP($A987,[1]Sheet1!$B$9:$B$2584,[1]Sheet1!$C$9:$C$2584,"N/A",0)</f>
        <v>103.73</v>
      </c>
      <c r="K987">
        <f>_xlfn.XLOOKUP($A987,[1]Sheet1!$E$9:$E$2584,[1]Sheet1!$F$9:$F$2584,"N/A",0)</f>
        <v>129.39</v>
      </c>
      <c r="L987">
        <f>_xlfn.XLOOKUP($A987,[1]Sheet1!$H$9:$H$2584,[1]Sheet1!$I$9:$I$2584,"N/A",0)</f>
        <v>76.7</v>
      </c>
      <c r="M987">
        <f>_xlfn.XLOOKUP($A987,[1]Sheet1!$K$9:$K$2584,[1]Sheet1!$L$9:$L$2584,"N/A",0)</f>
        <v>140.55</v>
      </c>
      <c r="N987">
        <f>_xlfn.XLOOKUP($A987,[1]Sheet1!$N$9:$N$2584,[1]Sheet1!$O$9:$O$2584,"N/A",0)</f>
        <v>105.31</v>
      </c>
      <c r="O987">
        <v>103.73</v>
      </c>
      <c r="P987">
        <v>129.39</v>
      </c>
      <c r="Q987">
        <v>76.7</v>
      </c>
      <c r="R987">
        <v>105.31</v>
      </c>
      <c r="S987">
        <v>140.55</v>
      </c>
    </row>
    <row r="988" spans="1:19">
      <c r="A988" s="1">
        <v>43798</v>
      </c>
      <c r="B988" t="s">
        <v>455</v>
      </c>
      <c r="C988" t="s">
        <v>472</v>
      </c>
      <c r="D988">
        <v>14.125</v>
      </c>
      <c r="E988">
        <v>16.375</v>
      </c>
      <c r="F988" s="2" t="s">
        <v>478</v>
      </c>
      <c r="G988">
        <f ca="1" t="shared" si="45"/>
        <v>2.43159495863783</v>
      </c>
      <c r="H988" t="str">
        <f ca="1" t="shared" si="46"/>
        <v>Risk-On</v>
      </c>
      <c r="I988">
        <f ca="1" t="shared" si="47"/>
        <v>1</v>
      </c>
      <c r="J988">
        <f>_xlfn.XLOOKUP($A988,[1]Sheet1!$B$9:$B$2584,[1]Sheet1!$C$9:$C$2584,"N/A",0)</f>
        <v>103.84</v>
      </c>
      <c r="K988">
        <f>_xlfn.XLOOKUP($A988,[1]Sheet1!$E$9:$E$2584,[1]Sheet1!$F$9:$F$2584,"N/A",0)</f>
        <v>129.02</v>
      </c>
      <c r="L988">
        <f>_xlfn.XLOOKUP($A988,[1]Sheet1!$H$9:$H$2584,[1]Sheet1!$I$9:$I$2584,"N/A",0)</f>
        <v>76.7</v>
      </c>
      <c r="M988">
        <f>_xlfn.XLOOKUP($A988,[1]Sheet1!$K$9:$K$2584,[1]Sheet1!$L$9:$L$2584,"N/A",0)</f>
        <v>140.45</v>
      </c>
      <c r="N988">
        <f>_xlfn.XLOOKUP($A988,[1]Sheet1!$N$9:$N$2584,[1]Sheet1!$O$9:$O$2584,"N/A",0)</f>
        <v>105.43</v>
      </c>
      <c r="O988">
        <v>103.84</v>
      </c>
      <c r="P988">
        <v>129.02</v>
      </c>
      <c r="Q988">
        <v>76.7</v>
      </c>
      <c r="R988">
        <v>105.43</v>
      </c>
      <c r="S988">
        <v>140.45</v>
      </c>
    </row>
    <row r="989" spans="1:19">
      <c r="A989" s="1">
        <v>43801</v>
      </c>
      <c r="B989" t="s">
        <v>455</v>
      </c>
      <c r="C989" t="s">
        <v>472</v>
      </c>
      <c r="D989">
        <v>15.225</v>
      </c>
      <c r="E989">
        <v>17.075</v>
      </c>
      <c r="F989" s="2" t="s">
        <v>479</v>
      </c>
      <c r="G989">
        <f ca="1" t="shared" si="45"/>
        <v>1.70392308234745</v>
      </c>
      <c r="H989" t="str">
        <f ca="1" t="shared" si="46"/>
        <v>Risk-On</v>
      </c>
      <c r="I989">
        <f ca="1" t="shared" si="47"/>
        <v>1</v>
      </c>
      <c r="J989">
        <f>_xlfn.XLOOKUP($A989,[1]Sheet1!$B$9:$B$2584,[1]Sheet1!$C$9:$C$2584,"N/A",0)</f>
        <v>103.92</v>
      </c>
      <c r="K989">
        <f>_xlfn.XLOOKUP($A989,[1]Sheet1!$E$9:$E$2584,[1]Sheet1!$F$9:$F$2584,"N/A",0)</f>
        <v>128.04</v>
      </c>
      <c r="L989">
        <f>_xlfn.XLOOKUP($A989,[1]Sheet1!$H$9:$H$2584,[1]Sheet1!$I$9:$I$2584,"N/A",0)</f>
        <v>76.77</v>
      </c>
      <c r="M989">
        <f>_xlfn.XLOOKUP($A989,[1]Sheet1!$K$9:$K$2584,[1]Sheet1!$L$9:$L$2584,"N/A",0)</f>
        <v>140.52</v>
      </c>
      <c r="N989">
        <f>_xlfn.XLOOKUP($A989,[1]Sheet1!$N$9:$N$2584,[1]Sheet1!$O$9:$O$2584,"N/A",0)</f>
        <v>105.41</v>
      </c>
      <c r="O989">
        <v>103.92</v>
      </c>
      <c r="P989">
        <v>128.04</v>
      </c>
      <c r="Q989">
        <v>76.77</v>
      </c>
      <c r="R989">
        <v>105.41</v>
      </c>
      <c r="S989">
        <v>140.52</v>
      </c>
    </row>
    <row r="990" spans="1:19">
      <c r="A990" s="1">
        <v>43802</v>
      </c>
      <c r="B990" t="s">
        <v>455</v>
      </c>
      <c r="C990" t="s">
        <v>472</v>
      </c>
      <c r="D990">
        <v>16.225</v>
      </c>
      <c r="E990">
        <v>17.575</v>
      </c>
      <c r="F990">
        <v>0.0832049306625576</v>
      </c>
      <c r="G990">
        <f ca="1" t="shared" si="45"/>
        <v>0.966151599951399</v>
      </c>
      <c r="H990" t="str">
        <f ca="1" t="shared" si="46"/>
        <v>Risk-On</v>
      </c>
      <c r="I990">
        <f ca="1" t="shared" si="47"/>
        <v>1</v>
      </c>
      <c r="J990">
        <f>_xlfn.XLOOKUP($A990,[1]Sheet1!$B$9:$B$2584,[1]Sheet1!$C$9:$C$2584,"N/A",0)</f>
        <v>103.43</v>
      </c>
      <c r="K990">
        <f>_xlfn.XLOOKUP($A990,[1]Sheet1!$E$9:$E$2584,[1]Sheet1!$F$9:$F$2584,"N/A",0)</f>
        <v>128.63</v>
      </c>
      <c r="L990">
        <f>_xlfn.XLOOKUP($A990,[1]Sheet1!$H$9:$H$2584,[1]Sheet1!$I$9:$I$2584,"N/A",0)</f>
        <v>76.36</v>
      </c>
      <c r="M990">
        <f>_xlfn.XLOOKUP($A990,[1]Sheet1!$K$9:$K$2584,[1]Sheet1!$L$9:$L$2584,"N/A",0)</f>
        <v>140.57</v>
      </c>
      <c r="N990">
        <f>_xlfn.XLOOKUP($A990,[1]Sheet1!$N$9:$N$2584,[1]Sheet1!$O$9:$O$2584,"N/A",0)</f>
        <v>105.01</v>
      </c>
      <c r="O990">
        <v>103.43</v>
      </c>
      <c r="P990">
        <v>128.63</v>
      </c>
      <c r="Q990">
        <v>76.36</v>
      </c>
      <c r="R990">
        <v>105.01</v>
      </c>
      <c r="S990">
        <v>140.57</v>
      </c>
    </row>
    <row r="991" spans="1:19">
      <c r="A991" s="1">
        <v>43803</v>
      </c>
      <c r="B991" t="s">
        <v>455</v>
      </c>
      <c r="C991" t="s">
        <v>472</v>
      </c>
      <c r="D991">
        <v>15.325</v>
      </c>
      <c r="E991">
        <v>16.975</v>
      </c>
      <c r="F991" s="2" t="s">
        <v>480</v>
      </c>
      <c r="G991">
        <f ca="1" t="shared" si="45"/>
        <v>1.42737659941448</v>
      </c>
      <c r="H991" t="str">
        <f ca="1" t="shared" si="46"/>
        <v>Risk-On</v>
      </c>
      <c r="I991">
        <f ca="1" t="shared" si="47"/>
        <v>1</v>
      </c>
      <c r="J991">
        <f>_xlfn.XLOOKUP($A991,[1]Sheet1!$B$9:$B$2584,[1]Sheet1!$C$9:$C$2584,"N/A",0)</f>
        <v>103</v>
      </c>
      <c r="K991">
        <f>_xlfn.XLOOKUP($A991,[1]Sheet1!$E$9:$E$2584,[1]Sheet1!$F$9:$F$2584,"N/A",0)</f>
        <v>128.32</v>
      </c>
      <c r="L991">
        <f>_xlfn.XLOOKUP($A991,[1]Sheet1!$H$9:$H$2584,[1]Sheet1!$I$9:$I$2584,"N/A",0)</f>
        <v>76.67</v>
      </c>
      <c r="M991">
        <f>_xlfn.XLOOKUP($A991,[1]Sheet1!$K$9:$K$2584,[1]Sheet1!$L$9:$L$2584,"N/A",0)</f>
        <v>141.15</v>
      </c>
      <c r="N991">
        <f>_xlfn.XLOOKUP($A991,[1]Sheet1!$N$9:$N$2584,[1]Sheet1!$O$9:$O$2584,"N/A",0)</f>
        <v>104.79</v>
      </c>
      <c r="O991">
        <v>103</v>
      </c>
      <c r="P991">
        <v>128.32</v>
      </c>
      <c r="Q991">
        <v>76.67</v>
      </c>
      <c r="R991">
        <v>104.79</v>
      </c>
      <c r="S991">
        <v>141.15</v>
      </c>
    </row>
    <row r="992" spans="1:19">
      <c r="A992" s="1">
        <v>43804</v>
      </c>
      <c r="B992" t="s">
        <v>455</v>
      </c>
      <c r="C992" t="s">
        <v>472</v>
      </c>
      <c r="D992">
        <v>15.025</v>
      </c>
      <c r="E992">
        <v>16.775</v>
      </c>
      <c r="F992" s="2" t="s">
        <v>481</v>
      </c>
      <c r="G992">
        <f ca="1" t="shared" si="45"/>
        <v>1.58958920999909</v>
      </c>
      <c r="H992" t="str">
        <f ca="1" t="shared" si="46"/>
        <v>Risk-On</v>
      </c>
      <c r="I992">
        <f ca="1" t="shared" si="47"/>
        <v>1</v>
      </c>
      <c r="J992">
        <f>_xlfn.XLOOKUP($A992,[1]Sheet1!$B$9:$B$2584,[1]Sheet1!$C$9:$C$2584,"N/A",0)</f>
        <v>102.88</v>
      </c>
      <c r="K992">
        <f>_xlfn.XLOOKUP($A992,[1]Sheet1!$E$9:$E$2584,[1]Sheet1!$F$9:$F$2584,"N/A",0)</f>
        <v>128.72</v>
      </c>
      <c r="L992">
        <f>_xlfn.XLOOKUP($A992,[1]Sheet1!$H$9:$H$2584,[1]Sheet1!$I$9:$I$2584,"N/A",0)</f>
        <v>76.81</v>
      </c>
      <c r="M992">
        <f>_xlfn.XLOOKUP($A992,[1]Sheet1!$K$9:$K$2584,[1]Sheet1!$L$9:$L$2584,"N/A",0)</f>
        <v>141.26</v>
      </c>
      <c r="N992">
        <f>_xlfn.XLOOKUP($A992,[1]Sheet1!$N$9:$N$2584,[1]Sheet1!$O$9:$O$2584,"N/A",0)</f>
        <v>105.02</v>
      </c>
      <c r="O992">
        <v>102.88</v>
      </c>
      <c r="P992">
        <v>128.72</v>
      </c>
      <c r="Q992">
        <v>76.81</v>
      </c>
      <c r="R992">
        <v>105.02</v>
      </c>
      <c r="S992">
        <v>141.26</v>
      </c>
    </row>
    <row r="993" spans="1:19">
      <c r="A993" s="1">
        <v>43805</v>
      </c>
      <c r="B993" t="s">
        <v>455</v>
      </c>
      <c r="C993" t="s">
        <v>472</v>
      </c>
      <c r="D993">
        <v>14.425</v>
      </c>
      <c r="E993">
        <v>16.375</v>
      </c>
      <c r="F993" s="2" t="s">
        <v>157</v>
      </c>
      <c r="G993">
        <f ca="1" t="shared" si="45"/>
        <v>1.94069584729703</v>
      </c>
      <c r="H993" t="str">
        <f ca="1" t="shared" si="46"/>
        <v>Risk-On</v>
      </c>
      <c r="I993">
        <f ca="1" t="shared" si="47"/>
        <v>1</v>
      </c>
      <c r="J993">
        <f>_xlfn.XLOOKUP($A993,[1]Sheet1!$B$9:$B$2584,[1]Sheet1!$C$9:$C$2584,"N/A",0)</f>
        <v>103</v>
      </c>
      <c r="K993">
        <f>_xlfn.XLOOKUP($A993,[1]Sheet1!$E$9:$E$2584,[1]Sheet1!$F$9:$F$2584,"N/A",0)</f>
        <v>128.76</v>
      </c>
      <c r="L993">
        <f>_xlfn.XLOOKUP($A993,[1]Sheet1!$H$9:$H$2584,[1]Sheet1!$I$9:$I$2584,"N/A",0)</f>
        <v>76.62</v>
      </c>
      <c r="M993">
        <f>_xlfn.XLOOKUP($A993,[1]Sheet1!$K$9:$K$2584,[1]Sheet1!$L$9:$L$2584,"N/A",0)</f>
        <v>140.8</v>
      </c>
      <c r="N993">
        <f>_xlfn.XLOOKUP($A993,[1]Sheet1!$N$9:$N$2584,[1]Sheet1!$O$9:$O$2584,"N/A",0)</f>
        <v>104.81</v>
      </c>
      <c r="O993">
        <v>103</v>
      </c>
      <c r="P993">
        <v>128.76</v>
      </c>
      <c r="Q993">
        <v>76.62</v>
      </c>
      <c r="R993">
        <v>104.81</v>
      </c>
      <c r="S993">
        <v>140.8</v>
      </c>
    </row>
    <row r="994" spans="1:19">
      <c r="A994" s="1">
        <v>43808</v>
      </c>
      <c r="B994" t="s">
        <v>455</v>
      </c>
      <c r="C994" t="s">
        <v>472</v>
      </c>
      <c r="D994">
        <v>15.625</v>
      </c>
      <c r="E994">
        <v>17.125</v>
      </c>
      <c r="F994">
        <v>0.096</v>
      </c>
      <c r="G994">
        <f ca="1" t="shared" si="45"/>
        <v>1.18435896026633</v>
      </c>
      <c r="H994" t="str">
        <f ca="1" t="shared" si="46"/>
        <v>Risk-On</v>
      </c>
      <c r="I994">
        <f ca="1" t="shared" si="47"/>
        <v>1</v>
      </c>
      <c r="J994">
        <f>_xlfn.XLOOKUP($A994,[1]Sheet1!$B$9:$B$2584,[1]Sheet1!$C$9:$C$2584,"N/A",0)</f>
        <v>102.88</v>
      </c>
      <c r="K994">
        <f>_xlfn.XLOOKUP($A994,[1]Sheet1!$E$9:$E$2584,[1]Sheet1!$F$9:$F$2584,"N/A",0)</f>
        <v>127.97</v>
      </c>
      <c r="L994">
        <f>_xlfn.XLOOKUP($A994,[1]Sheet1!$H$9:$H$2584,[1]Sheet1!$I$9:$I$2584,"N/A",0)</f>
        <v>76.94</v>
      </c>
      <c r="M994">
        <f>_xlfn.XLOOKUP($A994,[1]Sheet1!$K$9:$K$2584,[1]Sheet1!$L$9:$L$2584,"N/A",0)</f>
        <v>140.54</v>
      </c>
      <c r="N994">
        <f>_xlfn.XLOOKUP($A994,[1]Sheet1!$N$9:$N$2584,[1]Sheet1!$O$9:$O$2584,"N/A",0)</f>
        <v>104.5</v>
      </c>
      <c r="O994">
        <v>102.88</v>
      </c>
      <c r="P994">
        <v>127.97</v>
      </c>
      <c r="Q994">
        <v>76.94</v>
      </c>
      <c r="R994">
        <v>104.5</v>
      </c>
      <c r="S994">
        <v>140.54</v>
      </c>
    </row>
    <row r="995" spans="1:19">
      <c r="A995" s="1">
        <v>43809</v>
      </c>
      <c r="B995" t="s">
        <v>455</v>
      </c>
      <c r="C995" t="s">
        <v>472</v>
      </c>
      <c r="D995">
        <v>15.275</v>
      </c>
      <c r="E995">
        <v>16.875</v>
      </c>
      <c r="F995" s="2" t="s">
        <v>482</v>
      </c>
      <c r="G995">
        <f ca="1" t="shared" si="45"/>
        <v>1.33749882951601</v>
      </c>
      <c r="H995" t="str">
        <f ca="1" t="shared" si="46"/>
        <v>Risk-On</v>
      </c>
      <c r="I995">
        <f ca="1" t="shared" si="47"/>
        <v>1</v>
      </c>
      <c r="J995">
        <f>_xlfn.XLOOKUP($A995,[1]Sheet1!$B$9:$B$2584,[1]Sheet1!$C$9:$C$2584,"N/A",0)</f>
        <v>102.96</v>
      </c>
      <c r="K995">
        <f>_xlfn.XLOOKUP($A995,[1]Sheet1!$E$9:$E$2584,[1]Sheet1!$F$9:$F$2584,"N/A",0)</f>
        <v>128.54</v>
      </c>
      <c r="L995">
        <f>_xlfn.XLOOKUP($A995,[1]Sheet1!$H$9:$H$2584,[1]Sheet1!$I$9:$I$2584,"N/A",0)</f>
        <v>76.9</v>
      </c>
      <c r="M995">
        <f>_xlfn.XLOOKUP($A995,[1]Sheet1!$K$9:$K$2584,[1]Sheet1!$L$9:$L$2584,"N/A",0)</f>
        <v>140.72</v>
      </c>
      <c r="N995">
        <f>_xlfn.XLOOKUP($A995,[1]Sheet1!$N$9:$N$2584,[1]Sheet1!$O$9:$O$2584,"N/A",0)</f>
        <v>104.59</v>
      </c>
      <c r="O995">
        <v>102.96</v>
      </c>
      <c r="P995">
        <v>128.54</v>
      </c>
      <c r="Q995">
        <v>76.9</v>
      </c>
      <c r="R995">
        <v>104.59</v>
      </c>
      <c r="S995">
        <v>140.72</v>
      </c>
    </row>
    <row r="996" spans="1:19">
      <c r="A996" s="1">
        <v>43810</v>
      </c>
      <c r="B996" t="s">
        <v>455</v>
      </c>
      <c r="C996" t="s">
        <v>472</v>
      </c>
      <c r="D996">
        <v>14.775</v>
      </c>
      <c r="E996">
        <v>16.575</v>
      </c>
      <c r="F996" s="2" t="s">
        <v>483</v>
      </c>
      <c r="G996">
        <f ca="1" t="shared" si="45"/>
        <v>1.66122967577925</v>
      </c>
      <c r="H996" t="str">
        <f ca="1" t="shared" si="46"/>
        <v>Risk-On</v>
      </c>
      <c r="I996">
        <f ca="1" t="shared" si="47"/>
        <v>1</v>
      </c>
      <c r="J996">
        <f>_xlfn.XLOOKUP($A996,[1]Sheet1!$B$9:$B$2584,[1]Sheet1!$C$9:$C$2584,"N/A",0)</f>
        <v>103.5</v>
      </c>
      <c r="K996">
        <f>_xlfn.XLOOKUP($A996,[1]Sheet1!$E$9:$E$2584,[1]Sheet1!$F$9:$F$2584,"N/A",0)</f>
        <v>129.46</v>
      </c>
      <c r="L996">
        <f>_xlfn.XLOOKUP($A996,[1]Sheet1!$H$9:$H$2584,[1]Sheet1!$I$9:$I$2584,"N/A",0)</f>
        <v>76.75</v>
      </c>
      <c r="M996">
        <f>_xlfn.XLOOKUP($A996,[1]Sheet1!$K$9:$K$2584,[1]Sheet1!$L$9:$L$2584,"N/A",0)</f>
        <v>140.84</v>
      </c>
      <c r="N996">
        <f>_xlfn.XLOOKUP($A996,[1]Sheet1!$N$9:$N$2584,[1]Sheet1!$O$9:$O$2584,"N/A",0)</f>
        <v>104.95</v>
      </c>
      <c r="O996">
        <v>103.5</v>
      </c>
      <c r="P996">
        <v>129.46</v>
      </c>
      <c r="Q996">
        <v>76.75</v>
      </c>
      <c r="R996">
        <v>104.95</v>
      </c>
      <c r="S996">
        <v>140.84</v>
      </c>
    </row>
    <row r="997" spans="1:19">
      <c r="A997" s="1">
        <v>43811</v>
      </c>
      <c r="B997" t="s">
        <v>455</v>
      </c>
      <c r="C997" t="s">
        <v>472</v>
      </c>
      <c r="D997">
        <v>13.625</v>
      </c>
      <c r="E997">
        <v>15.925</v>
      </c>
      <c r="F997" s="2" t="s">
        <v>484</v>
      </c>
      <c r="G997">
        <f ca="1" t="shared" si="45"/>
        <v>2.56418846878793</v>
      </c>
      <c r="H997" t="str">
        <f ca="1" t="shared" si="46"/>
        <v>Risk-On</v>
      </c>
      <c r="I997">
        <f ca="1" t="shared" si="47"/>
        <v>1</v>
      </c>
      <c r="J997">
        <f>_xlfn.XLOOKUP($A997,[1]Sheet1!$B$9:$B$2584,[1]Sheet1!$C$9:$C$2584,"N/A",0)</f>
        <v>103.54</v>
      </c>
      <c r="K997">
        <f>_xlfn.XLOOKUP($A997,[1]Sheet1!$E$9:$E$2584,[1]Sheet1!$F$9:$F$2584,"N/A",0)</f>
        <v>128.44</v>
      </c>
      <c r="L997">
        <f>_xlfn.XLOOKUP($A997,[1]Sheet1!$H$9:$H$2584,[1]Sheet1!$I$9:$I$2584,"N/A",0)</f>
        <v>77.1</v>
      </c>
      <c r="M997">
        <f>_xlfn.XLOOKUP($A997,[1]Sheet1!$K$9:$K$2584,[1]Sheet1!$L$9:$L$2584,"N/A",0)</f>
        <v>140.34</v>
      </c>
      <c r="N997">
        <f>_xlfn.XLOOKUP($A997,[1]Sheet1!$N$9:$N$2584,[1]Sheet1!$O$9:$O$2584,"N/A",0)</f>
        <v>105.04</v>
      </c>
      <c r="O997">
        <v>103.54</v>
      </c>
      <c r="P997">
        <v>128.44</v>
      </c>
      <c r="Q997">
        <v>77.1</v>
      </c>
      <c r="R997">
        <v>105.04</v>
      </c>
      <c r="S997">
        <v>140.34</v>
      </c>
    </row>
    <row r="998" spans="1:19">
      <c r="A998" s="1">
        <v>43812</v>
      </c>
      <c r="B998" t="s">
        <v>455</v>
      </c>
      <c r="C998" t="s">
        <v>472</v>
      </c>
      <c r="D998">
        <v>12.575</v>
      </c>
      <c r="E998">
        <v>15.175</v>
      </c>
      <c r="F998" s="2" t="s">
        <v>485</v>
      </c>
      <c r="G998">
        <f ca="1" t="shared" si="45"/>
        <v>3.29554472347607</v>
      </c>
      <c r="H998" t="str">
        <f ca="1" t="shared" si="46"/>
        <v>Risk-On</v>
      </c>
      <c r="I998">
        <f ca="1" t="shared" si="47"/>
        <v>1</v>
      </c>
      <c r="J998">
        <f>_xlfn.XLOOKUP($A998,[1]Sheet1!$B$9:$B$2584,[1]Sheet1!$C$9:$C$2584,"N/A",0)</f>
        <v>103.58</v>
      </c>
      <c r="K998">
        <f>_xlfn.XLOOKUP($A998,[1]Sheet1!$E$9:$E$2584,[1]Sheet1!$F$9:$F$2584,"N/A",0)</f>
        <v>128.84</v>
      </c>
      <c r="L998">
        <f>_xlfn.XLOOKUP($A998,[1]Sheet1!$H$9:$H$2584,[1]Sheet1!$I$9:$I$2584,"N/A",0)</f>
        <v>76.69</v>
      </c>
      <c r="M998">
        <f>_xlfn.XLOOKUP($A998,[1]Sheet1!$K$9:$K$2584,[1]Sheet1!$L$9:$L$2584,"N/A",0)</f>
        <v>140</v>
      </c>
      <c r="N998">
        <f>_xlfn.XLOOKUP($A998,[1]Sheet1!$N$9:$N$2584,[1]Sheet1!$O$9:$O$2584,"N/A",0)</f>
        <v>105.48</v>
      </c>
      <c r="O998">
        <v>103.58</v>
      </c>
      <c r="P998">
        <v>128.84</v>
      </c>
      <c r="Q998">
        <v>76.69</v>
      </c>
      <c r="R998">
        <v>105.48</v>
      </c>
      <c r="S998">
        <v>140</v>
      </c>
    </row>
    <row r="999" spans="1:19">
      <c r="A999" s="1">
        <v>43815</v>
      </c>
      <c r="B999" t="s">
        <v>455</v>
      </c>
      <c r="C999" t="s">
        <v>472</v>
      </c>
      <c r="D999">
        <v>12.225</v>
      </c>
      <c r="E999">
        <v>14.825</v>
      </c>
      <c r="F999" s="2" t="s">
        <v>113</v>
      </c>
      <c r="G999">
        <f ca="1" t="shared" si="45"/>
        <v>3.40662307500885</v>
      </c>
      <c r="H999" t="str">
        <f ca="1" t="shared" si="46"/>
        <v>Risk-On</v>
      </c>
      <c r="I999">
        <f ca="1" t="shared" si="47"/>
        <v>1</v>
      </c>
      <c r="J999">
        <f>_xlfn.XLOOKUP($A999,[1]Sheet1!$B$9:$B$2584,[1]Sheet1!$C$9:$C$2584,"N/A",0)</f>
        <v>103.35</v>
      </c>
      <c r="K999">
        <f>_xlfn.XLOOKUP($A999,[1]Sheet1!$E$9:$E$2584,[1]Sheet1!$F$9:$F$2584,"N/A",0)</f>
        <v>128.55</v>
      </c>
      <c r="L999">
        <f>_xlfn.XLOOKUP($A999,[1]Sheet1!$H$9:$H$2584,[1]Sheet1!$I$9:$I$2584,"N/A",0)</f>
        <v>77.05</v>
      </c>
      <c r="M999">
        <f>_xlfn.XLOOKUP($A999,[1]Sheet1!$K$9:$K$2584,[1]Sheet1!$L$9:$L$2584,"N/A",0)</f>
        <v>140.64</v>
      </c>
      <c r="N999">
        <f>_xlfn.XLOOKUP($A999,[1]Sheet1!$N$9:$N$2584,[1]Sheet1!$O$9:$O$2584,"N/A",0)</f>
        <v>105.15</v>
      </c>
      <c r="O999">
        <v>103.35</v>
      </c>
      <c r="P999">
        <v>128.55</v>
      </c>
      <c r="Q999">
        <v>77.05</v>
      </c>
      <c r="R999">
        <v>105.15</v>
      </c>
      <c r="S999">
        <v>140.64</v>
      </c>
    </row>
    <row r="1000" spans="1:19">
      <c r="A1000" s="1">
        <v>43816</v>
      </c>
      <c r="B1000" t="s">
        <v>455</v>
      </c>
      <c r="C1000" t="s">
        <v>472</v>
      </c>
      <c r="D1000">
        <v>12.475</v>
      </c>
      <c r="E1000">
        <v>14.875</v>
      </c>
      <c r="F1000" s="2" t="s">
        <v>486</v>
      </c>
      <c r="G1000">
        <f ca="1" t="shared" si="45"/>
        <v>3.01568441117394</v>
      </c>
      <c r="H1000" t="str">
        <f ca="1" t="shared" si="46"/>
        <v>Risk-On</v>
      </c>
      <c r="I1000">
        <f ca="1" t="shared" si="47"/>
        <v>1</v>
      </c>
      <c r="J1000">
        <f>_xlfn.XLOOKUP($A1000,[1]Sheet1!$B$9:$B$2584,[1]Sheet1!$C$9:$C$2584,"N/A",0)</f>
        <v>103.4</v>
      </c>
      <c r="K1000">
        <f>_xlfn.XLOOKUP($A1000,[1]Sheet1!$E$9:$E$2584,[1]Sheet1!$F$9:$F$2584,"N/A",0)</f>
        <v>128.22</v>
      </c>
      <c r="L1000">
        <f>_xlfn.XLOOKUP($A1000,[1]Sheet1!$H$9:$H$2584,[1]Sheet1!$I$9:$I$2584,"N/A",0)</f>
        <v>77.58</v>
      </c>
      <c r="M1000">
        <f>_xlfn.XLOOKUP($A1000,[1]Sheet1!$K$9:$K$2584,[1]Sheet1!$L$9:$L$2584,"N/A",0)</f>
        <v>140.85</v>
      </c>
      <c r="N1000">
        <f>_xlfn.XLOOKUP($A1000,[1]Sheet1!$N$9:$N$2584,[1]Sheet1!$O$9:$O$2584,"N/A",0)</f>
        <v>104.57</v>
      </c>
      <c r="O1000">
        <v>103.4</v>
      </c>
      <c r="P1000">
        <v>128.22</v>
      </c>
      <c r="Q1000">
        <v>77.58</v>
      </c>
      <c r="R1000">
        <v>104.57</v>
      </c>
      <c r="S1000">
        <v>140.85</v>
      </c>
    </row>
    <row r="1001" spans="1:19">
      <c r="A1001" s="1">
        <v>43817</v>
      </c>
      <c r="B1001" t="s">
        <v>455</v>
      </c>
      <c r="C1001" t="s">
        <v>472</v>
      </c>
      <c r="D1001">
        <v>11.99</v>
      </c>
      <c r="E1001">
        <v>14.825</v>
      </c>
      <c r="F1001" s="2" t="s">
        <v>487</v>
      </c>
      <c r="G1001">
        <f ca="1" t="shared" si="45"/>
        <v>3.90972115119475</v>
      </c>
      <c r="H1001" t="str">
        <f ca="1" t="shared" si="46"/>
        <v>Risk-On</v>
      </c>
      <c r="I1001">
        <f ca="1" t="shared" si="47"/>
        <v>1</v>
      </c>
      <c r="J1001">
        <f>_xlfn.XLOOKUP($A1001,[1]Sheet1!$B$9:$B$2584,[1]Sheet1!$C$9:$C$2584,"N/A",0)</f>
        <v>103.44</v>
      </c>
      <c r="K1001">
        <f>_xlfn.XLOOKUP($A1001,[1]Sheet1!$E$9:$E$2584,[1]Sheet1!$F$9:$F$2584,"N/A",0)</f>
        <v>127.59</v>
      </c>
      <c r="L1001">
        <f>_xlfn.XLOOKUP($A1001,[1]Sheet1!$H$9:$H$2584,[1]Sheet1!$I$9:$I$2584,"N/A",0)</f>
        <v>77.65</v>
      </c>
      <c r="M1001">
        <f>_xlfn.XLOOKUP($A1001,[1]Sheet1!$K$9:$K$2584,[1]Sheet1!$L$9:$L$2584,"N/A",0)</f>
        <v>140.93</v>
      </c>
      <c r="N1001">
        <f>_xlfn.XLOOKUP($A1001,[1]Sheet1!$N$9:$N$2584,[1]Sheet1!$O$9:$O$2584,"N/A",0)</f>
        <v>104.14</v>
      </c>
      <c r="O1001">
        <v>103.44</v>
      </c>
      <c r="P1001">
        <v>127.59</v>
      </c>
      <c r="Q1001">
        <v>77.65</v>
      </c>
      <c r="R1001">
        <v>104.14</v>
      </c>
      <c r="S1001">
        <v>140.93</v>
      </c>
    </row>
    <row r="1002" spans="1:19">
      <c r="A1002" s="1">
        <v>43818</v>
      </c>
      <c r="B1002" t="s">
        <v>472</v>
      </c>
      <c r="C1002" t="s">
        <v>488</v>
      </c>
      <c r="D1002">
        <v>14.625</v>
      </c>
      <c r="E1002">
        <v>16.275</v>
      </c>
      <c r="F1002" s="2" t="s">
        <v>489</v>
      </c>
      <c r="G1002">
        <f ca="1" t="shared" si="45"/>
        <v>1.49232556614811</v>
      </c>
      <c r="H1002" t="str">
        <f ca="1" t="shared" si="46"/>
        <v>Risk-On</v>
      </c>
      <c r="I1002">
        <f ca="1" t="shared" si="47"/>
        <v>1</v>
      </c>
      <c r="J1002">
        <f>_xlfn.XLOOKUP($A1002,[1]Sheet1!$B$9:$B$2584,[1]Sheet1!$C$9:$C$2584,"N/A",0)</f>
        <v>103.41</v>
      </c>
      <c r="K1002">
        <f>_xlfn.XLOOKUP($A1002,[1]Sheet1!$E$9:$E$2584,[1]Sheet1!$F$9:$F$2584,"N/A",0)</f>
        <v>126.91</v>
      </c>
      <c r="L1002">
        <f>_xlfn.XLOOKUP($A1002,[1]Sheet1!$H$9:$H$2584,[1]Sheet1!$I$9:$I$2584,"N/A",0)</f>
        <v>77.16</v>
      </c>
      <c r="M1002">
        <f>_xlfn.XLOOKUP($A1002,[1]Sheet1!$K$9:$K$2584,[1]Sheet1!$L$9:$L$2584,"N/A",0)</f>
        <v>140.36</v>
      </c>
      <c r="N1002">
        <f>_xlfn.XLOOKUP($A1002,[1]Sheet1!$N$9:$N$2584,[1]Sheet1!$O$9:$O$2584,"N/A",0)</f>
        <v>104.43</v>
      </c>
      <c r="O1002">
        <v>103.41</v>
      </c>
      <c r="P1002">
        <v>126.91</v>
      </c>
      <c r="Q1002">
        <v>77.16</v>
      </c>
      <c r="R1002">
        <v>104.43</v>
      </c>
      <c r="S1002">
        <v>140.36</v>
      </c>
    </row>
    <row r="1003" spans="1:19">
      <c r="A1003" s="1">
        <v>43819</v>
      </c>
      <c r="B1003" t="s">
        <v>472</v>
      </c>
      <c r="C1003" t="s">
        <v>488</v>
      </c>
      <c r="D1003">
        <v>14.775</v>
      </c>
      <c r="E1003">
        <v>16.425</v>
      </c>
      <c r="F1003" s="2" t="s">
        <v>490</v>
      </c>
      <c r="G1003">
        <f ca="1" t="shared" si="45"/>
        <v>1.51423264260142</v>
      </c>
      <c r="H1003" t="str">
        <f ca="1" t="shared" si="46"/>
        <v>Risk-On</v>
      </c>
      <c r="I1003">
        <f ca="1" t="shared" si="47"/>
        <v>1</v>
      </c>
      <c r="J1003">
        <f>_xlfn.XLOOKUP($A1003,[1]Sheet1!$B$9:$B$2584,[1]Sheet1!$C$9:$C$2584,"N/A",0)</f>
        <v>103.28</v>
      </c>
      <c r="K1003">
        <f>_xlfn.XLOOKUP($A1003,[1]Sheet1!$E$9:$E$2584,[1]Sheet1!$F$9:$F$2584,"N/A",0)</f>
        <v>127.13</v>
      </c>
      <c r="L1003">
        <f>_xlfn.XLOOKUP($A1003,[1]Sheet1!$H$9:$H$2584,[1]Sheet1!$I$9:$I$2584,"N/A",0)</f>
        <v>77.05</v>
      </c>
      <c r="M1003">
        <f>_xlfn.XLOOKUP($A1003,[1]Sheet1!$K$9:$K$2584,[1]Sheet1!$L$9:$L$2584,"N/A",0)</f>
        <v>140.11</v>
      </c>
      <c r="N1003">
        <f>_xlfn.XLOOKUP($A1003,[1]Sheet1!$N$9:$N$2584,[1]Sheet1!$O$9:$O$2584,"N/A",0)</f>
        <v>104.47</v>
      </c>
      <c r="O1003">
        <v>103.28</v>
      </c>
      <c r="P1003">
        <v>127.13</v>
      </c>
      <c r="Q1003">
        <v>77.05</v>
      </c>
      <c r="R1003">
        <v>104.47</v>
      </c>
      <c r="S1003">
        <v>140.11</v>
      </c>
    </row>
    <row r="1004" spans="1:19">
      <c r="A1004" s="1">
        <v>43822</v>
      </c>
      <c r="B1004" t="s">
        <v>472</v>
      </c>
      <c r="C1004" t="s">
        <v>488</v>
      </c>
      <c r="D1004">
        <v>14.775</v>
      </c>
      <c r="E1004">
        <v>16.575</v>
      </c>
      <c r="F1004" s="2" t="s">
        <v>483</v>
      </c>
      <c r="G1004">
        <f ca="1" t="shared" si="45"/>
        <v>1.72648789138264</v>
      </c>
      <c r="H1004" t="str">
        <f ca="1" t="shared" si="46"/>
        <v>Risk-On</v>
      </c>
      <c r="I1004">
        <f ca="1" t="shared" si="47"/>
        <v>1</v>
      </c>
      <c r="J1004">
        <f>_xlfn.XLOOKUP($A1004,[1]Sheet1!$B$9:$B$2584,[1]Sheet1!$C$9:$C$2584,"N/A",0)</f>
        <v>103.29</v>
      </c>
      <c r="K1004">
        <f>_xlfn.XLOOKUP($A1004,[1]Sheet1!$E$9:$E$2584,[1]Sheet1!$F$9:$F$2584,"N/A",0)</f>
        <v>126.66</v>
      </c>
      <c r="L1004">
        <f>_xlfn.XLOOKUP($A1004,[1]Sheet1!$H$9:$H$2584,[1]Sheet1!$I$9:$I$2584,"N/A",0)</f>
        <v>77.12</v>
      </c>
      <c r="M1004">
        <f>_xlfn.XLOOKUP($A1004,[1]Sheet1!$K$9:$K$2584,[1]Sheet1!$L$9:$L$2584,"N/A",0)</f>
        <v>139.78</v>
      </c>
      <c r="N1004">
        <f>_xlfn.XLOOKUP($A1004,[1]Sheet1!$N$9:$N$2584,[1]Sheet1!$O$9:$O$2584,"N/A",0)</f>
        <v>104.61</v>
      </c>
      <c r="O1004">
        <v>103.29</v>
      </c>
      <c r="P1004">
        <v>126.66</v>
      </c>
      <c r="Q1004">
        <v>77.12</v>
      </c>
      <c r="R1004">
        <v>104.61</v>
      </c>
      <c r="S1004">
        <v>139.78</v>
      </c>
    </row>
    <row r="1005" spans="1:19">
      <c r="A1005" s="1">
        <v>43823</v>
      </c>
      <c r="B1005" t="s">
        <v>472</v>
      </c>
      <c r="C1005" t="s">
        <v>488</v>
      </c>
      <c r="D1005">
        <v>14.525</v>
      </c>
      <c r="E1005">
        <v>16.475</v>
      </c>
      <c r="F1005" s="2" t="s">
        <v>491</v>
      </c>
      <c r="G1005">
        <f ca="1" t="shared" si="45"/>
        <v>1.99999221985824</v>
      </c>
      <c r="H1005" t="str">
        <f ca="1" t="shared" si="46"/>
        <v>Risk-On</v>
      </c>
      <c r="I1005">
        <f ca="1" t="shared" si="47"/>
        <v>1</v>
      </c>
      <c r="J1005">
        <f>_xlfn.XLOOKUP($A1005,[1]Sheet1!$B$9:$B$2584,[1]Sheet1!$C$9:$C$2584,"N/A",0)</f>
        <v>103.13</v>
      </c>
      <c r="K1005">
        <f>_xlfn.XLOOKUP($A1005,[1]Sheet1!$E$9:$E$2584,[1]Sheet1!$F$9:$F$2584,"N/A",0)</f>
        <v>127.07</v>
      </c>
      <c r="L1005">
        <f>_xlfn.XLOOKUP($A1005,[1]Sheet1!$H$9:$H$2584,[1]Sheet1!$I$9:$I$2584,"N/A",0)</f>
        <v>77.11</v>
      </c>
      <c r="M1005">
        <f>_xlfn.XLOOKUP($A1005,[1]Sheet1!$K$9:$K$2584,[1]Sheet1!$L$9:$L$2584,"N/A",0)</f>
        <v>139.8</v>
      </c>
      <c r="N1005">
        <f>_xlfn.XLOOKUP($A1005,[1]Sheet1!$N$9:$N$2584,[1]Sheet1!$O$9:$O$2584,"N/A",0)</f>
        <v>104.34</v>
      </c>
      <c r="O1005">
        <v>103.13</v>
      </c>
      <c r="P1005">
        <v>127.07</v>
      </c>
      <c r="Q1005">
        <v>77.11</v>
      </c>
      <c r="R1005">
        <v>104.34</v>
      </c>
      <c r="S1005">
        <v>139.8</v>
      </c>
    </row>
    <row r="1006" spans="1:19">
      <c r="A1006" s="1">
        <v>43825</v>
      </c>
      <c r="B1006" t="s">
        <v>472</v>
      </c>
      <c r="C1006" t="s">
        <v>488</v>
      </c>
      <c r="D1006">
        <v>14.525</v>
      </c>
      <c r="E1006">
        <v>16.575</v>
      </c>
      <c r="F1006" s="2" t="s">
        <v>492</v>
      </c>
      <c r="G1006">
        <f ca="1" t="shared" si="45"/>
        <v>2.19130664612467</v>
      </c>
      <c r="H1006" t="str">
        <f ca="1" t="shared" si="46"/>
        <v>Risk-On</v>
      </c>
      <c r="I1006">
        <f ca="1" t="shared" si="47"/>
        <v>1</v>
      </c>
      <c r="J1006">
        <f>_xlfn.XLOOKUP($A1006,[1]Sheet1!$B$9:$B$2584,[1]Sheet1!$C$9:$C$2584,"N/A",0)</f>
        <v>103.29</v>
      </c>
      <c r="K1006">
        <f>_xlfn.XLOOKUP($A1006,[1]Sheet1!$E$9:$E$2584,[1]Sheet1!$F$9:$F$2584,"N/A",0)</f>
        <v>127.05</v>
      </c>
      <c r="L1006">
        <f>_xlfn.XLOOKUP($A1006,[1]Sheet1!$H$9:$H$2584,[1]Sheet1!$I$9:$I$2584,"N/A",0)</f>
        <v>77.09</v>
      </c>
      <c r="M1006">
        <f>_xlfn.XLOOKUP($A1006,[1]Sheet1!$K$9:$K$2584,[1]Sheet1!$L$9:$L$2584,"N/A",0)</f>
        <v>139.83</v>
      </c>
      <c r="N1006">
        <f>_xlfn.XLOOKUP($A1006,[1]Sheet1!$N$9:$N$2584,[1]Sheet1!$O$9:$O$2584,"N/A",0)</f>
        <v>104.48</v>
      </c>
      <c r="O1006">
        <v>103.29</v>
      </c>
      <c r="P1006">
        <v>127.05</v>
      </c>
      <c r="Q1006">
        <v>77.09</v>
      </c>
      <c r="R1006">
        <v>104.48</v>
      </c>
      <c r="S1006">
        <v>139.83</v>
      </c>
    </row>
    <row r="1007" spans="1:19">
      <c r="A1007" s="1">
        <v>43826</v>
      </c>
      <c r="B1007" t="s">
        <v>472</v>
      </c>
      <c r="C1007" t="s">
        <v>488</v>
      </c>
      <c r="D1007">
        <v>15.125</v>
      </c>
      <c r="E1007">
        <v>17.025</v>
      </c>
      <c r="F1007" s="2" t="s">
        <v>122</v>
      </c>
      <c r="G1007">
        <f ca="1" t="shared" si="45"/>
        <v>1.8727279104313</v>
      </c>
      <c r="H1007" t="str">
        <f ca="1" t="shared" si="46"/>
        <v>Risk-On</v>
      </c>
      <c r="I1007">
        <f ca="1" t="shared" si="47"/>
        <v>1</v>
      </c>
      <c r="J1007">
        <f>_xlfn.XLOOKUP($A1007,[1]Sheet1!$B$9:$B$2584,[1]Sheet1!$C$9:$C$2584,"N/A",0)</f>
        <v>103.43</v>
      </c>
      <c r="K1007">
        <f>_xlfn.XLOOKUP($A1007,[1]Sheet1!$E$9:$E$2584,[1]Sheet1!$F$9:$F$2584,"N/A",0)</f>
        <v>127.25</v>
      </c>
      <c r="L1007">
        <f>_xlfn.XLOOKUP($A1007,[1]Sheet1!$H$9:$H$2584,[1]Sheet1!$I$9:$I$2584,"N/A",0)</f>
        <v>76.95</v>
      </c>
      <c r="M1007">
        <f>_xlfn.XLOOKUP($A1007,[1]Sheet1!$K$9:$K$2584,[1]Sheet1!$L$9:$L$2584,"N/A",0)</f>
        <v>139.86</v>
      </c>
      <c r="N1007">
        <f>_xlfn.XLOOKUP($A1007,[1]Sheet1!$N$9:$N$2584,[1]Sheet1!$O$9:$O$2584,"N/A",0)</f>
        <v>104.99</v>
      </c>
      <c r="O1007">
        <v>103.43</v>
      </c>
      <c r="P1007">
        <v>127.25</v>
      </c>
      <c r="Q1007">
        <v>76.95</v>
      </c>
      <c r="R1007">
        <v>104.99</v>
      </c>
      <c r="S1007">
        <v>139.86</v>
      </c>
    </row>
    <row r="1008" spans="1:19">
      <c r="A1008" s="1">
        <v>43829</v>
      </c>
      <c r="B1008" t="s">
        <v>472</v>
      </c>
      <c r="C1008" t="s">
        <v>488</v>
      </c>
      <c r="D1008">
        <v>15.525</v>
      </c>
      <c r="E1008">
        <v>17.375</v>
      </c>
      <c r="F1008" s="2" t="s">
        <v>493</v>
      </c>
      <c r="G1008">
        <f ca="1" t="shared" si="45"/>
        <v>1.75207431621288</v>
      </c>
      <c r="H1008" t="str">
        <f ca="1" t="shared" si="46"/>
        <v>Risk-On</v>
      </c>
      <c r="I1008">
        <f ca="1" t="shared" si="47"/>
        <v>1</v>
      </c>
      <c r="J1008">
        <f>_xlfn.XLOOKUP($A1008,[1]Sheet1!$B$9:$B$2584,[1]Sheet1!$C$9:$C$2584,"N/A",0)</f>
        <v>103.37</v>
      </c>
      <c r="K1008">
        <f>_xlfn.XLOOKUP($A1008,[1]Sheet1!$E$9:$E$2584,[1]Sheet1!$F$9:$F$2584,"N/A",0)</f>
        <v>126.9</v>
      </c>
      <c r="L1008">
        <f>_xlfn.XLOOKUP($A1008,[1]Sheet1!$H$9:$H$2584,[1]Sheet1!$I$9:$I$2584,"N/A",0)</f>
        <v>76.98</v>
      </c>
      <c r="M1008">
        <f>_xlfn.XLOOKUP($A1008,[1]Sheet1!$K$9:$K$2584,[1]Sheet1!$L$9:$L$2584,"N/A",0)</f>
        <v>139.96</v>
      </c>
      <c r="N1008">
        <f>_xlfn.XLOOKUP($A1008,[1]Sheet1!$N$9:$N$2584,[1]Sheet1!$O$9:$O$2584,"N/A",0)</f>
        <v>104.57</v>
      </c>
      <c r="O1008">
        <v>103.37</v>
      </c>
      <c r="P1008">
        <v>126.9</v>
      </c>
      <c r="Q1008">
        <v>76.98</v>
      </c>
      <c r="R1008">
        <v>104.57</v>
      </c>
      <c r="S1008">
        <v>139.96</v>
      </c>
    </row>
    <row r="1009" spans="1:19">
      <c r="A1009" s="1">
        <v>43830</v>
      </c>
      <c r="B1009" t="s">
        <v>472</v>
      </c>
      <c r="C1009" t="s">
        <v>488</v>
      </c>
      <c r="D1009">
        <v>14.625</v>
      </c>
      <c r="E1009">
        <v>16.625</v>
      </c>
      <c r="F1009" s="2" t="s">
        <v>494</v>
      </c>
      <c r="G1009">
        <f ca="1" t="shared" si="45"/>
        <v>2.21484358348153</v>
      </c>
      <c r="H1009" t="str">
        <f ca="1" t="shared" si="46"/>
        <v>Risk-On</v>
      </c>
      <c r="I1009">
        <f ca="1" t="shared" si="47"/>
        <v>1</v>
      </c>
      <c r="J1009">
        <f>_xlfn.XLOOKUP($A1009,[1]Sheet1!$B$9:$B$2584,[1]Sheet1!$C$9:$C$2584,"N/A",0)</f>
        <v>103.18</v>
      </c>
      <c r="K1009">
        <f>_xlfn.XLOOKUP($A1009,[1]Sheet1!$E$9:$E$2584,[1]Sheet1!$F$9:$F$2584,"N/A",0)</f>
        <v>126.12</v>
      </c>
      <c r="L1009">
        <f>_xlfn.XLOOKUP($A1009,[1]Sheet1!$H$9:$H$2584,[1]Sheet1!$I$9:$I$2584,"N/A",0)</f>
        <v>76.98</v>
      </c>
      <c r="M1009">
        <f>_xlfn.XLOOKUP($A1009,[1]Sheet1!$K$9:$K$2584,[1]Sheet1!$L$9:$L$2584,"N/A",0)</f>
        <v>139.18</v>
      </c>
      <c r="N1009">
        <f>_xlfn.XLOOKUP($A1009,[1]Sheet1!$N$9:$N$2584,[1]Sheet1!$O$9:$O$2584,"N/A",0)</f>
        <v>104.56</v>
      </c>
      <c r="O1009">
        <v>103.18</v>
      </c>
      <c r="P1009">
        <v>126.12</v>
      </c>
      <c r="Q1009">
        <v>76.98</v>
      </c>
      <c r="R1009">
        <v>104.56</v>
      </c>
      <c r="S1009">
        <v>139.18</v>
      </c>
    </row>
    <row r="1010" spans="1:19">
      <c r="A1010" s="1">
        <v>43832</v>
      </c>
      <c r="B1010" t="s">
        <v>472</v>
      </c>
      <c r="C1010" t="s">
        <v>488</v>
      </c>
      <c r="D1010">
        <v>14.075</v>
      </c>
      <c r="E1010">
        <v>16.125</v>
      </c>
      <c r="F1010" s="2" t="s">
        <v>495</v>
      </c>
      <c r="G1010">
        <f ca="1" t="shared" si="45"/>
        <v>2.48068988126193</v>
      </c>
      <c r="H1010" t="str">
        <f ca="1" t="shared" si="46"/>
        <v>Risk-On</v>
      </c>
      <c r="I1010">
        <f ca="1" t="shared" si="47"/>
        <v>1</v>
      </c>
      <c r="J1010">
        <f>_xlfn.XLOOKUP($A1010,[1]Sheet1!$B$9:$B$2584,[1]Sheet1!$C$9:$C$2584,"N/A",0)</f>
        <v>103.2</v>
      </c>
      <c r="K1010">
        <f>_xlfn.XLOOKUP($A1010,[1]Sheet1!$E$9:$E$2584,[1]Sheet1!$F$9:$F$2584,"N/A",0)</f>
        <v>128.2</v>
      </c>
      <c r="L1010">
        <f>_xlfn.XLOOKUP($A1010,[1]Sheet1!$H$9:$H$2584,[1]Sheet1!$I$9:$I$2584,"N/A",0)</f>
        <v>76.53</v>
      </c>
      <c r="M1010">
        <f>_xlfn.XLOOKUP($A1010,[1]Sheet1!$K$9:$K$2584,[1]Sheet1!$L$9:$L$2584,"N/A",0)</f>
        <v>139.43</v>
      </c>
      <c r="N1010">
        <f>_xlfn.XLOOKUP($A1010,[1]Sheet1!$N$9:$N$2584,[1]Sheet1!$O$9:$O$2584,"N/A",0)</f>
        <v>105.61</v>
      </c>
      <c r="O1010">
        <v>103.2</v>
      </c>
      <c r="P1010">
        <v>128.2</v>
      </c>
      <c r="Q1010">
        <v>76.53</v>
      </c>
      <c r="R1010">
        <v>105.61</v>
      </c>
      <c r="S1010">
        <v>139.43</v>
      </c>
    </row>
    <row r="1011" spans="1:19">
      <c r="A1011" s="1">
        <v>43833</v>
      </c>
      <c r="B1011" t="s">
        <v>472</v>
      </c>
      <c r="C1011" t="s">
        <v>488</v>
      </c>
      <c r="D1011">
        <v>15.025</v>
      </c>
      <c r="E1011">
        <v>16.725</v>
      </c>
      <c r="F1011">
        <v>0.113144758735441</v>
      </c>
      <c r="G1011">
        <f ca="1" t="shared" si="45"/>
        <v>1.68581233474755</v>
      </c>
      <c r="H1011" t="str">
        <f ca="1" t="shared" si="46"/>
        <v>Risk-On</v>
      </c>
      <c r="I1011">
        <f ca="1" t="shared" si="47"/>
        <v>1</v>
      </c>
      <c r="J1011">
        <f>_xlfn.XLOOKUP($A1011,[1]Sheet1!$B$9:$B$2584,[1]Sheet1!$C$9:$C$2584,"N/A",0)</f>
        <v>102.98</v>
      </c>
      <c r="K1011">
        <f>_xlfn.XLOOKUP($A1011,[1]Sheet1!$E$9:$E$2584,[1]Sheet1!$F$9:$F$2584,"N/A",0)</f>
        <v>128.2</v>
      </c>
      <c r="L1011">
        <f>_xlfn.XLOOKUP($A1011,[1]Sheet1!$H$9:$H$2584,[1]Sheet1!$I$9:$I$2584,"N/A",0)</f>
        <v>76.04</v>
      </c>
      <c r="M1011">
        <f>_xlfn.XLOOKUP($A1011,[1]Sheet1!$K$9:$K$2584,[1]Sheet1!$L$9:$L$2584,"N/A",0)</f>
        <v>139.36</v>
      </c>
      <c r="N1011">
        <f>_xlfn.XLOOKUP($A1011,[1]Sheet1!$N$9:$N$2584,[1]Sheet1!$O$9:$O$2584,"N/A",0)</f>
        <v>105.07</v>
      </c>
      <c r="O1011">
        <v>102.98</v>
      </c>
      <c r="P1011">
        <v>128.2</v>
      </c>
      <c r="Q1011">
        <v>76.04</v>
      </c>
      <c r="R1011">
        <v>105.07</v>
      </c>
      <c r="S1011">
        <v>139.36</v>
      </c>
    </row>
    <row r="1012" spans="1:19">
      <c r="A1012" s="1">
        <v>43836</v>
      </c>
      <c r="B1012" t="s">
        <v>472</v>
      </c>
      <c r="C1012" t="s">
        <v>488</v>
      </c>
      <c r="D1012">
        <v>14.875</v>
      </c>
      <c r="E1012">
        <v>16.675</v>
      </c>
      <c r="F1012" s="2" t="s">
        <v>496</v>
      </c>
      <c r="G1012">
        <f ca="1" t="shared" si="45"/>
        <v>1.89033268927375</v>
      </c>
      <c r="H1012" t="str">
        <f ca="1" t="shared" si="46"/>
        <v>Risk-On</v>
      </c>
      <c r="I1012">
        <f ca="1" t="shared" si="47"/>
        <v>1</v>
      </c>
      <c r="J1012">
        <f>_xlfn.XLOOKUP($A1012,[1]Sheet1!$B$9:$B$2584,[1]Sheet1!$C$9:$C$2584,"N/A",0)</f>
        <v>103.28</v>
      </c>
      <c r="K1012">
        <f>_xlfn.XLOOKUP($A1012,[1]Sheet1!$E$9:$E$2584,[1]Sheet1!$F$9:$F$2584,"N/A",0)</f>
        <v>127.74</v>
      </c>
      <c r="L1012">
        <f>_xlfn.XLOOKUP($A1012,[1]Sheet1!$H$9:$H$2584,[1]Sheet1!$I$9:$I$2584,"N/A",0)</f>
        <v>75.9</v>
      </c>
      <c r="M1012">
        <f>_xlfn.XLOOKUP($A1012,[1]Sheet1!$K$9:$K$2584,[1]Sheet1!$L$9:$L$2584,"N/A",0)</f>
        <v>138.97</v>
      </c>
      <c r="N1012">
        <f>_xlfn.XLOOKUP($A1012,[1]Sheet1!$N$9:$N$2584,[1]Sheet1!$O$9:$O$2584,"N/A",0)</f>
        <v>105.26</v>
      </c>
      <c r="O1012">
        <v>103.28</v>
      </c>
      <c r="P1012">
        <v>127.74</v>
      </c>
      <c r="Q1012">
        <v>75.9</v>
      </c>
      <c r="R1012">
        <v>105.26</v>
      </c>
      <c r="S1012">
        <v>138.97</v>
      </c>
    </row>
    <row r="1013" spans="1:19">
      <c r="A1013" s="1">
        <v>43837</v>
      </c>
      <c r="B1013" t="s">
        <v>472</v>
      </c>
      <c r="C1013" t="s">
        <v>488</v>
      </c>
      <c r="D1013">
        <v>14.675</v>
      </c>
      <c r="E1013">
        <v>16.525</v>
      </c>
      <c r="F1013" s="2" t="s">
        <v>497</v>
      </c>
      <c r="G1013">
        <f ca="1" t="shared" si="45"/>
        <v>2.0308946127576</v>
      </c>
      <c r="H1013" t="str">
        <f ca="1" t="shared" si="46"/>
        <v>Risk-On</v>
      </c>
      <c r="I1013">
        <f ca="1" t="shared" si="47"/>
        <v>1</v>
      </c>
      <c r="J1013">
        <f>_xlfn.XLOOKUP($A1013,[1]Sheet1!$B$9:$B$2584,[1]Sheet1!$C$9:$C$2584,"N/A",0)</f>
        <v>103.16</v>
      </c>
      <c r="K1013">
        <f>_xlfn.XLOOKUP($A1013,[1]Sheet1!$E$9:$E$2584,[1]Sheet1!$F$9:$F$2584,"N/A",0)</f>
        <v>127.85</v>
      </c>
      <c r="L1013">
        <f>_xlfn.XLOOKUP($A1013,[1]Sheet1!$H$9:$H$2584,[1]Sheet1!$I$9:$I$2584,"N/A",0)</f>
        <v>75.93</v>
      </c>
      <c r="M1013">
        <f>_xlfn.XLOOKUP($A1013,[1]Sheet1!$K$9:$K$2584,[1]Sheet1!$L$9:$L$2584,"N/A",0)</f>
        <v>138.38</v>
      </c>
      <c r="N1013">
        <f>_xlfn.XLOOKUP($A1013,[1]Sheet1!$N$9:$N$2584,[1]Sheet1!$O$9:$O$2584,"N/A",0)</f>
        <v>105.55</v>
      </c>
      <c r="O1013">
        <v>103.16</v>
      </c>
      <c r="P1013">
        <v>127.85</v>
      </c>
      <c r="Q1013">
        <v>75.93</v>
      </c>
      <c r="R1013">
        <v>105.55</v>
      </c>
      <c r="S1013">
        <v>138.38</v>
      </c>
    </row>
    <row r="1014" spans="1:19">
      <c r="A1014" s="1">
        <v>43838</v>
      </c>
      <c r="B1014" t="s">
        <v>472</v>
      </c>
      <c r="C1014" t="s">
        <v>488</v>
      </c>
      <c r="D1014">
        <v>14.175</v>
      </c>
      <c r="E1014">
        <v>16.125</v>
      </c>
      <c r="F1014" s="2" t="s">
        <v>498</v>
      </c>
      <c r="G1014">
        <f ca="1" t="shared" si="45"/>
        <v>2.34080308914288</v>
      </c>
      <c r="H1014" t="str">
        <f ca="1" t="shared" si="46"/>
        <v>Risk-On</v>
      </c>
      <c r="I1014">
        <f ca="1" t="shared" si="47"/>
        <v>1</v>
      </c>
      <c r="J1014">
        <f>_xlfn.XLOOKUP($A1014,[1]Sheet1!$B$9:$B$2584,[1]Sheet1!$C$9:$C$2584,"N/A",0)</f>
        <v>103.45</v>
      </c>
      <c r="K1014">
        <f>_xlfn.XLOOKUP($A1014,[1]Sheet1!$E$9:$E$2584,[1]Sheet1!$F$9:$F$2584,"N/A",0)</f>
        <v>128.2</v>
      </c>
      <c r="L1014">
        <f>_xlfn.XLOOKUP($A1014,[1]Sheet1!$H$9:$H$2584,[1]Sheet1!$I$9:$I$2584,"N/A",0)</f>
        <v>75.8</v>
      </c>
      <c r="M1014">
        <f>_xlfn.XLOOKUP($A1014,[1]Sheet1!$K$9:$K$2584,[1]Sheet1!$L$9:$L$2584,"N/A",0)</f>
        <v>138.73</v>
      </c>
      <c r="N1014">
        <f>_xlfn.XLOOKUP($A1014,[1]Sheet1!$N$9:$N$2584,[1]Sheet1!$O$9:$O$2584,"N/A",0)</f>
        <v>105.71</v>
      </c>
      <c r="O1014">
        <v>103.45</v>
      </c>
      <c r="P1014">
        <v>128.2</v>
      </c>
      <c r="Q1014">
        <v>75.8</v>
      </c>
      <c r="R1014">
        <v>105.71</v>
      </c>
      <c r="S1014">
        <v>138.73</v>
      </c>
    </row>
    <row r="1015" spans="1:19">
      <c r="A1015" s="1">
        <v>43839</v>
      </c>
      <c r="B1015" t="s">
        <v>472</v>
      </c>
      <c r="C1015" t="s">
        <v>488</v>
      </c>
      <c r="D1015">
        <v>13.625</v>
      </c>
      <c r="E1015">
        <v>15.775</v>
      </c>
      <c r="F1015" s="2" t="s">
        <v>499</v>
      </c>
      <c r="G1015">
        <f ca="1" t="shared" si="45"/>
        <v>2.87404197144256</v>
      </c>
      <c r="H1015" t="str">
        <f ca="1" t="shared" si="46"/>
        <v>Risk-On</v>
      </c>
      <c r="I1015">
        <f ca="1" t="shared" si="47"/>
        <v>1</v>
      </c>
      <c r="J1015">
        <f>_xlfn.XLOOKUP($A1015,[1]Sheet1!$B$9:$B$2584,[1]Sheet1!$C$9:$C$2584,"N/A",0)</f>
        <v>103.42</v>
      </c>
      <c r="K1015">
        <f>_xlfn.XLOOKUP($A1015,[1]Sheet1!$E$9:$E$2584,[1]Sheet1!$F$9:$F$2584,"N/A",0)</f>
        <v>129.18</v>
      </c>
      <c r="L1015">
        <f>_xlfn.XLOOKUP($A1015,[1]Sheet1!$H$9:$H$2584,[1]Sheet1!$I$9:$I$2584,"N/A",0)</f>
        <v>75.35</v>
      </c>
      <c r="M1015">
        <f>_xlfn.XLOOKUP($A1015,[1]Sheet1!$K$9:$K$2584,[1]Sheet1!$L$9:$L$2584,"N/A",0)</f>
        <v>138.96</v>
      </c>
      <c r="N1015">
        <f>_xlfn.XLOOKUP($A1015,[1]Sheet1!$N$9:$N$2584,[1]Sheet1!$O$9:$O$2584,"N/A",0)</f>
        <v>106.02</v>
      </c>
      <c r="O1015">
        <v>103.42</v>
      </c>
      <c r="P1015">
        <v>129.18</v>
      </c>
      <c r="Q1015">
        <v>75.35</v>
      </c>
      <c r="R1015">
        <v>106.02</v>
      </c>
      <c r="S1015">
        <v>138.96</v>
      </c>
    </row>
    <row r="1016" spans="1:19">
      <c r="A1016" s="1">
        <v>43840</v>
      </c>
      <c r="B1016" t="s">
        <v>472</v>
      </c>
      <c r="C1016" t="s">
        <v>488</v>
      </c>
      <c r="D1016">
        <v>13.575</v>
      </c>
      <c r="E1016">
        <v>15.725</v>
      </c>
      <c r="F1016" s="2" t="s">
        <v>500</v>
      </c>
      <c r="G1016">
        <f ca="1" t="shared" si="45"/>
        <v>2.8839445943321</v>
      </c>
      <c r="H1016" t="str">
        <f ca="1" t="shared" si="46"/>
        <v>Risk-On</v>
      </c>
      <c r="I1016">
        <f ca="1" t="shared" si="47"/>
        <v>1</v>
      </c>
      <c r="J1016">
        <f>_xlfn.XLOOKUP($A1016,[1]Sheet1!$B$9:$B$2584,[1]Sheet1!$C$9:$C$2584,"N/A",0)</f>
        <v>103.41</v>
      </c>
      <c r="K1016">
        <f>_xlfn.XLOOKUP($A1016,[1]Sheet1!$E$9:$E$2584,[1]Sheet1!$F$9:$F$2584,"N/A",0)</f>
        <v>129.42</v>
      </c>
      <c r="L1016">
        <f>_xlfn.XLOOKUP($A1016,[1]Sheet1!$H$9:$H$2584,[1]Sheet1!$I$9:$I$2584,"N/A",0)</f>
        <v>75.49</v>
      </c>
      <c r="M1016">
        <f>_xlfn.XLOOKUP($A1016,[1]Sheet1!$K$9:$K$2584,[1]Sheet1!$L$9:$L$2584,"N/A",0)</f>
        <v>139.2</v>
      </c>
      <c r="N1016">
        <f>_xlfn.XLOOKUP($A1016,[1]Sheet1!$N$9:$N$2584,[1]Sheet1!$O$9:$O$2584,"N/A",0)</f>
        <v>106.15</v>
      </c>
      <c r="O1016">
        <v>103.41</v>
      </c>
      <c r="P1016">
        <v>129.42</v>
      </c>
      <c r="Q1016">
        <v>75.49</v>
      </c>
      <c r="R1016">
        <v>106.15</v>
      </c>
      <c r="S1016">
        <v>139.2</v>
      </c>
    </row>
    <row r="1017" spans="1:19">
      <c r="A1017" s="1">
        <v>43843</v>
      </c>
      <c r="B1017" t="s">
        <v>472</v>
      </c>
      <c r="C1017" t="s">
        <v>488</v>
      </c>
      <c r="D1017">
        <v>13.175</v>
      </c>
      <c r="E1017">
        <v>15.375</v>
      </c>
      <c r="F1017" s="2" t="s">
        <v>501</v>
      </c>
      <c r="G1017">
        <f ca="1" t="shared" si="45"/>
        <v>3.10716482775906</v>
      </c>
      <c r="H1017" t="str">
        <f ca="1" t="shared" si="46"/>
        <v>Risk-On</v>
      </c>
      <c r="I1017">
        <f ca="1" t="shared" si="47"/>
        <v>1</v>
      </c>
      <c r="J1017">
        <f>_xlfn.XLOOKUP($A1017,[1]Sheet1!$B$9:$B$2584,[1]Sheet1!$C$9:$C$2584,"N/A",0)</f>
        <v>103.12</v>
      </c>
      <c r="K1017">
        <f>_xlfn.XLOOKUP($A1017,[1]Sheet1!$E$9:$E$2584,[1]Sheet1!$F$9:$F$2584,"N/A",0)</f>
        <v>130.14</v>
      </c>
      <c r="L1017">
        <f>_xlfn.XLOOKUP($A1017,[1]Sheet1!$H$9:$H$2584,[1]Sheet1!$I$9:$I$2584,"N/A",0)</f>
        <v>75.28</v>
      </c>
      <c r="M1017">
        <f>_xlfn.XLOOKUP($A1017,[1]Sheet1!$K$9:$K$2584,[1]Sheet1!$L$9:$L$2584,"N/A",0)</f>
        <v>139.48</v>
      </c>
      <c r="N1017">
        <f>_xlfn.XLOOKUP($A1017,[1]Sheet1!$N$9:$N$2584,[1]Sheet1!$O$9:$O$2584,"N/A",0)</f>
        <v>105.94</v>
      </c>
      <c r="O1017">
        <v>103.12</v>
      </c>
      <c r="P1017">
        <v>130.14</v>
      </c>
      <c r="Q1017">
        <v>75.28</v>
      </c>
      <c r="R1017">
        <v>105.94</v>
      </c>
      <c r="S1017">
        <v>139.48</v>
      </c>
    </row>
    <row r="1018" spans="1:19">
      <c r="A1018" s="1">
        <v>43844</v>
      </c>
      <c r="B1018" t="s">
        <v>472</v>
      </c>
      <c r="C1018" t="s">
        <v>488</v>
      </c>
      <c r="D1018">
        <v>13.075</v>
      </c>
      <c r="E1018">
        <v>15.225</v>
      </c>
      <c r="F1018" s="2" t="s">
        <v>470</v>
      </c>
      <c r="G1018">
        <f ca="1" t="shared" si="45"/>
        <v>3.03947069105638</v>
      </c>
      <c r="H1018" t="str">
        <f ca="1" t="shared" si="46"/>
        <v>Risk-On</v>
      </c>
      <c r="I1018">
        <f ca="1" t="shared" si="47"/>
        <v>1</v>
      </c>
      <c r="J1018">
        <f>_xlfn.XLOOKUP($A1018,[1]Sheet1!$B$9:$B$2584,[1]Sheet1!$C$9:$C$2584,"N/A",0)</f>
        <v>102.87</v>
      </c>
      <c r="K1018">
        <f>_xlfn.XLOOKUP($A1018,[1]Sheet1!$E$9:$E$2584,[1]Sheet1!$F$9:$F$2584,"N/A",0)</f>
        <v>129.04</v>
      </c>
      <c r="L1018">
        <f>_xlfn.XLOOKUP($A1018,[1]Sheet1!$H$9:$H$2584,[1]Sheet1!$I$9:$I$2584,"N/A",0)</f>
        <v>75.5</v>
      </c>
      <c r="M1018">
        <f>_xlfn.XLOOKUP($A1018,[1]Sheet1!$K$9:$K$2584,[1]Sheet1!$L$9:$L$2584,"N/A",0)</f>
        <v>138.61</v>
      </c>
      <c r="N1018">
        <f>_xlfn.XLOOKUP($A1018,[1]Sheet1!$N$9:$N$2584,[1]Sheet1!$O$9:$O$2584,"N/A",0)</f>
        <v>105.59</v>
      </c>
      <c r="O1018">
        <v>102.87</v>
      </c>
      <c r="P1018">
        <v>129.04</v>
      </c>
      <c r="Q1018">
        <v>75.5</v>
      </c>
      <c r="R1018">
        <v>105.59</v>
      </c>
      <c r="S1018">
        <v>138.61</v>
      </c>
    </row>
    <row r="1019" spans="1:19">
      <c r="A1019" s="1">
        <v>43845</v>
      </c>
      <c r="B1019" t="s">
        <v>472</v>
      </c>
      <c r="C1019" t="s">
        <v>488</v>
      </c>
      <c r="D1019">
        <v>12.925</v>
      </c>
      <c r="E1019">
        <v>15.175</v>
      </c>
      <c r="F1019" s="2" t="s">
        <v>502</v>
      </c>
      <c r="G1019">
        <f ca="1" t="shared" si="45"/>
        <v>3.29582557814429</v>
      </c>
      <c r="H1019" t="str">
        <f ca="1" t="shared" si="46"/>
        <v>Risk-On</v>
      </c>
      <c r="I1019">
        <f ca="1" t="shared" si="47"/>
        <v>1</v>
      </c>
      <c r="J1019">
        <f>_xlfn.XLOOKUP($A1019,[1]Sheet1!$B$9:$B$2584,[1]Sheet1!$C$9:$C$2584,"N/A",0)</f>
        <v>103.12</v>
      </c>
      <c r="K1019">
        <f>_xlfn.XLOOKUP($A1019,[1]Sheet1!$E$9:$E$2584,[1]Sheet1!$F$9:$F$2584,"N/A",0)</f>
        <v>128.6</v>
      </c>
      <c r="L1019">
        <f>_xlfn.XLOOKUP($A1019,[1]Sheet1!$H$9:$H$2584,[1]Sheet1!$I$9:$I$2584,"N/A",0)</f>
        <v>75.36</v>
      </c>
      <c r="M1019">
        <f>_xlfn.XLOOKUP($A1019,[1]Sheet1!$K$9:$K$2584,[1]Sheet1!$L$9:$L$2584,"N/A",0)</f>
        <v>138.07</v>
      </c>
      <c r="N1019">
        <f>_xlfn.XLOOKUP($A1019,[1]Sheet1!$N$9:$N$2584,[1]Sheet1!$O$9:$O$2584,"N/A",0)</f>
        <v>105.28</v>
      </c>
      <c r="O1019">
        <v>103.12</v>
      </c>
      <c r="P1019">
        <v>128.6</v>
      </c>
      <c r="Q1019">
        <v>75.36</v>
      </c>
      <c r="R1019">
        <v>105.28</v>
      </c>
      <c r="S1019">
        <v>138.07</v>
      </c>
    </row>
    <row r="1020" spans="1:19">
      <c r="A1020" s="1">
        <v>43846</v>
      </c>
      <c r="B1020" t="s">
        <v>472</v>
      </c>
      <c r="C1020" t="s">
        <v>488</v>
      </c>
      <c r="D1020">
        <v>12.575</v>
      </c>
      <c r="E1020">
        <v>14.925</v>
      </c>
      <c r="F1020" s="2" t="s">
        <v>503</v>
      </c>
      <c r="G1020">
        <f ca="1" t="shared" si="45"/>
        <v>3.63677144811863</v>
      </c>
      <c r="H1020" t="str">
        <f ca="1" t="shared" si="46"/>
        <v>Risk-On</v>
      </c>
      <c r="I1020">
        <f ca="1" t="shared" si="47"/>
        <v>1</v>
      </c>
      <c r="J1020">
        <f>_xlfn.XLOOKUP($A1020,[1]Sheet1!$B$9:$B$2584,[1]Sheet1!$C$9:$C$2584,"N/A",0)</f>
        <v>103.24</v>
      </c>
      <c r="K1020">
        <f>_xlfn.XLOOKUP($A1020,[1]Sheet1!$E$9:$E$2584,[1]Sheet1!$F$9:$F$2584,"N/A",0)</f>
        <v>129.31</v>
      </c>
      <c r="L1020">
        <f>_xlfn.XLOOKUP($A1020,[1]Sheet1!$H$9:$H$2584,[1]Sheet1!$I$9:$I$2584,"N/A",0)</f>
        <v>75.5</v>
      </c>
      <c r="M1020">
        <f>_xlfn.XLOOKUP($A1020,[1]Sheet1!$K$9:$K$2584,[1]Sheet1!$L$9:$L$2584,"N/A",0)</f>
        <v>137.41</v>
      </c>
      <c r="N1020">
        <f>_xlfn.XLOOKUP($A1020,[1]Sheet1!$N$9:$N$2584,[1]Sheet1!$O$9:$O$2584,"N/A",0)</f>
        <v>104.67</v>
      </c>
      <c r="O1020">
        <v>103.24</v>
      </c>
      <c r="P1020">
        <v>129.31</v>
      </c>
      <c r="Q1020">
        <v>75.5</v>
      </c>
      <c r="R1020">
        <v>104.67</v>
      </c>
      <c r="S1020">
        <v>137.41</v>
      </c>
    </row>
    <row r="1021" spans="1:19">
      <c r="A1021" s="1">
        <v>43847</v>
      </c>
      <c r="B1021" t="s">
        <v>472</v>
      </c>
      <c r="C1021" t="s">
        <v>488</v>
      </c>
      <c r="D1021">
        <v>12.525</v>
      </c>
      <c r="E1021">
        <v>14.925</v>
      </c>
      <c r="F1021" s="2" t="s">
        <v>504</v>
      </c>
      <c r="G1021">
        <f ca="1" t="shared" si="45"/>
        <v>3.75855593972358</v>
      </c>
      <c r="H1021" t="str">
        <f ca="1" t="shared" si="46"/>
        <v>Risk-On</v>
      </c>
      <c r="I1021">
        <f ca="1" t="shared" si="47"/>
        <v>1</v>
      </c>
      <c r="J1021">
        <f>_xlfn.XLOOKUP($A1021,[1]Sheet1!$B$9:$B$2584,[1]Sheet1!$C$9:$C$2584,"N/A",0)</f>
        <v>103.57</v>
      </c>
      <c r="K1021">
        <f>_xlfn.XLOOKUP($A1021,[1]Sheet1!$E$9:$E$2584,[1]Sheet1!$F$9:$F$2584,"N/A",0)</f>
        <v>129.79</v>
      </c>
      <c r="L1021">
        <f>_xlfn.XLOOKUP($A1021,[1]Sheet1!$H$9:$H$2584,[1]Sheet1!$I$9:$I$2584,"N/A",0)</f>
        <v>75.44</v>
      </c>
      <c r="M1021">
        <f>_xlfn.XLOOKUP($A1021,[1]Sheet1!$K$9:$K$2584,[1]Sheet1!$L$9:$L$2584,"N/A",0)</f>
        <v>136.9</v>
      </c>
      <c r="N1021">
        <f>_xlfn.XLOOKUP($A1021,[1]Sheet1!$N$9:$N$2584,[1]Sheet1!$O$9:$O$2584,"N/A",0)</f>
        <v>105</v>
      </c>
      <c r="O1021">
        <v>103.57</v>
      </c>
      <c r="P1021">
        <v>129.79</v>
      </c>
      <c r="Q1021">
        <v>75.44</v>
      </c>
      <c r="R1021">
        <v>105</v>
      </c>
      <c r="S1021">
        <v>136.9</v>
      </c>
    </row>
    <row r="1022" spans="1:19">
      <c r="A1022" s="1">
        <v>43851</v>
      </c>
      <c r="B1022" t="s">
        <v>472</v>
      </c>
      <c r="C1022" t="s">
        <v>488</v>
      </c>
      <c r="D1022">
        <v>12.925</v>
      </c>
      <c r="E1022">
        <v>15.075</v>
      </c>
      <c r="F1022" s="2" t="s">
        <v>505</v>
      </c>
      <c r="G1022">
        <f ca="1" t="shared" si="45"/>
        <v>3.0765864922934</v>
      </c>
      <c r="H1022" t="str">
        <f ca="1" t="shared" si="46"/>
        <v>Risk-On</v>
      </c>
      <c r="I1022">
        <f ca="1" t="shared" si="47"/>
        <v>1</v>
      </c>
      <c r="J1022">
        <f>_xlfn.XLOOKUP($A1022,[1]Sheet1!$B$9:$B$2584,[1]Sheet1!$C$9:$C$2584,"N/A",0)</f>
        <v>103.57</v>
      </c>
      <c r="K1022">
        <f>_xlfn.XLOOKUP($A1022,[1]Sheet1!$E$9:$E$2584,[1]Sheet1!$F$9:$F$2584,"N/A",0)</f>
        <v>130.47</v>
      </c>
      <c r="L1022">
        <f>_xlfn.XLOOKUP($A1022,[1]Sheet1!$H$9:$H$2584,[1]Sheet1!$I$9:$I$2584,"N/A",0)</f>
        <v>75.04</v>
      </c>
      <c r="M1022">
        <f>_xlfn.XLOOKUP($A1022,[1]Sheet1!$K$9:$K$2584,[1]Sheet1!$L$9:$L$2584,"N/A",0)</f>
        <v>136.93</v>
      </c>
      <c r="N1022">
        <f>_xlfn.XLOOKUP($A1022,[1]Sheet1!$N$9:$N$2584,[1]Sheet1!$O$9:$O$2584,"N/A",0)</f>
        <v>105.43</v>
      </c>
      <c r="O1022">
        <v>103.57</v>
      </c>
      <c r="P1022">
        <v>130.47</v>
      </c>
      <c r="Q1022">
        <v>75.04</v>
      </c>
      <c r="R1022">
        <v>105.43</v>
      </c>
      <c r="S1022">
        <v>136.93</v>
      </c>
    </row>
    <row r="1023" spans="1:19">
      <c r="A1023" s="1">
        <v>43852</v>
      </c>
      <c r="B1023" t="s">
        <v>472</v>
      </c>
      <c r="C1023" t="s">
        <v>488</v>
      </c>
      <c r="D1023">
        <v>12.62</v>
      </c>
      <c r="E1023">
        <v>15.175</v>
      </c>
      <c r="F1023" s="2" t="s">
        <v>506</v>
      </c>
      <c r="G1023">
        <f ca="1" t="shared" si="45"/>
        <v>4.04022734876647</v>
      </c>
      <c r="H1023" t="str">
        <f ca="1" t="shared" si="46"/>
        <v>Risk-On</v>
      </c>
      <c r="I1023">
        <f ca="1" t="shared" si="47"/>
        <v>1</v>
      </c>
      <c r="J1023">
        <f>_xlfn.XLOOKUP($A1023,[1]Sheet1!$B$9:$B$2584,[1]Sheet1!$C$9:$C$2584,"N/A",0)</f>
        <v>103.45</v>
      </c>
      <c r="K1023">
        <f>_xlfn.XLOOKUP($A1023,[1]Sheet1!$E$9:$E$2584,[1]Sheet1!$F$9:$F$2584,"N/A",0)</f>
        <v>131.08</v>
      </c>
      <c r="L1023">
        <f>_xlfn.XLOOKUP($A1023,[1]Sheet1!$H$9:$H$2584,[1]Sheet1!$I$9:$I$2584,"N/A",0)</f>
        <v>75.17</v>
      </c>
      <c r="M1023">
        <f>_xlfn.XLOOKUP($A1023,[1]Sheet1!$K$9:$K$2584,[1]Sheet1!$L$9:$L$2584,"N/A",0)</f>
        <v>136.91</v>
      </c>
      <c r="N1023">
        <f>_xlfn.XLOOKUP($A1023,[1]Sheet1!$N$9:$N$2584,[1]Sheet1!$O$9:$O$2584,"N/A",0)</f>
        <v>105.42</v>
      </c>
      <c r="O1023">
        <v>103.45</v>
      </c>
      <c r="P1023">
        <v>131.08</v>
      </c>
      <c r="Q1023">
        <v>75.17</v>
      </c>
      <c r="R1023">
        <v>105.42</v>
      </c>
      <c r="S1023">
        <v>136.91</v>
      </c>
    </row>
    <row r="1024" spans="1:19">
      <c r="A1024" s="1">
        <v>43853</v>
      </c>
      <c r="B1024" t="s">
        <v>488</v>
      </c>
      <c r="C1024" t="s">
        <v>507</v>
      </c>
      <c r="D1024">
        <v>15.025</v>
      </c>
      <c r="E1024">
        <v>15.675</v>
      </c>
      <c r="F1024">
        <v>0.043261231281198</v>
      </c>
      <c r="G1024">
        <f ca="1" t="shared" si="45"/>
        <v>-0.225282003227508</v>
      </c>
      <c r="H1024" t="str">
        <f ca="1" t="shared" si="46"/>
        <v>Risk-On</v>
      </c>
      <c r="I1024">
        <f ca="1" t="shared" si="47"/>
        <v>1</v>
      </c>
      <c r="J1024">
        <f>_xlfn.XLOOKUP($A1024,[1]Sheet1!$B$9:$B$2584,[1]Sheet1!$C$9:$C$2584,"N/A",0)</f>
        <v>103.65</v>
      </c>
      <c r="K1024">
        <f>_xlfn.XLOOKUP($A1024,[1]Sheet1!$E$9:$E$2584,[1]Sheet1!$F$9:$F$2584,"N/A",0)</f>
        <v>131</v>
      </c>
      <c r="L1024">
        <f>_xlfn.XLOOKUP($A1024,[1]Sheet1!$H$9:$H$2584,[1]Sheet1!$I$9:$I$2584,"N/A",0)</f>
        <v>75.19</v>
      </c>
      <c r="M1024">
        <f>_xlfn.XLOOKUP($A1024,[1]Sheet1!$K$9:$K$2584,[1]Sheet1!$L$9:$L$2584,"N/A",0)</f>
        <v>137.11</v>
      </c>
      <c r="N1024">
        <f>_xlfn.XLOOKUP($A1024,[1]Sheet1!$N$9:$N$2584,[1]Sheet1!$O$9:$O$2584,"N/A",0)</f>
        <v>105.27</v>
      </c>
      <c r="O1024">
        <v>103.65</v>
      </c>
      <c r="P1024">
        <v>131</v>
      </c>
      <c r="Q1024">
        <v>75.19</v>
      </c>
      <c r="R1024">
        <v>105.27</v>
      </c>
      <c r="S1024">
        <v>137.11</v>
      </c>
    </row>
    <row r="1025" spans="1:19">
      <c r="A1025" s="1">
        <v>43854</v>
      </c>
      <c r="B1025" t="s">
        <v>488</v>
      </c>
      <c r="C1025" t="s">
        <v>507</v>
      </c>
      <c r="D1025">
        <v>16.025</v>
      </c>
      <c r="E1025">
        <v>16.225</v>
      </c>
      <c r="F1025" s="2" t="s">
        <v>508</v>
      </c>
      <c r="G1025">
        <f ca="1" t="shared" si="45"/>
        <v>-1.07679703372571</v>
      </c>
      <c r="H1025" t="str">
        <f ca="1" t="shared" si="46"/>
        <v>Risk-On</v>
      </c>
      <c r="I1025">
        <f ca="1" t="shared" si="47"/>
        <v>1</v>
      </c>
      <c r="J1025">
        <f>_xlfn.XLOOKUP($A1025,[1]Sheet1!$B$9:$B$2584,[1]Sheet1!$C$9:$C$2584,"N/A",0)</f>
        <v>103.75</v>
      </c>
      <c r="K1025">
        <f>_xlfn.XLOOKUP($A1025,[1]Sheet1!$E$9:$E$2584,[1]Sheet1!$F$9:$F$2584,"N/A",0)</f>
        <v>130.91</v>
      </c>
      <c r="L1025">
        <f>_xlfn.XLOOKUP($A1025,[1]Sheet1!$H$9:$H$2584,[1]Sheet1!$I$9:$I$2584,"N/A",0)</f>
        <v>75.01</v>
      </c>
      <c r="M1025">
        <f>_xlfn.XLOOKUP($A1025,[1]Sheet1!$K$9:$K$2584,[1]Sheet1!$L$9:$L$2584,"N/A",0)</f>
        <v>137</v>
      </c>
      <c r="N1025">
        <f>_xlfn.XLOOKUP($A1025,[1]Sheet1!$N$9:$N$2584,[1]Sheet1!$O$9:$O$2584,"N/A",0)</f>
        <v>105.62</v>
      </c>
      <c r="O1025">
        <v>103.75</v>
      </c>
      <c r="P1025">
        <v>130.91</v>
      </c>
      <c r="Q1025">
        <v>75.01</v>
      </c>
      <c r="R1025">
        <v>105.62</v>
      </c>
      <c r="S1025">
        <v>137</v>
      </c>
    </row>
    <row r="1026" spans="1:19">
      <c r="A1026" s="1">
        <v>43857</v>
      </c>
      <c r="B1026" t="s">
        <v>488</v>
      </c>
      <c r="C1026" t="s">
        <v>507</v>
      </c>
      <c r="D1026">
        <v>17.775</v>
      </c>
      <c r="E1026">
        <v>17.325</v>
      </c>
      <c r="F1026">
        <v>-0.0253164556962024</v>
      </c>
      <c r="G1026">
        <f ca="1" t="shared" si="45"/>
        <v>-2.1238551805664</v>
      </c>
      <c r="H1026" t="str">
        <f ca="1" t="shared" si="46"/>
        <v>Risk-On</v>
      </c>
      <c r="I1026">
        <f ca="1" t="shared" si="47"/>
        <v>1</v>
      </c>
      <c r="J1026">
        <f>_xlfn.XLOOKUP($A1026,[1]Sheet1!$B$9:$B$2584,[1]Sheet1!$C$9:$C$2584,"N/A",0)</f>
        <v>103.44</v>
      </c>
      <c r="K1026">
        <f>_xlfn.XLOOKUP($A1026,[1]Sheet1!$E$9:$E$2584,[1]Sheet1!$F$9:$F$2584,"N/A",0)</f>
        <v>131.1</v>
      </c>
      <c r="L1026">
        <f>_xlfn.XLOOKUP($A1026,[1]Sheet1!$H$9:$H$2584,[1]Sheet1!$I$9:$I$2584,"N/A",0)</f>
        <v>74.99</v>
      </c>
      <c r="M1026">
        <f>_xlfn.XLOOKUP($A1026,[1]Sheet1!$K$9:$K$2584,[1]Sheet1!$L$9:$L$2584,"N/A",0)</f>
        <v>137.19</v>
      </c>
      <c r="N1026">
        <f>_xlfn.XLOOKUP($A1026,[1]Sheet1!$N$9:$N$2584,[1]Sheet1!$O$9:$O$2584,"N/A",0)</f>
        <v>105.06</v>
      </c>
      <c r="O1026">
        <v>103.44</v>
      </c>
      <c r="P1026">
        <v>131.1</v>
      </c>
      <c r="Q1026">
        <v>74.99</v>
      </c>
      <c r="R1026">
        <v>105.06</v>
      </c>
      <c r="S1026">
        <v>137.19</v>
      </c>
    </row>
    <row r="1027" spans="1:19">
      <c r="A1027" s="1">
        <v>43858</v>
      </c>
      <c r="B1027" t="s">
        <v>488</v>
      </c>
      <c r="C1027" t="s">
        <v>507</v>
      </c>
      <c r="D1027">
        <v>16.675</v>
      </c>
      <c r="E1027">
        <v>16.825</v>
      </c>
      <c r="F1027">
        <v>0.00899550224887547</v>
      </c>
      <c r="G1027">
        <f ca="1" t="shared" ref="G1027:G1090" si="48">IF(ROW()-ROW($A$3)+1&gt;252,(F1027-AVERAGE(OFFSET(F1027,-252,0,252,1)))/_xlfn.STDEV.S(OFFSET(F1027,-252,0,252,1)),"N/A")</f>
        <v>-1.15436340415396</v>
      </c>
      <c r="H1027" t="str">
        <f ca="1" t="shared" ref="H1027:H1090" si="49">IF(G1027&lt;&gt;"N/A",IF(G1277&gt;-0.5,"Risk-On","Risk-Off"),"N/A")</f>
        <v>Risk-On</v>
      </c>
      <c r="I1027">
        <f ca="1" t="shared" si="47"/>
        <v>1</v>
      </c>
      <c r="J1027">
        <f>_xlfn.XLOOKUP($A1027,[1]Sheet1!$B$9:$B$2584,[1]Sheet1!$C$9:$C$2584,"N/A",0)</f>
        <v>103.21</v>
      </c>
      <c r="K1027">
        <f>_xlfn.XLOOKUP($A1027,[1]Sheet1!$E$9:$E$2584,[1]Sheet1!$F$9:$F$2584,"N/A",0)</f>
        <v>132.2</v>
      </c>
      <c r="L1027">
        <f>_xlfn.XLOOKUP($A1027,[1]Sheet1!$H$9:$H$2584,[1]Sheet1!$I$9:$I$2584,"N/A",0)</f>
        <v>74.62</v>
      </c>
      <c r="M1027">
        <f>_xlfn.XLOOKUP($A1027,[1]Sheet1!$K$9:$K$2584,[1]Sheet1!$L$9:$L$2584,"N/A",0)</f>
        <v>136.72</v>
      </c>
      <c r="N1027">
        <f>_xlfn.XLOOKUP($A1027,[1]Sheet1!$N$9:$N$2584,[1]Sheet1!$O$9:$O$2584,"N/A",0)</f>
        <v>105.39</v>
      </c>
      <c r="O1027">
        <v>103.21</v>
      </c>
      <c r="P1027">
        <v>132.2</v>
      </c>
      <c r="Q1027">
        <v>74.62</v>
      </c>
      <c r="R1027">
        <v>105.39</v>
      </c>
      <c r="S1027">
        <v>136.72</v>
      </c>
    </row>
    <row r="1028" spans="1:19">
      <c r="A1028" s="1">
        <v>43859</v>
      </c>
      <c r="B1028" t="s">
        <v>488</v>
      </c>
      <c r="C1028" t="s">
        <v>507</v>
      </c>
      <c r="D1028">
        <v>16.675</v>
      </c>
      <c r="E1028">
        <v>16.775</v>
      </c>
      <c r="F1028">
        <v>0.00599700149925024</v>
      </c>
      <c r="G1028">
        <f ca="1" t="shared" si="48"/>
        <v>-1.24006680839514</v>
      </c>
      <c r="H1028" t="str">
        <f ca="1" t="shared" si="49"/>
        <v>Risk-On</v>
      </c>
      <c r="I1028">
        <f ca="1" t="shared" ref="I1028:I1091" si="50">IF(H1028&lt;&gt;"N/A",IF(H1278&gt;-0.5,1,0),0)</f>
        <v>1</v>
      </c>
      <c r="J1028">
        <f>_xlfn.XLOOKUP($A1028,[1]Sheet1!$B$9:$B$2584,[1]Sheet1!$C$9:$C$2584,"N/A",0)</f>
        <v>103.12</v>
      </c>
      <c r="K1028">
        <f>_xlfn.XLOOKUP($A1028,[1]Sheet1!$E$9:$E$2584,[1]Sheet1!$F$9:$F$2584,"N/A",0)</f>
        <v>132.8</v>
      </c>
      <c r="L1028">
        <f>_xlfn.XLOOKUP($A1028,[1]Sheet1!$H$9:$H$2584,[1]Sheet1!$I$9:$I$2584,"N/A",0)</f>
        <v>74.32</v>
      </c>
      <c r="M1028">
        <f>_xlfn.XLOOKUP($A1028,[1]Sheet1!$K$9:$K$2584,[1]Sheet1!$L$9:$L$2584,"N/A",0)</f>
        <v>136.43</v>
      </c>
      <c r="N1028">
        <f>_xlfn.XLOOKUP($A1028,[1]Sheet1!$N$9:$N$2584,[1]Sheet1!$O$9:$O$2584,"N/A",0)</f>
        <v>105.58</v>
      </c>
      <c r="O1028">
        <v>103.12</v>
      </c>
      <c r="P1028">
        <v>132.8</v>
      </c>
      <c r="Q1028">
        <v>74.32</v>
      </c>
      <c r="R1028">
        <v>105.58</v>
      </c>
      <c r="S1028">
        <v>136.43</v>
      </c>
    </row>
    <row r="1029" spans="1:19">
      <c r="A1029" s="1">
        <v>43860</v>
      </c>
      <c r="B1029" t="s">
        <v>488</v>
      </c>
      <c r="C1029" t="s">
        <v>507</v>
      </c>
      <c r="D1029">
        <v>16.075</v>
      </c>
      <c r="E1029">
        <v>16.425</v>
      </c>
      <c r="F1029">
        <v>0.0217729393468119</v>
      </c>
      <c r="G1029">
        <f ca="1" t="shared" si="48"/>
        <v>-0.817232915132547</v>
      </c>
      <c r="H1029" t="str">
        <f ca="1" t="shared" si="49"/>
        <v>Risk-On</v>
      </c>
      <c r="I1029">
        <f ca="1" t="shared" si="50"/>
        <v>1</v>
      </c>
      <c r="J1029">
        <f>_xlfn.XLOOKUP($A1029,[1]Sheet1!$B$9:$B$2584,[1]Sheet1!$C$9:$C$2584,"N/A",0)</f>
        <v>103.14</v>
      </c>
      <c r="K1029">
        <f>_xlfn.XLOOKUP($A1029,[1]Sheet1!$E$9:$E$2584,[1]Sheet1!$F$9:$F$2584,"N/A",0)</f>
        <v>133.51</v>
      </c>
      <c r="L1029">
        <f>_xlfn.XLOOKUP($A1029,[1]Sheet1!$H$9:$H$2584,[1]Sheet1!$I$9:$I$2584,"N/A",0)</f>
        <v>73.84</v>
      </c>
      <c r="M1029">
        <f>_xlfn.XLOOKUP($A1029,[1]Sheet1!$K$9:$K$2584,[1]Sheet1!$L$9:$L$2584,"N/A",0)</f>
        <v>136.3</v>
      </c>
      <c r="N1029">
        <f>_xlfn.XLOOKUP($A1029,[1]Sheet1!$N$9:$N$2584,[1]Sheet1!$O$9:$O$2584,"N/A",0)</f>
        <v>106.37</v>
      </c>
      <c r="O1029">
        <v>103.14</v>
      </c>
      <c r="P1029">
        <v>133.51</v>
      </c>
      <c r="Q1029">
        <v>73.84</v>
      </c>
      <c r="R1029">
        <v>106.37</v>
      </c>
      <c r="S1029">
        <v>136.3</v>
      </c>
    </row>
    <row r="1030" spans="1:19">
      <c r="A1030" s="1">
        <v>43861</v>
      </c>
      <c r="B1030" t="s">
        <v>488</v>
      </c>
      <c r="C1030" t="s">
        <v>507</v>
      </c>
      <c r="D1030">
        <v>18.225</v>
      </c>
      <c r="E1030">
        <v>17.725</v>
      </c>
      <c r="F1030">
        <v>-0.027434842249657</v>
      </c>
      <c r="G1030">
        <f ca="1" t="shared" si="48"/>
        <v>-2.14774567418881</v>
      </c>
      <c r="H1030" t="str">
        <f ca="1" t="shared" si="49"/>
        <v>Risk-On</v>
      </c>
      <c r="I1030">
        <f ca="1" t="shared" si="50"/>
        <v>1</v>
      </c>
      <c r="J1030">
        <f>_xlfn.XLOOKUP($A1030,[1]Sheet1!$B$9:$B$2584,[1]Sheet1!$C$9:$C$2584,"N/A",0)</f>
        <v>103.08</v>
      </c>
      <c r="K1030">
        <f>_xlfn.XLOOKUP($A1030,[1]Sheet1!$E$9:$E$2584,[1]Sheet1!$F$9:$F$2584,"N/A",0)</f>
        <v>133.08</v>
      </c>
      <c r="L1030">
        <f>_xlfn.XLOOKUP($A1030,[1]Sheet1!$H$9:$H$2584,[1]Sheet1!$I$9:$I$2584,"N/A",0)</f>
        <v>73.73</v>
      </c>
      <c r="M1030">
        <f>_xlfn.XLOOKUP($A1030,[1]Sheet1!$K$9:$K$2584,[1]Sheet1!$L$9:$L$2584,"N/A",0)</f>
        <v>135.53</v>
      </c>
      <c r="N1030">
        <f>_xlfn.XLOOKUP($A1030,[1]Sheet1!$N$9:$N$2584,[1]Sheet1!$O$9:$O$2584,"N/A",0)</f>
        <v>106.75</v>
      </c>
      <c r="O1030">
        <v>103.08</v>
      </c>
      <c r="P1030">
        <v>133.08</v>
      </c>
      <c r="Q1030">
        <v>73.73</v>
      </c>
      <c r="R1030">
        <v>106.75</v>
      </c>
      <c r="S1030">
        <v>135.53</v>
      </c>
    </row>
    <row r="1031" spans="1:19">
      <c r="A1031" s="1">
        <v>43864</v>
      </c>
      <c r="B1031" t="s">
        <v>488</v>
      </c>
      <c r="C1031" t="s">
        <v>507</v>
      </c>
      <c r="D1031">
        <v>17.975</v>
      </c>
      <c r="E1031">
        <v>17.425</v>
      </c>
      <c r="F1031">
        <v>-0.0305980528511822</v>
      </c>
      <c r="G1031">
        <f ca="1" t="shared" si="48"/>
        <v>-2.18338493023739</v>
      </c>
      <c r="H1031" t="str">
        <f ca="1" t="shared" si="49"/>
        <v>Risk-On</v>
      </c>
      <c r="I1031">
        <f ca="1" t="shared" si="50"/>
        <v>1</v>
      </c>
      <c r="J1031">
        <f>_xlfn.XLOOKUP($A1031,[1]Sheet1!$B$9:$B$2584,[1]Sheet1!$C$9:$C$2584,"N/A",0)</f>
        <v>103.3</v>
      </c>
      <c r="K1031">
        <f>_xlfn.XLOOKUP($A1031,[1]Sheet1!$E$9:$E$2584,[1]Sheet1!$F$9:$F$2584,"N/A",0)</f>
        <v>133.66</v>
      </c>
      <c r="L1031">
        <f>_xlfn.XLOOKUP($A1031,[1]Sheet1!$H$9:$H$2584,[1]Sheet1!$I$9:$I$2584,"N/A",0)</f>
        <v>73.13</v>
      </c>
      <c r="M1031">
        <f>_xlfn.XLOOKUP($A1031,[1]Sheet1!$K$9:$K$2584,[1]Sheet1!$L$9:$L$2584,"N/A",0)</f>
        <v>135.57</v>
      </c>
      <c r="N1031">
        <f>_xlfn.XLOOKUP($A1031,[1]Sheet1!$N$9:$N$2584,[1]Sheet1!$O$9:$O$2584,"N/A",0)</f>
        <v>106.78</v>
      </c>
      <c r="O1031">
        <v>103.3</v>
      </c>
      <c r="P1031">
        <v>133.66</v>
      </c>
      <c r="Q1031">
        <v>73.13</v>
      </c>
      <c r="R1031">
        <v>106.78</v>
      </c>
      <c r="S1031">
        <v>135.57</v>
      </c>
    </row>
    <row r="1032" spans="1:19">
      <c r="A1032" s="1">
        <v>43865</v>
      </c>
      <c r="B1032" t="s">
        <v>488</v>
      </c>
      <c r="C1032" t="s">
        <v>507</v>
      </c>
      <c r="D1032">
        <v>16.525</v>
      </c>
      <c r="E1032">
        <v>16.525</v>
      </c>
      <c r="F1032">
        <v>0</v>
      </c>
      <c r="G1032">
        <f ca="1" t="shared" si="48"/>
        <v>-1.33150708158321</v>
      </c>
      <c r="H1032" t="str">
        <f ca="1" t="shared" si="49"/>
        <v>Risk-On</v>
      </c>
      <c r="I1032">
        <f ca="1" t="shared" si="50"/>
        <v>1</v>
      </c>
      <c r="J1032">
        <f>_xlfn.XLOOKUP($A1032,[1]Sheet1!$B$9:$B$2584,[1]Sheet1!$C$9:$C$2584,"N/A",0)</f>
        <v>104.15</v>
      </c>
      <c r="K1032">
        <f>_xlfn.XLOOKUP($A1032,[1]Sheet1!$E$9:$E$2584,[1]Sheet1!$F$9:$F$2584,"N/A",0)</f>
        <v>133.84</v>
      </c>
      <c r="L1032">
        <f>_xlfn.XLOOKUP($A1032,[1]Sheet1!$H$9:$H$2584,[1]Sheet1!$I$9:$I$2584,"N/A",0)</f>
        <v>72.74</v>
      </c>
      <c r="M1032">
        <f>_xlfn.XLOOKUP($A1032,[1]Sheet1!$K$9:$K$2584,[1]Sheet1!$L$9:$L$2584,"N/A",0)</f>
        <v>136.05</v>
      </c>
      <c r="N1032">
        <f>_xlfn.XLOOKUP($A1032,[1]Sheet1!$N$9:$N$2584,[1]Sheet1!$O$9:$O$2584,"N/A",0)</f>
        <v>107.1</v>
      </c>
      <c r="O1032">
        <v>104.15</v>
      </c>
      <c r="P1032">
        <v>133.84</v>
      </c>
      <c r="Q1032">
        <v>72.74</v>
      </c>
      <c r="R1032">
        <v>107.1</v>
      </c>
      <c r="S1032">
        <v>136.05</v>
      </c>
    </row>
    <row r="1033" spans="1:19">
      <c r="A1033" s="1">
        <v>43866</v>
      </c>
      <c r="B1033" t="s">
        <v>488</v>
      </c>
      <c r="C1033" t="s">
        <v>507</v>
      </c>
      <c r="D1033">
        <v>15.725</v>
      </c>
      <c r="E1033">
        <v>16.125</v>
      </c>
      <c r="F1033" s="2" t="s">
        <v>509</v>
      </c>
      <c r="G1033">
        <f ca="1" t="shared" si="48"/>
        <v>-0.651468590163216</v>
      </c>
      <c r="H1033" t="str">
        <f ca="1" t="shared" si="49"/>
        <v>Risk-On</v>
      </c>
      <c r="I1033">
        <f ca="1" t="shared" si="50"/>
        <v>1</v>
      </c>
      <c r="J1033">
        <f>_xlfn.XLOOKUP($A1033,[1]Sheet1!$B$9:$B$2584,[1]Sheet1!$C$9:$C$2584,"N/A",0)</f>
        <v>104.02</v>
      </c>
      <c r="K1033">
        <f>_xlfn.XLOOKUP($A1033,[1]Sheet1!$E$9:$E$2584,[1]Sheet1!$F$9:$F$2584,"N/A",0)</f>
        <v>131.58</v>
      </c>
      <c r="L1033">
        <f>_xlfn.XLOOKUP($A1033,[1]Sheet1!$H$9:$H$2584,[1]Sheet1!$I$9:$I$2584,"N/A",0)</f>
        <v>73.6</v>
      </c>
      <c r="M1033">
        <f>_xlfn.XLOOKUP($A1033,[1]Sheet1!$K$9:$K$2584,[1]Sheet1!$L$9:$L$2584,"N/A",0)</f>
        <v>135.87</v>
      </c>
      <c r="N1033">
        <f>_xlfn.XLOOKUP($A1033,[1]Sheet1!$N$9:$N$2584,[1]Sheet1!$O$9:$O$2584,"N/A",0)</f>
        <v>106.59</v>
      </c>
      <c r="O1033">
        <v>104.02</v>
      </c>
      <c r="P1033">
        <v>131.58</v>
      </c>
      <c r="Q1033">
        <v>73.6</v>
      </c>
      <c r="R1033">
        <v>106.59</v>
      </c>
      <c r="S1033">
        <v>135.87</v>
      </c>
    </row>
    <row r="1034" spans="1:19">
      <c r="A1034" s="1">
        <v>43867</v>
      </c>
      <c r="B1034" t="s">
        <v>488</v>
      </c>
      <c r="C1034" t="s">
        <v>507</v>
      </c>
      <c r="D1034">
        <v>15.575</v>
      </c>
      <c r="E1034">
        <v>15.975</v>
      </c>
      <c r="F1034" s="2" t="s">
        <v>510</v>
      </c>
      <c r="G1034">
        <f ca="1" t="shared" si="48"/>
        <v>-0.645057434661525</v>
      </c>
      <c r="H1034" t="str">
        <f ca="1" t="shared" si="49"/>
        <v>Risk-On</v>
      </c>
      <c r="I1034">
        <f ca="1" t="shared" si="50"/>
        <v>1</v>
      </c>
      <c r="J1034">
        <f>_xlfn.XLOOKUP($A1034,[1]Sheet1!$B$9:$B$2584,[1]Sheet1!$C$9:$C$2584,"N/A",0)</f>
        <v>103.99</v>
      </c>
      <c r="K1034">
        <f>_xlfn.XLOOKUP($A1034,[1]Sheet1!$E$9:$E$2584,[1]Sheet1!$F$9:$F$2584,"N/A",0)</f>
        <v>132.01</v>
      </c>
      <c r="L1034">
        <f>_xlfn.XLOOKUP($A1034,[1]Sheet1!$H$9:$H$2584,[1]Sheet1!$I$9:$I$2584,"N/A",0)</f>
        <v>73.35</v>
      </c>
      <c r="M1034">
        <f>_xlfn.XLOOKUP($A1034,[1]Sheet1!$K$9:$K$2584,[1]Sheet1!$L$9:$L$2584,"N/A",0)</f>
        <v>135.93</v>
      </c>
      <c r="N1034">
        <f>_xlfn.XLOOKUP($A1034,[1]Sheet1!$N$9:$N$2584,[1]Sheet1!$O$9:$O$2584,"N/A",0)</f>
        <v>106.62</v>
      </c>
      <c r="O1034">
        <v>103.99</v>
      </c>
      <c r="P1034">
        <v>132.01</v>
      </c>
      <c r="Q1034">
        <v>73.35</v>
      </c>
      <c r="R1034">
        <v>106.62</v>
      </c>
      <c r="S1034">
        <v>135.93</v>
      </c>
    </row>
    <row r="1035" spans="1:19">
      <c r="A1035" s="1">
        <v>43868</v>
      </c>
      <c r="B1035" t="s">
        <v>488</v>
      </c>
      <c r="C1035" t="s">
        <v>507</v>
      </c>
      <c r="D1035">
        <v>16.025</v>
      </c>
      <c r="E1035">
        <v>16.225</v>
      </c>
      <c r="F1035" s="2" t="s">
        <v>508</v>
      </c>
      <c r="G1035">
        <f ca="1" t="shared" si="48"/>
        <v>-0.992654984166845</v>
      </c>
      <c r="H1035" t="str">
        <f ca="1" t="shared" si="49"/>
        <v>Risk-On</v>
      </c>
      <c r="I1035">
        <f ca="1" t="shared" si="50"/>
        <v>1</v>
      </c>
      <c r="J1035">
        <f>_xlfn.XLOOKUP($A1035,[1]Sheet1!$B$9:$B$2584,[1]Sheet1!$C$9:$C$2584,"N/A",0)</f>
        <v>104.34</v>
      </c>
      <c r="K1035">
        <f>_xlfn.XLOOKUP($A1035,[1]Sheet1!$E$9:$E$2584,[1]Sheet1!$F$9:$F$2584,"N/A",0)</f>
        <v>132.38</v>
      </c>
      <c r="L1035">
        <f>_xlfn.XLOOKUP($A1035,[1]Sheet1!$H$9:$H$2584,[1]Sheet1!$I$9:$I$2584,"N/A",0)</f>
        <v>72.85</v>
      </c>
      <c r="M1035">
        <f>_xlfn.XLOOKUP($A1035,[1]Sheet1!$K$9:$K$2584,[1]Sheet1!$L$9:$L$2584,"N/A",0)</f>
        <v>136.27</v>
      </c>
      <c r="N1035">
        <f>_xlfn.XLOOKUP($A1035,[1]Sheet1!$N$9:$N$2584,[1]Sheet1!$O$9:$O$2584,"N/A",0)</f>
        <v>107.44</v>
      </c>
      <c r="O1035">
        <v>104.34</v>
      </c>
      <c r="P1035">
        <v>132.38</v>
      </c>
      <c r="Q1035">
        <v>72.85</v>
      </c>
      <c r="R1035">
        <v>107.44</v>
      </c>
      <c r="S1035">
        <v>136.27</v>
      </c>
    </row>
    <row r="1036" spans="1:19">
      <c r="A1036" s="1">
        <v>43871</v>
      </c>
      <c r="B1036" t="s">
        <v>488</v>
      </c>
      <c r="C1036" t="s">
        <v>507</v>
      </c>
      <c r="D1036">
        <v>15.625</v>
      </c>
      <c r="E1036">
        <v>15.975</v>
      </c>
      <c r="F1036">
        <v>0.0223999999999999</v>
      </c>
      <c r="G1036">
        <f ca="1" t="shared" si="48"/>
        <v>-0.733693137946535</v>
      </c>
      <c r="H1036" t="str">
        <f ca="1" t="shared" si="49"/>
        <v>Risk-On</v>
      </c>
      <c r="I1036">
        <f ca="1" t="shared" si="50"/>
        <v>1</v>
      </c>
      <c r="J1036">
        <f>_xlfn.XLOOKUP($A1036,[1]Sheet1!$B$9:$B$2584,[1]Sheet1!$C$9:$C$2584,"N/A",0)</f>
        <v>104.51</v>
      </c>
      <c r="K1036">
        <f>_xlfn.XLOOKUP($A1036,[1]Sheet1!$E$9:$E$2584,[1]Sheet1!$F$9:$F$2584,"N/A",0)</f>
        <v>134.02</v>
      </c>
      <c r="L1036">
        <f>_xlfn.XLOOKUP($A1036,[1]Sheet1!$H$9:$H$2584,[1]Sheet1!$I$9:$I$2584,"N/A",0)</f>
        <v>72.68</v>
      </c>
      <c r="M1036">
        <f>_xlfn.XLOOKUP($A1036,[1]Sheet1!$K$9:$K$2584,[1]Sheet1!$L$9:$L$2584,"N/A",0)</f>
        <v>135.91</v>
      </c>
      <c r="N1036">
        <f>_xlfn.XLOOKUP($A1036,[1]Sheet1!$N$9:$N$2584,[1]Sheet1!$O$9:$O$2584,"N/A",0)</f>
        <v>107.12</v>
      </c>
      <c r="O1036">
        <v>104.51</v>
      </c>
      <c r="P1036">
        <v>134.02</v>
      </c>
      <c r="Q1036">
        <v>72.68</v>
      </c>
      <c r="R1036">
        <v>107.12</v>
      </c>
      <c r="S1036">
        <v>135.91</v>
      </c>
    </row>
    <row r="1037" spans="1:19">
      <c r="A1037" s="1">
        <v>43872</v>
      </c>
      <c r="B1037" t="s">
        <v>488</v>
      </c>
      <c r="C1037" t="s">
        <v>507</v>
      </c>
      <c r="D1037">
        <v>15.625</v>
      </c>
      <c r="E1037">
        <v>15.925</v>
      </c>
      <c r="F1037" s="2" t="s">
        <v>511</v>
      </c>
      <c r="G1037">
        <f ca="1" t="shared" si="48"/>
        <v>-0.815800250547073</v>
      </c>
      <c r="H1037" t="str">
        <f ca="1" t="shared" si="49"/>
        <v>Risk-On</v>
      </c>
      <c r="I1037">
        <f ca="1" t="shared" si="50"/>
        <v>1</v>
      </c>
      <c r="J1037">
        <f>_xlfn.XLOOKUP($A1037,[1]Sheet1!$B$9:$B$2584,[1]Sheet1!$C$9:$C$2584,"N/A",0)</f>
        <v>104.44</v>
      </c>
      <c r="K1037">
        <f>_xlfn.XLOOKUP($A1037,[1]Sheet1!$E$9:$E$2584,[1]Sheet1!$F$9:$F$2584,"N/A",0)</f>
        <v>133.18</v>
      </c>
      <c r="L1037">
        <f>_xlfn.XLOOKUP($A1037,[1]Sheet1!$H$9:$H$2584,[1]Sheet1!$I$9:$I$2584,"N/A",0)</f>
        <v>72.97</v>
      </c>
      <c r="M1037">
        <f>_xlfn.XLOOKUP($A1037,[1]Sheet1!$K$9:$K$2584,[1]Sheet1!$L$9:$L$2584,"N/A",0)</f>
        <v>135.59</v>
      </c>
      <c r="N1037">
        <f>_xlfn.XLOOKUP($A1037,[1]Sheet1!$N$9:$N$2584,[1]Sheet1!$O$9:$O$2584,"N/A",0)</f>
        <v>107.07</v>
      </c>
      <c r="O1037">
        <v>104.44</v>
      </c>
      <c r="P1037">
        <v>133.18</v>
      </c>
      <c r="Q1037">
        <v>72.97</v>
      </c>
      <c r="R1037">
        <v>107.07</v>
      </c>
      <c r="S1037">
        <v>135.59</v>
      </c>
    </row>
    <row r="1038" spans="1:19">
      <c r="A1038" s="1">
        <v>43873</v>
      </c>
      <c r="B1038" t="s">
        <v>488</v>
      </c>
      <c r="C1038" t="s">
        <v>507</v>
      </c>
      <c r="D1038">
        <v>14.475</v>
      </c>
      <c r="E1038">
        <v>15.325</v>
      </c>
      <c r="F1038">
        <v>0.0587219343696027</v>
      </c>
      <c r="G1038">
        <f ca="1" t="shared" si="48"/>
        <v>0.215328110717573</v>
      </c>
      <c r="H1038" t="str">
        <f ca="1" t="shared" si="49"/>
        <v>Risk-On</v>
      </c>
      <c r="I1038">
        <f ca="1" t="shared" si="50"/>
        <v>1</v>
      </c>
      <c r="J1038">
        <f>_xlfn.XLOOKUP($A1038,[1]Sheet1!$B$9:$B$2584,[1]Sheet1!$C$9:$C$2584,"N/A",0)</f>
        <v>104.8</v>
      </c>
      <c r="K1038">
        <f>_xlfn.XLOOKUP($A1038,[1]Sheet1!$E$9:$E$2584,[1]Sheet1!$F$9:$F$2584,"N/A",0)</f>
        <v>133.5</v>
      </c>
      <c r="L1038">
        <f>_xlfn.XLOOKUP($A1038,[1]Sheet1!$H$9:$H$2584,[1]Sheet1!$I$9:$I$2584,"N/A",0)</f>
        <v>72.87</v>
      </c>
      <c r="M1038">
        <f>_xlfn.XLOOKUP($A1038,[1]Sheet1!$K$9:$K$2584,[1]Sheet1!$L$9:$L$2584,"N/A",0)</f>
        <v>136.45</v>
      </c>
      <c r="N1038">
        <f>_xlfn.XLOOKUP($A1038,[1]Sheet1!$N$9:$N$2584,[1]Sheet1!$O$9:$O$2584,"N/A",0)</f>
        <v>107.03</v>
      </c>
      <c r="O1038">
        <v>104.8</v>
      </c>
      <c r="P1038">
        <v>133.5</v>
      </c>
      <c r="Q1038">
        <v>72.87</v>
      </c>
      <c r="R1038">
        <v>107.03</v>
      </c>
      <c r="S1038">
        <v>136.45</v>
      </c>
    </row>
    <row r="1039" spans="1:19">
      <c r="A1039" s="1">
        <v>43874</v>
      </c>
      <c r="B1039" t="s">
        <v>488</v>
      </c>
      <c r="C1039" t="s">
        <v>507</v>
      </c>
      <c r="D1039">
        <v>14.825</v>
      </c>
      <c r="E1039">
        <v>15.575</v>
      </c>
      <c r="F1039" s="2" t="s">
        <v>512</v>
      </c>
      <c r="G1039">
        <f ca="1" t="shared" si="48"/>
        <v>0.00548433393152748</v>
      </c>
      <c r="H1039" t="str">
        <f ca="1" t="shared" si="49"/>
        <v>Risk-On</v>
      </c>
      <c r="I1039">
        <f ca="1" t="shared" si="50"/>
        <v>1</v>
      </c>
      <c r="J1039">
        <f>_xlfn.XLOOKUP($A1039,[1]Sheet1!$B$9:$B$2584,[1]Sheet1!$C$9:$C$2584,"N/A",0)</f>
        <v>105.22</v>
      </c>
      <c r="K1039">
        <f>_xlfn.XLOOKUP($A1039,[1]Sheet1!$E$9:$E$2584,[1]Sheet1!$F$9:$F$2584,"N/A",0)</f>
        <v>134.46</v>
      </c>
      <c r="L1039">
        <f>_xlfn.XLOOKUP($A1039,[1]Sheet1!$H$9:$H$2584,[1]Sheet1!$I$9:$I$2584,"N/A",0)</f>
        <v>72.6</v>
      </c>
      <c r="M1039">
        <f>_xlfn.XLOOKUP($A1039,[1]Sheet1!$K$9:$K$2584,[1]Sheet1!$L$9:$L$2584,"N/A",0)</f>
        <v>137.17</v>
      </c>
      <c r="N1039">
        <f>_xlfn.XLOOKUP($A1039,[1]Sheet1!$N$9:$N$2584,[1]Sheet1!$O$9:$O$2584,"N/A",0)</f>
        <v>106.64</v>
      </c>
      <c r="O1039">
        <v>105.22</v>
      </c>
      <c r="P1039">
        <v>134.46</v>
      </c>
      <c r="Q1039">
        <v>72.6</v>
      </c>
      <c r="R1039">
        <v>106.64</v>
      </c>
      <c r="S1039">
        <v>137.17</v>
      </c>
    </row>
    <row r="1040" spans="1:19">
      <c r="A1040" s="1">
        <v>43875</v>
      </c>
      <c r="B1040" t="s">
        <v>488</v>
      </c>
      <c r="C1040" t="s">
        <v>507</v>
      </c>
      <c r="D1040">
        <v>14.425</v>
      </c>
      <c r="E1040">
        <v>15.425</v>
      </c>
      <c r="F1040">
        <v>0.0693240901213171</v>
      </c>
      <c r="G1040">
        <f ca="1" t="shared" si="48"/>
        <v>0.496906812527683</v>
      </c>
      <c r="H1040" t="str">
        <f ca="1" t="shared" si="49"/>
        <v>Risk-On</v>
      </c>
      <c r="I1040">
        <f ca="1" t="shared" si="50"/>
        <v>1</v>
      </c>
      <c r="J1040">
        <f>_xlfn.XLOOKUP($A1040,[1]Sheet1!$B$9:$B$2584,[1]Sheet1!$C$9:$C$2584,"N/A",0)</f>
        <v>105.01</v>
      </c>
      <c r="K1040">
        <f>_xlfn.XLOOKUP($A1040,[1]Sheet1!$E$9:$E$2584,[1]Sheet1!$F$9:$F$2584,"N/A",0)</f>
        <v>134.96</v>
      </c>
      <c r="L1040">
        <f>_xlfn.XLOOKUP($A1040,[1]Sheet1!$H$9:$H$2584,[1]Sheet1!$I$9:$I$2584,"N/A",0)</f>
        <v>71.99</v>
      </c>
      <c r="M1040">
        <f>_xlfn.XLOOKUP($A1040,[1]Sheet1!$K$9:$K$2584,[1]Sheet1!$L$9:$L$2584,"N/A",0)</f>
        <v>137.13</v>
      </c>
      <c r="N1040">
        <f>_xlfn.XLOOKUP($A1040,[1]Sheet1!$N$9:$N$2584,[1]Sheet1!$O$9:$O$2584,"N/A",0)</f>
        <v>107.1</v>
      </c>
      <c r="O1040">
        <v>105.01</v>
      </c>
      <c r="P1040">
        <v>134.96</v>
      </c>
      <c r="Q1040">
        <v>71.99</v>
      </c>
      <c r="R1040">
        <v>107.1</v>
      </c>
      <c r="S1040">
        <v>137.13</v>
      </c>
    </row>
    <row r="1041" spans="1:19">
      <c r="A1041" s="1">
        <v>43879</v>
      </c>
      <c r="B1041" t="s">
        <v>488</v>
      </c>
      <c r="C1041" t="s">
        <v>507</v>
      </c>
      <c r="D1041">
        <v>14.875</v>
      </c>
      <c r="E1041">
        <v>15.825</v>
      </c>
      <c r="F1041">
        <v>0.0638655462184873</v>
      </c>
      <c r="G1041">
        <f ca="1" t="shared" si="48"/>
        <v>0.352039399532563</v>
      </c>
      <c r="H1041" t="str">
        <f ca="1" t="shared" si="49"/>
        <v>Risk-On</v>
      </c>
      <c r="I1041">
        <f ca="1" t="shared" si="50"/>
        <v>1</v>
      </c>
      <c r="J1041">
        <f>_xlfn.XLOOKUP($A1041,[1]Sheet1!$B$9:$B$2584,[1]Sheet1!$C$9:$C$2584,"N/A",0)</f>
        <v>105.33</v>
      </c>
      <c r="K1041">
        <f>_xlfn.XLOOKUP($A1041,[1]Sheet1!$E$9:$E$2584,[1]Sheet1!$F$9:$F$2584,"N/A",0)</f>
        <v>134.91</v>
      </c>
      <c r="L1041">
        <f>_xlfn.XLOOKUP($A1041,[1]Sheet1!$H$9:$H$2584,[1]Sheet1!$I$9:$I$2584,"N/A",0)</f>
        <v>72.04</v>
      </c>
      <c r="M1041">
        <f>_xlfn.XLOOKUP($A1041,[1]Sheet1!$K$9:$K$2584,[1]Sheet1!$L$9:$L$2584,"N/A",0)</f>
        <v>137.02</v>
      </c>
      <c r="N1041">
        <f>_xlfn.XLOOKUP($A1041,[1]Sheet1!$N$9:$N$2584,[1]Sheet1!$O$9:$O$2584,"N/A",0)</f>
        <v>107.22</v>
      </c>
      <c r="O1041">
        <v>105.33</v>
      </c>
      <c r="P1041">
        <v>134.91</v>
      </c>
      <c r="Q1041">
        <v>72.04</v>
      </c>
      <c r="R1041">
        <v>107.22</v>
      </c>
      <c r="S1041">
        <v>137.02</v>
      </c>
    </row>
    <row r="1042" spans="1:19">
      <c r="A1042" s="1">
        <v>43880</v>
      </c>
      <c r="B1042" t="s">
        <v>488</v>
      </c>
      <c r="C1042" t="s">
        <v>507</v>
      </c>
      <c r="D1042">
        <v>14.51</v>
      </c>
      <c r="E1042">
        <v>15.375</v>
      </c>
      <c r="F1042">
        <v>0.0596140592694693</v>
      </c>
      <c r="G1042">
        <f ca="1" t="shared" si="48"/>
        <v>0.232548901845673</v>
      </c>
      <c r="H1042" t="str">
        <f ca="1" t="shared" si="49"/>
        <v>Risk-On</v>
      </c>
      <c r="I1042">
        <f ca="1" t="shared" si="50"/>
        <v>1</v>
      </c>
      <c r="J1042">
        <f>_xlfn.XLOOKUP($A1042,[1]Sheet1!$B$9:$B$2584,[1]Sheet1!$C$9:$C$2584,"N/A",0)</f>
        <v>105.92</v>
      </c>
      <c r="K1042">
        <f>_xlfn.XLOOKUP($A1042,[1]Sheet1!$E$9:$E$2584,[1]Sheet1!$F$9:$F$2584,"N/A",0)</f>
        <v>135.67</v>
      </c>
      <c r="L1042">
        <f>_xlfn.XLOOKUP($A1042,[1]Sheet1!$H$9:$H$2584,[1]Sheet1!$I$9:$I$2584,"N/A",0)</f>
        <v>71.96</v>
      </c>
      <c r="M1042">
        <f>_xlfn.XLOOKUP($A1042,[1]Sheet1!$K$9:$K$2584,[1]Sheet1!$L$9:$L$2584,"N/A",0)</f>
        <v>136.52</v>
      </c>
      <c r="N1042">
        <f>_xlfn.XLOOKUP($A1042,[1]Sheet1!$N$9:$N$2584,[1]Sheet1!$O$9:$O$2584,"N/A",0)</f>
        <v>107.06</v>
      </c>
      <c r="O1042">
        <v>105.92</v>
      </c>
      <c r="P1042">
        <v>135.67</v>
      </c>
      <c r="Q1042">
        <v>71.96</v>
      </c>
      <c r="R1042">
        <v>107.06</v>
      </c>
      <c r="S1042">
        <v>136.52</v>
      </c>
    </row>
    <row r="1043" spans="1:19">
      <c r="A1043" s="1">
        <v>43881</v>
      </c>
      <c r="B1043" t="s">
        <v>507</v>
      </c>
      <c r="C1043" t="s">
        <v>513</v>
      </c>
      <c r="D1043">
        <v>16.075</v>
      </c>
      <c r="E1043">
        <v>16.825</v>
      </c>
      <c r="F1043">
        <v>0.046656298600311</v>
      </c>
      <c r="G1043">
        <f ca="1" t="shared" si="48"/>
        <v>-0.115025211312735</v>
      </c>
      <c r="H1043" t="str">
        <f ca="1" t="shared" si="49"/>
        <v>Risk-On</v>
      </c>
      <c r="I1043">
        <f ca="1" t="shared" si="50"/>
        <v>1</v>
      </c>
      <c r="J1043">
        <f>_xlfn.XLOOKUP($A1043,[1]Sheet1!$B$9:$B$2584,[1]Sheet1!$C$9:$C$2584,"N/A",0)</f>
        <v>106.71</v>
      </c>
      <c r="K1043">
        <f>_xlfn.XLOOKUP($A1043,[1]Sheet1!$E$9:$E$2584,[1]Sheet1!$F$9:$F$2584,"N/A",0)</f>
        <v>134.31</v>
      </c>
      <c r="L1043">
        <f>_xlfn.XLOOKUP($A1043,[1]Sheet1!$H$9:$H$2584,[1]Sheet1!$I$9:$I$2584,"N/A",0)</f>
        <v>72.07</v>
      </c>
      <c r="M1043">
        <f>_xlfn.XLOOKUP($A1043,[1]Sheet1!$K$9:$K$2584,[1]Sheet1!$L$9:$L$2584,"N/A",0)</f>
        <v>136.3</v>
      </c>
      <c r="N1043">
        <f>_xlfn.XLOOKUP($A1043,[1]Sheet1!$N$9:$N$2584,[1]Sheet1!$O$9:$O$2584,"N/A",0)</f>
        <v>106.57</v>
      </c>
      <c r="O1043">
        <v>106.71</v>
      </c>
      <c r="P1043">
        <v>134.31</v>
      </c>
      <c r="Q1043">
        <v>72.07</v>
      </c>
      <c r="R1043">
        <v>106.57</v>
      </c>
      <c r="S1043">
        <v>136.3</v>
      </c>
    </row>
    <row r="1044" spans="1:19">
      <c r="A1044" s="1">
        <v>43882</v>
      </c>
      <c r="B1044" t="s">
        <v>507</v>
      </c>
      <c r="C1044" t="s">
        <v>513</v>
      </c>
      <c r="D1044">
        <v>16.925</v>
      </c>
      <c r="E1044">
        <v>17.325</v>
      </c>
      <c r="F1044" s="2" t="s">
        <v>514</v>
      </c>
      <c r="G1044">
        <f ca="1" t="shared" si="48"/>
        <v>-0.72018152642992</v>
      </c>
      <c r="H1044" t="str">
        <f ca="1" t="shared" si="49"/>
        <v>Risk-On</v>
      </c>
      <c r="I1044">
        <f ca="1" t="shared" si="50"/>
        <v>1</v>
      </c>
      <c r="J1044">
        <f>_xlfn.XLOOKUP($A1044,[1]Sheet1!$B$9:$B$2584,[1]Sheet1!$C$9:$C$2584,"N/A",0)</f>
        <v>107.28</v>
      </c>
      <c r="K1044">
        <f>_xlfn.XLOOKUP($A1044,[1]Sheet1!$E$9:$E$2584,[1]Sheet1!$F$9:$F$2584,"N/A",0)</f>
        <v>132.82</v>
      </c>
      <c r="L1044">
        <f>_xlfn.XLOOKUP($A1044,[1]Sheet1!$H$9:$H$2584,[1]Sheet1!$I$9:$I$2584,"N/A",0)</f>
        <v>72.22</v>
      </c>
      <c r="M1044">
        <f>_xlfn.XLOOKUP($A1044,[1]Sheet1!$K$9:$K$2584,[1]Sheet1!$L$9:$L$2584,"N/A",0)</f>
        <v>135.58</v>
      </c>
      <c r="N1044">
        <f>_xlfn.XLOOKUP($A1044,[1]Sheet1!$N$9:$N$2584,[1]Sheet1!$O$9:$O$2584,"N/A",0)</f>
        <v>107.03</v>
      </c>
      <c r="O1044">
        <v>107.28</v>
      </c>
      <c r="P1044">
        <v>132.82</v>
      </c>
      <c r="Q1044">
        <v>72.22</v>
      </c>
      <c r="R1044">
        <v>107.03</v>
      </c>
      <c r="S1044">
        <v>135.58</v>
      </c>
    </row>
    <row r="1045" spans="1:19">
      <c r="A1045" s="1">
        <v>43885</v>
      </c>
      <c r="B1045" t="s">
        <v>507</v>
      </c>
      <c r="C1045" t="s">
        <v>513</v>
      </c>
      <c r="D1045">
        <v>20.075</v>
      </c>
      <c r="E1045">
        <v>19.375</v>
      </c>
      <c r="F1045">
        <v>-0.0348692403486923</v>
      </c>
      <c r="G1045">
        <f ca="1" t="shared" si="48"/>
        <v>-2.25048645622635</v>
      </c>
      <c r="H1045" t="str">
        <f ca="1" t="shared" si="49"/>
        <v>Risk-On</v>
      </c>
      <c r="I1045">
        <f ca="1" t="shared" si="50"/>
        <v>1</v>
      </c>
      <c r="J1045">
        <f>_xlfn.XLOOKUP($A1045,[1]Sheet1!$B$9:$B$2584,[1]Sheet1!$C$9:$C$2584,"N/A",0)</f>
        <v>106.78</v>
      </c>
      <c r="K1045">
        <f>_xlfn.XLOOKUP($A1045,[1]Sheet1!$E$9:$E$2584,[1]Sheet1!$F$9:$F$2584,"N/A",0)</f>
        <v>132.61</v>
      </c>
      <c r="L1045">
        <f>_xlfn.XLOOKUP($A1045,[1]Sheet1!$H$9:$H$2584,[1]Sheet1!$I$9:$I$2584,"N/A",0)</f>
        <v>72.1</v>
      </c>
      <c r="M1045">
        <f>_xlfn.XLOOKUP($A1045,[1]Sheet1!$K$9:$K$2584,[1]Sheet1!$L$9:$L$2584,"N/A",0)</f>
        <v>135.45</v>
      </c>
      <c r="N1045">
        <f>_xlfn.XLOOKUP($A1045,[1]Sheet1!$N$9:$N$2584,[1]Sheet1!$O$9:$O$2584,"N/A",0)</f>
        <v>106.54</v>
      </c>
      <c r="O1045">
        <v>106.78</v>
      </c>
      <c r="P1045">
        <v>132.61</v>
      </c>
      <c r="Q1045">
        <v>72.1</v>
      </c>
      <c r="R1045">
        <v>106.54</v>
      </c>
      <c r="S1045">
        <v>135.45</v>
      </c>
    </row>
    <row r="1046" spans="1:19">
      <c r="A1046" s="1">
        <v>43886</v>
      </c>
      <c r="B1046" t="s">
        <v>507</v>
      </c>
      <c r="C1046" t="s">
        <v>513</v>
      </c>
      <c r="D1046">
        <v>22.225</v>
      </c>
      <c r="E1046">
        <v>20.875</v>
      </c>
      <c r="F1046">
        <v>-0.0607424071991001</v>
      </c>
      <c r="G1046">
        <f ca="1" t="shared" si="48"/>
        <v>-2.86640166885266</v>
      </c>
      <c r="H1046" t="str">
        <f ca="1" t="shared" si="49"/>
        <v>Risk-On</v>
      </c>
      <c r="I1046">
        <f ca="1" t="shared" si="50"/>
        <v>1</v>
      </c>
      <c r="J1046">
        <f>_xlfn.XLOOKUP($A1046,[1]Sheet1!$B$9:$B$2584,[1]Sheet1!$C$9:$C$2584,"N/A",0)</f>
        <v>105.82</v>
      </c>
      <c r="K1046">
        <f>_xlfn.XLOOKUP($A1046,[1]Sheet1!$E$9:$E$2584,[1]Sheet1!$F$9:$F$2584,"N/A",0)</f>
        <v>133.2</v>
      </c>
      <c r="L1046">
        <f>_xlfn.XLOOKUP($A1046,[1]Sheet1!$H$9:$H$2584,[1]Sheet1!$I$9:$I$2584,"N/A",0)</f>
        <v>71.98</v>
      </c>
      <c r="M1046">
        <f>_xlfn.XLOOKUP($A1046,[1]Sheet1!$K$9:$K$2584,[1]Sheet1!$L$9:$L$2584,"N/A",0)</f>
        <v>135.5</v>
      </c>
      <c r="N1046">
        <f>_xlfn.XLOOKUP($A1046,[1]Sheet1!$N$9:$N$2584,[1]Sheet1!$O$9:$O$2584,"N/A",0)</f>
        <v>106.79</v>
      </c>
      <c r="O1046">
        <v>105.82</v>
      </c>
      <c r="P1046">
        <v>133.2</v>
      </c>
      <c r="Q1046">
        <v>71.98</v>
      </c>
      <c r="R1046">
        <v>106.79</v>
      </c>
      <c r="S1046">
        <v>135.5</v>
      </c>
    </row>
    <row r="1047" spans="1:19">
      <c r="A1047" s="1">
        <v>43887</v>
      </c>
      <c r="B1047" t="s">
        <v>507</v>
      </c>
      <c r="C1047" t="s">
        <v>513</v>
      </c>
      <c r="D1047">
        <v>22.325</v>
      </c>
      <c r="E1047">
        <v>20.975</v>
      </c>
      <c r="F1047">
        <v>-0.0604703247480402</v>
      </c>
      <c r="G1047">
        <f ca="1" t="shared" si="48"/>
        <v>-2.76392578731252</v>
      </c>
      <c r="H1047" t="str">
        <f ca="1" t="shared" si="49"/>
        <v>Risk-On</v>
      </c>
      <c r="I1047">
        <f ca="1" t="shared" si="50"/>
        <v>1</v>
      </c>
      <c r="J1047">
        <f>_xlfn.XLOOKUP($A1047,[1]Sheet1!$B$9:$B$2584,[1]Sheet1!$C$9:$C$2584,"N/A",0)</f>
        <v>106.03</v>
      </c>
      <c r="K1047">
        <f>_xlfn.XLOOKUP($A1047,[1]Sheet1!$E$9:$E$2584,[1]Sheet1!$F$9:$F$2584,"N/A",0)</f>
        <v>133.75</v>
      </c>
      <c r="L1047">
        <f>_xlfn.XLOOKUP($A1047,[1]Sheet1!$H$9:$H$2584,[1]Sheet1!$I$9:$I$2584,"N/A",0)</f>
        <v>71.64</v>
      </c>
      <c r="M1047">
        <f>_xlfn.XLOOKUP($A1047,[1]Sheet1!$K$9:$K$2584,[1]Sheet1!$L$9:$L$2584,"N/A",0)</f>
        <v>135.86</v>
      </c>
      <c r="N1047">
        <f>_xlfn.XLOOKUP($A1047,[1]Sheet1!$N$9:$N$2584,[1]Sheet1!$O$9:$O$2584,"N/A",0)</f>
        <v>107.64</v>
      </c>
      <c r="O1047">
        <v>106.03</v>
      </c>
      <c r="P1047">
        <v>133.75</v>
      </c>
      <c r="Q1047">
        <v>71.64</v>
      </c>
      <c r="R1047">
        <v>107.64</v>
      </c>
      <c r="S1047">
        <v>135.86</v>
      </c>
    </row>
    <row r="1048" spans="1:19">
      <c r="A1048" s="1">
        <v>43888</v>
      </c>
      <c r="B1048" t="s">
        <v>507</v>
      </c>
      <c r="C1048" t="s">
        <v>513</v>
      </c>
      <c r="D1048">
        <v>26.275</v>
      </c>
      <c r="E1048">
        <v>23.525</v>
      </c>
      <c r="F1048">
        <v>-0.104662226450999</v>
      </c>
      <c r="G1048">
        <f ca="1" t="shared" si="48"/>
        <v>-3.74785003273401</v>
      </c>
      <c r="H1048" t="str">
        <f ca="1" t="shared" si="49"/>
        <v>Risk-On</v>
      </c>
      <c r="I1048">
        <f ca="1" t="shared" si="50"/>
        <v>1</v>
      </c>
      <c r="J1048">
        <f>_xlfn.XLOOKUP($A1048,[1]Sheet1!$B$9:$B$2584,[1]Sheet1!$C$9:$C$2584,"N/A",0)</f>
        <v>105.44</v>
      </c>
      <c r="K1048">
        <f>_xlfn.XLOOKUP($A1048,[1]Sheet1!$E$9:$E$2584,[1]Sheet1!$F$9:$F$2584,"N/A",0)</f>
        <v>133.08</v>
      </c>
      <c r="L1048">
        <f>_xlfn.XLOOKUP($A1048,[1]Sheet1!$H$9:$H$2584,[1]Sheet1!$I$9:$I$2584,"N/A",0)</f>
        <v>71.89</v>
      </c>
      <c r="M1048">
        <f>_xlfn.XLOOKUP($A1048,[1]Sheet1!$K$9:$K$2584,[1]Sheet1!$L$9:$L$2584,"N/A",0)</f>
        <v>135.68</v>
      </c>
      <c r="N1048">
        <f>_xlfn.XLOOKUP($A1048,[1]Sheet1!$N$9:$N$2584,[1]Sheet1!$O$9:$O$2584,"N/A",0)</f>
        <v>106.79</v>
      </c>
      <c r="O1048">
        <v>105.44</v>
      </c>
      <c r="P1048">
        <v>133.08</v>
      </c>
      <c r="Q1048">
        <v>71.89</v>
      </c>
      <c r="R1048">
        <v>106.79</v>
      </c>
      <c r="S1048">
        <v>135.68</v>
      </c>
    </row>
    <row r="1049" spans="1:19">
      <c r="A1049" s="1">
        <v>43889</v>
      </c>
      <c r="B1049" t="s">
        <v>507</v>
      </c>
      <c r="C1049" t="s">
        <v>513</v>
      </c>
      <c r="D1049">
        <v>26.325</v>
      </c>
      <c r="E1049">
        <v>23.025</v>
      </c>
      <c r="F1049">
        <v>-0.125356125356125</v>
      </c>
      <c r="G1049">
        <f ca="1" t="shared" si="48"/>
        <v>-4.01942468838089</v>
      </c>
      <c r="H1049" t="str">
        <f ca="1" t="shared" si="49"/>
        <v>Risk-On</v>
      </c>
      <c r="I1049">
        <f ca="1" t="shared" si="50"/>
        <v>1</v>
      </c>
      <c r="J1049">
        <f>_xlfn.XLOOKUP($A1049,[1]Sheet1!$B$9:$B$2584,[1]Sheet1!$C$9:$C$2584,"N/A",0)</f>
        <v>105.59</v>
      </c>
      <c r="K1049">
        <f>_xlfn.XLOOKUP($A1049,[1]Sheet1!$E$9:$E$2584,[1]Sheet1!$F$9:$F$2584,"N/A",0)</f>
        <v>134.89</v>
      </c>
      <c r="L1049">
        <f>_xlfn.XLOOKUP($A1049,[1]Sheet1!$H$9:$H$2584,[1]Sheet1!$I$9:$I$2584,"N/A",0)</f>
        <v>71.67</v>
      </c>
      <c r="M1049">
        <f>_xlfn.XLOOKUP($A1049,[1]Sheet1!$K$9:$K$2584,[1]Sheet1!$L$9:$L$2584,"N/A",0)</f>
        <v>135.71</v>
      </c>
      <c r="N1049">
        <f>_xlfn.XLOOKUP($A1049,[1]Sheet1!$N$9:$N$2584,[1]Sheet1!$O$9:$O$2584,"N/A",0)</f>
        <v>107.15</v>
      </c>
      <c r="O1049">
        <v>105.59</v>
      </c>
      <c r="P1049">
        <v>134.89</v>
      </c>
      <c r="Q1049">
        <v>71.67</v>
      </c>
      <c r="R1049">
        <v>107.15</v>
      </c>
      <c r="S1049">
        <v>135.71</v>
      </c>
    </row>
    <row r="1050" spans="1:19">
      <c r="A1050" s="1">
        <v>43892</v>
      </c>
      <c r="B1050" t="s">
        <v>507</v>
      </c>
      <c r="C1050" t="s">
        <v>513</v>
      </c>
      <c r="D1050">
        <v>26.275</v>
      </c>
      <c r="E1050">
        <v>23.325</v>
      </c>
      <c r="F1050">
        <v>-0.112274024738344</v>
      </c>
      <c r="G1050">
        <f ca="1" t="shared" si="48"/>
        <v>-3.48139850194363</v>
      </c>
      <c r="H1050" t="str">
        <f ca="1" t="shared" si="49"/>
        <v>Risk-On</v>
      </c>
      <c r="I1050">
        <f ca="1" t="shared" si="50"/>
        <v>1</v>
      </c>
      <c r="J1050">
        <f>_xlfn.XLOOKUP($A1050,[1]Sheet1!$B$9:$B$2584,[1]Sheet1!$C$9:$C$2584,"N/A",0)</f>
        <v>105.27</v>
      </c>
      <c r="K1050">
        <f>_xlfn.XLOOKUP($A1050,[1]Sheet1!$E$9:$E$2584,[1]Sheet1!$F$9:$F$2584,"N/A",0)</f>
        <v>136.8</v>
      </c>
      <c r="L1050">
        <f>_xlfn.XLOOKUP($A1050,[1]Sheet1!$H$9:$H$2584,[1]Sheet1!$I$9:$I$2584,"N/A",0)</f>
        <v>71.2</v>
      </c>
      <c r="M1050">
        <f>_xlfn.XLOOKUP($A1050,[1]Sheet1!$K$9:$K$2584,[1]Sheet1!$L$9:$L$2584,"N/A",0)</f>
        <v>136.35</v>
      </c>
      <c r="N1050">
        <f>_xlfn.XLOOKUP($A1050,[1]Sheet1!$N$9:$N$2584,[1]Sheet1!$O$9:$O$2584,"N/A",0)</f>
        <v>108.2</v>
      </c>
      <c r="O1050">
        <v>105.27</v>
      </c>
      <c r="P1050">
        <v>136.8</v>
      </c>
      <c r="Q1050">
        <v>71.2</v>
      </c>
      <c r="R1050">
        <v>108.2</v>
      </c>
      <c r="S1050">
        <v>136.35</v>
      </c>
    </row>
    <row r="1051" spans="1:19">
      <c r="A1051" s="1">
        <v>43893</v>
      </c>
      <c r="B1051" t="s">
        <v>507</v>
      </c>
      <c r="C1051" t="s">
        <v>513</v>
      </c>
      <c r="D1051">
        <v>29.175</v>
      </c>
      <c r="E1051">
        <v>25.525</v>
      </c>
      <c r="F1051">
        <v>-0.125107112253641</v>
      </c>
      <c r="G1051">
        <f ca="1" t="shared" si="48"/>
        <v>-3.59075623143802</v>
      </c>
      <c r="H1051" t="str">
        <f ca="1" t="shared" si="49"/>
        <v>Risk-On</v>
      </c>
      <c r="I1051">
        <f ca="1" t="shared" si="50"/>
        <v>1</v>
      </c>
      <c r="J1051">
        <f>_xlfn.XLOOKUP($A1051,[1]Sheet1!$B$9:$B$2584,[1]Sheet1!$C$9:$C$2584,"N/A",0)</f>
        <v>104.61</v>
      </c>
      <c r="K1051">
        <f>_xlfn.XLOOKUP($A1051,[1]Sheet1!$E$9:$E$2584,[1]Sheet1!$F$9:$F$2584,"N/A",0)</f>
        <v>137.41</v>
      </c>
      <c r="L1051">
        <f>_xlfn.XLOOKUP($A1051,[1]Sheet1!$H$9:$H$2584,[1]Sheet1!$I$9:$I$2584,"N/A",0)</f>
        <v>71.07</v>
      </c>
      <c r="M1051">
        <f>_xlfn.XLOOKUP($A1051,[1]Sheet1!$K$9:$K$2584,[1]Sheet1!$L$9:$L$2584,"N/A",0)</f>
        <v>135.72</v>
      </c>
      <c r="N1051">
        <f>_xlfn.XLOOKUP($A1051,[1]Sheet1!$N$9:$N$2584,[1]Sheet1!$O$9:$O$2584,"N/A",0)</f>
        <v>107.57</v>
      </c>
      <c r="O1051">
        <v>104.61</v>
      </c>
      <c r="P1051">
        <v>137.41</v>
      </c>
      <c r="Q1051">
        <v>71.07</v>
      </c>
      <c r="R1051">
        <v>107.57</v>
      </c>
      <c r="S1051">
        <v>135.72</v>
      </c>
    </row>
    <row r="1052" spans="1:19">
      <c r="A1052" s="1">
        <v>43894</v>
      </c>
      <c r="B1052" t="s">
        <v>507</v>
      </c>
      <c r="C1052" t="s">
        <v>513</v>
      </c>
      <c r="D1052">
        <v>27.425</v>
      </c>
      <c r="E1052">
        <v>24.625</v>
      </c>
      <c r="F1052">
        <v>-0.102096627164995</v>
      </c>
      <c r="G1052">
        <f ca="1" t="shared" si="48"/>
        <v>-2.94209973275648</v>
      </c>
      <c r="H1052" t="str">
        <f ca="1" t="shared" si="49"/>
        <v>Risk-On</v>
      </c>
      <c r="I1052">
        <f ca="1" t="shared" si="50"/>
        <v>1</v>
      </c>
      <c r="J1052">
        <f>_xlfn.XLOOKUP($A1052,[1]Sheet1!$B$9:$B$2584,[1]Sheet1!$C$9:$C$2584,"N/A",0)</f>
        <v>105.12</v>
      </c>
      <c r="K1052">
        <f>_xlfn.XLOOKUP($A1052,[1]Sheet1!$E$9:$E$2584,[1]Sheet1!$F$9:$F$2584,"N/A",0)</f>
        <v>139.06</v>
      </c>
      <c r="L1052">
        <f>_xlfn.XLOOKUP($A1052,[1]Sheet1!$H$9:$H$2584,[1]Sheet1!$I$9:$I$2584,"N/A",0)</f>
        <v>71.23</v>
      </c>
      <c r="M1052">
        <f>_xlfn.XLOOKUP($A1052,[1]Sheet1!$K$9:$K$2584,[1]Sheet1!$L$9:$L$2584,"N/A",0)</f>
        <v>136.43</v>
      </c>
      <c r="N1052">
        <f>_xlfn.XLOOKUP($A1052,[1]Sheet1!$N$9:$N$2584,[1]Sheet1!$O$9:$O$2584,"N/A",0)</f>
        <v>108.56</v>
      </c>
      <c r="O1052">
        <v>105.12</v>
      </c>
      <c r="P1052">
        <v>139.06</v>
      </c>
      <c r="Q1052">
        <v>71.23</v>
      </c>
      <c r="R1052">
        <v>108.56</v>
      </c>
      <c r="S1052">
        <v>136.43</v>
      </c>
    </row>
    <row r="1053" spans="1:19">
      <c r="A1053" s="1">
        <v>43895</v>
      </c>
      <c r="B1053" t="s">
        <v>507</v>
      </c>
      <c r="C1053" t="s">
        <v>513</v>
      </c>
      <c r="D1053">
        <v>31.875</v>
      </c>
      <c r="E1053">
        <v>27.525</v>
      </c>
      <c r="F1053">
        <v>-0.136470588235294</v>
      </c>
      <c r="G1053">
        <f ca="1" t="shared" si="48"/>
        <v>-3.50120582924071</v>
      </c>
      <c r="H1053" t="str">
        <f ca="1" t="shared" si="49"/>
        <v>Risk-On</v>
      </c>
      <c r="I1053">
        <f ca="1" t="shared" si="50"/>
        <v>1</v>
      </c>
      <c r="J1053">
        <f>_xlfn.XLOOKUP($A1053,[1]Sheet1!$B$9:$B$2584,[1]Sheet1!$C$9:$C$2584,"N/A",0)</f>
        <v>105.15</v>
      </c>
      <c r="K1053">
        <f>_xlfn.XLOOKUP($A1053,[1]Sheet1!$E$9:$E$2584,[1]Sheet1!$F$9:$F$2584,"N/A",0)</f>
        <v>139.39</v>
      </c>
      <c r="L1053">
        <f>_xlfn.XLOOKUP($A1053,[1]Sheet1!$H$9:$H$2584,[1]Sheet1!$I$9:$I$2584,"N/A",0)</f>
        <v>71.27</v>
      </c>
      <c r="M1053">
        <f>_xlfn.XLOOKUP($A1053,[1]Sheet1!$K$9:$K$2584,[1]Sheet1!$L$9:$L$2584,"N/A",0)</f>
        <v>136.67</v>
      </c>
      <c r="N1053">
        <f>_xlfn.XLOOKUP($A1053,[1]Sheet1!$N$9:$N$2584,[1]Sheet1!$O$9:$O$2584,"N/A",0)</f>
        <v>108.42</v>
      </c>
      <c r="O1053">
        <v>105.15</v>
      </c>
      <c r="P1053">
        <v>139.39</v>
      </c>
      <c r="Q1053">
        <v>71.27</v>
      </c>
      <c r="R1053">
        <v>108.42</v>
      </c>
      <c r="S1053">
        <v>136.67</v>
      </c>
    </row>
    <row r="1054" spans="1:19">
      <c r="A1054" s="1">
        <v>43896</v>
      </c>
      <c r="B1054" t="s">
        <v>507</v>
      </c>
      <c r="C1054" t="s">
        <v>513</v>
      </c>
      <c r="D1054">
        <v>35.775</v>
      </c>
      <c r="E1054">
        <v>30.325</v>
      </c>
      <c r="F1054">
        <v>-0.152341020265548</v>
      </c>
      <c r="G1054">
        <f ca="1" t="shared" si="48"/>
        <v>-3.63620595131503</v>
      </c>
      <c r="H1054" t="str">
        <f ca="1" t="shared" si="49"/>
        <v>Risk-On</v>
      </c>
      <c r="I1054">
        <f ca="1" t="shared" si="50"/>
        <v>1</v>
      </c>
      <c r="J1054">
        <f>_xlfn.XLOOKUP($A1054,[1]Sheet1!$B$9:$B$2584,[1]Sheet1!$C$9:$C$2584,"N/A",0)</f>
        <v>105.05</v>
      </c>
      <c r="K1054">
        <f>_xlfn.XLOOKUP($A1054,[1]Sheet1!$E$9:$E$2584,[1]Sheet1!$F$9:$F$2584,"N/A",0)</f>
        <v>138.16</v>
      </c>
      <c r="L1054">
        <f>_xlfn.XLOOKUP($A1054,[1]Sheet1!$H$9:$H$2584,[1]Sheet1!$I$9:$I$2584,"N/A",0)</f>
        <v>71.51</v>
      </c>
      <c r="M1054">
        <f>_xlfn.XLOOKUP($A1054,[1]Sheet1!$K$9:$K$2584,[1]Sheet1!$L$9:$L$2584,"N/A",0)</f>
        <v>138.18</v>
      </c>
      <c r="N1054">
        <f>_xlfn.XLOOKUP($A1054,[1]Sheet1!$N$9:$N$2584,[1]Sheet1!$O$9:$O$2584,"N/A",0)</f>
        <v>107.67</v>
      </c>
      <c r="O1054">
        <v>105.05</v>
      </c>
      <c r="P1054">
        <v>138.16</v>
      </c>
      <c r="Q1054">
        <v>71.51</v>
      </c>
      <c r="R1054">
        <v>107.67</v>
      </c>
      <c r="S1054">
        <v>138.18</v>
      </c>
    </row>
    <row r="1055" spans="1:19">
      <c r="A1055" s="1">
        <v>43899</v>
      </c>
      <c r="B1055" t="s">
        <v>507</v>
      </c>
      <c r="C1055" t="s">
        <v>513</v>
      </c>
      <c r="D1055">
        <v>44.375</v>
      </c>
      <c r="E1055">
        <v>36.225</v>
      </c>
      <c r="F1055">
        <v>-0.183661971830985</v>
      </c>
      <c r="G1055">
        <f ca="1" t="shared" si="48"/>
        <v>-4.01354058400514</v>
      </c>
      <c r="H1055" t="str">
        <f ca="1" t="shared" si="49"/>
        <v>Risk-On</v>
      </c>
      <c r="I1055">
        <f ca="1" t="shared" si="50"/>
        <v>1</v>
      </c>
      <c r="J1055">
        <f>_xlfn.XLOOKUP($A1055,[1]Sheet1!$B$9:$B$2584,[1]Sheet1!$C$9:$C$2584,"N/A",0)</f>
        <v>104.36</v>
      </c>
      <c r="K1055">
        <f>_xlfn.XLOOKUP($A1055,[1]Sheet1!$E$9:$E$2584,[1]Sheet1!$F$9:$F$2584,"N/A",0)</f>
        <v>137.93</v>
      </c>
      <c r="L1055">
        <f>_xlfn.XLOOKUP($A1055,[1]Sheet1!$H$9:$H$2584,[1]Sheet1!$I$9:$I$2584,"N/A",0)</f>
        <v>71.19</v>
      </c>
      <c r="M1055">
        <f>_xlfn.XLOOKUP($A1055,[1]Sheet1!$K$9:$K$2584,[1]Sheet1!$L$9:$L$2584,"N/A",0)</f>
        <v>141.29</v>
      </c>
      <c r="N1055">
        <f>_xlfn.XLOOKUP($A1055,[1]Sheet1!$N$9:$N$2584,[1]Sheet1!$O$9:$O$2584,"N/A",0)</f>
        <v>108.52</v>
      </c>
      <c r="O1055">
        <v>104.36</v>
      </c>
      <c r="P1055">
        <v>137.93</v>
      </c>
      <c r="Q1055">
        <v>71.19</v>
      </c>
      <c r="R1055">
        <v>108.52</v>
      </c>
      <c r="S1055">
        <v>141.29</v>
      </c>
    </row>
    <row r="1056" spans="1:19">
      <c r="A1056" s="1">
        <v>43900</v>
      </c>
      <c r="B1056" t="s">
        <v>507</v>
      </c>
      <c r="C1056" t="s">
        <v>513</v>
      </c>
      <c r="D1056">
        <v>41.825</v>
      </c>
      <c r="E1056">
        <v>34.775</v>
      </c>
      <c r="F1056">
        <v>-0.168559473998804</v>
      </c>
      <c r="G1056">
        <f ca="1" t="shared" si="48"/>
        <v>-3.52326340104699</v>
      </c>
      <c r="H1056" t="str">
        <f ca="1" t="shared" si="49"/>
        <v>Risk-On</v>
      </c>
      <c r="I1056">
        <f ca="1" t="shared" si="50"/>
        <v>1</v>
      </c>
      <c r="J1056">
        <f>_xlfn.XLOOKUP($A1056,[1]Sheet1!$B$9:$B$2584,[1]Sheet1!$C$9:$C$2584,"N/A",0)</f>
        <v>104.51</v>
      </c>
      <c r="K1056">
        <f>_xlfn.XLOOKUP($A1056,[1]Sheet1!$E$9:$E$2584,[1]Sheet1!$F$9:$F$2584,"N/A",0)</f>
        <v>139.43</v>
      </c>
      <c r="L1056">
        <f>_xlfn.XLOOKUP($A1056,[1]Sheet1!$H$9:$H$2584,[1]Sheet1!$I$9:$I$2584,"N/A",0)</f>
        <v>70.78</v>
      </c>
      <c r="M1056">
        <f>_xlfn.XLOOKUP($A1056,[1]Sheet1!$K$9:$K$2584,[1]Sheet1!$L$9:$L$2584,"N/A",0)</f>
        <v>141.71</v>
      </c>
      <c r="N1056">
        <f>_xlfn.XLOOKUP($A1056,[1]Sheet1!$N$9:$N$2584,[1]Sheet1!$O$9:$O$2584,"N/A",0)</f>
        <v>110.96</v>
      </c>
      <c r="O1056">
        <v>104.51</v>
      </c>
      <c r="P1056">
        <v>139.43</v>
      </c>
      <c r="Q1056">
        <v>70.78</v>
      </c>
      <c r="R1056">
        <v>110.96</v>
      </c>
      <c r="S1056">
        <v>141.71</v>
      </c>
    </row>
    <row r="1057" spans="1:19">
      <c r="A1057" s="1">
        <v>43901</v>
      </c>
      <c r="B1057" t="s">
        <v>507</v>
      </c>
      <c r="C1057" t="s">
        <v>513</v>
      </c>
      <c r="D1057">
        <v>46.35</v>
      </c>
      <c r="E1057">
        <v>38.575</v>
      </c>
      <c r="F1057">
        <v>-0.16774541531823</v>
      </c>
      <c r="G1057">
        <f ca="1" t="shared" si="48"/>
        <v>-3.34717295569326</v>
      </c>
      <c r="H1057" t="str">
        <f ca="1" t="shared" si="49"/>
        <v>Risk-On</v>
      </c>
      <c r="I1057">
        <f ca="1" t="shared" si="50"/>
        <v>1</v>
      </c>
      <c r="J1057">
        <f>_xlfn.XLOOKUP($A1057,[1]Sheet1!$B$9:$B$2584,[1]Sheet1!$C$9:$C$2584,"N/A",0)</f>
        <v>104.45</v>
      </c>
      <c r="K1057">
        <f>_xlfn.XLOOKUP($A1057,[1]Sheet1!$E$9:$E$2584,[1]Sheet1!$F$9:$F$2584,"N/A",0)</f>
        <v>139.58</v>
      </c>
      <c r="L1057">
        <f>_xlfn.XLOOKUP($A1057,[1]Sheet1!$H$9:$H$2584,[1]Sheet1!$I$9:$I$2584,"N/A",0)</f>
        <v>70.86</v>
      </c>
      <c r="M1057">
        <f>_xlfn.XLOOKUP($A1057,[1]Sheet1!$K$9:$K$2584,[1]Sheet1!$L$9:$L$2584,"N/A",0)</f>
        <v>141.93</v>
      </c>
      <c r="N1057">
        <f>_xlfn.XLOOKUP($A1057,[1]Sheet1!$N$9:$N$2584,[1]Sheet1!$O$9:$O$2584,"N/A",0)</f>
        <v>112.2</v>
      </c>
      <c r="O1057">
        <v>104.45</v>
      </c>
      <c r="P1057">
        <v>139.58</v>
      </c>
      <c r="Q1057">
        <v>70.86</v>
      </c>
      <c r="R1057">
        <v>112.2</v>
      </c>
      <c r="S1057">
        <v>141.93</v>
      </c>
    </row>
    <row r="1058" spans="1:19">
      <c r="A1058" s="1">
        <v>43902</v>
      </c>
      <c r="B1058" t="s">
        <v>507</v>
      </c>
      <c r="C1058" t="s">
        <v>513</v>
      </c>
      <c r="D1058">
        <v>58.3</v>
      </c>
      <c r="E1058">
        <v>45.825</v>
      </c>
      <c r="F1058">
        <v>-0.213979416809605</v>
      </c>
      <c r="G1058">
        <f ca="1" t="shared" si="48"/>
        <v>-3.92257942291858</v>
      </c>
      <c r="H1058" t="str">
        <f ca="1" t="shared" si="49"/>
        <v>Risk-On</v>
      </c>
      <c r="I1058">
        <f ca="1" t="shared" si="50"/>
        <v>1</v>
      </c>
      <c r="J1058">
        <f>_xlfn.XLOOKUP($A1058,[1]Sheet1!$B$9:$B$2584,[1]Sheet1!$C$9:$C$2584,"N/A",0)</f>
        <v>104.7</v>
      </c>
      <c r="K1058">
        <f>_xlfn.XLOOKUP($A1058,[1]Sheet1!$E$9:$E$2584,[1]Sheet1!$F$9:$F$2584,"N/A",0)</f>
        <v>140.88</v>
      </c>
      <c r="L1058">
        <f>_xlfn.XLOOKUP($A1058,[1]Sheet1!$H$9:$H$2584,[1]Sheet1!$I$9:$I$2584,"N/A",0)</f>
        <v>69.78</v>
      </c>
      <c r="M1058">
        <f>_xlfn.XLOOKUP($A1058,[1]Sheet1!$K$9:$K$2584,[1]Sheet1!$L$9:$L$2584,"N/A",0)</f>
        <v>141.63</v>
      </c>
      <c r="N1058">
        <f>_xlfn.XLOOKUP($A1058,[1]Sheet1!$N$9:$N$2584,[1]Sheet1!$O$9:$O$2584,"N/A",0)</f>
        <v>113.81</v>
      </c>
      <c r="O1058">
        <v>104.7</v>
      </c>
      <c r="P1058">
        <v>140.88</v>
      </c>
      <c r="Q1058">
        <v>69.78</v>
      </c>
      <c r="R1058">
        <v>113.81</v>
      </c>
      <c r="S1058">
        <v>141.63</v>
      </c>
    </row>
    <row r="1059" spans="1:19">
      <c r="A1059" s="1">
        <v>43903</v>
      </c>
      <c r="B1059" t="s">
        <v>507</v>
      </c>
      <c r="C1059" t="s">
        <v>513</v>
      </c>
      <c r="D1059">
        <v>53.425</v>
      </c>
      <c r="E1059">
        <v>43.9</v>
      </c>
      <c r="F1059">
        <v>-0.178287318671034</v>
      </c>
      <c r="G1059">
        <f ca="1" t="shared" si="48"/>
        <v>-3.1645083273112</v>
      </c>
      <c r="H1059" t="str">
        <f ca="1" t="shared" si="49"/>
        <v>Risk-On</v>
      </c>
      <c r="I1059">
        <f ca="1" t="shared" si="50"/>
        <v>1</v>
      </c>
      <c r="J1059">
        <f>_xlfn.XLOOKUP($A1059,[1]Sheet1!$B$9:$B$2584,[1]Sheet1!$C$9:$C$2584,"N/A",0)</f>
        <v>104.61</v>
      </c>
      <c r="K1059">
        <f>_xlfn.XLOOKUP($A1059,[1]Sheet1!$E$9:$E$2584,[1]Sheet1!$F$9:$F$2584,"N/A",0)</f>
        <v>139.87</v>
      </c>
      <c r="L1059">
        <f>_xlfn.XLOOKUP($A1059,[1]Sheet1!$H$9:$H$2584,[1]Sheet1!$I$9:$I$2584,"N/A",0)</f>
        <v>69.22</v>
      </c>
      <c r="M1059">
        <f>_xlfn.XLOOKUP($A1059,[1]Sheet1!$K$9:$K$2584,[1]Sheet1!$L$9:$L$2584,"N/A",0)</f>
        <v>142.67</v>
      </c>
      <c r="N1059">
        <f>_xlfn.XLOOKUP($A1059,[1]Sheet1!$N$9:$N$2584,[1]Sheet1!$O$9:$O$2584,"N/A",0)</f>
        <v>115.89</v>
      </c>
      <c r="O1059">
        <v>104.61</v>
      </c>
      <c r="P1059">
        <v>139.87</v>
      </c>
      <c r="Q1059">
        <v>69.22</v>
      </c>
      <c r="R1059">
        <v>115.89</v>
      </c>
      <c r="S1059">
        <v>142.67</v>
      </c>
    </row>
    <row r="1060" spans="1:19">
      <c r="A1060" s="1">
        <v>43906</v>
      </c>
      <c r="B1060" t="s">
        <v>507</v>
      </c>
      <c r="C1060" t="s">
        <v>513</v>
      </c>
      <c r="D1060">
        <v>72.625</v>
      </c>
      <c r="E1060">
        <v>59.15</v>
      </c>
      <c r="F1060">
        <v>-0.185542168674698</v>
      </c>
      <c r="G1060">
        <f ca="1" t="shared" si="48"/>
        <v>-3.14894402716508</v>
      </c>
      <c r="H1060" t="str">
        <f ca="1" t="shared" si="49"/>
        <v>Risk-On</v>
      </c>
      <c r="I1060">
        <f ca="1" t="shared" si="50"/>
        <v>1</v>
      </c>
      <c r="J1060">
        <f>_xlfn.XLOOKUP($A1060,[1]Sheet1!$B$9:$B$2584,[1]Sheet1!$C$9:$C$2584,"N/A",0)</f>
        <v>104.11</v>
      </c>
      <c r="K1060">
        <f>_xlfn.XLOOKUP($A1060,[1]Sheet1!$E$9:$E$2584,[1]Sheet1!$F$9:$F$2584,"N/A",0)</f>
        <v>136.45</v>
      </c>
      <c r="L1060">
        <f>_xlfn.XLOOKUP($A1060,[1]Sheet1!$H$9:$H$2584,[1]Sheet1!$I$9:$I$2584,"N/A",0)</f>
        <v>70.52</v>
      </c>
      <c r="M1060">
        <f>_xlfn.XLOOKUP($A1060,[1]Sheet1!$K$9:$K$2584,[1]Sheet1!$L$9:$L$2584,"N/A",0)</f>
        <v>140.89</v>
      </c>
      <c r="N1060">
        <f>_xlfn.XLOOKUP($A1060,[1]Sheet1!$N$9:$N$2584,[1]Sheet1!$O$9:$O$2584,"N/A",0)</f>
        <v>116.48</v>
      </c>
      <c r="O1060">
        <v>104.11</v>
      </c>
      <c r="P1060">
        <v>136.45</v>
      </c>
      <c r="Q1060">
        <v>70.52</v>
      </c>
      <c r="R1060">
        <v>116.48</v>
      </c>
      <c r="S1060">
        <v>140.89</v>
      </c>
    </row>
    <row r="1061" spans="1:19">
      <c r="A1061" s="1">
        <v>43907</v>
      </c>
      <c r="B1061" t="s">
        <v>507</v>
      </c>
      <c r="C1061" t="s">
        <v>513</v>
      </c>
      <c r="D1061">
        <v>68.825</v>
      </c>
      <c r="E1061">
        <v>61.425</v>
      </c>
      <c r="F1061">
        <v>-0.107519070105339</v>
      </c>
      <c r="G1061">
        <f ca="1" t="shared" si="48"/>
        <v>-1.93465513482307</v>
      </c>
      <c r="H1061" t="str">
        <f ca="1" t="shared" si="49"/>
        <v>Risk-On</v>
      </c>
      <c r="I1061">
        <f ca="1" t="shared" si="50"/>
        <v>1</v>
      </c>
      <c r="J1061">
        <f>_xlfn.XLOOKUP($A1061,[1]Sheet1!$B$9:$B$2584,[1]Sheet1!$C$9:$C$2584,"N/A",0)</f>
        <v>103.84</v>
      </c>
      <c r="K1061">
        <f>_xlfn.XLOOKUP($A1061,[1]Sheet1!$E$9:$E$2584,[1]Sheet1!$F$9:$F$2584,"N/A",0)</f>
        <v>138.28</v>
      </c>
      <c r="L1061">
        <f>_xlfn.XLOOKUP($A1061,[1]Sheet1!$H$9:$H$2584,[1]Sheet1!$I$9:$I$2584,"N/A",0)</f>
        <v>70.02</v>
      </c>
      <c r="M1061">
        <f>_xlfn.XLOOKUP($A1061,[1]Sheet1!$K$9:$K$2584,[1]Sheet1!$L$9:$L$2584,"N/A",0)</f>
        <v>142.61</v>
      </c>
      <c r="N1061">
        <f>_xlfn.XLOOKUP($A1061,[1]Sheet1!$N$9:$N$2584,[1]Sheet1!$O$9:$O$2584,"N/A",0)</f>
        <v>115.35</v>
      </c>
      <c r="O1061">
        <v>103.84</v>
      </c>
      <c r="P1061">
        <v>138.28</v>
      </c>
      <c r="Q1061">
        <v>70.02</v>
      </c>
      <c r="R1061">
        <v>115.35</v>
      </c>
      <c r="S1061">
        <v>142.61</v>
      </c>
    </row>
    <row r="1062" spans="1:19">
      <c r="A1062" s="1">
        <v>43908</v>
      </c>
      <c r="B1062" t="s">
        <v>507</v>
      </c>
      <c r="C1062" t="s">
        <v>513</v>
      </c>
      <c r="D1062">
        <v>69.76</v>
      </c>
      <c r="E1062">
        <v>70.475</v>
      </c>
      <c r="F1062" s="2" t="s">
        <v>515</v>
      </c>
      <c r="G1062">
        <f ca="1" t="shared" si="48"/>
        <v>-0.263925813902529</v>
      </c>
      <c r="H1062" t="str">
        <f ca="1" t="shared" si="49"/>
        <v>Risk-On</v>
      </c>
      <c r="I1062">
        <f ca="1" t="shared" si="50"/>
        <v>1</v>
      </c>
      <c r="J1062">
        <f>_xlfn.XLOOKUP($A1062,[1]Sheet1!$B$9:$B$2584,[1]Sheet1!$C$9:$C$2584,"N/A",0)</f>
        <v>103.65</v>
      </c>
      <c r="K1062">
        <f>_xlfn.XLOOKUP($A1062,[1]Sheet1!$E$9:$E$2584,[1]Sheet1!$F$9:$F$2584,"N/A",0)</f>
        <v>137.83</v>
      </c>
      <c r="L1062">
        <f>_xlfn.XLOOKUP($A1062,[1]Sheet1!$H$9:$H$2584,[1]Sheet1!$I$9:$I$2584,"N/A",0)</f>
        <v>69.89</v>
      </c>
      <c r="M1062">
        <f>_xlfn.XLOOKUP($A1062,[1]Sheet1!$K$9:$K$2584,[1]Sheet1!$L$9:$L$2584,"N/A",0)</f>
        <v>143.16</v>
      </c>
      <c r="N1062">
        <f>_xlfn.XLOOKUP($A1062,[1]Sheet1!$N$9:$N$2584,[1]Sheet1!$O$9:$O$2584,"N/A",0)</f>
        <v>119.1</v>
      </c>
      <c r="O1062">
        <v>103.65</v>
      </c>
      <c r="P1062">
        <v>137.83</v>
      </c>
      <c r="Q1062">
        <v>69.89</v>
      </c>
      <c r="R1062">
        <v>119.1</v>
      </c>
      <c r="S1062">
        <v>143.16</v>
      </c>
    </row>
    <row r="1063" spans="1:19">
      <c r="A1063" s="1">
        <v>43909</v>
      </c>
      <c r="B1063" t="s">
        <v>513</v>
      </c>
      <c r="C1063" t="s">
        <v>516</v>
      </c>
      <c r="D1063">
        <v>66.3</v>
      </c>
      <c r="E1063">
        <v>58.975</v>
      </c>
      <c r="F1063">
        <v>-0.110482654600301</v>
      </c>
      <c r="G1063">
        <f ca="1" t="shared" si="48"/>
        <v>-1.94356943135744</v>
      </c>
      <c r="H1063" t="str">
        <f ca="1" t="shared" si="49"/>
        <v>Risk-On</v>
      </c>
      <c r="I1063">
        <f ca="1" t="shared" si="50"/>
        <v>1</v>
      </c>
      <c r="J1063">
        <f>_xlfn.XLOOKUP($A1063,[1]Sheet1!$B$9:$B$2584,[1]Sheet1!$C$9:$C$2584,"N/A",0)</f>
        <v>103.56</v>
      </c>
      <c r="K1063">
        <f>_xlfn.XLOOKUP($A1063,[1]Sheet1!$E$9:$E$2584,[1]Sheet1!$F$9:$F$2584,"N/A",0)</f>
        <v>137.28</v>
      </c>
      <c r="L1063">
        <f>_xlfn.XLOOKUP($A1063,[1]Sheet1!$H$9:$H$2584,[1]Sheet1!$I$9:$I$2584,"N/A",0)</f>
        <v>68.93</v>
      </c>
      <c r="M1063">
        <f>_xlfn.XLOOKUP($A1063,[1]Sheet1!$K$9:$K$2584,[1]Sheet1!$L$9:$L$2584,"N/A",0)</f>
        <v>142.15</v>
      </c>
      <c r="N1063">
        <f>_xlfn.XLOOKUP($A1063,[1]Sheet1!$N$9:$N$2584,[1]Sheet1!$O$9:$O$2584,"N/A",0)</f>
        <v>111.94</v>
      </c>
      <c r="O1063">
        <v>103.56</v>
      </c>
      <c r="P1063">
        <v>137.28</v>
      </c>
      <c r="Q1063">
        <v>68.93</v>
      </c>
      <c r="R1063">
        <v>111.94</v>
      </c>
      <c r="S1063">
        <v>142.15</v>
      </c>
    </row>
    <row r="1064" spans="1:19">
      <c r="A1064" s="1">
        <v>43910</v>
      </c>
      <c r="B1064" t="s">
        <v>513</v>
      </c>
      <c r="C1064" t="s">
        <v>516</v>
      </c>
      <c r="D1064">
        <v>61.525</v>
      </c>
      <c r="E1064">
        <v>56.625</v>
      </c>
      <c r="F1064">
        <v>-0.0796424217797643</v>
      </c>
      <c r="G1064">
        <f ca="1" t="shared" si="48"/>
        <v>-1.48620193106495</v>
      </c>
      <c r="H1064" t="str">
        <f ca="1" t="shared" si="49"/>
        <v>Risk-On</v>
      </c>
      <c r="I1064">
        <f ca="1" t="shared" si="50"/>
        <v>1</v>
      </c>
      <c r="J1064">
        <f>_xlfn.XLOOKUP($A1064,[1]Sheet1!$B$9:$B$2584,[1]Sheet1!$C$9:$C$2584,"N/A",0)</f>
        <v>104.24</v>
      </c>
      <c r="K1064">
        <f>_xlfn.XLOOKUP($A1064,[1]Sheet1!$E$9:$E$2584,[1]Sheet1!$F$9:$F$2584,"N/A",0)</f>
        <v>136.55</v>
      </c>
      <c r="L1064">
        <f>_xlfn.XLOOKUP($A1064,[1]Sheet1!$H$9:$H$2584,[1]Sheet1!$I$9:$I$2584,"N/A",0)</f>
        <v>68.6</v>
      </c>
      <c r="M1064">
        <f>_xlfn.XLOOKUP($A1064,[1]Sheet1!$K$9:$K$2584,[1]Sheet1!$L$9:$L$2584,"N/A",0)</f>
        <v>139.96</v>
      </c>
      <c r="N1064">
        <f>_xlfn.XLOOKUP($A1064,[1]Sheet1!$N$9:$N$2584,[1]Sheet1!$O$9:$O$2584,"N/A",0)</f>
        <v>112.34</v>
      </c>
      <c r="O1064">
        <v>104.24</v>
      </c>
      <c r="P1064">
        <v>136.55</v>
      </c>
      <c r="Q1064">
        <v>68.6</v>
      </c>
      <c r="R1064">
        <v>112.34</v>
      </c>
      <c r="S1064">
        <v>139.96</v>
      </c>
    </row>
    <row r="1065" spans="1:19">
      <c r="A1065" s="1">
        <v>43913</v>
      </c>
      <c r="B1065" t="s">
        <v>513</v>
      </c>
      <c r="C1065" t="s">
        <v>516</v>
      </c>
      <c r="D1065">
        <v>49.45</v>
      </c>
      <c r="E1065">
        <v>45.325</v>
      </c>
      <c r="F1065">
        <v>-0.0834175935288169</v>
      </c>
      <c r="G1065">
        <f ca="1" t="shared" si="48"/>
        <v>-1.51396758999993</v>
      </c>
      <c r="H1065" t="str">
        <f ca="1" t="shared" si="49"/>
        <v>Risk-On</v>
      </c>
      <c r="I1065">
        <f ca="1" t="shared" si="50"/>
        <v>1</v>
      </c>
      <c r="J1065">
        <f>_xlfn.XLOOKUP($A1065,[1]Sheet1!$B$9:$B$2584,[1]Sheet1!$C$9:$C$2584,"N/A",0)</f>
        <v>103.78</v>
      </c>
      <c r="K1065">
        <f>_xlfn.XLOOKUP($A1065,[1]Sheet1!$E$9:$E$2584,[1]Sheet1!$F$9:$F$2584,"N/A",0)</f>
        <v>138.44</v>
      </c>
      <c r="L1065">
        <f>_xlfn.XLOOKUP($A1065,[1]Sheet1!$H$9:$H$2584,[1]Sheet1!$I$9:$I$2584,"N/A",0)</f>
        <v>68.48</v>
      </c>
      <c r="M1065">
        <f>_xlfn.XLOOKUP($A1065,[1]Sheet1!$K$9:$K$2584,[1]Sheet1!$L$9:$L$2584,"N/A",0)</f>
        <v>138.44</v>
      </c>
      <c r="N1065">
        <f>_xlfn.XLOOKUP($A1065,[1]Sheet1!$N$9:$N$2584,[1]Sheet1!$O$9:$O$2584,"N/A",0)</f>
        <v>111.24</v>
      </c>
      <c r="O1065">
        <v>103.78</v>
      </c>
      <c r="P1065">
        <v>138.44</v>
      </c>
      <c r="Q1065">
        <v>68.48</v>
      </c>
      <c r="R1065">
        <v>111.24</v>
      </c>
      <c r="S1065">
        <v>138.44</v>
      </c>
    </row>
    <row r="1066" spans="1:19">
      <c r="A1066" s="1">
        <v>43914</v>
      </c>
      <c r="B1066" t="s">
        <v>513</v>
      </c>
      <c r="C1066" t="s">
        <v>516</v>
      </c>
      <c r="D1066">
        <v>48.25</v>
      </c>
      <c r="E1066">
        <v>40.15</v>
      </c>
      <c r="F1066">
        <v>-0.167875647668393</v>
      </c>
      <c r="G1066">
        <f ca="1" t="shared" si="48"/>
        <v>-2.64661638479179</v>
      </c>
      <c r="H1066" t="str">
        <f ca="1" t="shared" si="49"/>
        <v>Risk-On</v>
      </c>
      <c r="I1066">
        <f ca="1" t="shared" si="50"/>
        <v>1</v>
      </c>
      <c r="J1066">
        <f>_xlfn.XLOOKUP($A1066,[1]Sheet1!$B$9:$B$2584,[1]Sheet1!$C$9:$C$2584,"N/A",0)</f>
        <v>104.25</v>
      </c>
      <c r="K1066">
        <f>_xlfn.XLOOKUP($A1066,[1]Sheet1!$E$9:$E$2584,[1]Sheet1!$F$9:$F$2584,"N/A",0)</f>
        <v>139.88</v>
      </c>
      <c r="L1066">
        <f>_xlfn.XLOOKUP($A1066,[1]Sheet1!$H$9:$H$2584,[1]Sheet1!$I$9:$I$2584,"N/A",0)</f>
        <v>68.18</v>
      </c>
      <c r="M1066">
        <f>_xlfn.XLOOKUP($A1066,[1]Sheet1!$K$9:$K$2584,[1]Sheet1!$L$9:$L$2584,"N/A",0)</f>
        <v>138.72</v>
      </c>
      <c r="N1066">
        <f>_xlfn.XLOOKUP($A1066,[1]Sheet1!$N$9:$N$2584,[1]Sheet1!$O$9:$O$2584,"N/A",0)</f>
        <v>112.7</v>
      </c>
      <c r="O1066">
        <v>104.25</v>
      </c>
      <c r="P1066">
        <v>139.88</v>
      </c>
      <c r="Q1066">
        <v>68.18</v>
      </c>
      <c r="R1066">
        <v>112.7</v>
      </c>
      <c r="S1066">
        <v>138.72</v>
      </c>
    </row>
    <row r="1067" spans="1:19">
      <c r="A1067" s="1">
        <v>43915</v>
      </c>
      <c r="B1067" t="s">
        <v>513</v>
      </c>
      <c r="C1067" t="s">
        <v>516</v>
      </c>
      <c r="D1067">
        <v>51.275</v>
      </c>
      <c r="E1067">
        <v>44.525</v>
      </c>
      <c r="F1067">
        <v>-0.131643100926377</v>
      </c>
      <c r="G1067">
        <f ca="1" t="shared" si="48"/>
        <v>-2.08407607929099</v>
      </c>
      <c r="H1067" t="str">
        <f ca="1" t="shared" si="49"/>
        <v>Risk-On</v>
      </c>
      <c r="I1067">
        <f ca="1" t="shared" si="50"/>
        <v>1</v>
      </c>
      <c r="J1067">
        <f>_xlfn.XLOOKUP($A1067,[1]Sheet1!$B$9:$B$2584,[1]Sheet1!$C$9:$C$2584,"N/A",0)</f>
        <v>104.48</v>
      </c>
      <c r="K1067">
        <f>_xlfn.XLOOKUP($A1067,[1]Sheet1!$E$9:$E$2584,[1]Sheet1!$F$9:$F$2584,"N/A",0)</f>
        <v>140.52</v>
      </c>
      <c r="L1067">
        <f>_xlfn.XLOOKUP($A1067,[1]Sheet1!$H$9:$H$2584,[1]Sheet1!$I$9:$I$2584,"N/A",0)</f>
        <v>69.4</v>
      </c>
      <c r="M1067">
        <f>_xlfn.XLOOKUP($A1067,[1]Sheet1!$K$9:$K$2584,[1]Sheet1!$L$9:$L$2584,"N/A",0)</f>
        <v>140.66</v>
      </c>
      <c r="N1067">
        <f>_xlfn.XLOOKUP($A1067,[1]Sheet1!$N$9:$N$2584,[1]Sheet1!$O$9:$O$2584,"N/A",0)</f>
        <v>114.58</v>
      </c>
      <c r="O1067">
        <v>104.48</v>
      </c>
      <c r="P1067">
        <v>140.52</v>
      </c>
      <c r="Q1067">
        <v>69.4</v>
      </c>
      <c r="R1067">
        <v>114.58</v>
      </c>
      <c r="S1067">
        <v>140.66</v>
      </c>
    </row>
    <row r="1068" spans="1:19">
      <c r="A1068" s="1">
        <v>43916</v>
      </c>
      <c r="B1068" t="s">
        <v>513</v>
      </c>
      <c r="C1068" t="s">
        <v>516</v>
      </c>
      <c r="D1068">
        <v>45.875</v>
      </c>
      <c r="E1068">
        <v>39.65</v>
      </c>
      <c r="F1068">
        <v>-0.135694822888283</v>
      </c>
      <c r="G1068">
        <f ca="1" t="shared" si="48"/>
        <v>-2.09016755685403</v>
      </c>
      <c r="H1068" t="str">
        <f ca="1" t="shared" si="49"/>
        <v>Risk-On</v>
      </c>
      <c r="I1068">
        <f ca="1" t="shared" si="50"/>
        <v>1</v>
      </c>
      <c r="J1068">
        <f>_xlfn.XLOOKUP($A1068,[1]Sheet1!$B$9:$B$2584,[1]Sheet1!$C$9:$C$2584,"N/A",0)</f>
        <v>104.23</v>
      </c>
      <c r="K1068">
        <f>_xlfn.XLOOKUP($A1068,[1]Sheet1!$E$9:$E$2584,[1]Sheet1!$F$9:$F$2584,"N/A",0)</f>
        <v>142.31</v>
      </c>
      <c r="L1068">
        <f>_xlfn.XLOOKUP($A1068,[1]Sheet1!$H$9:$H$2584,[1]Sheet1!$I$9:$I$2584,"N/A",0)</f>
        <v>69.13</v>
      </c>
      <c r="M1068">
        <f>_xlfn.XLOOKUP($A1068,[1]Sheet1!$K$9:$K$2584,[1]Sheet1!$L$9:$L$2584,"N/A",0)</f>
        <v>141.93</v>
      </c>
      <c r="N1068">
        <f>_xlfn.XLOOKUP($A1068,[1]Sheet1!$N$9:$N$2584,[1]Sheet1!$O$9:$O$2584,"N/A",0)</f>
        <v>114.31</v>
      </c>
      <c r="O1068">
        <v>104.23</v>
      </c>
      <c r="P1068">
        <v>142.31</v>
      </c>
      <c r="Q1068">
        <v>69.13</v>
      </c>
      <c r="R1068">
        <v>114.31</v>
      </c>
      <c r="S1068">
        <v>141.93</v>
      </c>
    </row>
    <row r="1069" spans="1:19">
      <c r="A1069" s="1">
        <v>43917</v>
      </c>
      <c r="B1069" t="s">
        <v>513</v>
      </c>
      <c r="C1069" t="s">
        <v>516</v>
      </c>
      <c r="D1069">
        <v>53.425</v>
      </c>
      <c r="E1069">
        <v>44.825</v>
      </c>
      <c r="F1069">
        <v>-0.160973327094056</v>
      </c>
      <c r="G1069">
        <f ca="1" t="shared" si="48"/>
        <v>-2.37886445098626</v>
      </c>
      <c r="H1069" t="str">
        <f ca="1" t="shared" si="49"/>
        <v>Risk-On</v>
      </c>
      <c r="I1069">
        <f ca="1" t="shared" si="50"/>
        <v>1</v>
      </c>
      <c r="J1069">
        <f>_xlfn.XLOOKUP($A1069,[1]Sheet1!$B$9:$B$2584,[1]Sheet1!$C$9:$C$2584,"N/A",0)</f>
        <v>103.74</v>
      </c>
      <c r="K1069">
        <f>_xlfn.XLOOKUP($A1069,[1]Sheet1!$E$9:$E$2584,[1]Sheet1!$F$9:$F$2584,"N/A",0)</f>
        <v>142.91</v>
      </c>
      <c r="L1069">
        <f>_xlfn.XLOOKUP($A1069,[1]Sheet1!$H$9:$H$2584,[1]Sheet1!$I$9:$I$2584,"N/A",0)</f>
        <v>69.05</v>
      </c>
      <c r="M1069">
        <f>_xlfn.XLOOKUP($A1069,[1]Sheet1!$K$9:$K$2584,[1]Sheet1!$L$9:$L$2584,"N/A",0)</f>
        <v>142.16</v>
      </c>
      <c r="N1069">
        <f>_xlfn.XLOOKUP($A1069,[1]Sheet1!$N$9:$N$2584,[1]Sheet1!$O$9:$O$2584,"N/A",0)</f>
        <v>115.65</v>
      </c>
      <c r="O1069">
        <v>103.74</v>
      </c>
      <c r="P1069">
        <v>142.91</v>
      </c>
      <c r="Q1069">
        <v>69.05</v>
      </c>
      <c r="R1069">
        <v>115.65</v>
      </c>
      <c r="S1069">
        <v>142.16</v>
      </c>
    </row>
    <row r="1070" spans="1:19">
      <c r="A1070" s="1">
        <v>43920</v>
      </c>
      <c r="B1070" t="s">
        <v>513</v>
      </c>
      <c r="C1070" t="s">
        <v>516</v>
      </c>
      <c r="D1070">
        <v>49.775</v>
      </c>
      <c r="E1070">
        <v>42.75</v>
      </c>
      <c r="F1070">
        <v>-0.141135107985936</v>
      </c>
      <c r="G1070">
        <f ca="1" t="shared" si="48"/>
        <v>-2.06338574174315</v>
      </c>
      <c r="H1070" t="str">
        <f ca="1" t="shared" si="49"/>
        <v>Risk-On</v>
      </c>
      <c r="I1070">
        <f ca="1" t="shared" si="50"/>
        <v>1</v>
      </c>
      <c r="J1070">
        <f>_xlfn.XLOOKUP($A1070,[1]Sheet1!$B$9:$B$2584,[1]Sheet1!$C$9:$C$2584,"N/A",0)</f>
        <v>103.84</v>
      </c>
      <c r="K1070">
        <f>_xlfn.XLOOKUP($A1070,[1]Sheet1!$E$9:$E$2584,[1]Sheet1!$F$9:$F$2584,"N/A",0)</f>
        <v>144.59</v>
      </c>
      <c r="L1070">
        <f>_xlfn.XLOOKUP($A1070,[1]Sheet1!$H$9:$H$2584,[1]Sheet1!$I$9:$I$2584,"N/A",0)</f>
        <v>68.36</v>
      </c>
      <c r="M1070">
        <f>_xlfn.XLOOKUP($A1070,[1]Sheet1!$K$9:$K$2584,[1]Sheet1!$L$9:$L$2584,"N/A",0)</f>
        <v>142.97</v>
      </c>
      <c r="N1070">
        <f>_xlfn.XLOOKUP($A1070,[1]Sheet1!$N$9:$N$2584,[1]Sheet1!$O$9:$O$2584,"N/A",0)</f>
        <v>116.98</v>
      </c>
      <c r="O1070">
        <v>103.84</v>
      </c>
      <c r="P1070">
        <v>144.59</v>
      </c>
      <c r="Q1070">
        <v>68.36</v>
      </c>
      <c r="R1070">
        <v>116.98</v>
      </c>
      <c r="S1070">
        <v>142.97</v>
      </c>
    </row>
    <row r="1071" spans="1:19">
      <c r="A1071" s="1">
        <v>43921</v>
      </c>
      <c r="B1071" t="s">
        <v>513</v>
      </c>
      <c r="C1071" t="s">
        <v>516</v>
      </c>
      <c r="D1071">
        <v>46.775</v>
      </c>
      <c r="E1071">
        <v>40.925</v>
      </c>
      <c r="F1071">
        <v>-0.125066809192945</v>
      </c>
      <c r="G1071">
        <f ca="1" t="shared" si="48"/>
        <v>-1.81611963639499</v>
      </c>
      <c r="H1071" t="str">
        <f ca="1" t="shared" si="49"/>
        <v>Risk-On</v>
      </c>
      <c r="I1071">
        <f ca="1" t="shared" si="50"/>
        <v>1</v>
      </c>
      <c r="J1071">
        <f>_xlfn.XLOOKUP($A1071,[1]Sheet1!$B$9:$B$2584,[1]Sheet1!$C$9:$C$2584,"N/A",0)</f>
        <v>104.61</v>
      </c>
      <c r="K1071">
        <f>_xlfn.XLOOKUP($A1071,[1]Sheet1!$E$9:$E$2584,[1]Sheet1!$F$9:$F$2584,"N/A",0)</f>
        <v>143.62</v>
      </c>
      <c r="L1071">
        <f>_xlfn.XLOOKUP($A1071,[1]Sheet1!$H$9:$H$2584,[1]Sheet1!$I$9:$I$2584,"N/A",0)</f>
        <v>68.61</v>
      </c>
      <c r="M1071">
        <f>_xlfn.XLOOKUP($A1071,[1]Sheet1!$K$9:$K$2584,[1]Sheet1!$L$9:$L$2584,"N/A",0)</f>
        <v>141.18</v>
      </c>
      <c r="N1071">
        <f>_xlfn.XLOOKUP($A1071,[1]Sheet1!$N$9:$N$2584,[1]Sheet1!$O$9:$O$2584,"N/A",0)</f>
        <v>115.28</v>
      </c>
      <c r="O1071">
        <v>104.61</v>
      </c>
      <c r="P1071">
        <v>143.62</v>
      </c>
      <c r="Q1071">
        <v>68.61</v>
      </c>
      <c r="R1071">
        <v>115.28</v>
      </c>
      <c r="S1071">
        <v>141.18</v>
      </c>
    </row>
    <row r="1072" spans="1:19">
      <c r="A1072" s="1">
        <v>43922</v>
      </c>
      <c r="B1072" t="s">
        <v>513</v>
      </c>
      <c r="C1072" t="s">
        <v>516</v>
      </c>
      <c r="D1072">
        <v>51.325</v>
      </c>
      <c r="E1072">
        <v>44.625</v>
      </c>
      <c r="F1072">
        <v>-0.130540672187043</v>
      </c>
      <c r="G1072">
        <f ca="1" t="shared" si="48"/>
        <v>-1.84924452830425</v>
      </c>
      <c r="H1072" t="str">
        <f ca="1" t="shared" si="49"/>
        <v>Risk-On</v>
      </c>
      <c r="I1072">
        <f ca="1" t="shared" si="50"/>
        <v>1</v>
      </c>
      <c r="J1072">
        <f>_xlfn.XLOOKUP($A1072,[1]Sheet1!$B$9:$B$2584,[1]Sheet1!$C$9:$C$2584,"N/A",0)</f>
        <v>104.8</v>
      </c>
      <c r="K1072">
        <f>_xlfn.XLOOKUP($A1072,[1]Sheet1!$E$9:$E$2584,[1]Sheet1!$F$9:$F$2584,"N/A",0)</f>
        <v>143.2</v>
      </c>
      <c r="L1072">
        <f>_xlfn.XLOOKUP($A1072,[1]Sheet1!$H$9:$H$2584,[1]Sheet1!$I$9:$I$2584,"N/A",0)</f>
        <v>68.15</v>
      </c>
      <c r="M1072">
        <f>_xlfn.XLOOKUP($A1072,[1]Sheet1!$K$9:$K$2584,[1]Sheet1!$L$9:$L$2584,"N/A",0)</f>
        <v>141.68</v>
      </c>
      <c r="N1072">
        <f>_xlfn.XLOOKUP($A1072,[1]Sheet1!$N$9:$N$2584,[1]Sheet1!$O$9:$O$2584,"N/A",0)</f>
        <v>117.99</v>
      </c>
      <c r="O1072">
        <v>104.8</v>
      </c>
      <c r="P1072">
        <v>143.2</v>
      </c>
      <c r="Q1072">
        <v>68.15</v>
      </c>
      <c r="R1072">
        <v>117.99</v>
      </c>
      <c r="S1072">
        <v>141.68</v>
      </c>
    </row>
    <row r="1073" spans="1:19">
      <c r="A1073" s="1">
        <v>43923</v>
      </c>
      <c r="B1073" t="s">
        <v>513</v>
      </c>
      <c r="C1073" t="s">
        <v>516</v>
      </c>
      <c r="D1073">
        <v>47.175</v>
      </c>
      <c r="E1073">
        <v>42.025</v>
      </c>
      <c r="F1073">
        <v>-0.109167991520932</v>
      </c>
      <c r="G1073">
        <f ca="1" t="shared" si="48"/>
        <v>-1.5503059304874</v>
      </c>
      <c r="H1073" t="str">
        <f ca="1" t="shared" si="49"/>
        <v>Risk-On</v>
      </c>
      <c r="I1073">
        <f ca="1" t="shared" si="50"/>
        <v>1</v>
      </c>
      <c r="J1073">
        <f>_xlfn.XLOOKUP($A1073,[1]Sheet1!$B$9:$B$2584,[1]Sheet1!$C$9:$C$2584,"N/A",0)</f>
        <v>105.56</v>
      </c>
      <c r="K1073">
        <f>_xlfn.XLOOKUP($A1073,[1]Sheet1!$E$9:$E$2584,[1]Sheet1!$F$9:$F$2584,"N/A",0)</f>
        <v>144.34</v>
      </c>
      <c r="L1073">
        <f>_xlfn.XLOOKUP($A1073,[1]Sheet1!$H$9:$H$2584,[1]Sheet1!$I$9:$I$2584,"N/A",0)</f>
        <v>67.46</v>
      </c>
      <c r="M1073">
        <f>_xlfn.XLOOKUP($A1073,[1]Sheet1!$K$9:$K$2584,[1]Sheet1!$L$9:$L$2584,"N/A",0)</f>
        <v>141.65</v>
      </c>
      <c r="N1073">
        <f>_xlfn.XLOOKUP($A1073,[1]Sheet1!$N$9:$N$2584,[1]Sheet1!$O$9:$O$2584,"N/A",0)</f>
        <v>119.56</v>
      </c>
      <c r="O1073">
        <v>105.56</v>
      </c>
      <c r="P1073">
        <v>144.34</v>
      </c>
      <c r="Q1073">
        <v>67.46</v>
      </c>
      <c r="R1073">
        <v>119.56</v>
      </c>
      <c r="S1073">
        <v>141.65</v>
      </c>
    </row>
    <row r="1074" spans="1:19">
      <c r="A1074" s="1">
        <v>43924</v>
      </c>
      <c r="B1074" t="s">
        <v>513</v>
      </c>
      <c r="C1074" t="s">
        <v>516</v>
      </c>
      <c r="D1074">
        <v>44.925</v>
      </c>
      <c r="E1074">
        <v>40.9</v>
      </c>
      <c r="F1074">
        <v>-0.0895937673900945</v>
      </c>
      <c r="G1074">
        <f ca="1" t="shared" si="48"/>
        <v>-1.28523134537785</v>
      </c>
      <c r="H1074" t="str">
        <f ca="1" t="shared" si="49"/>
        <v>Risk-On</v>
      </c>
      <c r="I1074">
        <f ca="1" t="shared" si="50"/>
        <v>1</v>
      </c>
      <c r="J1074">
        <f>_xlfn.XLOOKUP($A1074,[1]Sheet1!$B$9:$B$2584,[1]Sheet1!$C$9:$C$2584,"N/A",0)</f>
        <v>105.94</v>
      </c>
      <c r="K1074">
        <f>_xlfn.XLOOKUP($A1074,[1]Sheet1!$E$9:$E$2584,[1]Sheet1!$F$9:$F$2584,"N/A",0)</f>
        <v>143.58</v>
      </c>
      <c r="L1074">
        <f>_xlfn.XLOOKUP($A1074,[1]Sheet1!$H$9:$H$2584,[1]Sheet1!$I$9:$I$2584,"N/A",0)</f>
        <v>67.49</v>
      </c>
      <c r="M1074">
        <f>_xlfn.XLOOKUP($A1074,[1]Sheet1!$K$9:$K$2584,[1]Sheet1!$L$9:$L$2584,"N/A",0)</f>
        <v>141.83</v>
      </c>
      <c r="N1074">
        <f>_xlfn.XLOOKUP($A1074,[1]Sheet1!$N$9:$N$2584,[1]Sheet1!$O$9:$O$2584,"N/A",0)</f>
        <v>121.22</v>
      </c>
      <c r="O1074">
        <v>105.94</v>
      </c>
      <c r="P1074">
        <v>143.58</v>
      </c>
      <c r="Q1074">
        <v>67.49</v>
      </c>
      <c r="R1074">
        <v>121.22</v>
      </c>
      <c r="S1074">
        <v>141.83</v>
      </c>
    </row>
    <row r="1075" spans="1:19">
      <c r="A1075" s="1">
        <v>43927</v>
      </c>
      <c r="B1075" t="s">
        <v>513</v>
      </c>
      <c r="C1075" t="s">
        <v>516</v>
      </c>
      <c r="D1075">
        <v>41.775</v>
      </c>
      <c r="E1075">
        <v>37.925</v>
      </c>
      <c r="F1075">
        <v>-0.0921603830041891</v>
      </c>
      <c r="G1075">
        <f ca="1" t="shared" si="48"/>
        <v>-1.29754492192425</v>
      </c>
      <c r="H1075" t="str">
        <f ca="1" t="shared" si="49"/>
        <v>Risk-On</v>
      </c>
      <c r="I1075">
        <f ca="1" t="shared" si="50"/>
        <v>1</v>
      </c>
      <c r="J1075">
        <f>_xlfn.XLOOKUP($A1075,[1]Sheet1!$B$9:$B$2584,[1]Sheet1!$C$9:$C$2584,"N/A",0)</f>
        <v>105.66</v>
      </c>
      <c r="K1075">
        <f>_xlfn.XLOOKUP($A1075,[1]Sheet1!$E$9:$E$2584,[1]Sheet1!$F$9:$F$2584,"N/A",0)</f>
        <v>144.34</v>
      </c>
      <c r="L1075">
        <f>_xlfn.XLOOKUP($A1075,[1]Sheet1!$H$9:$H$2584,[1]Sheet1!$I$9:$I$2584,"N/A",0)</f>
        <v>66.56</v>
      </c>
      <c r="M1075">
        <f>_xlfn.XLOOKUP($A1075,[1]Sheet1!$K$9:$K$2584,[1]Sheet1!$L$9:$L$2584,"N/A",0)</f>
        <v>143.43</v>
      </c>
      <c r="N1075">
        <f>_xlfn.XLOOKUP($A1075,[1]Sheet1!$N$9:$N$2584,[1]Sheet1!$O$9:$O$2584,"N/A",0)</f>
        <v>119.71</v>
      </c>
      <c r="O1075">
        <v>105.66</v>
      </c>
      <c r="P1075">
        <v>144.34</v>
      </c>
      <c r="Q1075">
        <v>66.56</v>
      </c>
      <c r="R1075">
        <v>119.71</v>
      </c>
      <c r="S1075">
        <v>143.43</v>
      </c>
    </row>
    <row r="1076" spans="1:19">
      <c r="A1076" s="1">
        <v>43928</v>
      </c>
      <c r="B1076" t="s">
        <v>513</v>
      </c>
      <c r="C1076" t="s">
        <v>516</v>
      </c>
      <c r="D1076">
        <v>44.025</v>
      </c>
      <c r="E1076">
        <v>39.675</v>
      </c>
      <c r="F1076">
        <v>-0.0988074957410562</v>
      </c>
      <c r="G1076">
        <f ca="1" t="shared" si="48"/>
        <v>-1.35929304774019</v>
      </c>
      <c r="H1076" t="str">
        <f ca="1" t="shared" si="49"/>
        <v>Risk-On</v>
      </c>
      <c r="I1076">
        <f ca="1" t="shared" si="50"/>
        <v>1</v>
      </c>
      <c r="J1076">
        <f>_xlfn.XLOOKUP($A1076,[1]Sheet1!$B$9:$B$2584,[1]Sheet1!$C$9:$C$2584,"N/A",0)</f>
        <v>105.8</v>
      </c>
      <c r="K1076">
        <f>_xlfn.XLOOKUP($A1076,[1]Sheet1!$E$9:$E$2584,[1]Sheet1!$F$9:$F$2584,"N/A",0)</f>
        <v>140.96</v>
      </c>
      <c r="L1076">
        <f>_xlfn.XLOOKUP($A1076,[1]Sheet1!$H$9:$H$2584,[1]Sheet1!$I$9:$I$2584,"N/A",0)</f>
        <v>67.27</v>
      </c>
      <c r="M1076">
        <f>_xlfn.XLOOKUP($A1076,[1]Sheet1!$K$9:$K$2584,[1]Sheet1!$L$9:$L$2584,"N/A",0)</f>
        <v>144.04</v>
      </c>
      <c r="N1076">
        <f>_xlfn.XLOOKUP($A1076,[1]Sheet1!$N$9:$N$2584,[1]Sheet1!$O$9:$O$2584,"N/A",0)</f>
        <v>119.24</v>
      </c>
      <c r="O1076">
        <v>105.8</v>
      </c>
      <c r="P1076">
        <v>140.96</v>
      </c>
      <c r="Q1076">
        <v>67.27</v>
      </c>
      <c r="R1076">
        <v>119.24</v>
      </c>
      <c r="S1076">
        <v>144.04</v>
      </c>
    </row>
    <row r="1077" spans="1:19">
      <c r="A1077" s="1">
        <v>43929</v>
      </c>
      <c r="B1077" t="s">
        <v>513</v>
      </c>
      <c r="C1077" t="s">
        <v>516</v>
      </c>
      <c r="D1077">
        <v>42.375</v>
      </c>
      <c r="E1077">
        <v>38.3</v>
      </c>
      <c r="F1077">
        <v>-0.096165191740413</v>
      </c>
      <c r="G1077">
        <f ca="1" t="shared" si="48"/>
        <v>-1.30672222150766</v>
      </c>
      <c r="H1077" t="str">
        <f ca="1" t="shared" si="49"/>
        <v>Risk-On</v>
      </c>
      <c r="I1077">
        <f ca="1" t="shared" si="50"/>
        <v>1</v>
      </c>
      <c r="J1077">
        <f>_xlfn.XLOOKUP($A1077,[1]Sheet1!$B$9:$B$2584,[1]Sheet1!$C$9:$C$2584,"N/A",0)</f>
        <v>105.71</v>
      </c>
      <c r="K1077">
        <f>_xlfn.XLOOKUP($A1077,[1]Sheet1!$E$9:$E$2584,[1]Sheet1!$F$9:$F$2584,"N/A",0)</f>
        <v>140.03</v>
      </c>
      <c r="L1077">
        <f>_xlfn.XLOOKUP($A1077,[1]Sheet1!$H$9:$H$2584,[1]Sheet1!$I$9:$I$2584,"N/A",0)</f>
        <v>67.29</v>
      </c>
      <c r="M1077">
        <f>_xlfn.XLOOKUP($A1077,[1]Sheet1!$K$9:$K$2584,[1]Sheet1!$L$9:$L$2584,"N/A",0)</f>
        <v>142.88</v>
      </c>
      <c r="N1077">
        <f>_xlfn.XLOOKUP($A1077,[1]Sheet1!$N$9:$N$2584,[1]Sheet1!$O$9:$O$2584,"N/A",0)</f>
        <v>118.03</v>
      </c>
      <c r="O1077">
        <v>105.71</v>
      </c>
      <c r="P1077">
        <v>140.03</v>
      </c>
      <c r="Q1077">
        <v>67.29</v>
      </c>
      <c r="R1077">
        <v>118.03</v>
      </c>
      <c r="S1077">
        <v>142.88</v>
      </c>
    </row>
    <row r="1078" spans="1:19">
      <c r="A1078" s="1">
        <v>43930</v>
      </c>
      <c r="B1078" t="s">
        <v>513</v>
      </c>
      <c r="C1078" t="s">
        <v>516</v>
      </c>
      <c r="D1078">
        <v>41.275</v>
      </c>
      <c r="E1078">
        <v>36.925</v>
      </c>
      <c r="F1078">
        <v>-0.105390672319806</v>
      </c>
      <c r="G1078">
        <f ca="1" t="shared" si="48"/>
        <v>-1.39855828516095</v>
      </c>
      <c r="H1078" t="str">
        <f ca="1" t="shared" si="49"/>
        <v>Risk-On</v>
      </c>
      <c r="I1078">
        <f ca="1" t="shared" si="50"/>
        <v>1</v>
      </c>
      <c r="J1078">
        <f>_xlfn.XLOOKUP($A1078,[1]Sheet1!$B$9:$B$2584,[1]Sheet1!$C$9:$C$2584,"N/A",0)</f>
        <v>105.49</v>
      </c>
      <c r="K1078">
        <f>_xlfn.XLOOKUP($A1078,[1]Sheet1!$E$9:$E$2584,[1]Sheet1!$F$9:$F$2584,"N/A",0)</f>
        <v>140.07</v>
      </c>
      <c r="L1078">
        <f>_xlfn.XLOOKUP($A1078,[1]Sheet1!$H$9:$H$2584,[1]Sheet1!$I$9:$I$2584,"N/A",0)</f>
        <v>68.52</v>
      </c>
      <c r="M1078">
        <f>_xlfn.XLOOKUP($A1078,[1]Sheet1!$K$9:$K$2584,[1]Sheet1!$L$9:$L$2584,"N/A",0)</f>
        <v>142.22</v>
      </c>
      <c r="N1078">
        <f>_xlfn.XLOOKUP($A1078,[1]Sheet1!$N$9:$N$2584,[1]Sheet1!$O$9:$O$2584,"N/A",0)</f>
        <v>114.65</v>
      </c>
      <c r="O1078">
        <v>105.49</v>
      </c>
      <c r="P1078">
        <v>140.07</v>
      </c>
      <c r="Q1078">
        <v>68.52</v>
      </c>
      <c r="R1078">
        <v>114.65</v>
      </c>
      <c r="S1078">
        <v>142.22</v>
      </c>
    </row>
    <row r="1079" spans="1:19">
      <c r="A1079" s="1">
        <v>43934</v>
      </c>
      <c r="B1079" t="s">
        <v>513</v>
      </c>
      <c r="C1079" t="s">
        <v>516</v>
      </c>
      <c r="D1079">
        <v>40.575</v>
      </c>
      <c r="E1079">
        <v>36.125</v>
      </c>
      <c r="F1079">
        <v>-0.109673444239063</v>
      </c>
      <c r="G1079">
        <f ca="1" t="shared" si="48"/>
        <v>-1.42884132401829</v>
      </c>
      <c r="H1079" t="str">
        <f ca="1" t="shared" si="49"/>
        <v>Risk-On</v>
      </c>
      <c r="I1079">
        <f ca="1" t="shared" si="50"/>
        <v>1</v>
      </c>
      <c r="J1079">
        <f>_xlfn.XLOOKUP($A1079,[1]Sheet1!$B$9:$B$2584,[1]Sheet1!$C$9:$C$2584,"N/A",0)</f>
        <v>105.6</v>
      </c>
      <c r="K1079">
        <f>_xlfn.XLOOKUP($A1079,[1]Sheet1!$E$9:$E$2584,[1]Sheet1!$F$9:$F$2584,"N/A",0)</f>
        <v>142.2</v>
      </c>
      <c r="L1079">
        <f>_xlfn.XLOOKUP($A1079,[1]Sheet1!$H$9:$H$2584,[1]Sheet1!$I$9:$I$2584,"N/A",0)</f>
        <v>67.74</v>
      </c>
      <c r="M1079">
        <f>_xlfn.XLOOKUP($A1079,[1]Sheet1!$K$9:$K$2584,[1]Sheet1!$L$9:$L$2584,"N/A",0)</f>
        <v>141.58</v>
      </c>
      <c r="N1079">
        <f>_xlfn.XLOOKUP($A1079,[1]Sheet1!$N$9:$N$2584,[1]Sheet1!$O$9:$O$2584,"N/A",0)</f>
        <v>116</v>
      </c>
      <c r="O1079">
        <v>105.6</v>
      </c>
      <c r="P1079">
        <v>142.2</v>
      </c>
      <c r="Q1079">
        <v>67.74</v>
      </c>
      <c r="R1079">
        <v>116</v>
      </c>
      <c r="S1079">
        <v>141.58</v>
      </c>
    </row>
    <row r="1080" spans="1:19">
      <c r="A1080" s="1">
        <v>43935</v>
      </c>
      <c r="B1080" t="s">
        <v>513</v>
      </c>
      <c r="C1080" t="s">
        <v>516</v>
      </c>
      <c r="D1080">
        <v>37.875</v>
      </c>
      <c r="E1080">
        <v>32.975</v>
      </c>
      <c r="F1080">
        <v>-0.129372937293729</v>
      </c>
      <c r="G1080">
        <f ca="1" t="shared" si="48"/>
        <v>-1.6498267200581</v>
      </c>
      <c r="H1080" t="str">
        <f ca="1" t="shared" si="49"/>
        <v>Risk-On</v>
      </c>
      <c r="I1080">
        <f ca="1" t="shared" si="50"/>
        <v>1</v>
      </c>
      <c r="J1080">
        <f>_xlfn.XLOOKUP($A1080,[1]Sheet1!$B$9:$B$2584,[1]Sheet1!$C$9:$C$2584,"N/A",0)</f>
        <v>105.11</v>
      </c>
      <c r="K1080">
        <f>_xlfn.XLOOKUP($A1080,[1]Sheet1!$E$9:$E$2584,[1]Sheet1!$F$9:$F$2584,"N/A",0)</f>
        <v>144.42</v>
      </c>
      <c r="L1080">
        <f>_xlfn.XLOOKUP($A1080,[1]Sheet1!$H$9:$H$2584,[1]Sheet1!$I$9:$I$2584,"N/A",0)</f>
        <v>67.23</v>
      </c>
      <c r="M1080">
        <f>_xlfn.XLOOKUP($A1080,[1]Sheet1!$K$9:$K$2584,[1]Sheet1!$L$9:$L$2584,"N/A",0)</f>
        <v>141.77</v>
      </c>
      <c r="N1080">
        <f>_xlfn.XLOOKUP($A1080,[1]Sheet1!$N$9:$N$2584,[1]Sheet1!$O$9:$O$2584,"N/A",0)</f>
        <v>116.53</v>
      </c>
      <c r="O1080">
        <v>105.11</v>
      </c>
      <c r="P1080">
        <v>144.42</v>
      </c>
      <c r="Q1080">
        <v>67.23</v>
      </c>
      <c r="R1080">
        <v>116.53</v>
      </c>
      <c r="S1080">
        <v>141.77</v>
      </c>
    </row>
    <row r="1081" spans="1:19">
      <c r="A1081" s="1">
        <v>43936</v>
      </c>
      <c r="B1081" t="s">
        <v>513</v>
      </c>
      <c r="C1081" t="s">
        <v>516</v>
      </c>
      <c r="D1081">
        <v>42.51</v>
      </c>
      <c r="E1081">
        <v>36.575</v>
      </c>
      <c r="F1081">
        <v>-0.139614208421547</v>
      </c>
      <c r="G1081">
        <f ca="1" t="shared" si="48"/>
        <v>-1.75080419187976</v>
      </c>
      <c r="H1081" t="str">
        <f ca="1" t="shared" si="49"/>
        <v>Risk-On</v>
      </c>
      <c r="I1081">
        <f ca="1" t="shared" si="50"/>
        <v>1</v>
      </c>
      <c r="J1081">
        <f>_xlfn.XLOOKUP($A1081,[1]Sheet1!$B$9:$B$2584,[1]Sheet1!$C$9:$C$2584,"N/A",0)</f>
        <v>105.27</v>
      </c>
      <c r="K1081">
        <f>_xlfn.XLOOKUP($A1081,[1]Sheet1!$E$9:$E$2584,[1]Sheet1!$F$9:$F$2584,"N/A",0)</f>
        <v>147.82</v>
      </c>
      <c r="L1081">
        <f>_xlfn.XLOOKUP($A1081,[1]Sheet1!$H$9:$H$2584,[1]Sheet1!$I$9:$I$2584,"N/A",0)</f>
        <v>66.81</v>
      </c>
      <c r="M1081">
        <f>_xlfn.XLOOKUP($A1081,[1]Sheet1!$K$9:$K$2584,[1]Sheet1!$L$9:$L$2584,"N/A",0)</f>
        <v>142.48</v>
      </c>
      <c r="N1081">
        <f>_xlfn.XLOOKUP($A1081,[1]Sheet1!$N$9:$N$2584,[1]Sheet1!$O$9:$O$2584,"N/A",0)</f>
        <v>118.44</v>
      </c>
      <c r="O1081">
        <v>105.27</v>
      </c>
      <c r="P1081">
        <v>147.82</v>
      </c>
      <c r="Q1081">
        <v>66.81</v>
      </c>
      <c r="R1081">
        <v>118.44</v>
      </c>
      <c r="S1081">
        <v>142.48</v>
      </c>
    </row>
    <row r="1082" spans="1:19">
      <c r="A1082" s="1">
        <v>43937</v>
      </c>
      <c r="B1082" t="s">
        <v>516</v>
      </c>
      <c r="C1082" t="s">
        <v>517</v>
      </c>
      <c r="D1082">
        <v>36.525</v>
      </c>
      <c r="E1082">
        <v>34.425</v>
      </c>
      <c r="F1082">
        <v>-0.0574948665297741</v>
      </c>
      <c r="G1082">
        <f ca="1" t="shared" si="48"/>
        <v>-0.755573270721374</v>
      </c>
      <c r="H1082" t="str">
        <f ca="1" t="shared" si="49"/>
        <v>Risk-On</v>
      </c>
      <c r="I1082">
        <f ca="1" t="shared" si="50"/>
        <v>1</v>
      </c>
      <c r="J1082">
        <f>_xlfn.XLOOKUP($A1082,[1]Sheet1!$B$9:$B$2584,[1]Sheet1!$C$9:$C$2584,"N/A",0)</f>
        <v>105.39</v>
      </c>
      <c r="K1082">
        <f>_xlfn.XLOOKUP($A1082,[1]Sheet1!$E$9:$E$2584,[1]Sheet1!$F$9:$F$2584,"N/A",0)</f>
        <v>151.67</v>
      </c>
      <c r="L1082">
        <f>_xlfn.XLOOKUP($A1082,[1]Sheet1!$H$9:$H$2584,[1]Sheet1!$I$9:$I$2584,"N/A",0)</f>
        <v>66.13</v>
      </c>
      <c r="M1082">
        <f>_xlfn.XLOOKUP($A1082,[1]Sheet1!$K$9:$K$2584,[1]Sheet1!$L$9:$L$2584,"N/A",0)</f>
        <v>143.37</v>
      </c>
      <c r="N1082">
        <f>_xlfn.XLOOKUP($A1082,[1]Sheet1!$N$9:$N$2584,[1]Sheet1!$O$9:$O$2584,"N/A",0)</f>
        <v>119.22</v>
      </c>
      <c r="O1082">
        <v>105.39</v>
      </c>
      <c r="P1082">
        <v>151.67</v>
      </c>
      <c r="Q1082">
        <v>66.13</v>
      </c>
      <c r="R1082">
        <v>119.22</v>
      </c>
      <c r="S1082">
        <v>143.37</v>
      </c>
    </row>
    <row r="1083" spans="1:19">
      <c r="A1083" s="1">
        <v>43938</v>
      </c>
      <c r="B1083" t="s">
        <v>516</v>
      </c>
      <c r="C1083" t="s">
        <v>517</v>
      </c>
      <c r="D1083">
        <v>34.575</v>
      </c>
      <c r="E1083">
        <v>33.075</v>
      </c>
      <c r="F1083">
        <v>-0.0433839479392624</v>
      </c>
      <c r="G1083">
        <f ca="1" t="shared" si="48"/>
        <v>-0.584430645544727</v>
      </c>
      <c r="H1083" t="str">
        <f ca="1" t="shared" si="49"/>
        <v>Risk-On</v>
      </c>
      <c r="I1083">
        <f ca="1" t="shared" si="50"/>
        <v>1</v>
      </c>
      <c r="J1083">
        <f>_xlfn.XLOOKUP($A1083,[1]Sheet1!$B$9:$B$2584,[1]Sheet1!$C$9:$C$2584,"N/A",0)</f>
        <v>105.57</v>
      </c>
      <c r="K1083">
        <f>_xlfn.XLOOKUP($A1083,[1]Sheet1!$E$9:$E$2584,[1]Sheet1!$F$9:$F$2584,"N/A",0)</f>
        <v>149.16</v>
      </c>
      <c r="L1083">
        <f>_xlfn.XLOOKUP($A1083,[1]Sheet1!$H$9:$H$2584,[1]Sheet1!$I$9:$I$2584,"N/A",0)</f>
        <v>65.82</v>
      </c>
      <c r="M1083">
        <f>_xlfn.XLOOKUP($A1083,[1]Sheet1!$K$9:$K$2584,[1]Sheet1!$L$9:$L$2584,"N/A",0)</f>
        <v>143.68</v>
      </c>
      <c r="N1083">
        <f>_xlfn.XLOOKUP($A1083,[1]Sheet1!$N$9:$N$2584,[1]Sheet1!$O$9:$O$2584,"N/A",0)</f>
        <v>118.57</v>
      </c>
      <c r="O1083">
        <v>105.57</v>
      </c>
      <c r="P1083">
        <v>149.16</v>
      </c>
      <c r="Q1083">
        <v>65.82</v>
      </c>
      <c r="R1083">
        <v>118.57</v>
      </c>
      <c r="S1083">
        <v>143.68</v>
      </c>
    </row>
    <row r="1084" spans="1:19">
      <c r="A1084" s="1">
        <v>43941</v>
      </c>
      <c r="B1084" t="s">
        <v>516</v>
      </c>
      <c r="C1084" t="s">
        <v>517</v>
      </c>
      <c r="D1084">
        <v>39.075</v>
      </c>
      <c r="E1084">
        <v>36.225</v>
      </c>
      <c r="F1084">
        <v>-0.072936660268714</v>
      </c>
      <c r="G1084">
        <f ca="1" t="shared" si="48"/>
        <v>-0.932577707347538</v>
      </c>
      <c r="H1084" t="str">
        <f ca="1" t="shared" si="49"/>
        <v>Risk-On</v>
      </c>
      <c r="I1084">
        <f ca="1" t="shared" si="50"/>
        <v>1</v>
      </c>
      <c r="J1084">
        <f>_xlfn.XLOOKUP($A1084,[1]Sheet1!$B$9:$B$2584,[1]Sheet1!$C$9:$C$2584,"N/A",0)</f>
        <v>105.83</v>
      </c>
      <c r="K1084">
        <f>_xlfn.XLOOKUP($A1084,[1]Sheet1!$E$9:$E$2584,[1]Sheet1!$F$9:$F$2584,"N/A",0)</f>
        <v>149.31</v>
      </c>
      <c r="L1084">
        <f>_xlfn.XLOOKUP($A1084,[1]Sheet1!$H$9:$H$2584,[1]Sheet1!$I$9:$I$2584,"N/A",0)</f>
        <v>65.44</v>
      </c>
      <c r="M1084">
        <f>_xlfn.XLOOKUP($A1084,[1]Sheet1!$K$9:$K$2584,[1]Sheet1!$L$9:$L$2584,"N/A",0)</f>
        <v>142.91</v>
      </c>
      <c r="N1084">
        <f>_xlfn.XLOOKUP($A1084,[1]Sheet1!$N$9:$N$2584,[1]Sheet1!$O$9:$O$2584,"N/A",0)</f>
        <v>117.81</v>
      </c>
      <c r="O1084">
        <v>105.83</v>
      </c>
      <c r="P1084">
        <v>149.31</v>
      </c>
      <c r="Q1084">
        <v>65.44</v>
      </c>
      <c r="R1084">
        <v>117.81</v>
      </c>
      <c r="S1084">
        <v>142.91</v>
      </c>
    </row>
    <row r="1085" spans="1:19">
      <c r="A1085" s="1">
        <v>43942</v>
      </c>
      <c r="B1085" t="s">
        <v>516</v>
      </c>
      <c r="C1085" t="s">
        <v>517</v>
      </c>
      <c r="D1085">
        <v>41.775</v>
      </c>
      <c r="E1085">
        <v>38.675</v>
      </c>
      <c r="F1085">
        <v>-0.0742070616397367</v>
      </c>
      <c r="G1085">
        <f ca="1" t="shared" si="48"/>
        <v>-0.93517813640445</v>
      </c>
      <c r="H1085" t="str">
        <f ca="1" t="shared" si="49"/>
        <v>Risk-On</v>
      </c>
      <c r="I1085">
        <f ca="1" t="shared" si="50"/>
        <v>1</v>
      </c>
      <c r="J1085">
        <f>_xlfn.XLOOKUP($A1085,[1]Sheet1!$B$9:$B$2584,[1]Sheet1!$C$9:$C$2584,"N/A",0)</f>
        <v>105.57</v>
      </c>
      <c r="K1085">
        <f>_xlfn.XLOOKUP($A1085,[1]Sheet1!$E$9:$E$2584,[1]Sheet1!$F$9:$F$2584,"N/A",0)</f>
        <v>148.18</v>
      </c>
      <c r="L1085">
        <f>_xlfn.XLOOKUP($A1085,[1]Sheet1!$H$9:$H$2584,[1]Sheet1!$I$9:$I$2584,"N/A",0)</f>
        <v>65.08</v>
      </c>
      <c r="M1085">
        <f>_xlfn.XLOOKUP($A1085,[1]Sheet1!$K$9:$K$2584,[1]Sheet1!$L$9:$L$2584,"N/A",0)</f>
        <v>142.7</v>
      </c>
      <c r="N1085">
        <f>_xlfn.XLOOKUP($A1085,[1]Sheet1!$N$9:$N$2584,[1]Sheet1!$O$9:$O$2584,"N/A",0)</f>
        <v>116.68</v>
      </c>
      <c r="O1085">
        <v>105.57</v>
      </c>
      <c r="P1085">
        <v>148.18</v>
      </c>
      <c r="Q1085">
        <v>65.08</v>
      </c>
      <c r="R1085">
        <v>116.68</v>
      </c>
      <c r="S1085">
        <v>142.7</v>
      </c>
    </row>
    <row r="1086" spans="1:19">
      <c r="A1086" s="1">
        <v>43943</v>
      </c>
      <c r="B1086" t="s">
        <v>516</v>
      </c>
      <c r="C1086" t="s">
        <v>517</v>
      </c>
      <c r="D1086">
        <v>39.625</v>
      </c>
      <c r="E1086">
        <v>37.375</v>
      </c>
      <c r="F1086">
        <v>-0.056782334384858</v>
      </c>
      <c r="G1086">
        <f ca="1" t="shared" si="48"/>
        <v>-0.715789680337605</v>
      </c>
      <c r="H1086" t="str">
        <f ca="1" t="shared" si="49"/>
        <v>Risk-On</v>
      </c>
      <c r="I1086">
        <f ca="1" t="shared" si="50"/>
        <v>1</v>
      </c>
      <c r="J1086">
        <f>_xlfn.XLOOKUP($A1086,[1]Sheet1!$B$9:$B$2584,[1]Sheet1!$C$9:$C$2584,"N/A",0)</f>
        <v>105.74</v>
      </c>
      <c r="K1086">
        <f>_xlfn.XLOOKUP($A1086,[1]Sheet1!$E$9:$E$2584,[1]Sheet1!$F$9:$F$2584,"N/A",0)</f>
        <v>150.84</v>
      </c>
      <c r="L1086">
        <f>_xlfn.XLOOKUP($A1086,[1]Sheet1!$H$9:$H$2584,[1]Sheet1!$I$9:$I$2584,"N/A",0)</f>
        <v>63.81</v>
      </c>
      <c r="M1086">
        <f>_xlfn.XLOOKUP($A1086,[1]Sheet1!$K$9:$K$2584,[1]Sheet1!$L$9:$L$2584,"N/A",0)</f>
        <v>141.78</v>
      </c>
      <c r="N1086">
        <f>_xlfn.XLOOKUP($A1086,[1]Sheet1!$N$9:$N$2584,[1]Sheet1!$O$9:$O$2584,"N/A",0)</f>
        <v>117.17</v>
      </c>
      <c r="O1086">
        <v>105.74</v>
      </c>
      <c r="P1086">
        <v>150.84</v>
      </c>
      <c r="Q1086">
        <v>63.81</v>
      </c>
      <c r="R1086">
        <v>117.17</v>
      </c>
      <c r="S1086">
        <v>141.78</v>
      </c>
    </row>
    <row r="1087" spans="1:19">
      <c r="A1087" s="1">
        <v>43944</v>
      </c>
      <c r="B1087" t="s">
        <v>516</v>
      </c>
      <c r="C1087" t="s">
        <v>517</v>
      </c>
      <c r="D1087">
        <v>39.725</v>
      </c>
      <c r="E1087">
        <v>37.725</v>
      </c>
      <c r="F1087">
        <v>-0.0503461296412838</v>
      </c>
      <c r="G1087">
        <f ca="1" t="shared" si="48"/>
        <v>-0.628975594191976</v>
      </c>
      <c r="H1087" t="str">
        <f ca="1" t="shared" si="49"/>
        <v>Risk-On</v>
      </c>
      <c r="I1087">
        <f ca="1" t="shared" si="50"/>
        <v>1</v>
      </c>
      <c r="J1087">
        <f>_xlfn.XLOOKUP($A1087,[1]Sheet1!$B$9:$B$2584,[1]Sheet1!$C$9:$C$2584,"N/A",0)</f>
        <v>105.74</v>
      </c>
      <c r="K1087">
        <f>_xlfn.XLOOKUP($A1087,[1]Sheet1!$E$9:$E$2584,[1]Sheet1!$F$9:$F$2584,"N/A",0)</f>
        <v>148.76</v>
      </c>
      <c r="L1087">
        <f>_xlfn.XLOOKUP($A1087,[1]Sheet1!$H$9:$H$2584,[1]Sheet1!$I$9:$I$2584,"N/A",0)</f>
        <v>63.86</v>
      </c>
      <c r="M1087">
        <f>_xlfn.XLOOKUP($A1087,[1]Sheet1!$K$9:$K$2584,[1]Sheet1!$L$9:$L$2584,"N/A",0)</f>
        <v>141.16</v>
      </c>
      <c r="N1087">
        <f>_xlfn.XLOOKUP($A1087,[1]Sheet1!$N$9:$N$2584,[1]Sheet1!$O$9:$O$2584,"N/A",0)</f>
        <v>115.65</v>
      </c>
      <c r="O1087">
        <v>105.74</v>
      </c>
      <c r="P1087">
        <v>148.76</v>
      </c>
      <c r="Q1087">
        <v>63.86</v>
      </c>
      <c r="R1087">
        <v>115.65</v>
      </c>
      <c r="S1087">
        <v>141.16</v>
      </c>
    </row>
    <row r="1088" spans="1:19">
      <c r="A1088" s="1">
        <v>43945</v>
      </c>
      <c r="B1088" t="s">
        <v>516</v>
      </c>
      <c r="C1088" t="s">
        <v>517</v>
      </c>
      <c r="D1088">
        <v>36.775</v>
      </c>
      <c r="E1088">
        <v>35.575</v>
      </c>
      <c r="F1088">
        <v>-0.0326308633582595</v>
      </c>
      <c r="G1088">
        <f ca="1" t="shared" si="48"/>
        <v>-0.408986148057084</v>
      </c>
      <c r="H1088" t="str">
        <f ca="1" t="shared" si="49"/>
        <v>Risk-On</v>
      </c>
      <c r="I1088">
        <f ca="1" t="shared" si="50"/>
        <v>1</v>
      </c>
      <c r="J1088">
        <f>_xlfn.XLOOKUP($A1088,[1]Sheet1!$B$9:$B$2584,[1]Sheet1!$C$9:$C$2584,"N/A",0)</f>
        <v>105.58</v>
      </c>
      <c r="K1088">
        <f>_xlfn.XLOOKUP($A1088,[1]Sheet1!$E$9:$E$2584,[1]Sheet1!$F$9:$F$2584,"N/A",0)</f>
        <v>149.09</v>
      </c>
      <c r="L1088">
        <f>_xlfn.XLOOKUP($A1088,[1]Sheet1!$H$9:$H$2584,[1]Sheet1!$I$9:$I$2584,"N/A",0)</f>
        <v>63.34</v>
      </c>
      <c r="M1088">
        <f>_xlfn.XLOOKUP($A1088,[1]Sheet1!$K$9:$K$2584,[1]Sheet1!$L$9:$L$2584,"N/A",0)</f>
        <v>141.8</v>
      </c>
      <c r="N1088">
        <f>_xlfn.XLOOKUP($A1088,[1]Sheet1!$N$9:$N$2584,[1]Sheet1!$O$9:$O$2584,"N/A",0)</f>
        <v>116.05</v>
      </c>
      <c r="O1088">
        <v>105.58</v>
      </c>
      <c r="P1088">
        <v>149.09</v>
      </c>
      <c r="Q1088">
        <v>63.34</v>
      </c>
      <c r="R1088">
        <v>116.05</v>
      </c>
      <c r="S1088">
        <v>141.8</v>
      </c>
    </row>
    <row r="1089" spans="1:19">
      <c r="A1089" s="1">
        <v>43948</v>
      </c>
      <c r="B1089" t="s">
        <v>516</v>
      </c>
      <c r="C1089" t="s">
        <v>517</v>
      </c>
      <c r="D1089">
        <v>33.875</v>
      </c>
      <c r="E1089">
        <v>33.475</v>
      </c>
      <c r="F1089">
        <v>-0.0118081180811807</v>
      </c>
      <c r="G1089">
        <f ca="1" t="shared" si="48"/>
        <v>-0.1526986307552</v>
      </c>
      <c r="H1089" t="str">
        <f ca="1" t="shared" si="49"/>
        <v>Risk-On</v>
      </c>
      <c r="I1089">
        <f ca="1" t="shared" si="50"/>
        <v>1</v>
      </c>
      <c r="J1089">
        <f>_xlfn.XLOOKUP($A1089,[1]Sheet1!$B$9:$B$2584,[1]Sheet1!$C$9:$C$2584,"N/A",0)</f>
        <v>105.19</v>
      </c>
      <c r="K1089">
        <f>_xlfn.XLOOKUP($A1089,[1]Sheet1!$E$9:$E$2584,[1]Sheet1!$F$9:$F$2584,"N/A",0)</f>
        <v>147.27</v>
      </c>
      <c r="L1089">
        <f>_xlfn.XLOOKUP($A1089,[1]Sheet1!$H$9:$H$2584,[1]Sheet1!$I$9:$I$2584,"N/A",0)</f>
        <v>63.92</v>
      </c>
      <c r="M1089">
        <f>_xlfn.XLOOKUP($A1089,[1]Sheet1!$K$9:$K$2584,[1]Sheet1!$L$9:$L$2584,"N/A",0)</f>
        <v>142.04</v>
      </c>
      <c r="N1089">
        <f>_xlfn.XLOOKUP($A1089,[1]Sheet1!$N$9:$N$2584,[1]Sheet1!$O$9:$O$2584,"N/A",0)</f>
        <v>113.42</v>
      </c>
      <c r="O1089">
        <v>105.19</v>
      </c>
      <c r="P1089">
        <v>147.27</v>
      </c>
      <c r="Q1089">
        <v>63.92</v>
      </c>
      <c r="R1089">
        <v>113.42</v>
      </c>
      <c r="S1089">
        <v>142.04</v>
      </c>
    </row>
    <row r="1090" spans="1:19">
      <c r="A1090" s="1">
        <v>43949</v>
      </c>
      <c r="B1090" t="s">
        <v>516</v>
      </c>
      <c r="C1090" t="s">
        <v>517</v>
      </c>
      <c r="D1090">
        <v>34.175</v>
      </c>
      <c r="E1090">
        <v>33.825</v>
      </c>
      <c r="F1090">
        <v>-0.0102414045354789</v>
      </c>
      <c r="G1090">
        <f ca="1" t="shared" si="48"/>
        <v>-0.12672726129972</v>
      </c>
      <c r="H1090" t="str">
        <f ca="1" t="shared" si="49"/>
        <v>Risk-On</v>
      </c>
      <c r="I1090">
        <f ca="1" t="shared" si="50"/>
        <v>1</v>
      </c>
      <c r="J1090">
        <f>_xlfn.XLOOKUP($A1090,[1]Sheet1!$B$9:$B$2584,[1]Sheet1!$C$9:$C$2584,"N/A",0)</f>
        <v>105.27</v>
      </c>
      <c r="K1090">
        <f>_xlfn.XLOOKUP($A1090,[1]Sheet1!$E$9:$E$2584,[1]Sheet1!$F$9:$F$2584,"N/A",0)</f>
        <v>144.91</v>
      </c>
      <c r="L1090">
        <f>_xlfn.XLOOKUP($A1090,[1]Sheet1!$H$9:$H$2584,[1]Sheet1!$I$9:$I$2584,"N/A",0)</f>
        <v>65.05</v>
      </c>
      <c r="M1090">
        <f>_xlfn.XLOOKUP($A1090,[1]Sheet1!$K$9:$K$2584,[1]Sheet1!$L$9:$L$2584,"N/A",0)</f>
        <v>141.42</v>
      </c>
      <c r="N1090">
        <f>_xlfn.XLOOKUP($A1090,[1]Sheet1!$N$9:$N$2584,[1]Sheet1!$O$9:$O$2584,"N/A",0)</f>
        <v>111.3</v>
      </c>
      <c r="O1090">
        <v>105.27</v>
      </c>
      <c r="P1090">
        <v>144.91</v>
      </c>
      <c r="Q1090">
        <v>65.05</v>
      </c>
      <c r="R1090">
        <v>111.3</v>
      </c>
      <c r="S1090">
        <v>141.42</v>
      </c>
    </row>
    <row r="1091" spans="1:19">
      <c r="A1091" s="1">
        <v>43950</v>
      </c>
      <c r="B1091" t="s">
        <v>516</v>
      </c>
      <c r="C1091" t="s">
        <v>517</v>
      </c>
      <c r="D1091">
        <v>31.925</v>
      </c>
      <c r="E1091">
        <v>31.775</v>
      </c>
      <c r="F1091">
        <v>-0.00469851213782308</v>
      </c>
      <c r="G1091">
        <f ca="1" t="shared" ref="G1091:G1154" si="51">IF(ROW()-ROW($A$3)+1&gt;252,(F1091-AVERAGE(OFFSET(F1091,-252,0,252,1)))/_xlfn.STDEV.S(OFFSET(F1091,-252,0,252,1)),"N/A")</f>
        <v>-0.0530741249435125</v>
      </c>
      <c r="H1091" t="str">
        <f ca="1" t="shared" ref="H1091:H1154" si="52">IF(G1091&lt;&gt;"N/A",IF(G1341&gt;-0.5,"Risk-On","Risk-Off"),"N/A")</f>
        <v>Risk-On</v>
      </c>
      <c r="I1091">
        <f ca="1" t="shared" si="50"/>
        <v>1</v>
      </c>
      <c r="J1091">
        <f>_xlfn.XLOOKUP($A1091,[1]Sheet1!$B$9:$B$2584,[1]Sheet1!$C$9:$C$2584,"N/A",0)</f>
        <v>106.65</v>
      </c>
      <c r="K1091">
        <f>_xlfn.XLOOKUP($A1091,[1]Sheet1!$E$9:$E$2584,[1]Sheet1!$F$9:$F$2584,"N/A",0)</f>
        <v>141.93</v>
      </c>
      <c r="L1091">
        <f>_xlfn.XLOOKUP($A1091,[1]Sheet1!$H$9:$H$2584,[1]Sheet1!$I$9:$I$2584,"N/A",0)</f>
        <v>66.06</v>
      </c>
      <c r="M1091">
        <f>_xlfn.XLOOKUP($A1091,[1]Sheet1!$K$9:$K$2584,[1]Sheet1!$L$9:$L$2584,"N/A",0)</f>
        <v>140.12</v>
      </c>
      <c r="N1091">
        <f>_xlfn.XLOOKUP($A1091,[1]Sheet1!$N$9:$N$2584,[1]Sheet1!$O$9:$O$2584,"N/A",0)</f>
        <v>108.54</v>
      </c>
      <c r="O1091">
        <v>106.65</v>
      </c>
      <c r="P1091">
        <v>141.93</v>
      </c>
      <c r="Q1091">
        <v>66.06</v>
      </c>
      <c r="R1091">
        <v>108.54</v>
      </c>
      <c r="S1091">
        <v>140.12</v>
      </c>
    </row>
    <row r="1092" spans="1:19">
      <c r="A1092" s="1">
        <v>43951</v>
      </c>
      <c r="B1092" t="s">
        <v>516</v>
      </c>
      <c r="C1092" t="s">
        <v>517</v>
      </c>
      <c r="D1092">
        <v>33.975</v>
      </c>
      <c r="E1092">
        <v>33.225</v>
      </c>
      <c r="F1092">
        <v>-0.0220750551876379</v>
      </c>
      <c r="G1092">
        <f ca="1" t="shared" si="51"/>
        <v>-0.254801751069069</v>
      </c>
      <c r="H1092" t="str">
        <f ca="1" t="shared" si="52"/>
        <v>Risk-On</v>
      </c>
      <c r="I1092">
        <f ca="1" t="shared" ref="I1092:I1155" si="53">IF(H1092&lt;&gt;"N/A",IF(H1342&gt;-0.5,1,0),0)</f>
        <v>1</v>
      </c>
      <c r="J1092">
        <f>_xlfn.XLOOKUP($A1092,[1]Sheet1!$B$9:$B$2584,[1]Sheet1!$C$9:$C$2584,"N/A",0)</f>
        <v>106.8</v>
      </c>
      <c r="K1092">
        <f>_xlfn.XLOOKUP($A1092,[1]Sheet1!$E$9:$E$2584,[1]Sheet1!$F$9:$F$2584,"N/A",0)</f>
        <v>141.87</v>
      </c>
      <c r="L1092">
        <f>_xlfn.XLOOKUP($A1092,[1]Sheet1!$H$9:$H$2584,[1]Sheet1!$I$9:$I$2584,"N/A",0)</f>
        <v>65.28</v>
      </c>
      <c r="M1092">
        <f>_xlfn.XLOOKUP($A1092,[1]Sheet1!$K$9:$K$2584,[1]Sheet1!$L$9:$L$2584,"N/A",0)</f>
        <v>140.41</v>
      </c>
      <c r="N1092">
        <f>_xlfn.XLOOKUP($A1092,[1]Sheet1!$N$9:$N$2584,[1]Sheet1!$O$9:$O$2584,"N/A",0)</f>
        <v>110.31</v>
      </c>
      <c r="O1092">
        <v>106.8</v>
      </c>
      <c r="P1092">
        <v>141.87</v>
      </c>
      <c r="Q1092">
        <v>65.28</v>
      </c>
      <c r="R1092">
        <v>110.31</v>
      </c>
      <c r="S1092">
        <v>140.41</v>
      </c>
    </row>
    <row r="1093" spans="1:19">
      <c r="A1093" s="1">
        <v>43952</v>
      </c>
      <c r="B1093" t="s">
        <v>516</v>
      </c>
      <c r="C1093" t="s">
        <v>517</v>
      </c>
      <c r="D1093">
        <v>37.35</v>
      </c>
      <c r="E1093">
        <v>35.975</v>
      </c>
      <c r="F1093">
        <v>-0.036813922356091</v>
      </c>
      <c r="G1093">
        <f ca="1" t="shared" si="51"/>
        <v>-0.425866579040873</v>
      </c>
      <c r="H1093" t="str">
        <f ca="1" t="shared" si="52"/>
        <v>Risk-On</v>
      </c>
      <c r="I1093">
        <f ca="1" t="shared" si="53"/>
        <v>1</v>
      </c>
      <c r="J1093">
        <f>_xlfn.XLOOKUP($A1093,[1]Sheet1!$B$9:$B$2584,[1]Sheet1!$C$9:$C$2584,"N/A",0)</f>
        <v>106.48</v>
      </c>
      <c r="K1093">
        <f>_xlfn.XLOOKUP($A1093,[1]Sheet1!$E$9:$E$2584,[1]Sheet1!$F$9:$F$2584,"N/A",0)</f>
        <v>145.43</v>
      </c>
      <c r="L1093">
        <f>_xlfn.XLOOKUP($A1093,[1]Sheet1!$H$9:$H$2584,[1]Sheet1!$I$9:$I$2584,"N/A",0)</f>
        <v>65.21</v>
      </c>
      <c r="M1093">
        <f>_xlfn.XLOOKUP($A1093,[1]Sheet1!$K$9:$K$2584,[1]Sheet1!$L$9:$L$2584,"N/A",0)</f>
        <v>141.68</v>
      </c>
      <c r="N1093">
        <f>_xlfn.XLOOKUP($A1093,[1]Sheet1!$N$9:$N$2584,[1]Sheet1!$O$9:$O$2584,"N/A",0)</f>
        <v>111</v>
      </c>
      <c r="O1093">
        <v>106.48</v>
      </c>
      <c r="P1093">
        <v>145.43</v>
      </c>
      <c r="Q1093">
        <v>65.21</v>
      </c>
      <c r="R1093">
        <v>111</v>
      </c>
      <c r="S1093">
        <v>141.68</v>
      </c>
    </row>
    <row r="1094" spans="1:19">
      <c r="A1094" s="1">
        <v>43955</v>
      </c>
      <c r="B1094" t="s">
        <v>516</v>
      </c>
      <c r="C1094" t="s">
        <v>517</v>
      </c>
      <c r="D1094">
        <v>35.675</v>
      </c>
      <c r="E1094">
        <v>34.975</v>
      </c>
      <c r="F1094">
        <v>-0.0196215837421162</v>
      </c>
      <c r="G1094">
        <f ca="1" t="shared" si="51"/>
        <v>-0.20981773782333</v>
      </c>
      <c r="H1094" t="str">
        <f ca="1" t="shared" si="52"/>
        <v>Risk-On</v>
      </c>
      <c r="I1094">
        <f ca="1" t="shared" si="53"/>
        <v>1</v>
      </c>
      <c r="J1094">
        <f>_xlfn.XLOOKUP($A1094,[1]Sheet1!$B$9:$B$2584,[1]Sheet1!$C$9:$C$2584,"N/A",0)</f>
        <v>106.82</v>
      </c>
      <c r="K1094">
        <f>_xlfn.XLOOKUP($A1094,[1]Sheet1!$E$9:$E$2584,[1]Sheet1!$F$9:$F$2584,"N/A",0)</f>
        <v>147.23</v>
      </c>
      <c r="L1094">
        <f>_xlfn.XLOOKUP($A1094,[1]Sheet1!$H$9:$H$2584,[1]Sheet1!$I$9:$I$2584,"N/A",0)</f>
        <v>63.69</v>
      </c>
      <c r="M1094">
        <f>_xlfn.XLOOKUP($A1094,[1]Sheet1!$K$9:$K$2584,[1]Sheet1!$L$9:$L$2584,"N/A",0)</f>
        <v>141.52</v>
      </c>
      <c r="N1094">
        <f>_xlfn.XLOOKUP($A1094,[1]Sheet1!$N$9:$N$2584,[1]Sheet1!$O$9:$O$2584,"N/A",0)</f>
        <v>111.31</v>
      </c>
      <c r="O1094">
        <v>106.82</v>
      </c>
      <c r="P1094">
        <v>147.23</v>
      </c>
      <c r="Q1094">
        <v>63.69</v>
      </c>
      <c r="R1094">
        <v>111.31</v>
      </c>
      <c r="S1094">
        <v>141.52</v>
      </c>
    </row>
    <row r="1095" spans="1:19">
      <c r="A1095" s="1">
        <v>43956</v>
      </c>
      <c r="B1095" t="s">
        <v>516</v>
      </c>
      <c r="C1095" t="s">
        <v>517</v>
      </c>
      <c r="D1095">
        <v>34.025</v>
      </c>
      <c r="E1095">
        <v>33.775</v>
      </c>
      <c r="F1095">
        <v>-0.00734753857457751</v>
      </c>
      <c r="G1095">
        <f ca="1" t="shared" si="51"/>
        <v>-0.0523507139132401</v>
      </c>
      <c r="H1095" t="str">
        <f ca="1" t="shared" si="52"/>
        <v>Risk-On</v>
      </c>
      <c r="I1095">
        <f ca="1" t="shared" si="53"/>
        <v>1</v>
      </c>
      <c r="J1095">
        <f>_xlfn.XLOOKUP($A1095,[1]Sheet1!$B$9:$B$2584,[1]Sheet1!$C$9:$C$2584,"N/A",0)</f>
        <v>107.42</v>
      </c>
      <c r="K1095">
        <f>_xlfn.XLOOKUP($A1095,[1]Sheet1!$E$9:$E$2584,[1]Sheet1!$F$9:$F$2584,"N/A",0)</f>
        <v>150.42</v>
      </c>
      <c r="L1095">
        <f>_xlfn.XLOOKUP($A1095,[1]Sheet1!$H$9:$H$2584,[1]Sheet1!$I$9:$I$2584,"N/A",0)</f>
        <v>62.27</v>
      </c>
      <c r="M1095">
        <f>_xlfn.XLOOKUP($A1095,[1]Sheet1!$K$9:$K$2584,[1]Sheet1!$L$9:$L$2584,"N/A",0)</f>
        <v>142.17</v>
      </c>
      <c r="N1095">
        <f>_xlfn.XLOOKUP($A1095,[1]Sheet1!$N$9:$N$2584,[1]Sheet1!$O$9:$O$2584,"N/A",0)</f>
        <v>111.64</v>
      </c>
      <c r="O1095">
        <v>107.42</v>
      </c>
      <c r="P1095">
        <v>150.42</v>
      </c>
      <c r="Q1095">
        <v>62.27</v>
      </c>
      <c r="R1095">
        <v>111.64</v>
      </c>
      <c r="S1095">
        <v>142.17</v>
      </c>
    </row>
    <row r="1096" spans="1:19">
      <c r="A1096" s="1">
        <v>43957</v>
      </c>
      <c r="B1096" t="s">
        <v>516</v>
      </c>
      <c r="C1096" t="s">
        <v>517</v>
      </c>
      <c r="D1096">
        <v>34.775</v>
      </c>
      <c r="E1096">
        <v>34.575</v>
      </c>
      <c r="F1096">
        <v>-0.00575125808770656</v>
      </c>
      <c r="G1096">
        <f ca="1" t="shared" si="51"/>
        <v>-0.0281423775216009</v>
      </c>
      <c r="H1096" t="str">
        <f ca="1" t="shared" si="52"/>
        <v>Risk-On</v>
      </c>
      <c r="I1096">
        <f ca="1" t="shared" si="53"/>
        <v>1</v>
      </c>
      <c r="J1096">
        <f>_xlfn.XLOOKUP($A1096,[1]Sheet1!$B$9:$B$2584,[1]Sheet1!$C$9:$C$2584,"N/A",0)</f>
        <v>107</v>
      </c>
      <c r="K1096">
        <f>_xlfn.XLOOKUP($A1096,[1]Sheet1!$E$9:$E$2584,[1]Sheet1!$F$9:$F$2584,"N/A",0)</f>
        <v>151.71</v>
      </c>
      <c r="L1096">
        <f>_xlfn.XLOOKUP($A1096,[1]Sheet1!$H$9:$H$2584,[1]Sheet1!$I$9:$I$2584,"N/A",0)</f>
        <v>61.53</v>
      </c>
      <c r="M1096">
        <f>_xlfn.XLOOKUP($A1096,[1]Sheet1!$K$9:$K$2584,[1]Sheet1!$L$9:$L$2584,"N/A",0)</f>
        <v>142.72</v>
      </c>
      <c r="N1096">
        <f>_xlfn.XLOOKUP($A1096,[1]Sheet1!$N$9:$N$2584,[1]Sheet1!$O$9:$O$2584,"N/A",0)</f>
        <v>111.34</v>
      </c>
      <c r="O1096">
        <v>107</v>
      </c>
      <c r="P1096">
        <v>151.71</v>
      </c>
      <c r="Q1096">
        <v>61.53</v>
      </c>
      <c r="R1096">
        <v>111.34</v>
      </c>
      <c r="S1096">
        <v>142.72</v>
      </c>
    </row>
    <row r="1097" spans="1:19">
      <c r="A1097" s="1">
        <v>43958</v>
      </c>
      <c r="B1097" t="s">
        <v>516</v>
      </c>
      <c r="C1097" t="s">
        <v>517</v>
      </c>
      <c r="D1097">
        <v>32.125</v>
      </c>
      <c r="E1097">
        <v>32.625</v>
      </c>
      <c r="F1097">
        <v>0.0155642023346303</v>
      </c>
      <c r="G1097">
        <f ca="1" t="shared" si="51"/>
        <v>0.231253449690742</v>
      </c>
      <c r="H1097" t="str">
        <f ca="1" t="shared" si="52"/>
        <v>Risk-On</v>
      </c>
      <c r="I1097">
        <f ca="1" t="shared" si="53"/>
        <v>1</v>
      </c>
      <c r="J1097">
        <f>_xlfn.XLOOKUP($A1097,[1]Sheet1!$B$9:$B$2584,[1]Sheet1!$C$9:$C$2584,"N/A",0)</f>
        <v>108.02</v>
      </c>
      <c r="K1097">
        <f>_xlfn.XLOOKUP($A1097,[1]Sheet1!$E$9:$E$2584,[1]Sheet1!$F$9:$F$2584,"N/A",0)</f>
        <v>151.47</v>
      </c>
      <c r="L1097">
        <f>_xlfn.XLOOKUP($A1097,[1]Sheet1!$H$9:$H$2584,[1]Sheet1!$I$9:$I$2584,"N/A",0)</f>
        <v>61.93</v>
      </c>
      <c r="M1097">
        <f>_xlfn.XLOOKUP($A1097,[1]Sheet1!$K$9:$K$2584,[1]Sheet1!$L$9:$L$2584,"N/A",0)</f>
        <v>142.26</v>
      </c>
      <c r="N1097">
        <f>_xlfn.XLOOKUP($A1097,[1]Sheet1!$N$9:$N$2584,[1]Sheet1!$O$9:$O$2584,"N/A",0)</f>
        <v>110.83</v>
      </c>
      <c r="O1097">
        <v>108.02</v>
      </c>
      <c r="P1097">
        <v>151.47</v>
      </c>
      <c r="Q1097">
        <v>61.93</v>
      </c>
      <c r="R1097">
        <v>110.83</v>
      </c>
      <c r="S1097">
        <v>142.26</v>
      </c>
    </row>
    <row r="1098" spans="1:19">
      <c r="A1098" s="1">
        <v>43959</v>
      </c>
      <c r="B1098" t="s">
        <v>516</v>
      </c>
      <c r="C1098" t="s">
        <v>517</v>
      </c>
      <c r="D1098">
        <v>29.325</v>
      </c>
      <c r="E1098">
        <v>30.725</v>
      </c>
      <c r="F1098" s="2" t="s">
        <v>518</v>
      </c>
      <c r="G1098">
        <f ca="1" t="shared" si="51"/>
        <v>0.620660911784684</v>
      </c>
      <c r="H1098" t="str">
        <f ca="1" t="shared" si="52"/>
        <v>Risk-On</v>
      </c>
      <c r="I1098">
        <f ca="1" t="shared" si="53"/>
        <v>1</v>
      </c>
      <c r="J1098">
        <f>_xlfn.XLOOKUP($A1098,[1]Sheet1!$B$9:$B$2584,[1]Sheet1!$C$9:$C$2584,"N/A",0)</f>
        <v>107.97</v>
      </c>
      <c r="K1098">
        <f>_xlfn.XLOOKUP($A1098,[1]Sheet1!$E$9:$E$2584,[1]Sheet1!$F$9:$F$2584,"N/A",0)</f>
        <v>149.48</v>
      </c>
      <c r="L1098">
        <f>_xlfn.XLOOKUP($A1098,[1]Sheet1!$H$9:$H$2584,[1]Sheet1!$I$9:$I$2584,"N/A",0)</f>
        <v>62.31</v>
      </c>
      <c r="M1098">
        <f>_xlfn.XLOOKUP($A1098,[1]Sheet1!$K$9:$K$2584,[1]Sheet1!$L$9:$L$2584,"N/A",0)</f>
        <v>141.6</v>
      </c>
      <c r="N1098">
        <f>_xlfn.XLOOKUP($A1098,[1]Sheet1!$N$9:$N$2584,[1]Sheet1!$O$9:$O$2584,"N/A",0)</f>
        <v>109.61</v>
      </c>
      <c r="O1098">
        <v>107.97</v>
      </c>
      <c r="P1098">
        <v>149.48</v>
      </c>
      <c r="Q1098">
        <v>62.31</v>
      </c>
      <c r="R1098">
        <v>109.61</v>
      </c>
      <c r="S1098">
        <v>141.6</v>
      </c>
    </row>
    <row r="1099" spans="1:19">
      <c r="A1099" s="1">
        <v>43962</v>
      </c>
      <c r="B1099" t="s">
        <v>516</v>
      </c>
      <c r="C1099" t="s">
        <v>517</v>
      </c>
      <c r="D1099">
        <v>27.825</v>
      </c>
      <c r="E1099">
        <v>29.025</v>
      </c>
      <c r="F1099">
        <v>0.0431266846361185</v>
      </c>
      <c r="G1099">
        <f ca="1" t="shared" si="51"/>
        <v>0.562354756835317</v>
      </c>
      <c r="H1099" t="str">
        <f ca="1" t="shared" si="52"/>
        <v>Risk-On</v>
      </c>
      <c r="I1099">
        <f ca="1" t="shared" si="53"/>
        <v>1</v>
      </c>
      <c r="J1099">
        <f>_xlfn.XLOOKUP($A1099,[1]Sheet1!$B$9:$B$2584,[1]Sheet1!$C$9:$C$2584,"N/A",0)</f>
        <v>107.8</v>
      </c>
      <c r="K1099">
        <f>_xlfn.XLOOKUP($A1099,[1]Sheet1!$E$9:$E$2584,[1]Sheet1!$F$9:$F$2584,"N/A",0)</f>
        <v>153.2</v>
      </c>
      <c r="L1099">
        <f>_xlfn.XLOOKUP($A1099,[1]Sheet1!$H$9:$H$2584,[1]Sheet1!$I$9:$I$2584,"N/A",0)</f>
        <v>61.78</v>
      </c>
      <c r="M1099">
        <f>_xlfn.XLOOKUP($A1099,[1]Sheet1!$K$9:$K$2584,[1]Sheet1!$L$9:$L$2584,"N/A",0)</f>
        <v>142.37</v>
      </c>
      <c r="N1099">
        <f>_xlfn.XLOOKUP($A1099,[1]Sheet1!$N$9:$N$2584,[1]Sheet1!$O$9:$O$2584,"N/A",0)</f>
        <v>110.13</v>
      </c>
      <c r="O1099">
        <v>107.8</v>
      </c>
      <c r="P1099">
        <v>153.2</v>
      </c>
      <c r="Q1099">
        <v>61.78</v>
      </c>
      <c r="R1099">
        <v>110.13</v>
      </c>
      <c r="S1099">
        <v>142.37</v>
      </c>
    </row>
    <row r="1100" spans="1:19">
      <c r="A1100" s="1">
        <v>43963</v>
      </c>
      <c r="B1100" t="s">
        <v>516</v>
      </c>
      <c r="C1100" t="s">
        <v>517</v>
      </c>
      <c r="D1100">
        <v>33.075</v>
      </c>
      <c r="E1100">
        <v>32.925</v>
      </c>
      <c r="F1100">
        <v>-0.00453514739229042</v>
      </c>
      <c r="G1100">
        <f ca="1" t="shared" si="51"/>
        <v>-0.0160745441575628</v>
      </c>
      <c r="H1100" t="str">
        <f ca="1" t="shared" si="52"/>
        <v>Risk-On</v>
      </c>
      <c r="I1100">
        <f ca="1" t="shared" si="53"/>
        <v>1</v>
      </c>
      <c r="J1100">
        <f>_xlfn.XLOOKUP($A1100,[1]Sheet1!$B$9:$B$2584,[1]Sheet1!$C$9:$C$2584,"N/A",0)</f>
        <v>107.71</v>
      </c>
      <c r="K1100">
        <f>_xlfn.XLOOKUP($A1100,[1]Sheet1!$E$9:$E$2584,[1]Sheet1!$F$9:$F$2584,"N/A",0)</f>
        <v>153.45</v>
      </c>
      <c r="L1100">
        <f>_xlfn.XLOOKUP($A1100,[1]Sheet1!$H$9:$H$2584,[1]Sheet1!$I$9:$I$2584,"N/A",0)</f>
        <v>61.73</v>
      </c>
      <c r="M1100">
        <f>_xlfn.XLOOKUP($A1100,[1]Sheet1!$K$9:$K$2584,[1]Sheet1!$L$9:$L$2584,"N/A",0)</f>
        <v>141.82</v>
      </c>
      <c r="N1100">
        <f>_xlfn.XLOOKUP($A1100,[1]Sheet1!$N$9:$N$2584,[1]Sheet1!$O$9:$O$2584,"N/A",0)</f>
        <v>110.86</v>
      </c>
      <c r="O1100">
        <v>107.71</v>
      </c>
      <c r="P1100">
        <v>153.45</v>
      </c>
      <c r="Q1100">
        <v>61.73</v>
      </c>
      <c r="R1100">
        <v>110.86</v>
      </c>
      <c r="S1100">
        <v>141.82</v>
      </c>
    </row>
    <row r="1101" spans="1:19">
      <c r="A1101" s="1">
        <v>43964</v>
      </c>
      <c r="B1101" t="s">
        <v>516</v>
      </c>
      <c r="C1101" t="s">
        <v>517</v>
      </c>
      <c r="D1101">
        <v>35.075</v>
      </c>
      <c r="E1101">
        <v>34.925</v>
      </c>
      <c r="F1101">
        <v>-0.00427655024946559</v>
      </c>
      <c r="G1101">
        <f ca="1" t="shared" si="51"/>
        <v>-0.014891991070673</v>
      </c>
      <c r="H1101" t="str">
        <f ca="1" t="shared" si="52"/>
        <v>Risk-On</v>
      </c>
      <c r="I1101">
        <f ca="1" t="shared" si="53"/>
        <v>1</v>
      </c>
      <c r="J1101">
        <f>_xlfn.XLOOKUP($A1101,[1]Sheet1!$B$9:$B$2584,[1]Sheet1!$C$9:$C$2584,"N/A",0)</f>
        <v>107.02</v>
      </c>
      <c r="K1101">
        <f>_xlfn.XLOOKUP($A1101,[1]Sheet1!$E$9:$E$2584,[1]Sheet1!$F$9:$F$2584,"N/A",0)</f>
        <v>156.14</v>
      </c>
      <c r="L1101">
        <f>_xlfn.XLOOKUP($A1101,[1]Sheet1!$H$9:$H$2584,[1]Sheet1!$I$9:$I$2584,"N/A",0)</f>
        <v>61.8</v>
      </c>
      <c r="M1101">
        <f>_xlfn.XLOOKUP($A1101,[1]Sheet1!$K$9:$K$2584,[1]Sheet1!$L$9:$L$2584,"N/A",0)</f>
        <v>142.6</v>
      </c>
      <c r="N1101">
        <f>_xlfn.XLOOKUP($A1101,[1]Sheet1!$N$9:$N$2584,[1]Sheet1!$O$9:$O$2584,"N/A",0)</f>
        <v>112.09</v>
      </c>
      <c r="O1101">
        <v>107.02</v>
      </c>
      <c r="P1101">
        <v>156.14</v>
      </c>
      <c r="Q1101">
        <v>61.8</v>
      </c>
      <c r="R1101">
        <v>112.09</v>
      </c>
      <c r="S1101">
        <v>142.6</v>
      </c>
    </row>
    <row r="1102" spans="1:19">
      <c r="A1102" s="1">
        <v>43965</v>
      </c>
      <c r="B1102" t="s">
        <v>516</v>
      </c>
      <c r="C1102" t="s">
        <v>517</v>
      </c>
      <c r="D1102">
        <v>32.375</v>
      </c>
      <c r="E1102">
        <v>32.925</v>
      </c>
      <c r="F1102">
        <v>0.0169884169884169</v>
      </c>
      <c r="G1102">
        <f ca="1" t="shared" si="51"/>
        <v>0.243402427124469</v>
      </c>
      <c r="H1102" t="str">
        <f ca="1" t="shared" si="52"/>
        <v>Risk-Off</v>
      </c>
      <c r="I1102">
        <f ca="1" t="shared" si="53"/>
        <v>1</v>
      </c>
      <c r="J1102">
        <f>_xlfn.XLOOKUP($A1102,[1]Sheet1!$B$9:$B$2584,[1]Sheet1!$C$9:$C$2584,"N/A",0)</f>
        <v>106.93</v>
      </c>
      <c r="K1102">
        <f>_xlfn.XLOOKUP($A1102,[1]Sheet1!$E$9:$E$2584,[1]Sheet1!$F$9:$F$2584,"N/A",0)</f>
        <v>155.64</v>
      </c>
      <c r="L1102">
        <f>_xlfn.XLOOKUP($A1102,[1]Sheet1!$H$9:$H$2584,[1]Sheet1!$I$9:$I$2584,"N/A",0)</f>
        <v>62.7</v>
      </c>
      <c r="M1102">
        <f>_xlfn.XLOOKUP($A1102,[1]Sheet1!$K$9:$K$2584,[1]Sheet1!$L$9:$L$2584,"N/A",0)</f>
        <v>142.92</v>
      </c>
      <c r="N1102">
        <f>_xlfn.XLOOKUP($A1102,[1]Sheet1!$N$9:$N$2584,[1]Sheet1!$O$9:$O$2584,"N/A",0)</f>
        <v>113.14</v>
      </c>
      <c r="O1102">
        <v>106.93</v>
      </c>
      <c r="P1102">
        <v>155.64</v>
      </c>
      <c r="Q1102">
        <v>62.7</v>
      </c>
      <c r="R1102">
        <v>113.14</v>
      </c>
      <c r="S1102">
        <v>142.92</v>
      </c>
    </row>
    <row r="1103" spans="1:19">
      <c r="A1103" s="1">
        <v>43966</v>
      </c>
      <c r="B1103" t="s">
        <v>516</v>
      </c>
      <c r="C1103" t="s">
        <v>517</v>
      </c>
      <c r="D1103">
        <v>32.125</v>
      </c>
      <c r="E1103">
        <v>32.725</v>
      </c>
      <c r="F1103" s="2" t="s">
        <v>519</v>
      </c>
      <c r="G1103">
        <f ca="1" t="shared" si="51"/>
        <v>0.264759982929056</v>
      </c>
      <c r="H1103" t="str">
        <f ca="1" t="shared" si="52"/>
        <v>Risk-On</v>
      </c>
      <c r="I1103">
        <f ca="1" t="shared" si="53"/>
        <v>1</v>
      </c>
      <c r="J1103">
        <f>_xlfn.XLOOKUP($A1103,[1]Sheet1!$B$9:$B$2584,[1]Sheet1!$C$9:$C$2584,"N/A",0)</f>
        <v>107.18</v>
      </c>
      <c r="K1103">
        <f>_xlfn.XLOOKUP($A1103,[1]Sheet1!$E$9:$E$2584,[1]Sheet1!$F$9:$F$2584,"N/A",0)</f>
        <v>155.77</v>
      </c>
      <c r="L1103">
        <f>_xlfn.XLOOKUP($A1103,[1]Sheet1!$H$9:$H$2584,[1]Sheet1!$I$9:$I$2584,"N/A",0)</f>
        <v>62.23</v>
      </c>
      <c r="M1103">
        <f>_xlfn.XLOOKUP($A1103,[1]Sheet1!$K$9:$K$2584,[1]Sheet1!$L$9:$L$2584,"N/A",0)</f>
        <v>141.61</v>
      </c>
      <c r="N1103">
        <f>_xlfn.XLOOKUP($A1103,[1]Sheet1!$N$9:$N$2584,[1]Sheet1!$O$9:$O$2584,"N/A",0)</f>
        <v>111.93</v>
      </c>
      <c r="O1103">
        <v>107.18</v>
      </c>
      <c r="P1103">
        <v>155.77</v>
      </c>
      <c r="Q1103">
        <v>62.23</v>
      </c>
      <c r="R1103">
        <v>111.93</v>
      </c>
      <c r="S1103">
        <v>141.61</v>
      </c>
    </row>
    <row r="1104" spans="1:19">
      <c r="A1104" s="1">
        <v>43969</v>
      </c>
      <c r="B1104" t="s">
        <v>516</v>
      </c>
      <c r="C1104" t="s">
        <v>517</v>
      </c>
      <c r="D1104">
        <v>28.925</v>
      </c>
      <c r="E1104">
        <v>30.1</v>
      </c>
      <c r="F1104">
        <v>0.0406222990492653</v>
      </c>
      <c r="G1104">
        <f ca="1" t="shared" si="51"/>
        <v>0.536558356710043</v>
      </c>
      <c r="H1104" t="str">
        <f ca="1" t="shared" si="52"/>
        <v>Risk-On</v>
      </c>
      <c r="I1104">
        <f ca="1" t="shared" si="53"/>
        <v>1</v>
      </c>
      <c r="J1104">
        <f>_xlfn.XLOOKUP($A1104,[1]Sheet1!$B$9:$B$2584,[1]Sheet1!$C$9:$C$2584,"N/A",0)</f>
        <v>107.61</v>
      </c>
      <c r="K1104">
        <f>_xlfn.XLOOKUP($A1104,[1]Sheet1!$E$9:$E$2584,[1]Sheet1!$F$9:$F$2584,"N/A",0)</f>
        <v>152.52</v>
      </c>
      <c r="L1104">
        <f>_xlfn.XLOOKUP($A1104,[1]Sheet1!$H$9:$H$2584,[1]Sheet1!$I$9:$I$2584,"N/A",0)</f>
        <v>62.02</v>
      </c>
      <c r="M1104">
        <f>_xlfn.XLOOKUP($A1104,[1]Sheet1!$K$9:$K$2584,[1]Sheet1!$L$9:$L$2584,"N/A",0)</f>
        <v>142.34</v>
      </c>
      <c r="N1104">
        <f>_xlfn.XLOOKUP($A1104,[1]Sheet1!$N$9:$N$2584,[1]Sheet1!$O$9:$O$2584,"N/A",0)</f>
        <v>110.13</v>
      </c>
      <c r="O1104">
        <v>107.61</v>
      </c>
      <c r="P1104">
        <v>152.52</v>
      </c>
      <c r="Q1104">
        <v>62.02</v>
      </c>
      <c r="R1104">
        <v>110.13</v>
      </c>
      <c r="S1104">
        <v>142.34</v>
      </c>
    </row>
    <row r="1105" spans="1:19">
      <c r="A1105" s="1">
        <v>43970</v>
      </c>
      <c r="B1105" t="s">
        <v>516</v>
      </c>
      <c r="C1105" t="s">
        <v>517</v>
      </c>
      <c r="D1105">
        <v>30.75</v>
      </c>
      <c r="E1105">
        <v>32.075</v>
      </c>
      <c r="F1105" s="2" t="s">
        <v>520</v>
      </c>
      <c r="G1105">
        <f ca="1" t="shared" si="51"/>
        <v>0.57024434080239</v>
      </c>
      <c r="H1105" t="str">
        <f ca="1" t="shared" si="52"/>
        <v>Risk-On</v>
      </c>
      <c r="I1105">
        <f ca="1" t="shared" si="53"/>
        <v>1</v>
      </c>
      <c r="J1105">
        <f>_xlfn.XLOOKUP($A1105,[1]Sheet1!$B$9:$B$2584,[1]Sheet1!$C$9:$C$2584,"N/A",0)</f>
        <v>107.51</v>
      </c>
      <c r="K1105">
        <f>_xlfn.XLOOKUP($A1105,[1]Sheet1!$E$9:$E$2584,[1]Sheet1!$F$9:$F$2584,"N/A",0)</f>
        <v>152.07</v>
      </c>
      <c r="L1105">
        <f>_xlfn.XLOOKUP($A1105,[1]Sheet1!$H$9:$H$2584,[1]Sheet1!$I$9:$I$2584,"N/A",0)</f>
        <v>62.18</v>
      </c>
      <c r="M1105">
        <f>_xlfn.XLOOKUP($A1105,[1]Sheet1!$K$9:$K$2584,[1]Sheet1!$L$9:$L$2584,"N/A",0)</f>
        <v>140.31</v>
      </c>
      <c r="N1105">
        <f>_xlfn.XLOOKUP($A1105,[1]Sheet1!$N$9:$N$2584,[1]Sheet1!$O$9:$O$2584,"N/A",0)</f>
        <v>110.45</v>
      </c>
      <c r="O1105">
        <v>107.51</v>
      </c>
      <c r="P1105">
        <v>152.07</v>
      </c>
      <c r="Q1105">
        <v>62.18</v>
      </c>
      <c r="R1105">
        <v>110.45</v>
      </c>
      <c r="S1105">
        <v>140.31</v>
      </c>
    </row>
    <row r="1106" spans="1:19">
      <c r="A1106" s="1">
        <v>43971</v>
      </c>
      <c r="B1106" t="s">
        <v>516</v>
      </c>
      <c r="C1106" t="s">
        <v>517</v>
      </c>
      <c r="D1106">
        <v>28.11</v>
      </c>
      <c r="E1106">
        <v>29.775</v>
      </c>
      <c r="F1106" s="2" t="s">
        <v>521</v>
      </c>
      <c r="G1106">
        <f ca="1" t="shared" si="51"/>
        <v>0.771458676887223</v>
      </c>
      <c r="H1106" t="str">
        <f ca="1" t="shared" si="52"/>
        <v>Risk-On</v>
      </c>
      <c r="I1106">
        <f ca="1" t="shared" si="53"/>
        <v>1</v>
      </c>
      <c r="J1106">
        <f>_xlfn.XLOOKUP($A1106,[1]Sheet1!$B$9:$B$2584,[1]Sheet1!$C$9:$C$2584,"N/A",0)</f>
        <v>107.31</v>
      </c>
      <c r="K1106">
        <f>_xlfn.XLOOKUP($A1106,[1]Sheet1!$E$9:$E$2584,[1]Sheet1!$F$9:$F$2584,"N/A",0)</f>
        <v>150.77</v>
      </c>
      <c r="L1106">
        <f>_xlfn.XLOOKUP($A1106,[1]Sheet1!$H$9:$H$2584,[1]Sheet1!$I$9:$I$2584,"N/A",0)</f>
        <v>61.8</v>
      </c>
      <c r="M1106">
        <f>_xlfn.XLOOKUP($A1106,[1]Sheet1!$K$9:$K$2584,[1]Sheet1!$L$9:$L$2584,"N/A",0)</f>
        <v>141.12</v>
      </c>
      <c r="N1106">
        <f>_xlfn.XLOOKUP($A1106,[1]Sheet1!$N$9:$N$2584,[1]Sheet1!$O$9:$O$2584,"N/A",0)</f>
        <v>109.43</v>
      </c>
      <c r="O1106">
        <v>107.31</v>
      </c>
      <c r="P1106">
        <v>150.77</v>
      </c>
      <c r="Q1106">
        <v>61.8</v>
      </c>
      <c r="R1106">
        <v>109.43</v>
      </c>
      <c r="S1106">
        <v>141.12</v>
      </c>
    </row>
    <row r="1107" spans="1:19">
      <c r="A1107" s="1">
        <v>43972</v>
      </c>
      <c r="B1107" t="s">
        <v>517</v>
      </c>
      <c r="C1107" t="s">
        <v>522</v>
      </c>
      <c r="D1107">
        <v>31.025</v>
      </c>
      <c r="E1107">
        <v>31.625</v>
      </c>
      <c r="F1107" s="2" t="s">
        <v>523</v>
      </c>
      <c r="G1107">
        <f ca="1" t="shared" si="51"/>
        <v>0.294550500797299</v>
      </c>
      <c r="H1107" t="str">
        <f ca="1" t="shared" si="52"/>
        <v>Risk-Off</v>
      </c>
      <c r="I1107">
        <f ca="1" t="shared" si="53"/>
        <v>1</v>
      </c>
      <c r="J1107">
        <f>_xlfn.XLOOKUP($A1107,[1]Sheet1!$B$9:$B$2584,[1]Sheet1!$C$9:$C$2584,"N/A",0)</f>
        <v>107.19</v>
      </c>
      <c r="K1107">
        <f>_xlfn.XLOOKUP($A1107,[1]Sheet1!$E$9:$E$2584,[1]Sheet1!$F$9:$F$2584,"N/A",0)</f>
        <v>149.84</v>
      </c>
      <c r="L1107">
        <f>_xlfn.XLOOKUP($A1107,[1]Sheet1!$H$9:$H$2584,[1]Sheet1!$I$9:$I$2584,"N/A",0)</f>
        <v>62.05</v>
      </c>
      <c r="M1107">
        <f>_xlfn.XLOOKUP($A1107,[1]Sheet1!$K$9:$K$2584,[1]Sheet1!$L$9:$L$2584,"N/A",0)</f>
        <v>141</v>
      </c>
      <c r="N1107">
        <f>_xlfn.XLOOKUP($A1107,[1]Sheet1!$N$9:$N$2584,[1]Sheet1!$O$9:$O$2584,"N/A",0)</f>
        <v>109</v>
      </c>
      <c r="O1107">
        <v>107.19</v>
      </c>
      <c r="P1107">
        <v>149.84</v>
      </c>
      <c r="Q1107">
        <v>62.05</v>
      </c>
      <c r="R1107">
        <v>109</v>
      </c>
      <c r="S1107">
        <v>141</v>
      </c>
    </row>
    <row r="1108" spans="1:19">
      <c r="A1108" s="1">
        <v>43973</v>
      </c>
      <c r="B1108" t="s">
        <v>517</v>
      </c>
      <c r="C1108" t="s">
        <v>522</v>
      </c>
      <c r="D1108">
        <v>30.375</v>
      </c>
      <c r="E1108">
        <v>31.075</v>
      </c>
      <c r="F1108">
        <v>0.0230452674897119</v>
      </c>
      <c r="G1108">
        <f ca="1" t="shared" si="51"/>
        <v>0.346986164596978</v>
      </c>
      <c r="H1108" t="str">
        <f ca="1" t="shared" si="52"/>
        <v>Risk-On</v>
      </c>
      <c r="I1108">
        <f ca="1" t="shared" si="53"/>
        <v>1</v>
      </c>
      <c r="J1108">
        <f>_xlfn.XLOOKUP($A1108,[1]Sheet1!$B$9:$B$2584,[1]Sheet1!$C$9:$C$2584,"N/A",0)</f>
        <v>107.11</v>
      </c>
      <c r="K1108">
        <f>_xlfn.XLOOKUP($A1108,[1]Sheet1!$E$9:$E$2584,[1]Sheet1!$F$9:$F$2584,"N/A",0)</f>
        <v>150.8</v>
      </c>
      <c r="L1108">
        <f>_xlfn.XLOOKUP($A1108,[1]Sheet1!$H$9:$H$2584,[1]Sheet1!$I$9:$I$2584,"N/A",0)</f>
        <v>61.55</v>
      </c>
      <c r="M1108">
        <f>_xlfn.XLOOKUP($A1108,[1]Sheet1!$K$9:$K$2584,[1]Sheet1!$L$9:$L$2584,"N/A",0)</f>
        <v>141.24</v>
      </c>
      <c r="N1108">
        <f>_xlfn.XLOOKUP($A1108,[1]Sheet1!$N$9:$N$2584,[1]Sheet1!$O$9:$O$2584,"N/A",0)</f>
        <v>108.84</v>
      </c>
      <c r="O1108">
        <v>107.11</v>
      </c>
      <c r="P1108">
        <v>150.8</v>
      </c>
      <c r="Q1108">
        <v>61.55</v>
      </c>
      <c r="R1108">
        <v>108.84</v>
      </c>
      <c r="S1108">
        <v>141.24</v>
      </c>
    </row>
    <row r="1109" spans="1:19">
      <c r="A1109" s="1">
        <v>43977</v>
      </c>
      <c r="B1109" t="s">
        <v>517</v>
      </c>
      <c r="C1109" t="s">
        <v>522</v>
      </c>
      <c r="D1109">
        <v>29.625</v>
      </c>
      <c r="E1109">
        <v>30.475</v>
      </c>
      <c r="F1109" s="2" t="s">
        <v>524</v>
      </c>
      <c r="G1109">
        <f ca="1" t="shared" si="51"/>
        <v>0.41448042141214</v>
      </c>
      <c r="H1109" t="str">
        <f ca="1" t="shared" si="52"/>
        <v>Risk-On</v>
      </c>
      <c r="I1109">
        <f ca="1" t="shared" si="53"/>
        <v>1</v>
      </c>
      <c r="J1109">
        <f>_xlfn.XLOOKUP($A1109,[1]Sheet1!$B$9:$B$2584,[1]Sheet1!$C$9:$C$2584,"N/A",0)</f>
        <v>106.99</v>
      </c>
      <c r="K1109">
        <f>_xlfn.XLOOKUP($A1109,[1]Sheet1!$E$9:$E$2584,[1]Sheet1!$F$9:$F$2584,"N/A",0)</f>
        <v>145.63</v>
      </c>
      <c r="L1109">
        <f>_xlfn.XLOOKUP($A1109,[1]Sheet1!$H$9:$H$2584,[1]Sheet1!$I$9:$I$2584,"N/A",0)</f>
        <v>62.64</v>
      </c>
      <c r="M1109">
        <f>_xlfn.XLOOKUP($A1109,[1]Sheet1!$K$9:$K$2584,[1]Sheet1!$L$9:$L$2584,"N/A",0)</f>
        <v>141.72</v>
      </c>
      <c r="N1109">
        <f>_xlfn.XLOOKUP($A1109,[1]Sheet1!$N$9:$N$2584,[1]Sheet1!$O$9:$O$2584,"N/A",0)</f>
        <v>108.11</v>
      </c>
      <c r="O1109">
        <v>106.99</v>
      </c>
      <c r="P1109">
        <v>145.63</v>
      </c>
      <c r="Q1109">
        <v>62.64</v>
      </c>
      <c r="R1109">
        <v>108.11</v>
      </c>
      <c r="S1109">
        <v>141.72</v>
      </c>
    </row>
    <row r="1110" spans="1:19">
      <c r="A1110" s="1">
        <v>43978</v>
      </c>
      <c r="B1110" t="s">
        <v>517</v>
      </c>
      <c r="C1110" t="s">
        <v>522</v>
      </c>
      <c r="D1110">
        <v>29.075</v>
      </c>
      <c r="E1110">
        <v>30.075</v>
      </c>
      <c r="F1110" s="2" t="s">
        <v>525</v>
      </c>
      <c r="G1110">
        <f ca="1" t="shared" si="51"/>
        <v>0.483990460679885</v>
      </c>
      <c r="H1110" t="str">
        <f ca="1" t="shared" si="52"/>
        <v>Risk-On</v>
      </c>
      <c r="I1110">
        <f ca="1" t="shared" si="53"/>
        <v>1</v>
      </c>
      <c r="J1110">
        <f>_xlfn.XLOOKUP($A1110,[1]Sheet1!$B$9:$B$2584,[1]Sheet1!$C$9:$C$2584,"N/A",0)</f>
        <v>106.53</v>
      </c>
      <c r="K1110">
        <f>_xlfn.XLOOKUP($A1110,[1]Sheet1!$E$9:$E$2584,[1]Sheet1!$F$9:$F$2584,"N/A",0)</f>
        <v>143.12</v>
      </c>
      <c r="L1110">
        <f>_xlfn.XLOOKUP($A1110,[1]Sheet1!$H$9:$H$2584,[1]Sheet1!$I$9:$I$2584,"N/A",0)</f>
        <v>63.24</v>
      </c>
      <c r="M1110">
        <f>_xlfn.XLOOKUP($A1110,[1]Sheet1!$K$9:$K$2584,[1]Sheet1!$L$9:$L$2584,"N/A",0)</f>
        <v>142.84</v>
      </c>
      <c r="N1110">
        <f>_xlfn.XLOOKUP($A1110,[1]Sheet1!$N$9:$N$2584,[1]Sheet1!$O$9:$O$2584,"N/A",0)</f>
        <v>106.93</v>
      </c>
      <c r="O1110">
        <v>106.53</v>
      </c>
      <c r="P1110">
        <v>143.12</v>
      </c>
      <c r="Q1110">
        <v>63.24</v>
      </c>
      <c r="R1110">
        <v>106.93</v>
      </c>
      <c r="S1110">
        <v>142.84</v>
      </c>
    </row>
    <row r="1111" spans="1:19">
      <c r="A1111" s="1">
        <v>43979</v>
      </c>
      <c r="B1111" t="s">
        <v>517</v>
      </c>
      <c r="C1111" t="s">
        <v>522</v>
      </c>
      <c r="D1111">
        <v>30.325</v>
      </c>
      <c r="E1111">
        <v>31.125</v>
      </c>
      <c r="F1111">
        <v>0.0263808738664468</v>
      </c>
      <c r="G1111">
        <f ca="1" t="shared" si="51"/>
        <v>0.386306061942687</v>
      </c>
      <c r="H1111" t="str">
        <f ca="1" t="shared" si="52"/>
        <v>Risk-On</v>
      </c>
      <c r="I1111">
        <f ca="1" t="shared" si="53"/>
        <v>1</v>
      </c>
      <c r="J1111">
        <f>_xlfn.XLOOKUP($A1111,[1]Sheet1!$B$9:$B$2584,[1]Sheet1!$C$9:$C$2584,"N/A",0)</f>
        <v>106.89</v>
      </c>
      <c r="K1111">
        <f>_xlfn.XLOOKUP($A1111,[1]Sheet1!$E$9:$E$2584,[1]Sheet1!$F$9:$F$2584,"N/A",0)</f>
        <v>145.38</v>
      </c>
      <c r="L1111">
        <f>_xlfn.XLOOKUP($A1111,[1]Sheet1!$H$9:$H$2584,[1]Sheet1!$I$9:$I$2584,"N/A",0)</f>
        <v>62.43</v>
      </c>
      <c r="M1111">
        <f>_xlfn.XLOOKUP($A1111,[1]Sheet1!$K$9:$K$2584,[1]Sheet1!$L$9:$L$2584,"N/A",0)</f>
        <v>142.42</v>
      </c>
      <c r="N1111">
        <f>_xlfn.XLOOKUP($A1111,[1]Sheet1!$N$9:$N$2584,[1]Sheet1!$O$9:$O$2584,"N/A",0)</f>
        <v>109</v>
      </c>
      <c r="O1111">
        <v>106.89</v>
      </c>
      <c r="P1111">
        <v>145.38</v>
      </c>
      <c r="Q1111">
        <v>62.43</v>
      </c>
      <c r="R1111">
        <v>109</v>
      </c>
      <c r="S1111">
        <v>142.42</v>
      </c>
    </row>
    <row r="1112" spans="1:19">
      <c r="A1112" s="1">
        <v>43980</v>
      </c>
      <c r="B1112" t="s">
        <v>517</v>
      </c>
      <c r="C1112" t="s">
        <v>522</v>
      </c>
      <c r="D1112">
        <v>28.825</v>
      </c>
      <c r="E1112">
        <v>30.175</v>
      </c>
      <c r="F1112">
        <v>0.0468343451864701</v>
      </c>
      <c r="G1112">
        <f ca="1" t="shared" si="51"/>
        <v>0.634867332142623</v>
      </c>
      <c r="H1112" t="str">
        <f ca="1" t="shared" si="52"/>
        <v>Risk-On</v>
      </c>
      <c r="I1112">
        <f ca="1" t="shared" si="53"/>
        <v>1</v>
      </c>
      <c r="J1112">
        <f>_xlfn.XLOOKUP($A1112,[1]Sheet1!$B$9:$B$2584,[1]Sheet1!$C$9:$C$2584,"N/A",0)</f>
        <v>107.03</v>
      </c>
      <c r="K1112">
        <f>_xlfn.XLOOKUP($A1112,[1]Sheet1!$E$9:$E$2584,[1]Sheet1!$F$9:$F$2584,"N/A",0)</f>
        <v>149.69</v>
      </c>
      <c r="L1112">
        <f>_xlfn.XLOOKUP($A1112,[1]Sheet1!$H$9:$H$2584,[1]Sheet1!$I$9:$I$2584,"N/A",0)</f>
        <v>62.56</v>
      </c>
      <c r="M1112">
        <f>_xlfn.XLOOKUP($A1112,[1]Sheet1!$K$9:$K$2584,[1]Sheet1!$L$9:$L$2584,"N/A",0)</f>
        <v>143.64</v>
      </c>
      <c r="N1112">
        <f>_xlfn.XLOOKUP($A1112,[1]Sheet1!$N$9:$N$2584,[1]Sheet1!$O$9:$O$2584,"N/A",0)</f>
        <v>109.46</v>
      </c>
      <c r="O1112">
        <v>107.03</v>
      </c>
      <c r="P1112">
        <v>149.69</v>
      </c>
      <c r="Q1112">
        <v>62.56</v>
      </c>
      <c r="R1112">
        <v>109.46</v>
      </c>
      <c r="S1112">
        <v>143.64</v>
      </c>
    </row>
    <row r="1113" spans="1:19">
      <c r="A1113" s="1">
        <v>43983</v>
      </c>
      <c r="B1113" t="s">
        <v>517</v>
      </c>
      <c r="C1113" t="s">
        <v>522</v>
      </c>
      <c r="D1113">
        <v>29.525</v>
      </c>
      <c r="E1113">
        <v>30.775</v>
      </c>
      <c r="F1113">
        <v>0.0423370025402201</v>
      </c>
      <c r="G1113">
        <f ca="1" t="shared" si="51"/>
        <v>0.576723537761868</v>
      </c>
      <c r="H1113" t="str">
        <f ca="1" t="shared" si="52"/>
        <v>Risk-On</v>
      </c>
      <c r="I1113">
        <f ca="1" t="shared" si="53"/>
        <v>1</v>
      </c>
      <c r="J1113">
        <f>_xlfn.XLOOKUP($A1113,[1]Sheet1!$B$9:$B$2584,[1]Sheet1!$C$9:$C$2584,"N/A",0)</f>
        <v>107.14</v>
      </c>
      <c r="K1113">
        <f>_xlfn.XLOOKUP($A1113,[1]Sheet1!$E$9:$E$2584,[1]Sheet1!$F$9:$F$2584,"N/A",0)</f>
        <v>147.07</v>
      </c>
      <c r="L1113">
        <f>_xlfn.XLOOKUP($A1113,[1]Sheet1!$H$9:$H$2584,[1]Sheet1!$I$9:$I$2584,"N/A",0)</f>
        <v>62.59</v>
      </c>
      <c r="M1113">
        <f>_xlfn.XLOOKUP($A1113,[1]Sheet1!$K$9:$K$2584,[1]Sheet1!$L$9:$L$2584,"N/A",0)</f>
        <v>142.89</v>
      </c>
      <c r="N1113">
        <f>_xlfn.XLOOKUP($A1113,[1]Sheet1!$N$9:$N$2584,[1]Sheet1!$O$9:$O$2584,"N/A",0)</f>
        <v>108.57</v>
      </c>
      <c r="O1113">
        <v>107.14</v>
      </c>
      <c r="P1113">
        <v>147.07</v>
      </c>
      <c r="Q1113">
        <v>62.59</v>
      </c>
      <c r="R1113">
        <v>108.57</v>
      </c>
      <c r="S1113">
        <v>142.89</v>
      </c>
    </row>
    <row r="1114" spans="1:19">
      <c r="A1114" s="1">
        <v>43984</v>
      </c>
      <c r="B1114" t="s">
        <v>517</v>
      </c>
      <c r="C1114" t="s">
        <v>522</v>
      </c>
      <c r="D1114">
        <v>28.225</v>
      </c>
      <c r="E1114">
        <v>30.025</v>
      </c>
      <c r="F1114">
        <v>0.0637732506643045</v>
      </c>
      <c r="G1114">
        <f ca="1" t="shared" si="51"/>
        <v>0.837368706391881</v>
      </c>
      <c r="H1114" t="str">
        <f ca="1" t="shared" si="52"/>
        <v>Risk-On</v>
      </c>
      <c r="I1114">
        <f ca="1" t="shared" si="53"/>
        <v>1</v>
      </c>
      <c r="J1114">
        <f>_xlfn.XLOOKUP($A1114,[1]Sheet1!$B$9:$B$2584,[1]Sheet1!$C$9:$C$2584,"N/A",0)</f>
        <v>108.02</v>
      </c>
      <c r="K1114">
        <f>_xlfn.XLOOKUP($A1114,[1]Sheet1!$E$9:$E$2584,[1]Sheet1!$F$9:$F$2584,"N/A",0)</f>
        <v>145.88</v>
      </c>
      <c r="L1114">
        <f>_xlfn.XLOOKUP($A1114,[1]Sheet1!$H$9:$H$2584,[1]Sheet1!$I$9:$I$2584,"N/A",0)</f>
        <v>62.87</v>
      </c>
      <c r="M1114">
        <f>_xlfn.XLOOKUP($A1114,[1]Sheet1!$K$9:$K$2584,[1]Sheet1!$L$9:$L$2584,"N/A",0)</f>
        <v>142.98</v>
      </c>
      <c r="N1114">
        <f>_xlfn.XLOOKUP($A1114,[1]Sheet1!$N$9:$N$2584,[1]Sheet1!$O$9:$O$2584,"N/A",0)</f>
        <v>108.4</v>
      </c>
      <c r="O1114">
        <v>108.02</v>
      </c>
      <c r="P1114">
        <v>145.88</v>
      </c>
      <c r="Q1114">
        <v>62.87</v>
      </c>
      <c r="R1114">
        <v>108.4</v>
      </c>
      <c r="S1114">
        <v>142.98</v>
      </c>
    </row>
    <row r="1115" spans="1:19">
      <c r="A1115" s="1">
        <v>43985</v>
      </c>
      <c r="B1115" t="s">
        <v>517</v>
      </c>
      <c r="C1115" t="s">
        <v>522</v>
      </c>
      <c r="D1115">
        <v>27</v>
      </c>
      <c r="E1115">
        <v>29.075</v>
      </c>
      <c r="F1115">
        <v>0.0768518518518518</v>
      </c>
      <c r="G1115">
        <f ca="1" t="shared" si="51"/>
        <v>0.990546063450546</v>
      </c>
      <c r="H1115" t="str">
        <f ca="1" t="shared" si="52"/>
        <v>Risk-On</v>
      </c>
      <c r="I1115">
        <f ca="1" t="shared" si="53"/>
        <v>1</v>
      </c>
      <c r="J1115">
        <f>_xlfn.XLOOKUP($A1115,[1]Sheet1!$B$9:$B$2584,[1]Sheet1!$C$9:$C$2584,"N/A",0)</f>
        <v>107.53</v>
      </c>
      <c r="K1115">
        <f>_xlfn.XLOOKUP($A1115,[1]Sheet1!$E$9:$E$2584,[1]Sheet1!$F$9:$F$2584,"N/A",0)</f>
        <v>142.07</v>
      </c>
      <c r="L1115">
        <f>_xlfn.XLOOKUP($A1115,[1]Sheet1!$H$9:$H$2584,[1]Sheet1!$I$9:$I$2584,"N/A",0)</f>
        <v>62.69</v>
      </c>
      <c r="M1115">
        <f>_xlfn.XLOOKUP($A1115,[1]Sheet1!$K$9:$K$2584,[1]Sheet1!$L$9:$L$2584,"N/A",0)</f>
        <v>143.58</v>
      </c>
      <c r="N1115">
        <f>_xlfn.XLOOKUP($A1115,[1]Sheet1!$N$9:$N$2584,[1]Sheet1!$O$9:$O$2584,"N/A",0)</f>
        <v>107.48</v>
      </c>
      <c r="O1115">
        <v>107.53</v>
      </c>
      <c r="P1115">
        <v>142.07</v>
      </c>
      <c r="Q1115">
        <v>62.69</v>
      </c>
      <c r="R1115">
        <v>107.48</v>
      </c>
      <c r="S1115">
        <v>143.58</v>
      </c>
    </row>
    <row r="1116" spans="1:19">
      <c r="A1116" s="1">
        <v>43986</v>
      </c>
      <c r="B1116" t="s">
        <v>517</v>
      </c>
      <c r="C1116" t="s">
        <v>522</v>
      </c>
      <c r="D1116">
        <v>26.725</v>
      </c>
      <c r="E1116">
        <v>28.725</v>
      </c>
      <c r="F1116">
        <v>0.0748362956033676</v>
      </c>
      <c r="G1116">
        <f ca="1" t="shared" si="51"/>
        <v>0.958862083611646</v>
      </c>
      <c r="H1116" t="str">
        <f ca="1" t="shared" si="52"/>
        <v>Risk-On</v>
      </c>
      <c r="I1116">
        <f ca="1" t="shared" si="53"/>
        <v>1</v>
      </c>
      <c r="J1116">
        <f>_xlfn.XLOOKUP($A1116,[1]Sheet1!$B$9:$B$2584,[1]Sheet1!$C$9:$C$2584,"N/A",0)</f>
        <v>107.32</v>
      </c>
      <c r="K1116">
        <f>_xlfn.XLOOKUP($A1116,[1]Sheet1!$E$9:$E$2584,[1]Sheet1!$F$9:$F$2584,"N/A",0)</f>
        <v>137.73</v>
      </c>
      <c r="L1116">
        <f>_xlfn.XLOOKUP($A1116,[1]Sheet1!$H$9:$H$2584,[1]Sheet1!$I$9:$I$2584,"N/A",0)</f>
        <v>63.97</v>
      </c>
      <c r="M1116">
        <f>_xlfn.XLOOKUP($A1116,[1]Sheet1!$K$9:$K$2584,[1]Sheet1!$L$9:$L$2584,"N/A",0)</f>
        <v>144.14</v>
      </c>
      <c r="N1116">
        <f>_xlfn.XLOOKUP($A1116,[1]Sheet1!$N$9:$N$2584,[1]Sheet1!$O$9:$O$2584,"N/A",0)</f>
        <v>106.96</v>
      </c>
      <c r="O1116">
        <v>107.32</v>
      </c>
      <c r="P1116">
        <v>137.73</v>
      </c>
      <c r="Q1116">
        <v>63.97</v>
      </c>
      <c r="R1116">
        <v>106.96</v>
      </c>
      <c r="S1116">
        <v>144.14</v>
      </c>
    </row>
    <row r="1117" spans="1:19">
      <c r="A1117" s="1">
        <v>43987</v>
      </c>
      <c r="B1117" t="s">
        <v>517</v>
      </c>
      <c r="C1117" t="s">
        <v>522</v>
      </c>
      <c r="D1117">
        <v>25.325</v>
      </c>
      <c r="E1117">
        <v>27.175</v>
      </c>
      <c r="F1117">
        <v>0.0730503455083909</v>
      </c>
      <c r="G1117">
        <f ca="1" t="shared" si="51"/>
        <v>0.930840035702242</v>
      </c>
      <c r="H1117" t="str">
        <f ca="1" t="shared" si="52"/>
        <v>Risk-On</v>
      </c>
      <c r="I1117">
        <f ca="1" t="shared" si="53"/>
        <v>1</v>
      </c>
      <c r="J1117">
        <f>_xlfn.XLOOKUP($A1117,[1]Sheet1!$B$9:$B$2584,[1]Sheet1!$C$9:$C$2584,"N/A",0)</f>
        <v>107.58</v>
      </c>
      <c r="K1117">
        <f>_xlfn.XLOOKUP($A1117,[1]Sheet1!$E$9:$E$2584,[1]Sheet1!$F$9:$F$2584,"N/A",0)</f>
        <v>132.61</v>
      </c>
      <c r="L1117">
        <f>_xlfn.XLOOKUP($A1117,[1]Sheet1!$H$9:$H$2584,[1]Sheet1!$I$9:$I$2584,"N/A",0)</f>
        <v>64.7</v>
      </c>
      <c r="M1117">
        <f>_xlfn.XLOOKUP($A1117,[1]Sheet1!$K$9:$K$2584,[1]Sheet1!$L$9:$L$2584,"N/A",0)</f>
        <v>144.13</v>
      </c>
      <c r="N1117">
        <f>_xlfn.XLOOKUP($A1117,[1]Sheet1!$N$9:$N$2584,[1]Sheet1!$O$9:$O$2584,"N/A",0)</f>
        <v>107.01</v>
      </c>
      <c r="O1117">
        <v>107.58</v>
      </c>
      <c r="P1117">
        <v>132.61</v>
      </c>
      <c r="Q1117">
        <v>64.7</v>
      </c>
      <c r="R1117">
        <v>107.01</v>
      </c>
      <c r="S1117">
        <v>144.13</v>
      </c>
    </row>
    <row r="1118" spans="1:19">
      <c r="A1118" s="1">
        <v>43990</v>
      </c>
      <c r="B1118" t="s">
        <v>517</v>
      </c>
      <c r="C1118" t="s">
        <v>522</v>
      </c>
      <c r="D1118">
        <v>26.025</v>
      </c>
      <c r="E1118">
        <v>27.925</v>
      </c>
      <c r="F1118">
        <v>0.0730067243035543</v>
      </c>
      <c r="G1118">
        <f ca="1" t="shared" si="51"/>
        <v>0.925662653947424</v>
      </c>
      <c r="H1118" t="str">
        <f ca="1" t="shared" si="52"/>
        <v>Risk-On</v>
      </c>
      <c r="I1118">
        <f ca="1" t="shared" si="53"/>
        <v>1</v>
      </c>
      <c r="J1118">
        <f>_xlfn.XLOOKUP($A1118,[1]Sheet1!$B$9:$B$2584,[1]Sheet1!$C$9:$C$2584,"N/A",0)</f>
        <v>107.18</v>
      </c>
      <c r="K1118">
        <f>_xlfn.XLOOKUP($A1118,[1]Sheet1!$E$9:$E$2584,[1]Sheet1!$F$9:$F$2584,"N/A",0)</f>
        <v>125.37</v>
      </c>
      <c r="L1118">
        <f>_xlfn.XLOOKUP($A1118,[1]Sheet1!$H$9:$H$2584,[1]Sheet1!$I$9:$I$2584,"N/A",0)</f>
        <v>65.39</v>
      </c>
      <c r="M1118">
        <f>_xlfn.XLOOKUP($A1118,[1]Sheet1!$K$9:$K$2584,[1]Sheet1!$L$9:$L$2584,"N/A",0)</f>
        <v>143.69</v>
      </c>
      <c r="N1118">
        <f>_xlfn.XLOOKUP($A1118,[1]Sheet1!$N$9:$N$2584,[1]Sheet1!$O$9:$O$2584,"N/A",0)</f>
        <v>106.96</v>
      </c>
      <c r="O1118">
        <v>107.18</v>
      </c>
      <c r="P1118">
        <v>125.37</v>
      </c>
      <c r="Q1118">
        <v>65.39</v>
      </c>
      <c r="R1118">
        <v>106.96</v>
      </c>
      <c r="S1118">
        <v>143.69</v>
      </c>
    </row>
    <row r="1119" spans="1:19">
      <c r="A1119" s="1">
        <v>43991</v>
      </c>
      <c r="B1119" t="s">
        <v>517</v>
      </c>
      <c r="C1119" t="s">
        <v>522</v>
      </c>
      <c r="D1119">
        <v>27.625</v>
      </c>
      <c r="E1119">
        <v>29.575</v>
      </c>
      <c r="F1119">
        <v>0.0705882352941176</v>
      </c>
      <c r="G1119">
        <f ca="1" t="shared" si="51"/>
        <v>0.89040351872982</v>
      </c>
      <c r="H1119" t="str">
        <f ca="1" t="shared" si="52"/>
        <v>Risk-On</v>
      </c>
      <c r="I1119">
        <f ca="1" t="shared" si="53"/>
        <v>1</v>
      </c>
      <c r="J1119">
        <f>_xlfn.XLOOKUP($A1119,[1]Sheet1!$B$9:$B$2584,[1]Sheet1!$C$9:$C$2584,"N/A",0)</f>
        <v>107.56</v>
      </c>
      <c r="K1119">
        <f>_xlfn.XLOOKUP($A1119,[1]Sheet1!$E$9:$E$2584,[1]Sheet1!$F$9:$F$2584,"N/A",0)</f>
        <v>131.24</v>
      </c>
      <c r="L1119">
        <f>_xlfn.XLOOKUP($A1119,[1]Sheet1!$H$9:$H$2584,[1]Sheet1!$I$9:$I$2584,"N/A",0)</f>
        <v>64.39</v>
      </c>
      <c r="M1119">
        <f>_xlfn.XLOOKUP($A1119,[1]Sheet1!$K$9:$K$2584,[1]Sheet1!$L$9:$L$2584,"N/A",0)</f>
        <v>143.26</v>
      </c>
      <c r="N1119">
        <f>_xlfn.XLOOKUP($A1119,[1]Sheet1!$N$9:$N$2584,[1]Sheet1!$O$9:$O$2584,"N/A",0)</f>
        <v>107.14</v>
      </c>
      <c r="O1119">
        <v>107.56</v>
      </c>
      <c r="P1119">
        <v>131.24</v>
      </c>
      <c r="Q1119">
        <v>64.39</v>
      </c>
      <c r="R1119">
        <v>107.14</v>
      </c>
      <c r="S1119">
        <v>143.26</v>
      </c>
    </row>
    <row r="1120" spans="1:19">
      <c r="A1120" s="1">
        <v>43992</v>
      </c>
      <c r="B1120" t="s">
        <v>517</v>
      </c>
      <c r="C1120" t="s">
        <v>522</v>
      </c>
      <c r="D1120">
        <v>27.475</v>
      </c>
      <c r="E1120">
        <v>29.025</v>
      </c>
      <c r="F1120">
        <v>0.0564149226569607</v>
      </c>
      <c r="G1120">
        <f ca="1" t="shared" si="51"/>
        <v>0.713663710771396</v>
      </c>
      <c r="H1120" t="str">
        <f ca="1" t="shared" si="52"/>
        <v>Risk-On</v>
      </c>
      <c r="I1120">
        <f ca="1" t="shared" si="53"/>
        <v>1</v>
      </c>
      <c r="J1120">
        <f>_xlfn.XLOOKUP($A1120,[1]Sheet1!$B$9:$B$2584,[1]Sheet1!$C$9:$C$2584,"N/A",0)</f>
        <v>108.01</v>
      </c>
      <c r="K1120">
        <f>_xlfn.XLOOKUP($A1120,[1]Sheet1!$E$9:$E$2584,[1]Sheet1!$F$9:$F$2584,"N/A",0)</f>
        <v>137.27</v>
      </c>
      <c r="L1120">
        <f>_xlfn.XLOOKUP($A1120,[1]Sheet1!$H$9:$H$2584,[1]Sheet1!$I$9:$I$2584,"N/A",0)</f>
        <v>63.84</v>
      </c>
      <c r="M1120">
        <f>_xlfn.XLOOKUP($A1120,[1]Sheet1!$K$9:$K$2584,[1]Sheet1!$L$9:$L$2584,"N/A",0)</f>
        <v>142.81</v>
      </c>
      <c r="N1120">
        <f>_xlfn.XLOOKUP($A1120,[1]Sheet1!$N$9:$N$2584,[1]Sheet1!$O$9:$O$2584,"N/A",0)</f>
        <v>108</v>
      </c>
      <c r="O1120">
        <v>108.01</v>
      </c>
      <c r="P1120">
        <v>137.27</v>
      </c>
      <c r="Q1120">
        <v>63.84</v>
      </c>
      <c r="R1120">
        <v>108</v>
      </c>
      <c r="S1120">
        <v>142.81</v>
      </c>
    </row>
    <row r="1121" spans="1:19">
      <c r="A1121" s="1">
        <v>43993</v>
      </c>
      <c r="B1121" t="s">
        <v>517</v>
      </c>
      <c r="C1121" t="s">
        <v>522</v>
      </c>
      <c r="D1121">
        <v>40.625</v>
      </c>
      <c r="E1121">
        <v>39.675</v>
      </c>
      <c r="F1121">
        <v>-0.0233846153846154</v>
      </c>
      <c r="G1121">
        <f ca="1" t="shared" si="51"/>
        <v>-0.259453338640049</v>
      </c>
      <c r="H1121" t="str">
        <f ca="1" t="shared" si="52"/>
        <v>Risk-On</v>
      </c>
      <c r="I1121">
        <f ca="1" t="shared" si="53"/>
        <v>1</v>
      </c>
      <c r="J1121">
        <f>_xlfn.XLOOKUP($A1121,[1]Sheet1!$B$9:$B$2584,[1]Sheet1!$C$9:$C$2584,"N/A",0)</f>
        <v>107.75</v>
      </c>
      <c r="K1121">
        <f>_xlfn.XLOOKUP($A1121,[1]Sheet1!$E$9:$E$2584,[1]Sheet1!$F$9:$F$2584,"N/A",0)</f>
        <v>141.5</v>
      </c>
      <c r="L1121">
        <f>_xlfn.XLOOKUP($A1121,[1]Sheet1!$H$9:$H$2584,[1]Sheet1!$I$9:$I$2584,"N/A",0)</f>
        <v>63.71</v>
      </c>
      <c r="M1121">
        <f>_xlfn.XLOOKUP($A1121,[1]Sheet1!$K$9:$K$2584,[1]Sheet1!$L$9:$L$2584,"N/A",0)</f>
        <v>142.55</v>
      </c>
      <c r="N1121">
        <f>_xlfn.XLOOKUP($A1121,[1]Sheet1!$N$9:$N$2584,[1]Sheet1!$O$9:$O$2584,"N/A",0)</f>
        <v>108.77</v>
      </c>
      <c r="O1121">
        <v>107.75</v>
      </c>
      <c r="P1121">
        <v>141.5</v>
      </c>
      <c r="Q1121">
        <v>63.71</v>
      </c>
      <c r="R1121">
        <v>108.77</v>
      </c>
      <c r="S1121">
        <v>142.55</v>
      </c>
    </row>
    <row r="1122" spans="1:19">
      <c r="A1122" s="1">
        <v>43994</v>
      </c>
      <c r="B1122" t="s">
        <v>517</v>
      </c>
      <c r="C1122" t="s">
        <v>522</v>
      </c>
      <c r="D1122">
        <v>35.075</v>
      </c>
      <c r="E1122">
        <v>34.825</v>
      </c>
      <c r="F1122">
        <v>-0.00712758374910905</v>
      </c>
      <c r="G1122">
        <f ca="1" t="shared" si="51"/>
        <v>-0.0562452592629937</v>
      </c>
      <c r="H1122" t="str">
        <f ca="1" t="shared" si="52"/>
        <v>Risk-On</v>
      </c>
      <c r="I1122">
        <f ca="1" t="shared" si="53"/>
        <v>1</v>
      </c>
      <c r="J1122">
        <f>_xlfn.XLOOKUP($A1122,[1]Sheet1!$B$9:$B$2584,[1]Sheet1!$C$9:$C$2584,"N/A",0)</f>
        <v>107.82</v>
      </c>
      <c r="K1122">
        <f>_xlfn.XLOOKUP($A1122,[1]Sheet1!$E$9:$E$2584,[1]Sheet1!$F$9:$F$2584,"N/A",0)</f>
        <v>138.48</v>
      </c>
      <c r="L1122">
        <f>_xlfn.XLOOKUP($A1122,[1]Sheet1!$H$9:$H$2584,[1]Sheet1!$I$9:$I$2584,"N/A",0)</f>
        <v>63.77</v>
      </c>
      <c r="M1122">
        <f>_xlfn.XLOOKUP($A1122,[1]Sheet1!$K$9:$K$2584,[1]Sheet1!$L$9:$L$2584,"N/A",0)</f>
        <v>142.13</v>
      </c>
      <c r="N1122">
        <f>_xlfn.XLOOKUP($A1122,[1]Sheet1!$N$9:$N$2584,[1]Sheet1!$O$9:$O$2584,"N/A",0)</f>
        <v>108.44</v>
      </c>
      <c r="O1122">
        <v>107.82</v>
      </c>
      <c r="P1122">
        <v>138.48</v>
      </c>
      <c r="Q1122">
        <v>63.77</v>
      </c>
      <c r="R1122">
        <v>108.44</v>
      </c>
      <c r="S1122">
        <v>142.13</v>
      </c>
    </row>
    <row r="1123" spans="1:19">
      <c r="A1123" s="1">
        <v>43997</v>
      </c>
      <c r="B1123" t="s">
        <v>517</v>
      </c>
      <c r="C1123" t="s">
        <v>522</v>
      </c>
      <c r="D1123">
        <v>33.9</v>
      </c>
      <c r="E1123">
        <v>34.075</v>
      </c>
      <c r="F1123">
        <v>0.00516224188790573</v>
      </c>
      <c r="G1123">
        <f ca="1" t="shared" si="51"/>
        <v>0.0987495751302835</v>
      </c>
      <c r="H1123" t="str">
        <f ca="1" t="shared" si="52"/>
        <v>Risk-On</v>
      </c>
      <c r="I1123">
        <f ca="1" t="shared" si="53"/>
        <v>1</v>
      </c>
      <c r="J1123">
        <f>_xlfn.XLOOKUP($A1123,[1]Sheet1!$B$9:$B$2584,[1]Sheet1!$C$9:$C$2584,"N/A",0)</f>
        <v>108.37</v>
      </c>
      <c r="K1123">
        <f>_xlfn.XLOOKUP($A1123,[1]Sheet1!$E$9:$E$2584,[1]Sheet1!$F$9:$F$2584,"N/A",0)</f>
        <v>140.4</v>
      </c>
      <c r="L1123">
        <f>_xlfn.XLOOKUP($A1123,[1]Sheet1!$H$9:$H$2584,[1]Sheet1!$I$9:$I$2584,"N/A",0)</f>
        <v>63.84</v>
      </c>
      <c r="M1123">
        <f>_xlfn.XLOOKUP($A1123,[1]Sheet1!$K$9:$K$2584,[1]Sheet1!$L$9:$L$2584,"N/A",0)</f>
        <v>142.5</v>
      </c>
      <c r="N1123">
        <f>_xlfn.XLOOKUP($A1123,[1]Sheet1!$N$9:$N$2584,[1]Sheet1!$O$9:$O$2584,"N/A",0)</f>
        <v>106.51</v>
      </c>
      <c r="O1123">
        <v>108.37</v>
      </c>
      <c r="P1123">
        <v>140.4</v>
      </c>
      <c r="Q1123">
        <v>63.84</v>
      </c>
      <c r="R1123">
        <v>106.51</v>
      </c>
      <c r="S1123">
        <v>142.5</v>
      </c>
    </row>
    <row r="1124" spans="1:19">
      <c r="A1124" s="1">
        <v>43998</v>
      </c>
      <c r="B1124" t="s">
        <v>517</v>
      </c>
      <c r="C1124" t="s">
        <v>522</v>
      </c>
      <c r="D1124">
        <v>33.1</v>
      </c>
      <c r="E1124">
        <v>33.625</v>
      </c>
      <c r="F1124">
        <v>0.0158610271903322</v>
      </c>
      <c r="G1124">
        <f ca="1" t="shared" si="51"/>
        <v>0.23455828591959</v>
      </c>
      <c r="H1124" t="str">
        <f ca="1" t="shared" si="52"/>
        <v>Risk-On</v>
      </c>
      <c r="I1124">
        <f ca="1" t="shared" si="53"/>
        <v>1</v>
      </c>
      <c r="J1124">
        <f>_xlfn.XLOOKUP($A1124,[1]Sheet1!$B$9:$B$2584,[1]Sheet1!$C$9:$C$2584,"N/A",0)</f>
        <v>108.48</v>
      </c>
      <c r="K1124">
        <f>_xlfn.XLOOKUP($A1124,[1]Sheet1!$E$9:$E$2584,[1]Sheet1!$F$9:$F$2584,"N/A",0)</f>
        <v>139.03</v>
      </c>
      <c r="L1124">
        <f>_xlfn.XLOOKUP($A1124,[1]Sheet1!$H$9:$H$2584,[1]Sheet1!$I$9:$I$2584,"N/A",0)</f>
        <v>63.84</v>
      </c>
      <c r="M1124">
        <f>_xlfn.XLOOKUP($A1124,[1]Sheet1!$K$9:$K$2584,[1]Sheet1!$L$9:$L$2584,"N/A",0)</f>
        <v>142.63</v>
      </c>
      <c r="N1124">
        <f>_xlfn.XLOOKUP($A1124,[1]Sheet1!$N$9:$N$2584,[1]Sheet1!$O$9:$O$2584,"N/A",0)</f>
        <v>106.24</v>
      </c>
      <c r="O1124">
        <v>108.48</v>
      </c>
      <c r="P1124">
        <v>139.03</v>
      </c>
      <c r="Q1124">
        <v>63.84</v>
      </c>
      <c r="R1124">
        <v>106.24</v>
      </c>
      <c r="S1124">
        <v>142.63</v>
      </c>
    </row>
    <row r="1125" spans="1:19">
      <c r="A1125" s="1">
        <v>43999</v>
      </c>
      <c r="B1125" t="s">
        <v>517</v>
      </c>
      <c r="C1125" t="s">
        <v>522</v>
      </c>
      <c r="D1125">
        <v>33.44</v>
      </c>
      <c r="E1125">
        <v>33.625</v>
      </c>
      <c r="F1125">
        <v>0.00553229665071777</v>
      </c>
      <c r="G1125">
        <f ca="1" t="shared" si="51"/>
        <v>0.114689196030747</v>
      </c>
      <c r="H1125" t="str">
        <f ca="1" t="shared" si="52"/>
        <v>Risk-On</v>
      </c>
      <c r="I1125">
        <f ca="1" t="shared" si="53"/>
        <v>1</v>
      </c>
      <c r="J1125">
        <f>_xlfn.XLOOKUP($A1125,[1]Sheet1!$B$9:$B$2584,[1]Sheet1!$C$9:$C$2584,"N/A",0)</f>
        <v>108.77</v>
      </c>
      <c r="K1125">
        <f>_xlfn.XLOOKUP($A1125,[1]Sheet1!$E$9:$E$2584,[1]Sheet1!$F$9:$F$2584,"N/A",0)</f>
        <v>141.19</v>
      </c>
      <c r="L1125">
        <f>_xlfn.XLOOKUP($A1125,[1]Sheet1!$H$9:$H$2584,[1]Sheet1!$I$9:$I$2584,"N/A",0)</f>
        <v>63.19</v>
      </c>
      <c r="M1125">
        <f>_xlfn.XLOOKUP($A1125,[1]Sheet1!$K$9:$K$2584,[1]Sheet1!$L$9:$L$2584,"N/A",0)</f>
        <v>142.77</v>
      </c>
      <c r="N1125">
        <f>_xlfn.XLOOKUP($A1125,[1]Sheet1!$N$9:$N$2584,[1]Sheet1!$O$9:$O$2584,"N/A",0)</f>
        <v>107.15</v>
      </c>
      <c r="O1125">
        <v>108.77</v>
      </c>
      <c r="P1125">
        <v>141.19</v>
      </c>
      <c r="Q1125">
        <v>63.19</v>
      </c>
      <c r="R1125">
        <v>107.15</v>
      </c>
      <c r="S1125">
        <v>142.77</v>
      </c>
    </row>
    <row r="1126" spans="1:19">
      <c r="A1126" s="1">
        <v>44000</v>
      </c>
      <c r="B1126" t="s">
        <v>522</v>
      </c>
      <c r="C1126" t="s">
        <v>526</v>
      </c>
      <c r="D1126">
        <v>33.575</v>
      </c>
      <c r="E1126">
        <v>33.375</v>
      </c>
      <c r="F1126">
        <v>-0.00595681310498891</v>
      </c>
      <c r="G1126">
        <f ca="1" t="shared" si="51"/>
        <v>-0.0272189094172107</v>
      </c>
      <c r="H1126" t="str">
        <f ca="1" t="shared" si="52"/>
        <v>Risk-On</v>
      </c>
      <c r="I1126">
        <f ca="1" t="shared" si="53"/>
        <v>1</v>
      </c>
      <c r="J1126">
        <f>_xlfn.XLOOKUP($A1126,[1]Sheet1!$B$9:$B$2584,[1]Sheet1!$C$9:$C$2584,"N/A",0)</f>
        <v>109.06</v>
      </c>
      <c r="K1126">
        <f>_xlfn.XLOOKUP($A1126,[1]Sheet1!$E$9:$E$2584,[1]Sheet1!$F$9:$F$2584,"N/A",0)</f>
        <v>140.94</v>
      </c>
      <c r="L1126">
        <f>_xlfn.XLOOKUP($A1126,[1]Sheet1!$H$9:$H$2584,[1]Sheet1!$I$9:$I$2584,"N/A",0)</f>
        <v>63.41</v>
      </c>
      <c r="M1126">
        <f>_xlfn.XLOOKUP($A1126,[1]Sheet1!$K$9:$K$2584,[1]Sheet1!$L$9:$L$2584,"N/A",0)</f>
        <v>142.43</v>
      </c>
      <c r="N1126">
        <f>_xlfn.XLOOKUP($A1126,[1]Sheet1!$N$9:$N$2584,[1]Sheet1!$O$9:$O$2584,"N/A",0)</f>
        <v>107.02</v>
      </c>
      <c r="O1126">
        <v>109.06</v>
      </c>
      <c r="P1126">
        <v>140.94</v>
      </c>
      <c r="Q1126">
        <v>63.41</v>
      </c>
      <c r="R1126">
        <v>107.02</v>
      </c>
      <c r="S1126">
        <v>142.43</v>
      </c>
    </row>
    <row r="1127" spans="1:19">
      <c r="A1127" s="1">
        <v>44001</v>
      </c>
      <c r="B1127" t="s">
        <v>522</v>
      </c>
      <c r="C1127" t="s">
        <v>526</v>
      </c>
      <c r="D1127">
        <v>35.275</v>
      </c>
      <c r="E1127">
        <v>34.725</v>
      </c>
      <c r="F1127">
        <v>-0.0155917788802267</v>
      </c>
      <c r="G1127">
        <f ca="1" t="shared" si="51"/>
        <v>-0.139867027571088</v>
      </c>
      <c r="H1127" t="str">
        <f ca="1" t="shared" si="52"/>
        <v>Risk-On</v>
      </c>
      <c r="I1127">
        <f ca="1" t="shared" si="53"/>
        <v>1</v>
      </c>
      <c r="J1127">
        <f>_xlfn.XLOOKUP($A1127,[1]Sheet1!$B$9:$B$2584,[1]Sheet1!$C$9:$C$2584,"N/A",0)</f>
        <v>109.67</v>
      </c>
      <c r="K1127">
        <f>_xlfn.XLOOKUP($A1127,[1]Sheet1!$E$9:$E$2584,[1]Sheet1!$F$9:$F$2584,"N/A",0)</f>
        <v>142.74</v>
      </c>
      <c r="L1127">
        <f>_xlfn.XLOOKUP($A1127,[1]Sheet1!$H$9:$H$2584,[1]Sheet1!$I$9:$I$2584,"N/A",0)</f>
        <v>63.69</v>
      </c>
      <c r="M1127">
        <f>_xlfn.XLOOKUP($A1127,[1]Sheet1!$K$9:$K$2584,[1]Sheet1!$L$9:$L$2584,"N/A",0)</f>
        <v>142.91</v>
      </c>
      <c r="N1127">
        <f>_xlfn.XLOOKUP($A1127,[1]Sheet1!$N$9:$N$2584,[1]Sheet1!$O$9:$O$2584,"N/A",0)</f>
        <v>107.32</v>
      </c>
      <c r="O1127">
        <v>109.67</v>
      </c>
      <c r="P1127">
        <v>142.74</v>
      </c>
      <c r="Q1127">
        <v>63.69</v>
      </c>
      <c r="R1127">
        <v>107.32</v>
      </c>
      <c r="S1127">
        <v>142.91</v>
      </c>
    </row>
    <row r="1128" spans="1:19">
      <c r="A1128" s="1">
        <v>44004</v>
      </c>
      <c r="B1128" t="s">
        <v>522</v>
      </c>
      <c r="C1128" t="s">
        <v>526</v>
      </c>
      <c r="D1128">
        <v>31.625</v>
      </c>
      <c r="E1128">
        <v>31.675</v>
      </c>
      <c r="F1128">
        <v>0.00158102766798421</v>
      </c>
      <c r="G1128">
        <f ca="1" t="shared" si="51"/>
        <v>0.073469322482782</v>
      </c>
      <c r="H1128" t="str">
        <f ca="1" t="shared" si="52"/>
        <v>Risk-On</v>
      </c>
      <c r="I1128">
        <f ca="1" t="shared" si="53"/>
        <v>1</v>
      </c>
      <c r="J1128">
        <f>_xlfn.XLOOKUP($A1128,[1]Sheet1!$B$9:$B$2584,[1]Sheet1!$C$9:$C$2584,"N/A",0)</f>
        <v>109.5</v>
      </c>
      <c r="K1128">
        <f>_xlfn.XLOOKUP($A1128,[1]Sheet1!$E$9:$E$2584,[1]Sheet1!$F$9:$F$2584,"N/A",0)</f>
        <v>144.08</v>
      </c>
      <c r="L1128">
        <f>_xlfn.XLOOKUP($A1128,[1]Sheet1!$H$9:$H$2584,[1]Sheet1!$I$9:$I$2584,"N/A",0)</f>
        <v>63.36</v>
      </c>
      <c r="M1128">
        <f>_xlfn.XLOOKUP($A1128,[1]Sheet1!$K$9:$K$2584,[1]Sheet1!$L$9:$L$2584,"N/A",0)</f>
        <v>142.19</v>
      </c>
      <c r="N1128">
        <f>_xlfn.XLOOKUP($A1128,[1]Sheet1!$N$9:$N$2584,[1]Sheet1!$O$9:$O$2584,"N/A",0)</f>
        <v>106.54</v>
      </c>
      <c r="O1128">
        <v>109.5</v>
      </c>
      <c r="P1128">
        <v>144.08</v>
      </c>
      <c r="Q1128">
        <v>63.36</v>
      </c>
      <c r="R1128">
        <v>106.54</v>
      </c>
      <c r="S1128">
        <v>142.19</v>
      </c>
    </row>
    <row r="1129" spans="1:19">
      <c r="A1129" s="1">
        <v>44005</v>
      </c>
      <c r="B1129" t="s">
        <v>522</v>
      </c>
      <c r="C1129" t="s">
        <v>526</v>
      </c>
      <c r="D1129">
        <v>31.925</v>
      </c>
      <c r="E1129">
        <v>31.925</v>
      </c>
      <c r="F1129">
        <v>0</v>
      </c>
      <c r="G1129">
        <f ca="1" t="shared" si="51"/>
        <v>0.0535649654999566</v>
      </c>
      <c r="H1129" t="str">
        <f ca="1" t="shared" si="52"/>
        <v>Risk-On</v>
      </c>
      <c r="I1129">
        <f ca="1" t="shared" si="53"/>
        <v>1</v>
      </c>
      <c r="J1129">
        <f>_xlfn.XLOOKUP($A1129,[1]Sheet1!$B$9:$B$2584,[1]Sheet1!$C$9:$C$2584,"N/A",0)</f>
        <v>110.23</v>
      </c>
      <c r="K1129">
        <f>_xlfn.XLOOKUP($A1129,[1]Sheet1!$E$9:$E$2584,[1]Sheet1!$F$9:$F$2584,"N/A",0)</f>
        <v>143.68</v>
      </c>
      <c r="L1129">
        <f>_xlfn.XLOOKUP($A1129,[1]Sheet1!$H$9:$H$2584,[1]Sheet1!$I$9:$I$2584,"N/A",0)</f>
        <v>63.55</v>
      </c>
      <c r="M1129">
        <f>_xlfn.XLOOKUP($A1129,[1]Sheet1!$K$9:$K$2584,[1]Sheet1!$L$9:$L$2584,"N/A",0)</f>
        <v>142.39</v>
      </c>
      <c r="N1129">
        <f>_xlfn.XLOOKUP($A1129,[1]Sheet1!$N$9:$N$2584,[1]Sheet1!$O$9:$O$2584,"N/A",0)</f>
        <v>106.09</v>
      </c>
      <c r="O1129">
        <v>110.23</v>
      </c>
      <c r="P1129">
        <v>143.68</v>
      </c>
      <c r="Q1129">
        <v>63.55</v>
      </c>
      <c r="R1129">
        <v>106.09</v>
      </c>
      <c r="S1129">
        <v>142.39</v>
      </c>
    </row>
    <row r="1130" spans="1:19">
      <c r="A1130" s="1">
        <v>44006</v>
      </c>
      <c r="B1130" t="s">
        <v>522</v>
      </c>
      <c r="C1130" t="s">
        <v>526</v>
      </c>
      <c r="D1130">
        <v>33.575</v>
      </c>
      <c r="E1130">
        <v>33.475</v>
      </c>
      <c r="F1130">
        <v>-0.00297840655249445</v>
      </c>
      <c r="G1130">
        <f ca="1" t="shared" si="51"/>
        <v>0.0200658491582248</v>
      </c>
      <c r="H1130" t="str">
        <f ca="1" t="shared" si="52"/>
        <v>Risk-On</v>
      </c>
      <c r="I1130">
        <f ca="1" t="shared" si="53"/>
        <v>1</v>
      </c>
      <c r="J1130">
        <f>_xlfn.XLOOKUP($A1130,[1]Sheet1!$B$9:$B$2584,[1]Sheet1!$C$9:$C$2584,"N/A",0)</f>
        <v>110.43</v>
      </c>
      <c r="K1130">
        <f>_xlfn.XLOOKUP($A1130,[1]Sheet1!$E$9:$E$2584,[1]Sheet1!$F$9:$F$2584,"N/A",0)</f>
        <v>144.19</v>
      </c>
      <c r="L1130">
        <f>_xlfn.XLOOKUP($A1130,[1]Sheet1!$H$9:$H$2584,[1]Sheet1!$I$9:$I$2584,"N/A",0)</f>
        <v>63.6</v>
      </c>
      <c r="M1130">
        <f>_xlfn.XLOOKUP($A1130,[1]Sheet1!$K$9:$K$2584,[1]Sheet1!$L$9:$L$2584,"N/A",0)</f>
        <v>142.3</v>
      </c>
      <c r="N1130">
        <f>_xlfn.XLOOKUP($A1130,[1]Sheet1!$N$9:$N$2584,[1]Sheet1!$O$9:$O$2584,"N/A",0)</f>
        <v>105.79</v>
      </c>
      <c r="O1130">
        <v>110.43</v>
      </c>
      <c r="P1130">
        <v>144.19</v>
      </c>
      <c r="Q1130">
        <v>63.6</v>
      </c>
      <c r="R1130">
        <v>105.79</v>
      </c>
      <c r="S1130">
        <v>142.3</v>
      </c>
    </row>
    <row r="1131" spans="1:19">
      <c r="A1131" s="1">
        <v>44007</v>
      </c>
      <c r="B1131" t="s">
        <v>522</v>
      </c>
      <c r="C1131" t="s">
        <v>526</v>
      </c>
      <c r="D1131">
        <v>32.175</v>
      </c>
      <c r="E1131">
        <v>32.325</v>
      </c>
      <c r="F1131">
        <v>0.00466200466200483</v>
      </c>
      <c r="G1131">
        <f ca="1" t="shared" si="51"/>
        <v>0.118748600306344</v>
      </c>
      <c r="H1131" t="str">
        <f ca="1" t="shared" si="52"/>
        <v>Risk-On</v>
      </c>
      <c r="I1131">
        <f ca="1" t="shared" si="53"/>
        <v>1</v>
      </c>
      <c r="J1131">
        <f>_xlfn.XLOOKUP($A1131,[1]Sheet1!$B$9:$B$2584,[1]Sheet1!$C$9:$C$2584,"N/A",0)</f>
        <v>110.55</v>
      </c>
      <c r="K1131">
        <f>_xlfn.XLOOKUP($A1131,[1]Sheet1!$E$9:$E$2584,[1]Sheet1!$F$9:$F$2584,"N/A",0)</f>
        <v>145.2</v>
      </c>
      <c r="L1131">
        <f>_xlfn.XLOOKUP($A1131,[1]Sheet1!$H$9:$H$2584,[1]Sheet1!$I$9:$I$2584,"N/A",0)</f>
        <v>63.1</v>
      </c>
      <c r="M1131">
        <f>_xlfn.XLOOKUP($A1131,[1]Sheet1!$K$9:$K$2584,[1]Sheet1!$L$9:$L$2584,"N/A",0)</f>
        <v>142.75</v>
      </c>
      <c r="N1131">
        <f>_xlfn.XLOOKUP($A1131,[1]Sheet1!$N$9:$N$2584,[1]Sheet1!$O$9:$O$2584,"N/A",0)</f>
        <v>105.11</v>
      </c>
      <c r="O1131">
        <v>110.55</v>
      </c>
      <c r="P1131">
        <v>145.2</v>
      </c>
      <c r="Q1131">
        <v>63.1</v>
      </c>
      <c r="R1131">
        <v>105.11</v>
      </c>
      <c r="S1131">
        <v>142.75</v>
      </c>
    </row>
    <row r="1132" spans="1:19">
      <c r="A1132" s="1">
        <v>44008</v>
      </c>
      <c r="B1132" t="s">
        <v>522</v>
      </c>
      <c r="C1132" t="s">
        <v>526</v>
      </c>
      <c r="D1132">
        <v>34.525</v>
      </c>
      <c r="E1132">
        <v>34.475</v>
      </c>
      <c r="F1132">
        <v>-0.00144822592324394</v>
      </c>
      <c r="G1132">
        <f ca="1" t="shared" si="51"/>
        <v>0.0459935582933233</v>
      </c>
      <c r="H1132" t="str">
        <f ca="1" t="shared" si="52"/>
        <v>Risk-On</v>
      </c>
      <c r="I1132">
        <f ca="1" t="shared" si="53"/>
        <v>1</v>
      </c>
      <c r="J1132">
        <f>_xlfn.XLOOKUP($A1132,[1]Sheet1!$B$9:$B$2584,[1]Sheet1!$C$9:$C$2584,"N/A",0)</f>
        <v>110.41</v>
      </c>
      <c r="K1132">
        <f>_xlfn.XLOOKUP($A1132,[1]Sheet1!$E$9:$E$2584,[1]Sheet1!$F$9:$F$2584,"N/A",0)</f>
        <v>145.36</v>
      </c>
      <c r="L1132">
        <f>_xlfn.XLOOKUP($A1132,[1]Sheet1!$H$9:$H$2584,[1]Sheet1!$I$9:$I$2584,"N/A",0)</f>
        <v>63.48</v>
      </c>
      <c r="M1132">
        <f>_xlfn.XLOOKUP($A1132,[1]Sheet1!$K$9:$K$2584,[1]Sheet1!$L$9:$L$2584,"N/A",0)</f>
        <v>143.01</v>
      </c>
      <c r="N1132">
        <f>_xlfn.XLOOKUP($A1132,[1]Sheet1!$N$9:$N$2584,[1]Sheet1!$O$9:$O$2584,"N/A",0)</f>
        <v>105.33</v>
      </c>
      <c r="O1132">
        <v>110.41</v>
      </c>
      <c r="P1132">
        <v>145.36</v>
      </c>
      <c r="Q1132">
        <v>63.48</v>
      </c>
      <c r="R1132">
        <v>105.33</v>
      </c>
      <c r="S1132">
        <v>143.01</v>
      </c>
    </row>
    <row r="1133" spans="1:19">
      <c r="A1133" s="1">
        <v>44011</v>
      </c>
      <c r="B1133" t="s">
        <v>522</v>
      </c>
      <c r="C1133" t="s">
        <v>526</v>
      </c>
      <c r="D1133">
        <v>32.325</v>
      </c>
      <c r="E1133">
        <v>32.825</v>
      </c>
      <c r="F1133" s="2" t="s">
        <v>527</v>
      </c>
      <c r="G1133">
        <f ca="1" t="shared" si="51"/>
        <v>0.262307713018204</v>
      </c>
      <c r="H1133" t="str">
        <f ca="1" t="shared" si="52"/>
        <v>Risk-On</v>
      </c>
      <c r="I1133">
        <f ca="1" t="shared" si="53"/>
        <v>1</v>
      </c>
      <c r="J1133">
        <f>_xlfn.XLOOKUP($A1133,[1]Sheet1!$B$9:$B$2584,[1]Sheet1!$C$9:$C$2584,"N/A",0)</f>
        <v>110.25</v>
      </c>
      <c r="K1133">
        <f>_xlfn.XLOOKUP($A1133,[1]Sheet1!$E$9:$E$2584,[1]Sheet1!$F$9:$F$2584,"N/A",0)</f>
        <v>143.39</v>
      </c>
      <c r="L1133">
        <f>_xlfn.XLOOKUP($A1133,[1]Sheet1!$H$9:$H$2584,[1]Sheet1!$I$9:$I$2584,"N/A",0)</f>
        <v>63.79</v>
      </c>
      <c r="M1133">
        <f>_xlfn.XLOOKUP($A1133,[1]Sheet1!$K$9:$K$2584,[1]Sheet1!$L$9:$L$2584,"N/A",0)</f>
        <v>143.25</v>
      </c>
      <c r="N1133">
        <f>_xlfn.XLOOKUP($A1133,[1]Sheet1!$N$9:$N$2584,[1]Sheet1!$O$9:$O$2584,"N/A",0)</f>
        <v>104.48</v>
      </c>
      <c r="O1133">
        <v>110.25</v>
      </c>
      <c r="P1133">
        <v>143.39</v>
      </c>
      <c r="Q1133">
        <v>63.79</v>
      </c>
      <c r="R1133">
        <v>104.48</v>
      </c>
      <c r="S1133">
        <v>143.25</v>
      </c>
    </row>
    <row r="1134" spans="1:19">
      <c r="A1134" s="1">
        <v>44012</v>
      </c>
      <c r="B1134" t="s">
        <v>522</v>
      </c>
      <c r="C1134" t="s">
        <v>526</v>
      </c>
      <c r="D1134">
        <v>30.875</v>
      </c>
      <c r="E1134">
        <v>31.825</v>
      </c>
      <c r="F1134" s="2" t="s">
        <v>528</v>
      </c>
      <c r="G1134">
        <f ca="1" t="shared" si="51"/>
        <v>0.459433014637176</v>
      </c>
      <c r="H1134" t="str">
        <f ca="1" t="shared" si="52"/>
        <v>Risk-On</v>
      </c>
      <c r="I1134">
        <f ca="1" t="shared" si="53"/>
        <v>1</v>
      </c>
      <c r="J1134">
        <f>_xlfn.XLOOKUP($A1134,[1]Sheet1!$B$9:$B$2584,[1]Sheet1!$C$9:$C$2584,"N/A",0)</f>
        <v>110.11</v>
      </c>
      <c r="K1134">
        <f>_xlfn.XLOOKUP($A1134,[1]Sheet1!$E$9:$E$2584,[1]Sheet1!$F$9:$F$2584,"N/A",0)</f>
        <v>145.68</v>
      </c>
      <c r="L1134">
        <f>_xlfn.XLOOKUP($A1134,[1]Sheet1!$H$9:$H$2584,[1]Sheet1!$I$9:$I$2584,"N/A",0)</f>
        <v>63.88</v>
      </c>
      <c r="M1134">
        <f>_xlfn.XLOOKUP($A1134,[1]Sheet1!$K$9:$K$2584,[1]Sheet1!$L$9:$L$2584,"N/A",0)</f>
        <v>143</v>
      </c>
      <c r="N1134">
        <f>_xlfn.XLOOKUP($A1134,[1]Sheet1!$N$9:$N$2584,[1]Sheet1!$O$9:$O$2584,"N/A",0)</f>
        <v>104.41</v>
      </c>
      <c r="O1134">
        <v>110.11</v>
      </c>
      <c r="P1134">
        <v>145.68</v>
      </c>
      <c r="Q1134">
        <v>63.88</v>
      </c>
      <c r="R1134">
        <v>104.41</v>
      </c>
      <c r="S1134">
        <v>143</v>
      </c>
    </row>
    <row r="1135" spans="1:19">
      <c r="A1135" s="1">
        <v>44013</v>
      </c>
      <c r="B1135" t="s">
        <v>522</v>
      </c>
      <c r="C1135" t="s">
        <v>526</v>
      </c>
      <c r="D1135">
        <v>29.825</v>
      </c>
      <c r="E1135">
        <v>30.825</v>
      </c>
      <c r="F1135">
        <v>0.0335289186923721</v>
      </c>
      <c r="G1135">
        <f ca="1" t="shared" si="51"/>
        <v>0.501408582748124</v>
      </c>
      <c r="H1135" t="str">
        <f ca="1" t="shared" si="52"/>
        <v>Risk-On</v>
      </c>
      <c r="I1135">
        <f ca="1" t="shared" si="53"/>
        <v>1</v>
      </c>
      <c r="J1135">
        <f>_xlfn.XLOOKUP($A1135,[1]Sheet1!$B$9:$B$2584,[1]Sheet1!$C$9:$C$2584,"N/A",0)</f>
        <v>110.65</v>
      </c>
      <c r="K1135">
        <f>_xlfn.XLOOKUP($A1135,[1]Sheet1!$E$9:$E$2584,[1]Sheet1!$F$9:$F$2584,"N/A",0)</f>
        <v>146.05</v>
      </c>
      <c r="L1135">
        <f>_xlfn.XLOOKUP($A1135,[1]Sheet1!$H$9:$H$2584,[1]Sheet1!$I$9:$I$2584,"N/A",0)</f>
        <v>62.97</v>
      </c>
      <c r="M1135">
        <f>_xlfn.XLOOKUP($A1135,[1]Sheet1!$K$9:$K$2584,[1]Sheet1!$L$9:$L$2584,"N/A",0)</f>
        <v>142.7</v>
      </c>
      <c r="N1135">
        <f>_xlfn.XLOOKUP($A1135,[1]Sheet1!$N$9:$N$2584,[1]Sheet1!$O$9:$O$2584,"N/A",0)</f>
        <v>105.24</v>
      </c>
      <c r="O1135">
        <v>110.65</v>
      </c>
      <c r="P1135">
        <v>146.05</v>
      </c>
      <c r="Q1135">
        <v>62.97</v>
      </c>
      <c r="R1135">
        <v>105.24</v>
      </c>
      <c r="S1135">
        <v>142.7</v>
      </c>
    </row>
    <row r="1136" spans="1:19">
      <c r="A1136" s="1">
        <v>44014</v>
      </c>
      <c r="B1136" t="s">
        <v>522</v>
      </c>
      <c r="C1136" t="s">
        <v>526</v>
      </c>
      <c r="D1136">
        <v>29.075</v>
      </c>
      <c r="E1136">
        <v>30.075</v>
      </c>
      <c r="F1136" s="2" t="s">
        <v>525</v>
      </c>
      <c r="G1136">
        <f ca="1" t="shared" si="51"/>
        <v>0.519720335135774</v>
      </c>
      <c r="H1136" t="str">
        <f ca="1" t="shared" si="52"/>
        <v>Risk-On</v>
      </c>
      <c r="I1136">
        <f ca="1" t="shared" si="53"/>
        <v>1</v>
      </c>
      <c r="J1136">
        <f>_xlfn.XLOOKUP($A1136,[1]Sheet1!$B$9:$B$2584,[1]Sheet1!$C$9:$C$2584,"N/A",0)</f>
        <v>110.89</v>
      </c>
      <c r="K1136">
        <f>_xlfn.XLOOKUP($A1136,[1]Sheet1!$E$9:$E$2584,[1]Sheet1!$F$9:$F$2584,"N/A",0)</f>
        <v>145.75</v>
      </c>
      <c r="L1136">
        <f>_xlfn.XLOOKUP($A1136,[1]Sheet1!$H$9:$H$2584,[1]Sheet1!$I$9:$I$2584,"N/A",0)</f>
        <v>63.39</v>
      </c>
      <c r="M1136">
        <f>_xlfn.XLOOKUP($A1136,[1]Sheet1!$K$9:$K$2584,[1]Sheet1!$L$9:$L$2584,"N/A",0)</f>
        <v>142.76</v>
      </c>
      <c r="N1136">
        <f>_xlfn.XLOOKUP($A1136,[1]Sheet1!$N$9:$N$2584,[1]Sheet1!$O$9:$O$2584,"N/A",0)</f>
        <v>104.88</v>
      </c>
      <c r="O1136">
        <v>110.89</v>
      </c>
      <c r="P1136">
        <v>145.75</v>
      </c>
      <c r="Q1136">
        <v>63.39</v>
      </c>
      <c r="R1136">
        <v>104.88</v>
      </c>
      <c r="S1136">
        <v>142.76</v>
      </c>
    </row>
    <row r="1137" spans="1:19">
      <c r="A1137" s="1">
        <v>44018</v>
      </c>
      <c r="B1137" t="s">
        <v>522</v>
      </c>
      <c r="C1137" t="s">
        <v>526</v>
      </c>
      <c r="D1137">
        <v>29.25</v>
      </c>
      <c r="E1137">
        <v>30.2</v>
      </c>
      <c r="F1137">
        <v>0.0324786324786324</v>
      </c>
      <c r="G1137">
        <f ca="1" t="shared" si="51"/>
        <v>0.495663508023731</v>
      </c>
      <c r="H1137" t="str">
        <f ca="1" t="shared" si="52"/>
        <v>Risk-On</v>
      </c>
      <c r="I1137">
        <f ca="1" t="shared" si="53"/>
        <v>1</v>
      </c>
      <c r="J1137">
        <f>_xlfn.XLOOKUP($A1137,[1]Sheet1!$B$9:$B$2584,[1]Sheet1!$C$9:$C$2584,"N/A",0)</f>
        <v>111.55</v>
      </c>
      <c r="K1137">
        <f>_xlfn.XLOOKUP($A1137,[1]Sheet1!$E$9:$E$2584,[1]Sheet1!$F$9:$F$2584,"N/A",0)</f>
        <v>145.84</v>
      </c>
      <c r="L1137">
        <f>_xlfn.XLOOKUP($A1137,[1]Sheet1!$H$9:$H$2584,[1]Sheet1!$I$9:$I$2584,"N/A",0)</f>
        <v>63.29</v>
      </c>
      <c r="M1137">
        <f>_xlfn.XLOOKUP($A1137,[1]Sheet1!$K$9:$K$2584,[1]Sheet1!$L$9:$L$2584,"N/A",0)</f>
        <v>142.49</v>
      </c>
      <c r="N1137">
        <f>_xlfn.XLOOKUP($A1137,[1]Sheet1!$N$9:$N$2584,[1]Sheet1!$O$9:$O$2584,"N/A",0)</f>
        <v>105.38</v>
      </c>
      <c r="O1137">
        <v>111.55</v>
      </c>
      <c r="P1137">
        <v>145.84</v>
      </c>
      <c r="Q1137">
        <v>63.29</v>
      </c>
      <c r="R1137">
        <v>105.38</v>
      </c>
      <c r="S1137">
        <v>142.49</v>
      </c>
    </row>
    <row r="1138" spans="1:19">
      <c r="A1138" s="1">
        <v>44019</v>
      </c>
      <c r="B1138" t="s">
        <v>522</v>
      </c>
      <c r="C1138" t="s">
        <v>526</v>
      </c>
      <c r="D1138">
        <v>30.575</v>
      </c>
      <c r="E1138">
        <v>31.125</v>
      </c>
      <c r="F1138" s="2" t="s">
        <v>529</v>
      </c>
      <c r="G1138">
        <f ca="1" t="shared" si="51"/>
        <v>0.320304726351633</v>
      </c>
      <c r="H1138" t="str">
        <f ca="1" t="shared" si="52"/>
        <v>Risk-On</v>
      </c>
      <c r="I1138">
        <f ca="1" t="shared" si="53"/>
        <v>1</v>
      </c>
      <c r="J1138">
        <f>_xlfn.XLOOKUP($A1138,[1]Sheet1!$B$9:$B$2584,[1]Sheet1!$C$9:$C$2584,"N/A",0)</f>
        <v>111.31</v>
      </c>
      <c r="K1138">
        <f>_xlfn.XLOOKUP($A1138,[1]Sheet1!$E$9:$E$2584,[1]Sheet1!$F$9:$F$2584,"N/A",0)</f>
        <v>148.31</v>
      </c>
      <c r="L1138">
        <f>_xlfn.XLOOKUP($A1138,[1]Sheet1!$H$9:$H$2584,[1]Sheet1!$I$9:$I$2584,"N/A",0)</f>
        <v>62.92</v>
      </c>
      <c r="M1138">
        <f>_xlfn.XLOOKUP($A1138,[1]Sheet1!$K$9:$K$2584,[1]Sheet1!$L$9:$L$2584,"N/A",0)</f>
        <v>142.36</v>
      </c>
      <c r="N1138">
        <f>_xlfn.XLOOKUP($A1138,[1]Sheet1!$N$9:$N$2584,[1]Sheet1!$O$9:$O$2584,"N/A",0)</f>
        <v>105.9</v>
      </c>
      <c r="O1138">
        <v>111.31</v>
      </c>
      <c r="P1138">
        <v>148.31</v>
      </c>
      <c r="Q1138">
        <v>62.92</v>
      </c>
      <c r="R1138">
        <v>105.9</v>
      </c>
      <c r="S1138">
        <v>142.36</v>
      </c>
    </row>
    <row r="1139" spans="1:19">
      <c r="A1139" s="1">
        <v>44020</v>
      </c>
      <c r="B1139" t="s">
        <v>522</v>
      </c>
      <c r="C1139" t="s">
        <v>526</v>
      </c>
      <c r="D1139">
        <v>29.525</v>
      </c>
      <c r="E1139">
        <v>30.425</v>
      </c>
      <c r="F1139" s="2" t="s">
        <v>530</v>
      </c>
      <c r="G1139">
        <f ca="1" t="shared" si="51"/>
        <v>0.48539452630774</v>
      </c>
      <c r="H1139" t="str">
        <f ca="1" t="shared" si="52"/>
        <v>Risk-On</v>
      </c>
      <c r="I1139">
        <f ca="1" t="shared" si="53"/>
        <v>1</v>
      </c>
      <c r="J1139">
        <f>_xlfn.XLOOKUP($A1139,[1]Sheet1!$B$9:$B$2584,[1]Sheet1!$C$9:$C$2584,"N/A",0)</f>
        <v>111.17</v>
      </c>
      <c r="K1139">
        <f>_xlfn.XLOOKUP($A1139,[1]Sheet1!$E$9:$E$2584,[1]Sheet1!$F$9:$F$2584,"N/A",0)</f>
        <v>149.8</v>
      </c>
      <c r="L1139">
        <f>_xlfn.XLOOKUP($A1139,[1]Sheet1!$H$9:$H$2584,[1]Sheet1!$I$9:$I$2584,"N/A",0)</f>
        <v>62.31</v>
      </c>
      <c r="M1139">
        <f>_xlfn.XLOOKUP($A1139,[1]Sheet1!$K$9:$K$2584,[1]Sheet1!$L$9:$L$2584,"N/A",0)</f>
        <v>141.2</v>
      </c>
      <c r="N1139">
        <f>_xlfn.XLOOKUP($A1139,[1]Sheet1!$N$9:$N$2584,[1]Sheet1!$O$9:$O$2584,"N/A",0)</f>
        <v>105.68</v>
      </c>
      <c r="O1139">
        <v>111.17</v>
      </c>
      <c r="P1139">
        <v>149.8</v>
      </c>
      <c r="Q1139">
        <v>62.31</v>
      </c>
      <c r="R1139">
        <v>105.68</v>
      </c>
      <c r="S1139">
        <v>141.2</v>
      </c>
    </row>
    <row r="1140" spans="1:19">
      <c r="A1140" s="1">
        <v>44021</v>
      </c>
      <c r="B1140" t="s">
        <v>522</v>
      </c>
      <c r="C1140" t="s">
        <v>526</v>
      </c>
      <c r="D1140">
        <v>30.225</v>
      </c>
      <c r="E1140">
        <v>31.225</v>
      </c>
      <c r="F1140" s="2" t="s">
        <v>531</v>
      </c>
      <c r="G1140">
        <f ca="1" t="shared" si="51"/>
        <v>0.526783827702664</v>
      </c>
      <c r="H1140" t="str">
        <f ca="1" t="shared" si="52"/>
        <v>Risk-On</v>
      </c>
      <c r="I1140">
        <f ca="1" t="shared" si="53"/>
        <v>1</v>
      </c>
      <c r="J1140">
        <f>_xlfn.XLOOKUP($A1140,[1]Sheet1!$B$9:$B$2584,[1]Sheet1!$C$9:$C$2584,"N/A",0)</f>
        <v>111.37</v>
      </c>
      <c r="K1140">
        <f>_xlfn.XLOOKUP($A1140,[1]Sheet1!$E$9:$E$2584,[1]Sheet1!$F$9:$F$2584,"N/A",0)</f>
        <v>151.19</v>
      </c>
      <c r="L1140">
        <f>_xlfn.XLOOKUP($A1140,[1]Sheet1!$H$9:$H$2584,[1]Sheet1!$I$9:$I$2584,"N/A",0)</f>
        <v>61.75</v>
      </c>
      <c r="M1140">
        <f>_xlfn.XLOOKUP($A1140,[1]Sheet1!$K$9:$K$2584,[1]Sheet1!$L$9:$L$2584,"N/A",0)</f>
        <v>141.02</v>
      </c>
      <c r="N1140">
        <f>_xlfn.XLOOKUP($A1140,[1]Sheet1!$N$9:$N$2584,[1]Sheet1!$O$9:$O$2584,"N/A",0)</f>
        <v>105.93</v>
      </c>
      <c r="O1140">
        <v>111.37</v>
      </c>
      <c r="P1140">
        <v>151.19</v>
      </c>
      <c r="Q1140">
        <v>61.75</v>
      </c>
      <c r="R1140">
        <v>105.93</v>
      </c>
      <c r="S1140">
        <v>141.02</v>
      </c>
    </row>
    <row r="1141" spans="1:19">
      <c r="A1141" s="1">
        <v>44022</v>
      </c>
      <c r="B1141" t="s">
        <v>522</v>
      </c>
      <c r="C1141" t="s">
        <v>526</v>
      </c>
      <c r="D1141">
        <v>28.775</v>
      </c>
      <c r="E1141">
        <v>30.325</v>
      </c>
      <c r="F1141" s="2" t="s">
        <v>532</v>
      </c>
      <c r="G1141">
        <f ca="1" t="shared" si="51"/>
        <v>0.789491115394109</v>
      </c>
      <c r="H1141" t="str">
        <f ca="1" t="shared" si="52"/>
        <v>Risk-On</v>
      </c>
      <c r="I1141">
        <f ca="1" t="shared" si="53"/>
        <v>1</v>
      </c>
      <c r="J1141">
        <f>_xlfn.XLOOKUP($A1141,[1]Sheet1!$B$9:$B$2584,[1]Sheet1!$C$9:$C$2584,"N/A",0)</f>
        <v>111.53</v>
      </c>
      <c r="K1141">
        <f>_xlfn.XLOOKUP($A1141,[1]Sheet1!$E$9:$E$2584,[1]Sheet1!$F$9:$F$2584,"N/A",0)</f>
        <v>149.51</v>
      </c>
      <c r="L1141">
        <f>_xlfn.XLOOKUP($A1141,[1]Sheet1!$H$9:$H$2584,[1]Sheet1!$I$9:$I$2584,"N/A",0)</f>
        <v>62.1</v>
      </c>
      <c r="M1141">
        <f>_xlfn.XLOOKUP($A1141,[1]Sheet1!$K$9:$K$2584,[1]Sheet1!$L$9:$L$2584,"N/A",0)</f>
        <v>141.52</v>
      </c>
      <c r="N1141">
        <f>_xlfn.XLOOKUP($A1141,[1]Sheet1!$N$9:$N$2584,[1]Sheet1!$O$9:$O$2584,"N/A",0)</f>
        <v>105.92</v>
      </c>
      <c r="O1141">
        <v>111.53</v>
      </c>
      <c r="P1141">
        <v>149.51</v>
      </c>
      <c r="Q1141">
        <v>62.1</v>
      </c>
      <c r="R1141">
        <v>105.92</v>
      </c>
      <c r="S1141">
        <v>141.52</v>
      </c>
    </row>
    <row r="1142" spans="1:19">
      <c r="A1142" s="1">
        <v>44025</v>
      </c>
      <c r="B1142" t="s">
        <v>522</v>
      </c>
      <c r="C1142" t="s">
        <v>526</v>
      </c>
      <c r="D1142">
        <v>31.825</v>
      </c>
      <c r="E1142">
        <v>32.975</v>
      </c>
      <c r="F1142">
        <v>0.0361351139041634</v>
      </c>
      <c r="G1142">
        <f ca="1" t="shared" si="51"/>
        <v>0.565339996457636</v>
      </c>
      <c r="H1142" t="str">
        <f ca="1" t="shared" si="52"/>
        <v>Risk-On</v>
      </c>
      <c r="I1142">
        <f ca="1" t="shared" si="53"/>
        <v>1</v>
      </c>
      <c r="J1142">
        <f>_xlfn.XLOOKUP($A1142,[1]Sheet1!$B$9:$B$2584,[1]Sheet1!$C$9:$C$2584,"N/A",0)</f>
        <v>111.22</v>
      </c>
      <c r="K1142">
        <f>_xlfn.XLOOKUP($A1142,[1]Sheet1!$E$9:$E$2584,[1]Sheet1!$F$9:$F$2584,"N/A",0)</f>
        <v>147.21</v>
      </c>
      <c r="L1142">
        <f>_xlfn.XLOOKUP($A1142,[1]Sheet1!$H$9:$H$2584,[1]Sheet1!$I$9:$I$2584,"N/A",0)</f>
        <v>62.77</v>
      </c>
      <c r="M1142">
        <f>_xlfn.XLOOKUP($A1142,[1]Sheet1!$K$9:$K$2584,[1]Sheet1!$L$9:$L$2584,"N/A",0)</f>
        <v>142.18</v>
      </c>
      <c r="N1142">
        <f>_xlfn.XLOOKUP($A1142,[1]Sheet1!$N$9:$N$2584,[1]Sheet1!$O$9:$O$2584,"N/A",0)</f>
        <v>106.81</v>
      </c>
      <c r="O1142">
        <v>111.22</v>
      </c>
      <c r="P1142">
        <v>147.21</v>
      </c>
      <c r="Q1142">
        <v>62.77</v>
      </c>
      <c r="R1142">
        <v>106.81</v>
      </c>
      <c r="S1142">
        <v>142.18</v>
      </c>
    </row>
    <row r="1143" spans="1:19">
      <c r="A1143" s="1">
        <v>44026</v>
      </c>
      <c r="B1143" t="s">
        <v>522</v>
      </c>
      <c r="C1143" t="s">
        <v>526</v>
      </c>
      <c r="D1143">
        <v>29.625</v>
      </c>
      <c r="E1143">
        <v>31.275</v>
      </c>
      <c r="F1143">
        <v>0.0556962025316455</v>
      </c>
      <c r="G1143">
        <f ca="1" t="shared" si="51"/>
        <v>0.810702719511093</v>
      </c>
      <c r="H1143" t="str">
        <f ca="1" t="shared" si="52"/>
        <v>Risk-On</v>
      </c>
      <c r="I1143">
        <f ca="1" t="shared" si="53"/>
        <v>1</v>
      </c>
      <c r="J1143">
        <f>_xlfn.XLOOKUP($A1143,[1]Sheet1!$B$9:$B$2584,[1]Sheet1!$C$9:$C$2584,"N/A",0)</f>
        <v>111.16</v>
      </c>
      <c r="K1143">
        <f>_xlfn.XLOOKUP($A1143,[1]Sheet1!$E$9:$E$2584,[1]Sheet1!$F$9:$F$2584,"N/A",0)</f>
        <v>148.78</v>
      </c>
      <c r="L1143">
        <f>_xlfn.XLOOKUP($A1143,[1]Sheet1!$H$9:$H$2584,[1]Sheet1!$I$9:$I$2584,"N/A",0)</f>
        <v>62.81</v>
      </c>
      <c r="M1143">
        <f>_xlfn.XLOOKUP($A1143,[1]Sheet1!$K$9:$K$2584,[1]Sheet1!$L$9:$L$2584,"N/A",0)</f>
        <v>142.47</v>
      </c>
      <c r="N1143">
        <f>_xlfn.XLOOKUP($A1143,[1]Sheet1!$N$9:$N$2584,[1]Sheet1!$O$9:$O$2584,"N/A",0)</f>
        <v>106.64</v>
      </c>
      <c r="O1143">
        <v>111.16</v>
      </c>
      <c r="P1143">
        <v>148.78</v>
      </c>
      <c r="Q1143">
        <v>62.81</v>
      </c>
      <c r="R1143">
        <v>106.64</v>
      </c>
      <c r="S1143">
        <v>142.47</v>
      </c>
    </row>
    <row r="1144" spans="1:19">
      <c r="A1144" s="1">
        <v>44027</v>
      </c>
      <c r="B1144" t="s">
        <v>522</v>
      </c>
      <c r="C1144" t="s">
        <v>526</v>
      </c>
      <c r="D1144">
        <v>28.325</v>
      </c>
      <c r="E1144">
        <v>30.375</v>
      </c>
      <c r="F1144">
        <v>0.0723742277140335</v>
      </c>
      <c r="G1144">
        <f ca="1" t="shared" si="51"/>
        <v>1.01781083229821</v>
      </c>
      <c r="H1144" t="str">
        <f ca="1" t="shared" si="52"/>
        <v>Risk-On</v>
      </c>
      <c r="I1144">
        <f ca="1" t="shared" si="53"/>
        <v>1</v>
      </c>
      <c r="J1144">
        <f>_xlfn.XLOOKUP($A1144,[1]Sheet1!$B$9:$B$2584,[1]Sheet1!$C$9:$C$2584,"N/A",0)</f>
        <v>110.68</v>
      </c>
      <c r="K1144">
        <f>_xlfn.XLOOKUP($A1144,[1]Sheet1!$E$9:$E$2584,[1]Sheet1!$F$9:$F$2584,"N/A",0)</f>
        <v>146.69</v>
      </c>
      <c r="L1144">
        <f>_xlfn.XLOOKUP($A1144,[1]Sheet1!$H$9:$H$2584,[1]Sheet1!$I$9:$I$2584,"N/A",0)</f>
        <v>63.05</v>
      </c>
      <c r="M1144">
        <f>_xlfn.XLOOKUP($A1144,[1]Sheet1!$K$9:$K$2584,[1]Sheet1!$L$9:$L$2584,"N/A",0)</f>
        <v>142.17</v>
      </c>
      <c r="N1144">
        <f>_xlfn.XLOOKUP($A1144,[1]Sheet1!$N$9:$N$2584,[1]Sheet1!$O$9:$O$2584,"N/A",0)</f>
        <v>105.43</v>
      </c>
      <c r="O1144">
        <v>110.68</v>
      </c>
      <c r="P1144">
        <v>146.69</v>
      </c>
      <c r="Q1144">
        <v>63.05</v>
      </c>
      <c r="R1144">
        <v>105.43</v>
      </c>
      <c r="S1144">
        <v>142.17</v>
      </c>
    </row>
    <row r="1145" spans="1:19">
      <c r="A1145" s="1">
        <v>44028</v>
      </c>
      <c r="B1145" t="s">
        <v>522</v>
      </c>
      <c r="C1145" t="s">
        <v>526</v>
      </c>
      <c r="D1145">
        <v>28.125</v>
      </c>
      <c r="E1145">
        <v>30.275</v>
      </c>
      <c r="F1145">
        <v>0.0764444444444444</v>
      </c>
      <c r="G1145">
        <f ca="1" t="shared" si="51"/>
        <v>1.0626010753087</v>
      </c>
      <c r="H1145" t="str">
        <f ca="1" t="shared" si="52"/>
        <v>Risk-On</v>
      </c>
      <c r="I1145">
        <f ca="1" t="shared" si="53"/>
        <v>1</v>
      </c>
      <c r="J1145">
        <f>_xlfn.XLOOKUP($A1145,[1]Sheet1!$B$9:$B$2584,[1]Sheet1!$C$9:$C$2584,"N/A",0)</f>
        <v>111.09</v>
      </c>
      <c r="K1145">
        <f>_xlfn.XLOOKUP($A1145,[1]Sheet1!$E$9:$E$2584,[1]Sheet1!$F$9:$F$2584,"N/A",0)</f>
        <v>146.76</v>
      </c>
      <c r="L1145">
        <f>_xlfn.XLOOKUP($A1145,[1]Sheet1!$H$9:$H$2584,[1]Sheet1!$I$9:$I$2584,"N/A",0)</f>
        <v>63.24</v>
      </c>
      <c r="M1145">
        <f>_xlfn.XLOOKUP($A1145,[1]Sheet1!$K$9:$K$2584,[1]Sheet1!$L$9:$L$2584,"N/A",0)</f>
        <v>141.7</v>
      </c>
      <c r="N1145">
        <f>_xlfn.XLOOKUP($A1145,[1]Sheet1!$N$9:$N$2584,[1]Sheet1!$O$9:$O$2584,"N/A",0)</f>
        <v>105.57</v>
      </c>
      <c r="O1145">
        <v>111.09</v>
      </c>
      <c r="P1145">
        <v>146.76</v>
      </c>
      <c r="Q1145">
        <v>63.24</v>
      </c>
      <c r="R1145">
        <v>105.57</v>
      </c>
      <c r="S1145">
        <v>141.7</v>
      </c>
    </row>
    <row r="1146" spans="1:19">
      <c r="A1146" s="1">
        <v>44029</v>
      </c>
      <c r="B1146" t="s">
        <v>522</v>
      </c>
      <c r="C1146" t="s">
        <v>526</v>
      </c>
      <c r="D1146">
        <v>26.425</v>
      </c>
      <c r="E1146">
        <v>28.975</v>
      </c>
      <c r="F1146">
        <v>0.0964995269631031</v>
      </c>
      <c r="G1146">
        <f ca="1" t="shared" si="51"/>
        <v>1.30947159097008</v>
      </c>
      <c r="H1146" t="str">
        <f ca="1" t="shared" si="52"/>
        <v>Risk-On</v>
      </c>
      <c r="I1146">
        <f ca="1" t="shared" si="53"/>
        <v>1</v>
      </c>
      <c r="J1146">
        <f>_xlfn.XLOOKUP($A1146,[1]Sheet1!$B$9:$B$2584,[1]Sheet1!$C$9:$C$2584,"N/A",0)</f>
        <v>111.34</v>
      </c>
      <c r="K1146">
        <f>_xlfn.XLOOKUP($A1146,[1]Sheet1!$E$9:$E$2584,[1]Sheet1!$F$9:$F$2584,"N/A",0)</f>
        <v>148.41</v>
      </c>
      <c r="L1146">
        <f>_xlfn.XLOOKUP($A1146,[1]Sheet1!$H$9:$H$2584,[1]Sheet1!$I$9:$I$2584,"N/A",0)</f>
        <v>62.99</v>
      </c>
      <c r="M1146">
        <f>_xlfn.XLOOKUP($A1146,[1]Sheet1!$K$9:$K$2584,[1]Sheet1!$L$9:$L$2584,"N/A",0)</f>
        <v>140.49</v>
      </c>
      <c r="N1146">
        <f>_xlfn.XLOOKUP($A1146,[1]Sheet1!$N$9:$N$2584,[1]Sheet1!$O$9:$O$2584,"N/A",0)</f>
        <v>105.71</v>
      </c>
      <c r="O1146">
        <v>111.34</v>
      </c>
      <c r="P1146">
        <v>148.41</v>
      </c>
      <c r="Q1146">
        <v>62.99</v>
      </c>
      <c r="R1146">
        <v>105.71</v>
      </c>
      <c r="S1146">
        <v>140.49</v>
      </c>
    </row>
    <row r="1147" spans="1:19">
      <c r="A1147" s="1">
        <v>44032</v>
      </c>
      <c r="B1147" t="s">
        <v>522</v>
      </c>
      <c r="C1147" t="s">
        <v>526</v>
      </c>
      <c r="D1147">
        <v>24.725</v>
      </c>
      <c r="E1147">
        <v>27.525</v>
      </c>
      <c r="F1147" s="2" t="s">
        <v>533</v>
      </c>
      <c r="G1147">
        <f ca="1" t="shared" si="51"/>
        <v>1.5154469260578</v>
      </c>
      <c r="H1147" t="str">
        <f ca="1" t="shared" si="52"/>
        <v>Risk-On</v>
      </c>
      <c r="I1147">
        <f ca="1" t="shared" si="53"/>
        <v>1</v>
      </c>
      <c r="J1147">
        <f>_xlfn.XLOOKUP($A1147,[1]Sheet1!$B$9:$B$2584,[1]Sheet1!$C$9:$C$2584,"N/A",0)</f>
        <v>111.8</v>
      </c>
      <c r="K1147">
        <f>_xlfn.XLOOKUP($A1147,[1]Sheet1!$E$9:$E$2584,[1]Sheet1!$F$9:$F$2584,"N/A",0)</f>
        <v>150.5</v>
      </c>
      <c r="L1147">
        <f>_xlfn.XLOOKUP($A1147,[1]Sheet1!$H$9:$H$2584,[1]Sheet1!$I$9:$I$2584,"N/A",0)</f>
        <v>62.56</v>
      </c>
      <c r="M1147">
        <f>_xlfn.XLOOKUP($A1147,[1]Sheet1!$K$9:$K$2584,[1]Sheet1!$L$9:$L$2584,"N/A",0)</f>
        <v>140.45</v>
      </c>
      <c r="N1147">
        <f>_xlfn.XLOOKUP($A1147,[1]Sheet1!$N$9:$N$2584,[1]Sheet1!$O$9:$O$2584,"N/A",0)</f>
        <v>105.82</v>
      </c>
      <c r="O1147">
        <v>111.8</v>
      </c>
      <c r="P1147">
        <v>150.5</v>
      </c>
      <c r="Q1147">
        <v>62.56</v>
      </c>
      <c r="R1147">
        <v>105.82</v>
      </c>
      <c r="S1147">
        <v>140.45</v>
      </c>
    </row>
    <row r="1148" spans="1:19">
      <c r="A1148" s="1">
        <v>44033</v>
      </c>
      <c r="B1148" t="s">
        <v>522</v>
      </c>
      <c r="C1148" t="s">
        <v>526</v>
      </c>
      <c r="D1148">
        <v>24.775</v>
      </c>
      <c r="E1148">
        <v>27.825</v>
      </c>
      <c r="F1148" s="2" t="s">
        <v>534</v>
      </c>
      <c r="G1148">
        <f ca="1" t="shared" si="51"/>
        <v>1.6429129346893</v>
      </c>
      <c r="H1148" t="str">
        <f ca="1" t="shared" si="52"/>
        <v>Risk-Off</v>
      </c>
      <c r="I1148">
        <f ca="1" t="shared" si="53"/>
        <v>1</v>
      </c>
      <c r="J1148">
        <f>_xlfn.XLOOKUP($A1148,[1]Sheet1!$B$9:$B$2584,[1]Sheet1!$C$9:$C$2584,"N/A",0)</f>
        <v>111.14</v>
      </c>
      <c r="K1148">
        <f>_xlfn.XLOOKUP($A1148,[1]Sheet1!$E$9:$E$2584,[1]Sheet1!$F$9:$F$2584,"N/A",0)</f>
        <v>150</v>
      </c>
      <c r="L1148">
        <f>_xlfn.XLOOKUP($A1148,[1]Sheet1!$H$9:$H$2584,[1]Sheet1!$I$9:$I$2584,"N/A",0)</f>
        <v>62.78</v>
      </c>
      <c r="M1148">
        <f>_xlfn.XLOOKUP($A1148,[1]Sheet1!$K$9:$K$2584,[1]Sheet1!$L$9:$L$2584,"N/A",0)</f>
        <v>141.12</v>
      </c>
      <c r="N1148">
        <f>_xlfn.XLOOKUP($A1148,[1]Sheet1!$N$9:$N$2584,[1]Sheet1!$O$9:$O$2584,"N/A",0)</f>
        <v>105.17</v>
      </c>
      <c r="O1148">
        <v>111.14</v>
      </c>
      <c r="P1148">
        <v>150</v>
      </c>
      <c r="Q1148">
        <v>62.78</v>
      </c>
      <c r="R1148">
        <v>105.17</v>
      </c>
      <c r="S1148">
        <v>141.12</v>
      </c>
    </row>
    <row r="1149" spans="1:19">
      <c r="A1149" s="1">
        <v>44034</v>
      </c>
      <c r="B1149" t="s">
        <v>522</v>
      </c>
      <c r="C1149" t="s">
        <v>526</v>
      </c>
      <c r="D1149">
        <v>25.45</v>
      </c>
      <c r="E1149">
        <v>27.25</v>
      </c>
      <c r="F1149">
        <v>0.0707269155206287</v>
      </c>
      <c r="G1149">
        <f ca="1" t="shared" si="51"/>
        <v>0.989305389107213</v>
      </c>
      <c r="H1149" t="str">
        <f ca="1" t="shared" si="52"/>
        <v>Risk-On</v>
      </c>
      <c r="I1149">
        <f ca="1" t="shared" si="53"/>
        <v>1</v>
      </c>
      <c r="J1149">
        <f>_xlfn.XLOOKUP($A1149,[1]Sheet1!$B$9:$B$2584,[1]Sheet1!$C$9:$C$2584,"N/A",0)</f>
        <v>111.32</v>
      </c>
      <c r="K1149">
        <f>_xlfn.XLOOKUP($A1149,[1]Sheet1!$E$9:$E$2584,[1]Sheet1!$F$9:$F$2584,"N/A",0)</f>
        <v>150.76</v>
      </c>
      <c r="L1149">
        <f>_xlfn.XLOOKUP($A1149,[1]Sheet1!$H$9:$H$2584,[1]Sheet1!$I$9:$I$2584,"N/A",0)</f>
        <v>62.94</v>
      </c>
      <c r="M1149">
        <f>_xlfn.XLOOKUP($A1149,[1]Sheet1!$K$9:$K$2584,[1]Sheet1!$L$9:$L$2584,"N/A",0)</f>
        <v>141.17</v>
      </c>
      <c r="N1149">
        <f>_xlfn.XLOOKUP($A1149,[1]Sheet1!$N$9:$N$2584,[1]Sheet1!$O$9:$O$2584,"N/A",0)</f>
        <v>105.72</v>
      </c>
      <c r="O1149">
        <v>111.32</v>
      </c>
      <c r="P1149">
        <v>150.76</v>
      </c>
      <c r="Q1149">
        <v>62.94</v>
      </c>
      <c r="R1149">
        <v>105.72</v>
      </c>
      <c r="S1149">
        <v>141.17</v>
      </c>
    </row>
    <row r="1150" spans="1:19">
      <c r="A1150" s="1">
        <v>44035</v>
      </c>
      <c r="B1150" t="s">
        <v>526</v>
      </c>
      <c r="C1150" t="s">
        <v>535</v>
      </c>
      <c r="D1150">
        <v>28.775</v>
      </c>
      <c r="E1150">
        <v>30.275</v>
      </c>
      <c r="F1150">
        <v>0.052128583840139</v>
      </c>
      <c r="G1150">
        <f ca="1" t="shared" si="51"/>
        <v>0.757518205868444</v>
      </c>
      <c r="H1150" t="str">
        <f ca="1" t="shared" si="52"/>
        <v>Risk-On</v>
      </c>
      <c r="I1150">
        <f ca="1" t="shared" si="53"/>
        <v>1</v>
      </c>
      <c r="J1150">
        <f>_xlfn.XLOOKUP($A1150,[1]Sheet1!$B$9:$B$2584,[1]Sheet1!$C$9:$C$2584,"N/A",0)</f>
        <v>111.11</v>
      </c>
      <c r="K1150">
        <f>_xlfn.XLOOKUP($A1150,[1]Sheet1!$E$9:$E$2584,[1]Sheet1!$F$9:$F$2584,"N/A",0)</f>
        <v>148.4</v>
      </c>
      <c r="L1150">
        <f>_xlfn.XLOOKUP($A1150,[1]Sheet1!$H$9:$H$2584,[1]Sheet1!$I$9:$I$2584,"N/A",0)</f>
        <v>63.17</v>
      </c>
      <c r="M1150">
        <f>_xlfn.XLOOKUP($A1150,[1]Sheet1!$K$9:$K$2584,[1]Sheet1!$L$9:$L$2584,"N/A",0)</f>
        <v>140.99</v>
      </c>
      <c r="N1150">
        <f>_xlfn.XLOOKUP($A1150,[1]Sheet1!$N$9:$N$2584,[1]Sheet1!$O$9:$O$2584,"N/A",0)</f>
        <v>105.13</v>
      </c>
      <c r="O1150">
        <v>111.11</v>
      </c>
      <c r="P1150">
        <v>148.4</v>
      </c>
      <c r="Q1150">
        <v>63.17</v>
      </c>
      <c r="R1150">
        <v>105.13</v>
      </c>
      <c r="S1150">
        <v>140.99</v>
      </c>
    </row>
    <row r="1151" spans="1:19">
      <c r="A1151" s="1">
        <v>44036</v>
      </c>
      <c r="B1151" t="s">
        <v>526</v>
      </c>
      <c r="C1151" t="s">
        <v>535</v>
      </c>
      <c r="D1151">
        <v>28.725</v>
      </c>
      <c r="E1151">
        <v>30.525</v>
      </c>
      <c r="F1151">
        <v>0.0626631853785899</v>
      </c>
      <c r="G1151">
        <f ca="1" t="shared" si="51"/>
        <v>0.88715411376188</v>
      </c>
      <c r="H1151" t="str">
        <f ca="1" t="shared" si="52"/>
        <v>Risk-On</v>
      </c>
      <c r="I1151">
        <f ca="1" t="shared" si="53"/>
        <v>1</v>
      </c>
      <c r="J1151">
        <f>_xlfn.XLOOKUP($A1151,[1]Sheet1!$B$9:$B$2584,[1]Sheet1!$C$9:$C$2584,"N/A",0)</f>
        <v>111.02</v>
      </c>
      <c r="K1151">
        <f>_xlfn.XLOOKUP($A1151,[1]Sheet1!$E$9:$E$2584,[1]Sheet1!$F$9:$F$2584,"N/A",0)</f>
        <v>149.5</v>
      </c>
      <c r="L1151">
        <f>_xlfn.XLOOKUP($A1151,[1]Sheet1!$H$9:$H$2584,[1]Sheet1!$I$9:$I$2584,"N/A",0)</f>
        <v>62.81</v>
      </c>
      <c r="M1151">
        <f>_xlfn.XLOOKUP($A1151,[1]Sheet1!$K$9:$K$2584,[1]Sheet1!$L$9:$L$2584,"N/A",0)</f>
        <v>141.13</v>
      </c>
      <c r="N1151">
        <f>_xlfn.XLOOKUP($A1151,[1]Sheet1!$N$9:$N$2584,[1]Sheet1!$O$9:$O$2584,"N/A",0)</f>
        <v>105.94</v>
      </c>
      <c r="O1151">
        <v>111.02</v>
      </c>
      <c r="P1151">
        <v>149.5</v>
      </c>
      <c r="Q1151">
        <v>62.81</v>
      </c>
      <c r="R1151">
        <v>105.94</v>
      </c>
      <c r="S1151">
        <v>141.13</v>
      </c>
    </row>
    <row r="1152" spans="1:19">
      <c r="A1152" s="1">
        <v>44039</v>
      </c>
      <c r="B1152" t="s">
        <v>526</v>
      </c>
      <c r="C1152" t="s">
        <v>535</v>
      </c>
      <c r="D1152">
        <v>27.525</v>
      </c>
      <c r="E1152">
        <v>29.925</v>
      </c>
      <c r="F1152">
        <v>0.0871934604904633</v>
      </c>
      <c r="G1152">
        <f ca="1" t="shared" si="51"/>
        <v>1.20534025622192</v>
      </c>
      <c r="H1152" t="str">
        <f ca="1" t="shared" si="52"/>
        <v>Risk-On</v>
      </c>
      <c r="I1152">
        <f ca="1" t="shared" si="53"/>
        <v>1</v>
      </c>
      <c r="J1152">
        <f>_xlfn.XLOOKUP($A1152,[1]Sheet1!$B$9:$B$2584,[1]Sheet1!$C$9:$C$2584,"N/A",0)</f>
        <v>111.06</v>
      </c>
      <c r="K1152">
        <f>_xlfn.XLOOKUP($A1152,[1]Sheet1!$E$9:$E$2584,[1]Sheet1!$F$9:$F$2584,"N/A",0)</f>
        <v>151.58</v>
      </c>
      <c r="L1152">
        <f>_xlfn.XLOOKUP($A1152,[1]Sheet1!$H$9:$H$2584,[1]Sheet1!$I$9:$I$2584,"N/A",0)</f>
        <v>63.06</v>
      </c>
      <c r="M1152">
        <f>_xlfn.XLOOKUP($A1152,[1]Sheet1!$K$9:$K$2584,[1]Sheet1!$L$9:$L$2584,"N/A",0)</f>
        <v>140.49</v>
      </c>
      <c r="N1152">
        <f>_xlfn.XLOOKUP($A1152,[1]Sheet1!$N$9:$N$2584,[1]Sheet1!$O$9:$O$2584,"N/A",0)</f>
        <v>104.94</v>
      </c>
      <c r="O1152">
        <v>111.06</v>
      </c>
      <c r="P1152">
        <v>151.58</v>
      </c>
      <c r="Q1152">
        <v>63.06</v>
      </c>
      <c r="R1152">
        <v>104.94</v>
      </c>
      <c r="S1152">
        <v>140.49</v>
      </c>
    </row>
    <row r="1153" spans="1:19">
      <c r="A1153" s="1">
        <v>44040</v>
      </c>
      <c r="B1153" t="s">
        <v>526</v>
      </c>
      <c r="C1153" t="s">
        <v>535</v>
      </c>
      <c r="D1153">
        <v>27.525</v>
      </c>
      <c r="E1153">
        <v>29.875</v>
      </c>
      <c r="F1153">
        <v>0.0853769300635786</v>
      </c>
      <c r="G1153">
        <f ca="1" t="shared" si="51"/>
        <v>1.17257902579457</v>
      </c>
      <c r="H1153" t="str">
        <f ca="1" t="shared" si="52"/>
        <v>Risk-On</v>
      </c>
      <c r="I1153">
        <f ca="1" t="shared" si="53"/>
        <v>1</v>
      </c>
      <c r="J1153">
        <f>_xlfn.XLOOKUP($A1153,[1]Sheet1!$B$9:$B$2584,[1]Sheet1!$C$9:$C$2584,"N/A",0)</f>
        <v>111.03</v>
      </c>
      <c r="K1153">
        <f>_xlfn.XLOOKUP($A1153,[1]Sheet1!$E$9:$E$2584,[1]Sheet1!$F$9:$F$2584,"N/A",0)</f>
        <v>150.09</v>
      </c>
      <c r="L1153">
        <f>_xlfn.XLOOKUP($A1153,[1]Sheet1!$H$9:$H$2584,[1]Sheet1!$I$9:$I$2584,"N/A",0)</f>
        <v>62.95</v>
      </c>
      <c r="M1153">
        <f>_xlfn.XLOOKUP($A1153,[1]Sheet1!$K$9:$K$2584,[1]Sheet1!$L$9:$L$2584,"N/A",0)</f>
        <v>139.71</v>
      </c>
      <c r="N1153">
        <f>_xlfn.XLOOKUP($A1153,[1]Sheet1!$N$9:$N$2584,[1]Sheet1!$O$9:$O$2584,"N/A",0)</f>
        <v>105.3</v>
      </c>
      <c r="O1153">
        <v>111.03</v>
      </c>
      <c r="P1153">
        <v>150.09</v>
      </c>
      <c r="Q1153">
        <v>62.95</v>
      </c>
      <c r="R1153">
        <v>105.3</v>
      </c>
      <c r="S1153">
        <v>139.71</v>
      </c>
    </row>
    <row r="1154" spans="1:19">
      <c r="A1154" s="1">
        <v>44041</v>
      </c>
      <c r="B1154" t="s">
        <v>526</v>
      </c>
      <c r="C1154" t="s">
        <v>535</v>
      </c>
      <c r="D1154">
        <v>26.775</v>
      </c>
      <c r="E1154">
        <v>29.475</v>
      </c>
      <c r="F1154" s="2" t="s">
        <v>536</v>
      </c>
      <c r="G1154">
        <f ca="1" t="shared" si="51"/>
        <v>1.35972988935158</v>
      </c>
      <c r="H1154" t="str">
        <f ca="1" t="shared" si="52"/>
        <v>Risk-On</v>
      </c>
      <c r="I1154">
        <f ca="1" t="shared" si="53"/>
        <v>1</v>
      </c>
      <c r="J1154">
        <f>_xlfn.XLOOKUP($A1154,[1]Sheet1!$B$9:$B$2584,[1]Sheet1!$C$9:$C$2584,"N/A",0)</f>
        <v>110.9</v>
      </c>
      <c r="K1154">
        <f>_xlfn.XLOOKUP($A1154,[1]Sheet1!$E$9:$E$2584,[1]Sheet1!$F$9:$F$2584,"N/A",0)</f>
        <v>151.54</v>
      </c>
      <c r="L1154">
        <f>_xlfn.XLOOKUP($A1154,[1]Sheet1!$H$9:$H$2584,[1]Sheet1!$I$9:$I$2584,"N/A",0)</f>
        <v>62.99</v>
      </c>
      <c r="M1154">
        <f>_xlfn.XLOOKUP($A1154,[1]Sheet1!$K$9:$K$2584,[1]Sheet1!$L$9:$L$2584,"N/A",0)</f>
        <v>139.88</v>
      </c>
      <c r="N1154">
        <f>_xlfn.XLOOKUP($A1154,[1]Sheet1!$N$9:$N$2584,[1]Sheet1!$O$9:$O$2584,"N/A",0)</f>
        <v>104.71</v>
      </c>
      <c r="O1154">
        <v>110.9</v>
      </c>
      <c r="P1154">
        <v>151.54</v>
      </c>
      <c r="Q1154">
        <v>62.99</v>
      </c>
      <c r="R1154">
        <v>104.71</v>
      </c>
      <c r="S1154">
        <v>139.88</v>
      </c>
    </row>
    <row r="1155" spans="1:19">
      <c r="A1155" s="1">
        <v>44042</v>
      </c>
      <c r="B1155" t="s">
        <v>526</v>
      </c>
      <c r="C1155" t="s">
        <v>535</v>
      </c>
      <c r="D1155">
        <v>27.175</v>
      </c>
      <c r="E1155">
        <v>29.825</v>
      </c>
      <c r="F1155">
        <v>0.0975160993560257</v>
      </c>
      <c r="G1155">
        <f ca="1" t="shared" ref="G1155:G1218" si="54">IF(ROW()-ROW($A$3)+1&gt;252,(F1155-AVERAGE(OFFSET(F1155,-252,0,252,1)))/_xlfn.STDEV.S(OFFSET(F1155,-252,0,252,1)),"N/A")</f>
        <v>1.32770623905439</v>
      </c>
      <c r="H1155" t="str">
        <f ca="1" t="shared" ref="H1155:H1218" si="55">IF(G1155&lt;&gt;"N/A",IF(G1405&gt;-0.5,"Risk-On","Risk-Off"),"N/A")</f>
        <v>Risk-On</v>
      </c>
      <c r="I1155">
        <f ca="1" t="shared" si="53"/>
        <v>1</v>
      </c>
      <c r="J1155">
        <f>_xlfn.XLOOKUP($A1155,[1]Sheet1!$B$9:$B$2584,[1]Sheet1!$C$9:$C$2584,"N/A",0)</f>
        <v>111.32</v>
      </c>
      <c r="K1155">
        <f>_xlfn.XLOOKUP($A1155,[1]Sheet1!$E$9:$E$2584,[1]Sheet1!$F$9:$F$2584,"N/A",0)</f>
        <v>152.06</v>
      </c>
      <c r="L1155">
        <f>_xlfn.XLOOKUP($A1155,[1]Sheet1!$H$9:$H$2584,[1]Sheet1!$I$9:$I$2584,"N/A",0)</f>
        <v>62.95</v>
      </c>
      <c r="M1155">
        <f>_xlfn.XLOOKUP($A1155,[1]Sheet1!$K$9:$K$2584,[1]Sheet1!$L$9:$L$2584,"N/A",0)</f>
        <v>140.42</v>
      </c>
      <c r="N1155">
        <f>_xlfn.XLOOKUP($A1155,[1]Sheet1!$N$9:$N$2584,[1]Sheet1!$O$9:$O$2584,"N/A",0)</f>
        <v>104.28</v>
      </c>
      <c r="O1155">
        <v>111.32</v>
      </c>
      <c r="P1155">
        <v>152.06</v>
      </c>
      <c r="Q1155">
        <v>62.95</v>
      </c>
      <c r="R1155">
        <v>104.28</v>
      </c>
      <c r="S1155">
        <v>140.42</v>
      </c>
    </row>
    <row r="1156" spans="1:19">
      <c r="A1156" s="1">
        <v>44043</v>
      </c>
      <c r="B1156" t="s">
        <v>526</v>
      </c>
      <c r="C1156" t="s">
        <v>535</v>
      </c>
      <c r="D1156">
        <v>26.825</v>
      </c>
      <c r="E1156">
        <v>29.625</v>
      </c>
      <c r="F1156" s="2" t="s">
        <v>537</v>
      </c>
      <c r="G1156">
        <f ca="1" t="shared" si="54"/>
        <v>1.40858299774575</v>
      </c>
      <c r="H1156" t="str">
        <f ca="1" t="shared" si="55"/>
        <v>Risk-On</v>
      </c>
      <c r="I1156">
        <f ca="1" t="shared" ref="I1156:I1219" si="56">IF(H1156&lt;&gt;"N/A",IF(H1406&gt;-0.5,1,0),0)</f>
        <v>1</v>
      </c>
      <c r="J1156">
        <f>_xlfn.XLOOKUP($A1156,[1]Sheet1!$B$9:$B$2584,[1]Sheet1!$C$9:$C$2584,"N/A",0)</f>
        <v>111.13</v>
      </c>
      <c r="K1156">
        <f>_xlfn.XLOOKUP($A1156,[1]Sheet1!$E$9:$E$2584,[1]Sheet1!$F$9:$F$2584,"N/A",0)</f>
        <v>152.54</v>
      </c>
      <c r="L1156">
        <f>_xlfn.XLOOKUP($A1156,[1]Sheet1!$H$9:$H$2584,[1]Sheet1!$I$9:$I$2584,"N/A",0)</f>
        <v>62.3</v>
      </c>
      <c r="M1156">
        <f>_xlfn.XLOOKUP($A1156,[1]Sheet1!$K$9:$K$2584,[1]Sheet1!$L$9:$L$2584,"N/A",0)</f>
        <v>140.2</v>
      </c>
      <c r="N1156">
        <f>_xlfn.XLOOKUP($A1156,[1]Sheet1!$N$9:$N$2584,[1]Sheet1!$O$9:$O$2584,"N/A",0)</f>
        <v>104.08</v>
      </c>
      <c r="O1156">
        <v>111.13</v>
      </c>
      <c r="P1156">
        <v>152.54</v>
      </c>
      <c r="Q1156">
        <v>62.3</v>
      </c>
      <c r="R1156">
        <v>104.08</v>
      </c>
      <c r="S1156">
        <v>140.2</v>
      </c>
    </row>
    <row r="1157" spans="1:19">
      <c r="A1157" s="1">
        <v>44046</v>
      </c>
      <c r="B1157" t="s">
        <v>526</v>
      </c>
      <c r="C1157" t="s">
        <v>535</v>
      </c>
      <c r="D1157">
        <v>26.775</v>
      </c>
      <c r="E1157">
        <v>29.375</v>
      </c>
      <c r="F1157">
        <v>0.0971055088702148</v>
      </c>
      <c r="G1157">
        <f ca="1" t="shared" si="54"/>
        <v>1.31638151056007</v>
      </c>
      <c r="H1157" t="str">
        <f ca="1" t="shared" si="55"/>
        <v>Risk-On</v>
      </c>
      <c r="I1157">
        <f ca="1" t="shared" si="56"/>
        <v>1</v>
      </c>
      <c r="J1157">
        <f>_xlfn.XLOOKUP($A1157,[1]Sheet1!$B$9:$B$2584,[1]Sheet1!$C$9:$C$2584,"N/A",0)</f>
        <v>110.96</v>
      </c>
      <c r="K1157">
        <f>_xlfn.XLOOKUP($A1157,[1]Sheet1!$E$9:$E$2584,[1]Sheet1!$F$9:$F$2584,"N/A",0)</f>
        <v>153.63</v>
      </c>
      <c r="L1157">
        <f>_xlfn.XLOOKUP($A1157,[1]Sheet1!$H$9:$H$2584,[1]Sheet1!$I$9:$I$2584,"N/A",0)</f>
        <v>62.36</v>
      </c>
      <c r="M1157">
        <f>_xlfn.XLOOKUP($A1157,[1]Sheet1!$K$9:$K$2584,[1]Sheet1!$L$9:$L$2584,"N/A",0)</f>
        <v>139.66</v>
      </c>
      <c r="N1157">
        <f>_xlfn.XLOOKUP($A1157,[1]Sheet1!$N$9:$N$2584,[1]Sheet1!$O$9:$O$2584,"N/A",0)</f>
        <v>102.87</v>
      </c>
      <c r="O1157">
        <v>110.96</v>
      </c>
      <c r="P1157">
        <v>153.63</v>
      </c>
      <c r="Q1157">
        <v>62.36</v>
      </c>
      <c r="R1157">
        <v>102.87</v>
      </c>
      <c r="S1157">
        <v>139.66</v>
      </c>
    </row>
    <row r="1158" spans="1:19">
      <c r="A1158" s="1">
        <v>44047</v>
      </c>
      <c r="B1158" t="s">
        <v>526</v>
      </c>
      <c r="C1158" t="s">
        <v>535</v>
      </c>
      <c r="D1158">
        <v>25.875</v>
      </c>
      <c r="E1158">
        <v>28.425</v>
      </c>
      <c r="F1158">
        <v>0.0985507246376811</v>
      </c>
      <c r="G1158">
        <f ca="1" t="shared" si="54"/>
        <v>1.32026692040203</v>
      </c>
      <c r="H1158" t="str">
        <f ca="1" t="shared" si="55"/>
        <v>Risk-On</v>
      </c>
      <c r="I1158">
        <f ca="1" t="shared" si="56"/>
        <v>1</v>
      </c>
      <c r="J1158">
        <f>_xlfn.XLOOKUP($A1158,[1]Sheet1!$B$9:$B$2584,[1]Sheet1!$C$9:$C$2584,"N/A",0)</f>
        <v>110.89</v>
      </c>
      <c r="K1158">
        <f>_xlfn.XLOOKUP($A1158,[1]Sheet1!$E$9:$E$2584,[1]Sheet1!$F$9:$F$2584,"N/A",0)</f>
        <v>153.04</v>
      </c>
      <c r="L1158">
        <f>_xlfn.XLOOKUP($A1158,[1]Sheet1!$H$9:$H$2584,[1]Sheet1!$I$9:$I$2584,"N/A",0)</f>
        <v>62.32</v>
      </c>
      <c r="M1158">
        <f>_xlfn.XLOOKUP($A1158,[1]Sheet1!$K$9:$K$2584,[1]Sheet1!$L$9:$L$2584,"N/A",0)</f>
        <v>139.31</v>
      </c>
      <c r="N1158">
        <f>_xlfn.XLOOKUP($A1158,[1]Sheet1!$N$9:$N$2584,[1]Sheet1!$O$9:$O$2584,"N/A",0)</f>
        <v>102.7</v>
      </c>
      <c r="O1158">
        <v>110.89</v>
      </c>
      <c r="P1158">
        <v>153.04</v>
      </c>
      <c r="Q1158">
        <v>62.32</v>
      </c>
      <c r="R1158">
        <v>102.7</v>
      </c>
      <c r="S1158">
        <v>139.31</v>
      </c>
    </row>
    <row r="1159" spans="1:19">
      <c r="A1159" s="1">
        <v>44048</v>
      </c>
      <c r="B1159" t="s">
        <v>526</v>
      </c>
      <c r="C1159" t="s">
        <v>535</v>
      </c>
      <c r="D1159">
        <v>25.325</v>
      </c>
      <c r="E1159">
        <v>28.125</v>
      </c>
      <c r="F1159" s="2" t="s">
        <v>538</v>
      </c>
      <c r="G1159">
        <f ca="1" t="shared" si="54"/>
        <v>1.45251261695579</v>
      </c>
      <c r="H1159" t="str">
        <f ca="1" t="shared" si="55"/>
        <v>Risk-On</v>
      </c>
      <c r="I1159">
        <f ca="1" t="shared" si="56"/>
        <v>1</v>
      </c>
      <c r="J1159">
        <f>_xlfn.XLOOKUP($A1159,[1]Sheet1!$B$9:$B$2584,[1]Sheet1!$C$9:$C$2584,"N/A",0)</f>
        <v>111.35</v>
      </c>
      <c r="K1159">
        <f>_xlfn.XLOOKUP($A1159,[1]Sheet1!$E$9:$E$2584,[1]Sheet1!$F$9:$F$2584,"N/A",0)</f>
        <v>152.82</v>
      </c>
      <c r="L1159">
        <f>_xlfn.XLOOKUP($A1159,[1]Sheet1!$H$9:$H$2584,[1]Sheet1!$I$9:$I$2584,"N/A",0)</f>
        <v>62.2</v>
      </c>
      <c r="M1159">
        <f>_xlfn.XLOOKUP($A1159,[1]Sheet1!$K$9:$K$2584,[1]Sheet1!$L$9:$L$2584,"N/A",0)</f>
        <v>139.9</v>
      </c>
      <c r="N1159">
        <f>_xlfn.XLOOKUP($A1159,[1]Sheet1!$N$9:$N$2584,[1]Sheet1!$O$9:$O$2584,"N/A",0)</f>
        <v>102.17</v>
      </c>
      <c r="O1159">
        <v>111.35</v>
      </c>
      <c r="P1159">
        <v>152.82</v>
      </c>
      <c r="Q1159">
        <v>62.2</v>
      </c>
      <c r="R1159">
        <v>102.17</v>
      </c>
      <c r="S1159">
        <v>139.9</v>
      </c>
    </row>
    <row r="1160" spans="1:19">
      <c r="A1160" s="1">
        <v>44049</v>
      </c>
      <c r="B1160" t="s">
        <v>526</v>
      </c>
      <c r="C1160" t="s">
        <v>535</v>
      </c>
      <c r="D1160">
        <v>24.875</v>
      </c>
      <c r="E1160">
        <v>27.875</v>
      </c>
      <c r="F1160" s="2" t="s">
        <v>539</v>
      </c>
      <c r="G1160">
        <f ca="1" t="shared" si="54"/>
        <v>1.57276246483337</v>
      </c>
      <c r="H1160" t="str">
        <f ca="1" t="shared" si="55"/>
        <v>Risk-On</v>
      </c>
      <c r="I1160">
        <f ca="1" t="shared" si="56"/>
        <v>1</v>
      </c>
      <c r="J1160">
        <f>_xlfn.XLOOKUP($A1160,[1]Sheet1!$B$9:$B$2584,[1]Sheet1!$C$9:$C$2584,"N/A",0)</f>
        <v>112.37</v>
      </c>
      <c r="K1160">
        <f>_xlfn.XLOOKUP($A1160,[1]Sheet1!$E$9:$E$2584,[1]Sheet1!$F$9:$F$2584,"N/A",0)</f>
        <v>153.2</v>
      </c>
      <c r="L1160">
        <f>_xlfn.XLOOKUP($A1160,[1]Sheet1!$H$9:$H$2584,[1]Sheet1!$I$9:$I$2584,"N/A",0)</f>
        <v>61.72</v>
      </c>
      <c r="M1160">
        <f>_xlfn.XLOOKUP($A1160,[1]Sheet1!$K$9:$K$2584,[1]Sheet1!$L$9:$L$2584,"N/A",0)</f>
        <v>139.8</v>
      </c>
      <c r="N1160">
        <f>_xlfn.XLOOKUP($A1160,[1]Sheet1!$N$9:$N$2584,[1]Sheet1!$O$9:$O$2584,"N/A",0)</f>
        <v>102.94</v>
      </c>
      <c r="O1160">
        <v>112.37</v>
      </c>
      <c r="P1160">
        <v>153.2</v>
      </c>
      <c r="Q1160">
        <v>61.72</v>
      </c>
      <c r="R1160">
        <v>102.94</v>
      </c>
      <c r="S1160">
        <v>139.8</v>
      </c>
    </row>
    <row r="1161" spans="1:19">
      <c r="A1161" s="1">
        <v>44050</v>
      </c>
      <c r="B1161" t="s">
        <v>526</v>
      </c>
      <c r="C1161" t="s">
        <v>535</v>
      </c>
      <c r="D1161">
        <v>24.625</v>
      </c>
      <c r="E1161">
        <v>27.825</v>
      </c>
      <c r="F1161" s="2" t="s">
        <v>540</v>
      </c>
      <c r="G1161">
        <f ca="1" t="shared" si="54"/>
        <v>1.6834894024797</v>
      </c>
      <c r="H1161" t="str">
        <f ca="1" t="shared" si="55"/>
        <v>Risk-On</v>
      </c>
      <c r="I1161">
        <f ca="1" t="shared" si="56"/>
        <v>1</v>
      </c>
      <c r="J1161">
        <f>_xlfn.XLOOKUP($A1161,[1]Sheet1!$B$9:$B$2584,[1]Sheet1!$C$9:$C$2584,"N/A",0)</f>
        <v>111.77</v>
      </c>
      <c r="K1161">
        <f>_xlfn.XLOOKUP($A1161,[1]Sheet1!$E$9:$E$2584,[1]Sheet1!$F$9:$F$2584,"N/A",0)</f>
        <v>153.08</v>
      </c>
      <c r="L1161">
        <f>_xlfn.XLOOKUP($A1161,[1]Sheet1!$H$9:$H$2584,[1]Sheet1!$I$9:$I$2584,"N/A",0)</f>
        <v>61.84</v>
      </c>
      <c r="M1161">
        <f>_xlfn.XLOOKUP($A1161,[1]Sheet1!$K$9:$K$2584,[1]Sheet1!$L$9:$L$2584,"N/A",0)</f>
        <v>141.3</v>
      </c>
      <c r="N1161">
        <f>_xlfn.XLOOKUP($A1161,[1]Sheet1!$N$9:$N$2584,[1]Sheet1!$O$9:$O$2584,"N/A",0)</f>
        <v>102.69</v>
      </c>
      <c r="O1161">
        <v>111.77</v>
      </c>
      <c r="P1161">
        <v>153.08</v>
      </c>
      <c r="Q1161">
        <v>61.84</v>
      </c>
      <c r="R1161">
        <v>102.69</v>
      </c>
      <c r="S1161">
        <v>141.3</v>
      </c>
    </row>
    <row r="1162" spans="1:19">
      <c r="A1162" s="1">
        <v>44053</v>
      </c>
      <c r="B1162" t="s">
        <v>526</v>
      </c>
      <c r="C1162" t="s">
        <v>535</v>
      </c>
      <c r="D1162">
        <v>23.775</v>
      </c>
      <c r="E1162">
        <v>27.125</v>
      </c>
      <c r="F1162" s="2" t="s">
        <v>541</v>
      </c>
      <c r="G1162">
        <f ca="1" t="shared" si="54"/>
        <v>1.8201363251596</v>
      </c>
      <c r="H1162" t="str">
        <f ca="1" t="shared" si="55"/>
        <v>Risk-On</v>
      </c>
      <c r="I1162">
        <f ca="1" t="shared" si="56"/>
        <v>1</v>
      </c>
      <c r="J1162">
        <f>_xlfn.XLOOKUP($A1162,[1]Sheet1!$B$9:$B$2584,[1]Sheet1!$C$9:$C$2584,"N/A",0)</f>
        <v>112.58</v>
      </c>
      <c r="K1162">
        <f>_xlfn.XLOOKUP($A1162,[1]Sheet1!$E$9:$E$2584,[1]Sheet1!$F$9:$F$2584,"N/A",0)</f>
        <v>150.31</v>
      </c>
      <c r="L1162">
        <f>_xlfn.XLOOKUP($A1162,[1]Sheet1!$H$9:$H$2584,[1]Sheet1!$I$9:$I$2584,"N/A",0)</f>
        <v>62.46</v>
      </c>
      <c r="M1162">
        <f>_xlfn.XLOOKUP($A1162,[1]Sheet1!$K$9:$K$2584,[1]Sheet1!$L$9:$L$2584,"N/A",0)</f>
        <v>141.36</v>
      </c>
      <c r="N1162">
        <f>_xlfn.XLOOKUP($A1162,[1]Sheet1!$N$9:$N$2584,[1]Sheet1!$O$9:$O$2584,"N/A",0)</f>
        <v>102.84</v>
      </c>
      <c r="O1162">
        <v>112.58</v>
      </c>
      <c r="P1162">
        <v>150.31</v>
      </c>
      <c r="Q1162">
        <v>62.46</v>
      </c>
      <c r="R1162">
        <v>102.84</v>
      </c>
      <c r="S1162">
        <v>141.36</v>
      </c>
    </row>
    <row r="1163" spans="1:19">
      <c r="A1163" s="1">
        <v>44054</v>
      </c>
      <c r="B1163" t="s">
        <v>526</v>
      </c>
      <c r="C1163" t="s">
        <v>535</v>
      </c>
      <c r="D1163">
        <v>24.925</v>
      </c>
      <c r="E1163">
        <v>28.175</v>
      </c>
      <c r="F1163" s="2" t="s">
        <v>542</v>
      </c>
      <c r="G1163">
        <f ca="1" t="shared" si="54"/>
        <v>1.68429099857203</v>
      </c>
      <c r="H1163" t="str">
        <f ca="1" t="shared" si="55"/>
        <v>Risk-On</v>
      </c>
      <c r="I1163">
        <f ca="1" t="shared" si="56"/>
        <v>1</v>
      </c>
      <c r="J1163">
        <f>_xlfn.XLOOKUP($A1163,[1]Sheet1!$B$9:$B$2584,[1]Sheet1!$C$9:$C$2584,"N/A",0)</f>
        <v>112.08</v>
      </c>
      <c r="K1163">
        <f>_xlfn.XLOOKUP($A1163,[1]Sheet1!$E$9:$E$2584,[1]Sheet1!$F$9:$F$2584,"N/A",0)</f>
        <v>148.14</v>
      </c>
      <c r="L1163">
        <f>_xlfn.XLOOKUP($A1163,[1]Sheet1!$H$9:$H$2584,[1]Sheet1!$I$9:$I$2584,"N/A",0)</f>
        <v>62.93</v>
      </c>
      <c r="M1163">
        <f>_xlfn.XLOOKUP($A1163,[1]Sheet1!$K$9:$K$2584,[1]Sheet1!$L$9:$L$2584,"N/A",0)</f>
        <v>142.9</v>
      </c>
      <c r="N1163">
        <f>_xlfn.XLOOKUP($A1163,[1]Sheet1!$N$9:$N$2584,[1]Sheet1!$O$9:$O$2584,"N/A",0)</f>
        <v>103.26</v>
      </c>
      <c r="O1163">
        <v>112.08</v>
      </c>
      <c r="P1163">
        <v>148.14</v>
      </c>
      <c r="Q1163">
        <v>62.93</v>
      </c>
      <c r="R1163">
        <v>103.26</v>
      </c>
      <c r="S1163">
        <v>142.9</v>
      </c>
    </row>
    <row r="1164" spans="1:19">
      <c r="A1164" s="1">
        <v>44055</v>
      </c>
      <c r="B1164" t="s">
        <v>526</v>
      </c>
      <c r="C1164" t="s">
        <v>535</v>
      </c>
      <c r="D1164">
        <v>23.275</v>
      </c>
      <c r="E1164">
        <v>26.875</v>
      </c>
      <c r="F1164" s="2" t="s">
        <v>543</v>
      </c>
      <c r="G1164">
        <f ca="1" t="shared" si="54"/>
        <v>1.97780180467939</v>
      </c>
      <c r="H1164" t="str">
        <f ca="1" t="shared" si="55"/>
        <v>Risk-On</v>
      </c>
      <c r="I1164">
        <f ca="1" t="shared" si="56"/>
        <v>1</v>
      </c>
      <c r="J1164">
        <f>_xlfn.XLOOKUP($A1164,[1]Sheet1!$B$9:$B$2584,[1]Sheet1!$C$9:$C$2584,"N/A",0)</f>
        <v>112.17</v>
      </c>
      <c r="K1164">
        <f>_xlfn.XLOOKUP($A1164,[1]Sheet1!$E$9:$E$2584,[1]Sheet1!$F$9:$F$2584,"N/A",0)</f>
        <v>150.84</v>
      </c>
      <c r="L1164">
        <f>_xlfn.XLOOKUP($A1164,[1]Sheet1!$H$9:$H$2584,[1]Sheet1!$I$9:$I$2584,"N/A",0)</f>
        <v>62.79</v>
      </c>
      <c r="M1164">
        <f>_xlfn.XLOOKUP($A1164,[1]Sheet1!$K$9:$K$2584,[1]Sheet1!$L$9:$L$2584,"N/A",0)</f>
        <v>143.04</v>
      </c>
      <c r="N1164">
        <f>_xlfn.XLOOKUP($A1164,[1]Sheet1!$N$9:$N$2584,[1]Sheet1!$O$9:$O$2584,"N/A",0)</f>
        <v>103.55</v>
      </c>
      <c r="O1164">
        <v>112.17</v>
      </c>
      <c r="P1164">
        <v>150.84</v>
      </c>
      <c r="Q1164">
        <v>62.79</v>
      </c>
      <c r="R1164">
        <v>103.55</v>
      </c>
      <c r="S1164">
        <v>143.04</v>
      </c>
    </row>
    <row r="1165" spans="1:19">
      <c r="A1165" s="1">
        <v>44056</v>
      </c>
      <c r="B1165" t="s">
        <v>526</v>
      </c>
      <c r="C1165" t="s">
        <v>535</v>
      </c>
      <c r="D1165">
        <v>23.225</v>
      </c>
      <c r="E1165">
        <v>26.825</v>
      </c>
      <c r="F1165" s="2" t="s">
        <v>544</v>
      </c>
      <c r="G1165">
        <f ca="1" t="shared" si="54"/>
        <v>1.98192997114684</v>
      </c>
      <c r="H1165" t="str">
        <f ca="1" t="shared" si="55"/>
        <v>Risk-On</v>
      </c>
      <c r="I1165">
        <f ca="1" t="shared" si="56"/>
        <v>1</v>
      </c>
      <c r="J1165">
        <f>_xlfn.XLOOKUP($A1165,[1]Sheet1!$B$9:$B$2584,[1]Sheet1!$C$9:$C$2584,"N/A",0)</f>
        <v>112.19</v>
      </c>
      <c r="K1165">
        <f>_xlfn.XLOOKUP($A1165,[1]Sheet1!$E$9:$E$2584,[1]Sheet1!$F$9:$F$2584,"N/A",0)</f>
        <v>152.16</v>
      </c>
      <c r="L1165">
        <f>_xlfn.XLOOKUP($A1165,[1]Sheet1!$H$9:$H$2584,[1]Sheet1!$I$9:$I$2584,"N/A",0)</f>
        <v>62.24</v>
      </c>
      <c r="M1165">
        <f>_xlfn.XLOOKUP($A1165,[1]Sheet1!$K$9:$K$2584,[1]Sheet1!$L$9:$L$2584,"N/A",0)</f>
        <v>143.16</v>
      </c>
      <c r="N1165">
        <f>_xlfn.XLOOKUP($A1165,[1]Sheet1!$N$9:$N$2584,[1]Sheet1!$O$9:$O$2584,"N/A",0)</f>
        <v>103.35</v>
      </c>
      <c r="O1165">
        <v>112.19</v>
      </c>
      <c r="P1165">
        <v>152.16</v>
      </c>
      <c r="Q1165">
        <v>62.24</v>
      </c>
      <c r="R1165">
        <v>103.35</v>
      </c>
      <c r="S1165">
        <v>143.16</v>
      </c>
    </row>
    <row r="1166" spans="1:19">
      <c r="A1166" s="1">
        <v>44057</v>
      </c>
      <c r="B1166" t="s">
        <v>526</v>
      </c>
      <c r="C1166" t="s">
        <v>535</v>
      </c>
      <c r="D1166">
        <v>23.275</v>
      </c>
      <c r="E1166">
        <v>26.975</v>
      </c>
      <c r="F1166" s="2" t="s">
        <v>545</v>
      </c>
      <c r="G1166">
        <f ca="1" t="shared" si="54"/>
        <v>2.02249406229268</v>
      </c>
      <c r="H1166" t="str">
        <f ca="1" t="shared" si="55"/>
        <v>Risk-On</v>
      </c>
      <c r="I1166">
        <f ca="1" t="shared" si="56"/>
        <v>1</v>
      </c>
      <c r="J1166">
        <f>_xlfn.XLOOKUP($A1166,[1]Sheet1!$B$9:$B$2584,[1]Sheet1!$C$9:$C$2584,"N/A",0)</f>
        <v>111.95</v>
      </c>
      <c r="K1166">
        <f>_xlfn.XLOOKUP($A1166,[1]Sheet1!$E$9:$E$2584,[1]Sheet1!$F$9:$F$2584,"N/A",0)</f>
        <v>151.66</v>
      </c>
      <c r="L1166">
        <f>_xlfn.XLOOKUP($A1166,[1]Sheet1!$H$9:$H$2584,[1]Sheet1!$I$9:$I$2584,"N/A",0)</f>
        <v>62.42</v>
      </c>
      <c r="M1166">
        <f>_xlfn.XLOOKUP($A1166,[1]Sheet1!$K$9:$K$2584,[1]Sheet1!$L$9:$L$2584,"N/A",0)</f>
        <v>143.45</v>
      </c>
      <c r="N1166">
        <f>_xlfn.XLOOKUP($A1166,[1]Sheet1!$N$9:$N$2584,[1]Sheet1!$O$9:$O$2584,"N/A",0)</f>
        <v>103.81</v>
      </c>
      <c r="O1166">
        <v>111.95</v>
      </c>
      <c r="P1166">
        <v>151.66</v>
      </c>
      <c r="Q1166">
        <v>62.42</v>
      </c>
      <c r="R1166">
        <v>103.81</v>
      </c>
      <c r="S1166">
        <v>143.45</v>
      </c>
    </row>
    <row r="1167" spans="1:19">
      <c r="A1167" s="1">
        <v>44060</v>
      </c>
      <c r="B1167" t="s">
        <v>526</v>
      </c>
      <c r="C1167" t="s">
        <v>535</v>
      </c>
      <c r="D1167">
        <v>21.775</v>
      </c>
      <c r="E1167">
        <v>25.825</v>
      </c>
      <c r="F1167" s="2" t="s">
        <v>546</v>
      </c>
      <c r="G1167">
        <f ca="1" t="shared" si="54"/>
        <v>2.34720578128431</v>
      </c>
      <c r="H1167" t="str">
        <f ca="1" t="shared" si="55"/>
        <v>Risk-On</v>
      </c>
      <c r="I1167">
        <f ca="1" t="shared" si="56"/>
        <v>1</v>
      </c>
      <c r="J1167">
        <f>_xlfn.XLOOKUP($A1167,[1]Sheet1!$B$9:$B$2584,[1]Sheet1!$C$9:$C$2584,"N/A",0)</f>
        <v>111.82</v>
      </c>
      <c r="K1167">
        <f>_xlfn.XLOOKUP($A1167,[1]Sheet1!$E$9:$E$2584,[1]Sheet1!$F$9:$F$2584,"N/A",0)</f>
        <v>154.98</v>
      </c>
      <c r="L1167">
        <f>_xlfn.XLOOKUP($A1167,[1]Sheet1!$H$9:$H$2584,[1]Sheet1!$I$9:$I$2584,"N/A",0)</f>
        <v>62.56</v>
      </c>
      <c r="M1167">
        <f>_xlfn.XLOOKUP($A1167,[1]Sheet1!$K$9:$K$2584,[1]Sheet1!$L$9:$L$2584,"N/A",0)</f>
        <v>143.1</v>
      </c>
      <c r="N1167">
        <f>_xlfn.XLOOKUP($A1167,[1]Sheet1!$N$9:$N$2584,[1]Sheet1!$O$9:$O$2584,"N/A",0)</f>
        <v>103.8</v>
      </c>
      <c r="O1167">
        <v>111.82</v>
      </c>
      <c r="P1167">
        <v>154.98</v>
      </c>
      <c r="Q1167">
        <v>62.56</v>
      </c>
      <c r="R1167">
        <v>103.8</v>
      </c>
      <c r="S1167">
        <v>143.1</v>
      </c>
    </row>
    <row r="1168" spans="1:19">
      <c r="A1168" s="1">
        <v>44061</v>
      </c>
      <c r="B1168" t="s">
        <v>526</v>
      </c>
      <c r="C1168" t="s">
        <v>535</v>
      </c>
      <c r="D1168">
        <v>21.775</v>
      </c>
      <c r="E1168">
        <v>25.475</v>
      </c>
      <c r="F1168" s="2" t="s">
        <v>547</v>
      </c>
      <c r="G1168">
        <f ca="1" t="shared" si="54"/>
        <v>2.14902972792369</v>
      </c>
      <c r="H1168" t="str">
        <f ca="1" t="shared" si="55"/>
        <v>Risk-On</v>
      </c>
      <c r="I1168">
        <f ca="1" t="shared" si="56"/>
        <v>1</v>
      </c>
      <c r="J1168">
        <f>_xlfn.XLOOKUP($A1168,[1]Sheet1!$B$9:$B$2584,[1]Sheet1!$C$9:$C$2584,"N/A",0)</f>
        <v>112.25</v>
      </c>
      <c r="K1168">
        <f>_xlfn.XLOOKUP($A1168,[1]Sheet1!$E$9:$E$2584,[1]Sheet1!$F$9:$F$2584,"N/A",0)</f>
        <v>154.51</v>
      </c>
      <c r="L1168">
        <f>_xlfn.XLOOKUP($A1168,[1]Sheet1!$H$9:$H$2584,[1]Sheet1!$I$9:$I$2584,"N/A",0)</f>
        <v>62.3</v>
      </c>
      <c r="M1168">
        <f>_xlfn.XLOOKUP($A1168,[1]Sheet1!$K$9:$K$2584,[1]Sheet1!$L$9:$L$2584,"N/A",0)</f>
        <v>143.27</v>
      </c>
      <c r="N1168">
        <f>_xlfn.XLOOKUP($A1168,[1]Sheet1!$N$9:$N$2584,[1]Sheet1!$O$9:$O$2584,"N/A",0)</f>
        <v>104.32</v>
      </c>
      <c r="O1168">
        <v>112.25</v>
      </c>
      <c r="P1168">
        <v>154.51</v>
      </c>
      <c r="Q1168">
        <v>62.3</v>
      </c>
      <c r="R1168">
        <v>104.32</v>
      </c>
      <c r="S1168">
        <v>143.27</v>
      </c>
    </row>
    <row r="1169" spans="1:19">
      <c r="A1169" s="1">
        <v>44062</v>
      </c>
      <c r="B1169" t="s">
        <v>526</v>
      </c>
      <c r="C1169" t="s">
        <v>535</v>
      </c>
      <c r="D1169">
        <v>21.71</v>
      </c>
      <c r="E1169">
        <v>26.225</v>
      </c>
      <c r="F1169" s="2" t="s">
        <v>548</v>
      </c>
      <c r="G1169">
        <f ca="1" t="shared" si="54"/>
        <v>2.6243618916538</v>
      </c>
      <c r="H1169" t="str">
        <f ca="1" t="shared" si="55"/>
        <v>Risk-On</v>
      </c>
      <c r="I1169">
        <f ca="1" t="shared" si="56"/>
        <v>1</v>
      </c>
      <c r="J1169">
        <f>_xlfn.XLOOKUP($A1169,[1]Sheet1!$B$9:$B$2584,[1]Sheet1!$C$9:$C$2584,"N/A",0)</f>
        <v>111.95</v>
      </c>
      <c r="K1169">
        <f>_xlfn.XLOOKUP($A1169,[1]Sheet1!$E$9:$E$2584,[1]Sheet1!$F$9:$F$2584,"N/A",0)</f>
        <v>153.92</v>
      </c>
      <c r="L1169">
        <f>_xlfn.XLOOKUP($A1169,[1]Sheet1!$H$9:$H$2584,[1]Sheet1!$I$9:$I$2584,"N/A",0)</f>
        <v>62.32</v>
      </c>
      <c r="M1169">
        <f>_xlfn.XLOOKUP($A1169,[1]Sheet1!$K$9:$K$2584,[1]Sheet1!$L$9:$L$2584,"N/A",0)</f>
        <v>143.2</v>
      </c>
      <c r="N1169">
        <f>_xlfn.XLOOKUP($A1169,[1]Sheet1!$N$9:$N$2584,[1]Sheet1!$O$9:$O$2584,"N/A",0)</f>
        <v>103.91</v>
      </c>
      <c r="O1169">
        <v>111.95</v>
      </c>
      <c r="P1169">
        <v>153.92</v>
      </c>
      <c r="Q1169">
        <v>62.32</v>
      </c>
      <c r="R1169">
        <v>103.91</v>
      </c>
      <c r="S1169">
        <v>143.2</v>
      </c>
    </row>
    <row r="1170" spans="1:19">
      <c r="A1170" s="1">
        <v>44063</v>
      </c>
      <c r="B1170" t="s">
        <v>535</v>
      </c>
      <c r="C1170" t="s">
        <v>549</v>
      </c>
      <c r="D1170">
        <v>25.875</v>
      </c>
      <c r="E1170">
        <v>29.225</v>
      </c>
      <c r="F1170" s="2" t="s">
        <v>550</v>
      </c>
      <c r="G1170">
        <f ca="1" t="shared" si="54"/>
        <v>1.66284329624078</v>
      </c>
      <c r="H1170" t="str">
        <f ca="1" t="shared" si="55"/>
        <v>Risk-On</v>
      </c>
      <c r="I1170">
        <f ca="1" t="shared" si="56"/>
        <v>1</v>
      </c>
      <c r="J1170">
        <f>_xlfn.XLOOKUP($A1170,[1]Sheet1!$B$9:$B$2584,[1]Sheet1!$C$9:$C$2584,"N/A",0)</f>
        <v>112.36</v>
      </c>
      <c r="K1170">
        <f>_xlfn.XLOOKUP($A1170,[1]Sheet1!$E$9:$E$2584,[1]Sheet1!$F$9:$F$2584,"N/A",0)</f>
        <v>154.96</v>
      </c>
      <c r="L1170">
        <f>_xlfn.XLOOKUP($A1170,[1]Sheet1!$H$9:$H$2584,[1]Sheet1!$I$9:$I$2584,"N/A",0)</f>
        <v>62.14</v>
      </c>
      <c r="M1170">
        <f>_xlfn.XLOOKUP($A1170,[1]Sheet1!$K$9:$K$2584,[1]Sheet1!$L$9:$L$2584,"N/A",0)</f>
        <v>143.62</v>
      </c>
      <c r="N1170">
        <f>_xlfn.XLOOKUP($A1170,[1]Sheet1!$N$9:$N$2584,[1]Sheet1!$O$9:$O$2584,"N/A",0)</f>
        <v>104.02</v>
      </c>
      <c r="O1170">
        <v>112.36</v>
      </c>
      <c r="P1170">
        <v>154.96</v>
      </c>
      <c r="Q1170">
        <v>62.14</v>
      </c>
      <c r="R1170">
        <v>104.02</v>
      </c>
      <c r="S1170">
        <v>143.62</v>
      </c>
    </row>
    <row r="1171" spans="1:19">
      <c r="A1171" s="1">
        <v>44064</v>
      </c>
      <c r="B1171" t="s">
        <v>535</v>
      </c>
      <c r="C1171" t="s">
        <v>549</v>
      </c>
      <c r="D1171">
        <v>25.925</v>
      </c>
      <c r="E1171">
        <v>29.575</v>
      </c>
      <c r="F1171" s="2" t="s">
        <v>551</v>
      </c>
      <c r="G1171">
        <f ca="1" t="shared" si="54"/>
        <v>1.8023732861102</v>
      </c>
      <c r="H1171" t="str">
        <f ca="1" t="shared" si="55"/>
        <v>Risk-Off</v>
      </c>
      <c r="I1171">
        <f ca="1" t="shared" si="56"/>
        <v>1</v>
      </c>
      <c r="J1171">
        <f>_xlfn.XLOOKUP($A1171,[1]Sheet1!$B$9:$B$2584,[1]Sheet1!$C$9:$C$2584,"N/A",0)</f>
        <v>112.3</v>
      </c>
      <c r="K1171">
        <f>_xlfn.XLOOKUP($A1171,[1]Sheet1!$E$9:$E$2584,[1]Sheet1!$F$9:$F$2584,"N/A",0)</f>
        <v>155.97</v>
      </c>
      <c r="L1171">
        <f>_xlfn.XLOOKUP($A1171,[1]Sheet1!$H$9:$H$2584,[1]Sheet1!$I$9:$I$2584,"N/A",0)</f>
        <v>62.07</v>
      </c>
      <c r="M1171">
        <f>_xlfn.XLOOKUP($A1171,[1]Sheet1!$K$9:$K$2584,[1]Sheet1!$L$9:$L$2584,"N/A",0)</f>
        <v>143.99</v>
      </c>
      <c r="N1171">
        <f>_xlfn.XLOOKUP($A1171,[1]Sheet1!$N$9:$N$2584,[1]Sheet1!$O$9:$O$2584,"N/A",0)</f>
        <v>104.66</v>
      </c>
      <c r="O1171">
        <v>112.3</v>
      </c>
      <c r="P1171">
        <v>155.97</v>
      </c>
      <c r="Q1171">
        <v>62.07</v>
      </c>
      <c r="R1171">
        <v>104.66</v>
      </c>
      <c r="S1171">
        <v>143.99</v>
      </c>
    </row>
    <row r="1172" spans="1:19">
      <c r="A1172" s="1">
        <v>44067</v>
      </c>
      <c r="B1172" t="s">
        <v>535</v>
      </c>
      <c r="C1172" t="s">
        <v>549</v>
      </c>
      <c r="D1172">
        <v>25.825</v>
      </c>
      <c r="E1172">
        <v>29.575</v>
      </c>
      <c r="F1172" s="2" t="s">
        <v>552</v>
      </c>
      <c r="G1172">
        <f ca="1" t="shared" si="54"/>
        <v>1.85681158754981</v>
      </c>
      <c r="H1172" t="str">
        <f ca="1" t="shared" si="55"/>
        <v>Risk-On</v>
      </c>
      <c r="I1172">
        <f ca="1" t="shared" si="56"/>
        <v>1</v>
      </c>
      <c r="J1172">
        <f>_xlfn.XLOOKUP($A1172,[1]Sheet1!$B$9:$B$2584,[1]Sheet1!$C$9:$C$2584,"N/A",0)</f>
        <v>112.29</v>
      </c>
      <c r="K1172">
        <f>_xlfn.XLOOKUP($A1172,[1]Sheet1!$E$9:$E$2584,[1]Sheet1!$F$9:$F$2584,"N/A",0)</f>
        <v>153.03</v>
      </c>
      <c r="L1172">
        <f>_xlfn.XLOOKUP($A1172,[1]Sheet1!$H$9:$H$2584,[1]Sheet1!$I$9:$I$2584,"N/A",0)</f>
        <v>62.41</v>
      </c>
      <c r="M1172">
        <f>_xlfn.XLOOKUP($A1172,[1]Sheet1!$K$9:$K$2584,[1]Sheet1!$L$9:$L$2584,"N/A",0)</f>
        <v>143.94</v>
      </c>
      <c r="N1172">
        <f>_xlfn.XLOOKUP($A1172,[1]Sheet1!$N$9:$N$2584,[1]Sheet1!$O$9:$O$2584,"N/A",0)</f>
        <v>105.09</v>
      </c>
      <c r="O1172">
        <v>112.29</v>
      </c>
      <c r="P1172">
        <v>153.03</v>
      </c>
      <c r="Q1172">
        <v>62.41</v>
      </c>
      <c r="R1172">
        <v>105.09</v>
      </c>
      <c r="S1172">
        <v>143.94</v>
      </c>
    </row>
    <row r="1173" spans="1:19">
      <c r="A1173" s="1">
        <v>44068</v>
      </c>
      <c r="B1173" t="s">
        <v>535</v>
      </c>
      <c r="C1173" t="s">
        <v>549</v>
      </c>
      <c r="D1173">
        <v>25.475</v>
      </c>
      <c r="E1173">
        <v>29.475</v>
      </c>
      <c r="F1173" s="2" t="s">
        <v>553</v>
      </c>
      <c r="G1173">
        <f ca="1" t="shared" si="54"/>
        <v>1.9949421803054</v>
      </c>
      <c r="H1173" t="str">
        <f ca="1" t="shared" si="55"/>
        <v>Risk-On</v>
      </c>
      <c r="I1173">
        <f ca="1" t="shared" si="56"/>
        <v>1</v>
      </c>
      <c r="J1173">
        <f>_xlfn.XLOOKUP($A1173,[1]Sheet1!$B$9:$B$2584,[1]Sheet1!$C$9:$C$2584,"N/A",0)</f>
        <v>112.32</v>
      </c>
      <c r="K1173">
        <f>_xlfn.XLOOKUP($A1173,[1]Sheet1!$E$9:$E$2584,[1]Sheet1!$F$9:$F$2584,"N/A",0)</f>
        <v>153.58</v>
      </c>
      <c r="L1173">
        <f>_xlfn.XLOOKUP($A1173,[1]Sheet1!$H$9:$H$2584,[1]Sheet1!$I$9:$I$2584,"N/A",0)</f>
        <v>62.35</v>
      </c>
      <c r="M1173">
        <f>_xlfn.XLOOKUP($A1173,[1]Sheet1!$K$9:$K$2584,[1]Sheet1!$L$9:$L$2584,"N/A",0)</f>
        <v>143.51</v>
      </c>
      <c r="N1173">
        <f>_xlfn.XLOOKUP($A1173,[1]Sheet1!$N$9:$N$2584,[1]Sheet1!$O$9:$O$2584,"N/A",0)</f>
        <v>105.15</v>
      </c>
      <c r="O1173">
        <v>112.32</v>
      </c>
      <c r="P1173">
        <v>153.58</v>
      </c>
      <c r="Q1173">
        <v>62.35</v>
      </c>
      <c r="R1173">
        <v>105.15</v>
      </c>
      <c r="S1173">
        <v>143.51</v>
      </c>
    </row>
    <row r="1174" spans="1:19">
      <c r="A1174" s="1">
        <v>44069</v>
      </c>
      <c r="B1174" t="s">
        <v>535</v>
      </c>
      <c r="C1174" t="s">
        <v>549</v>
      </c>
      <c r="D1174">
        <v>26.075</v>
      </c>
      <c r="E1174">
        <v>30.375</v>
      </c>
      <c r="F1174" s="2" t="s">
        <v>554</v>
      </c>
      <c r="G1174">
        <f ca="1" t="shared" si="54"/>
        <v>2.08498574565793</v>
      </c>
      <c r="H1174" t="str">
        <f ca="1" t="shared" si="55"/>
        <v>Risk-On</v>
      </c>
      <c r="I1174">
        <f ca="1" t="shared" si="56"/>
        <v>1</v>
      </c>
      <c r="J1174">
        <f>_xlfn.XLOOKUP($A1174,[1]Sheet1!$B$9:$B$2584,[1]Sheet1!$C$9:$C$2584,"N/A",0)</f>
        <v>111.7</v>
      </c>
      <c r="K1174">
        <f>_xlfn.XLOOKUP($A1174,[1]Sheet1!$E$9:$E$2584,[1]Sheet1!$F$9:$F$2584,"N/A",0)</f>
        <v>155.11</v>
      </c>
      <c r="L1174">
        <f>_xlfn.XLOOKUP($A1174,[1]Sheet1!$H$9:$H$2584,[1]Sheet1!$I$9:$I$2584,"N/A",0)</f>
        <v>62.5</v>
      </c>
      <c r="M1174">
        <f>_xlfn.XLOOKUP($A1174,[1]Sheet1!$K$9:$K$2584,[1]Sheet1!$L$9:$L$2584,"N/A",0)</f>
        <v>143.46</v>
      </c>
      <c r="N1174">
        <f>_xlfn.XLOOKUP($A1174,[1]Sheet1!$N$9:$N$2584,[1]Sheet1!$O$9:$O$2584,"N/A",0)</f>
        <v>106</v>
      </c>
      <c r="O1174">
        <v>111.7</v>
      </c>
      <c r="P1174">
        <v>155.11</v>
      </c>
      <c r="Q1174">
        <v>62.5</v>
      </c>
      <c r="R1174">
        <v>106</v>
      </c>
      <c r="S1174">
        <v>143.46</v>
      </c>
    </row>
    <row r="1175" spans="1:19">
      <c r="A1175" s="1">
        <v>44070</v>
      </c>
      <c r="B1175" t="s">
        <v>535</v>
      </c>
      <c r="C1175" t="s">
        <v>549</v>
      </c>
      <c r="D1175">
        <v>27.025</v>
      </c>
      <c r="E1175">
        <v>31.325</v>
      </c>
      <c r="F1175" s="2" t="s">
        <v>555</v>
      </c>
      <c r="G1175">
        <f ca="1" t="shared" si="54"/>
        <v>2.00715807113535</v>
      </c>
      <c r="H1175" t="str">
        <f ca="1" t="shared" si="55"/>
        <v>Risk-On</v>
      </c>
      <c r="I1175">
        <f ca="1" t="shared" si="56"/>
        <v>1</v>
      </c>
      <c r="J1175">
        <f>_xlfn.XLOOKUP($A1175,[1]Sheet1!$B$9:$B$2584,[1]Sheet1!$C$9:$C$2584,"N/A",0)</f>
        <v>112.12</v>
      </c>
      <c r="K1175">
        <f>_xlfn.XLOOKUP($A1175,[1]Sheet1!$E$9:$E$2584,[1]Sheet1!$F$9:$F$2584,"N/A",0)</f>
        <v>153.48</v>
      </c>
      <c r="L1175">
        <f>_xlfn.XLOOKUP($A1175,[1]Sheet1!$H$9:$H$2584,[1]Sheet1!$I$9:$I$2584,"N/A",0)</f>
        <v>62.14</v>
      </c>
      <c r="M1175">
        <f>_xlfn.XLOOKUP($A1175,[1]Sheet1!$K$9:$K$2584,[1]Sheet1!$L$9:$L$2584,"N/A",0)</f>
        <v>143.1</v>
      </c>
      <c r="N1175">
        <f>_xlfn.XLOOKUP($A1175,[1]Sheet1!$N$9:$N$2584,[1]Sheet1!$O$9:$O$2584,"N/A",0)</f>
        <v>106.66</v>
      </c>
      <c r="O1175">
        <v>112.12</v>
      </c>
      <c r="P1175">
        <v>153.48</v>
      </c>
      <c r="Q1175">
        <v>62.14</v>
      </c>
      <c r="R1175">
        <v>106.66</v>
      </c>
      <c r="S1175">
        <v>143.1</v>
      </c>
    </row>
    <row r="1176" spans="1:19">
      <c r="A1176" s="1">
        <v>44071</v>
      </c>
      <c r="B1176" t="s">
        <v>535</v>
      </c>
      <c r="C1176" t="s">
        <v>549</v>
      </c>
      <c r="D1176">
        <v>26.95</v>
      </c>
      <c r="E1176">
        <v>31.675</v>
      </c>
      <c r="F1176" s="2" t="s">
        <v>556</v>
      </c>
      <c r="G1176">
        <f ca="1" t="shared" si="54"/>
        <v>2.20485750575763</v>
      </c>
      <c r="H1176" t="str">
        <f ca="1" t="shared" si="55"/>
        <v>Risk-On</v>
      </c>
      <c r="I1176">
        <f ca="1" t="shared" si="56"/>
        <v>1</v>
      </c>
      <c r="J1176">
        <f>_xlfn.XLOOKUP($A1176,[1]Sheet1!$B$9:$B$2584,[1]Sheet1!$C$9:$C$2584,"N/A",0)</f>
        <v>111.84</v>
      </c>
      <c r="K1176">
        <f>_xlfn.XLOOKUP($A1176,[1]Sheet1!$E$9:$E$2584,[1]Sheet1!$F$9:$F$2584,"N/A",0)</f>
        <v>152.67</v>
      </c>
      <c r="L1176">
        <f>_xlfn.XLOOKUP($A1176,[1]Sheet1!$H$9:$H$2584,[1]Sheet1!$I$9:$I$2584,"N/A",0)</f>
        <v>61.94</v>
      </c>
      <c r="M1176">
        <f>_xlfn.XLOOKUP($A1176,[1]Sheet1!$K$9:$K$2584,[1]Sheet1!$L$9:$L$2584,"N/A",0)</f>
        <v>141.91</v>
      </c>
      <c r="N1176">
        <f>_xlfn.XLOOKUP($A1176,[1]Sheet1!$N$9:$N$2584,[1]Sheet1!$O$9:$O$2584,"N/A",0)</f>
        <v>107.15</v>
      </c>
      <c r="O1176">
        <v>111.84</v>
      </c>
      <c r="P1176">
        <v>152.67</v>
      </c>
      <c r="Q1176">
        <v>61.94</v>
      </c>
      <c r="R1176">
        <v>107.15</v>
      </c>
      <c r="S1176">
        <v>141.91</v>
      </c>
    </row>
    <row r="1177" spans="1:19">
      <c r="A1177" s="1">
        <v>44074</v>
      </c>
      <c r="B1177" t="s">
        <v>535</v>
      </c>
      <c r="C1177" t="s">
        <v>549</v>
      </c>
      <c r="D1177">
        <v>27.875</v>
      </c>
      <c r="E1177">
        <v>33.225</v>
      </c>
      <c r="F1177" s="2" t="s">
        <v>557</v>
      </c>
      <c r="G1177">
        <f ca="1" t="shared" si="54"/>
        <v>2.40732279891384</v>
      </c>
      <c r="H1177" t="str">
        <f ca="1" t="shared" si="55"/>
        <v>Risk-On</v>
      </c>
      <c r="I1177">
        <f ca="1" t="shared" si="56"/>
        <v>1</v>
      </c>
      <c r="J1177">
        <f>_xlfn.XLOOKUP($A1177,[1]Sheet1!$B$9:$B$2584,[1]Sheet1!$C$9:$C$2584,"N/A",0)</f>
        <v>111.15</v>
      </c>
      <c r="K1177">
        <f>_xlfn.XLOOKUP($A1177,[1]Sheet1!$E$9:$E$2584,[1]Sheet1!$F$9:$F$2584,"N/A",0)</f>
        <v>154.01</v>
      </c>
      <c r="L1177">
        <f>_xlfn.XLOOKUP($A1177,[1]Sheet1!$H$9:$H$2584,[1]Sheet1!$I$9:$I$2584,"N/A",0)</f>
        <v>61.83</v>
      </c>
      <c r="M1177">
        <f>_xlfn.XLOOKUP($A1177,[1]Sheet1!$K$9:$K$2584,[1]Sheet1!$L$9:$L$2584,"N/A",0)</f>
        <v>142.27</v>
      </c>
      <c r="N1177">
        <f>_xlfn.XLOOKUP($A1177,[1]Sheet1!$N$9:$N$2584,[1]Sheet1!$O$9:$O$2584,"N/A",0)</f>
        <v>107.59</v>
      </c>
      <c r="O1177">
        <v>111.15</v>
      </c>
      <c r="P1177">
        <v>154.01</v>
      </c>
      <c r="Q1177">
        <v>61.83</v>
      </c>
      <c r="R1177">
        <v>107.59</v>
      </c>
      <c r="S1177">
        <v>142.27</v>
      </c>
    </row>
    <row r="1178" spans="1:19">
      <c r="A1178" s="1">
        <v>44075</v>
      </c>
      <c r="B1178" t="s">
        <v>535</v>
      </c>
      <c r="C1178" t="s">
        <v>549</v>
      </c>
      <c r="D1178">
        <v>28.325</v>
      </c>
      <c r="E1178">
        <v>33.525</v>
      </c>
      <c r="F1178" s="2" t="s">
        <v>558</v>
      </c>
      <c r="G1178">
        <f ca="1" t="shared" si="54"/>
        <v>2.30556511999914</v>
      </c>
      <c r="H1178" t="str">
        <f ca="1" t="shared" si="55"/>
        <v>Risk-On</v>
      </c>
      <c r="I1178">
        <f ca="1" t="shared" si="56"/>
        <v>1</v>
      </c>
      <c r="J1178">
        <f>_xlfn.XLOOKUP($A1178,[1]Sheet1!$B$9:$B$2584,[1]Sheet1!$C$9:$C$2584,"N/A",0)</f>
        <v>111.18</v>
      </c>
      <c r="K1178">
        <f>_xlfn.XLOOKUP($A1178,[1]Sheet1!$E$9:$E$2584,[1]Sheet1!$F$9:$F$2584,"N/A",0)</f>
        <v>157.42</v>
      </c>
      <c r="L1178">
        <f>_xlfn.XLOOKUP($A1178,[1]Sheet1!$H$9:$H$2584,[1]Sheet1!$I$9:$I$2584,"N/A",0)</f>
        <v>61.55</v>
      </c>
      <c r="M1178">
        <f>_xlfn.XLOOKUP($A1178,[1]Sheet1!$K$9:$K$2584,[1]Sheet1!$L$9:$L$2584,"N/A",0)</f>
        <v>143.59</v>
      </c>
      <c r="N1178">
        <f>_xlfn.XLOOKUP($A1178,[1]Sheet1!$N$9:$N$2584,[1]Sheet1!$O$9:$O$2584,"N/A",0)</f>
        <v>107.38</v>
      </c>
      <c r="O1178">
        <v>111.18</v>
      </c>
      <c r="P1178">
        <v>157.42</v>
      </c>
      <c r="Q1178">
        <v>61.55</v>
      </c>
      <c r="R1178">
        <v>107.38</v>
      </c>
      <c r="S1178">
        <v>143.59</v>
      </c>
    </row>
    <row r="1179" spans="1:19">
      <c r="A1179" s="1">
        <v>44076</v>
      </c>
      <c r="B1179" t="s">
        <v>535</v>
      </c>
      <c r="C1179" t="s">
        <v>549</v>
      </c>
      <c r="D1179">
        <v>28.875</v>
      </c>
      <c r="E1179">
        <v>35.325</v>
      </c>
      <c r="F1179" s="2" t="s">
        <v>559</v>
      </c>
      <c r="G1179">
        <f ca="1" t="shared" si="54"/>
        <v>2.78134288170274</v>
      </c>
      <c r="H1179" t="str">
        <f ca="1" t="shared" si="55"/>
        <v>Risk-On</v>
      </c>
      <c r="I1179">
        <f ca="1" t="shared" si="56"/>
        <v>1</v>
      </c>
      <c r="J1179">
        <f>_xlfn.XLOOKUP($A1179,[1]Sheet1!$B$9:$B$2584,[1]Sheet1!$C$9:$C$2584,"N/A",0)</f>
        <v>110.68</v>
      </c>
      <c r="K1179">
        <f>_xlfn.XLOOKUP($A1179,[1]Sheet1!$E$9:$E$2584,[1]Sheet1!$F$9:$F$2584,"N/A",0)</f>
        <v>155.9</v>
      </c>
      <c r="L1179">
        <f>_xlfn.XLOOKUP($A1179,[1]Sheet1!$H$9:$H$2584,[1]Sheet1!$I$9:$I$2584,"N/A",0)</f>
        <v>61.75</v>
      </c>
      <c r="M1179">
        <f>_xlfn.XLOOKUP($A1179,[1]Sheet1!$K$9:$K$2584,[1]Sheet1!$L$9:$L$2584,"N/A",0)</f>
        <v>144.17</v>
      </c>
      <c r="N1179">
        <f>_xlfn.XLOOKUP($A1179,[1]Sheet1!$N$9:$N$2584,[1]Sheet1!$O$9:$O$2584,"N/A",0)</f>
        <v>108.07</v>
      </c>
      <c r="O1179">
        <v>110.68</v>
      </c>
      <c r="P1179">
        <v>155.9</v>
      </c>
      <c r="Q1179">
        <v>61.75</v>
      </c>
      <c r="R1179">
        <v>108.07</v>
      </c>
      <c r="S1179">
        <v>144.17</v>
      </c>
    </row>
    <row r="1180" spans="1:19">
      <c r="A1180" s="1">
        <v>44077</v>
      </c>
      <c r="B1180" t="s">
        <v>535</v>
      </c>
      <c r="C1180" t="s">
        <v>549</v>
      </c>
      <c r="D1180">
        <v>33.875</v>
      </c>
      <c r="E1180">
        <v>39.025</v>
      </c>
      <c r="F1180" s="2" t="s">
        <v>560</v>
      </c>
      <c r="G1180">
        <f ca="1" t="shared" si="54"/>
        <v>1.91243800011318</v>
      </c>
      <c r="H1180" t="str">
        <f ca="1" t="shared" si="55"/>
        <v>Risk-On</v>
      </c>
      <c r="I1180">
        <f ca="1" t="shared" si="56"/>
        <v>1</v>
      </c>
      <c r="J1180">
        <f>_xlfn.XLOOKUP($A1180,[1]Sheet1!$B$9:$B$2584,[1]Sheet1!$C$9:$C$2584,"N/A",0)</f>
        <v>110.53</v>
      </c>
      <c r="K1180">
        <f>_xlfn.XLOOKUP($A1180,[1]Sheet1!$E$9:$E$2584,[1]Sheet1!$F$9:$F$2584,"N/A",0)</f>
        <v>152.18</v>
      </c>
      <c r="L1180">
        <f>_xlfn.XLOOKUP($A1180,[1]Sheet1!$H$9:$H$2584,[1]Sheet1!$I$9:$I$2584,"N/A",0)</f>
        <v>61.69</v>
      </c>
      <c r="M1180">
        <f>_xlfn.XLOOKUP($A1180,[1]Sheet1!$K$9:$K$2584,[1]Sheet1!$L$9:$L$2584,"N/A",0)</f>
        <v>142.56</v>
      </c>
      <c r="N1180">
        <f>_xlfn.XLOOKUP($A1180,[1]Sheet1!$N$9:$N$2584,[1]Sheet1!$O$9:$O$2584,"N/A",0)</f>
        <v>108.25</v>
      </c>
      <c r="O1180">
        <v>110.53</v>
      </c>
      <c r="P1180">
        <v>152.18</v>
      </c>
      <c r="Q1180">
        <v>61.69</v>
      </c>
      <c r="R1180">
        <v>108.25</v>
      </c>
      <c r="S1180">
        <v>142.56</v>
      </c>
    </row>
    <row r="1181" spans="1:19">
      <c r="A1181" s="1">
        <v>44078</v>
      </c>
      <c r="B1181" t="s">
        <v>535</v>
      </c>
      <c r="C1181" t="s">
        <v>549</v>
      </c>
      <c r="D1181">
        <v>29.65</v>
      </c>
      <c r="E1181">
        <v>36.175</v>
      </c>
      <c r="F1181" s="2" t="s">
        <v>561</v>
      </c>
      <c r="G1181">
        <f ca="1" t="shared" si="54"/>
        <v>2.73763744871668</v>
      </c>
      <c r="H1181" t="str">
        <f ca="1" t="shared" si="55"/>
        <v>Risk-On</v>
      </c>
      <c r="I1181">
        <f ca="1" t="shared" si="56"/>
        <v>1</v>
      </c>
      <c r="J1181">
        <f>_xlfn.XLOOKUP($A1181,[1]Sheet1!$B$9:$B$2584,[1]Sheet1!$C$9:$C$2584,"N/A",0)</f>
        <v>110.53</v>
      </c>
      <c r="K1181">
        <f>_xlfn.XLOOKUP($A1181,[1]Sheet1!$E$9:$E$2584,[1]Sheet1!$F$9:$F$2584,"N/A",0)</f>
        <v>150.06</v>
      </c>
      <c r="L1181">
        <f>_xlfn.XLOOKUP($A1181,[1]Sheet1!$H$9:$H$2584,[1]Sheet1!$I$9:$I$2584,"N/A",0)</f>
        <v>62.31</v>
      </c>
      <c r="M1181">
        <f>_xlfn.XLOOKUP($A1181,[1]Sheet1!$K$9:$K$2584,[1]Sheet1!$L$9:$L$2584,"N/A",0)</f>
        <v>141.41</v>
      </c>
      <c r="N1181">
        <f>_xlfn.XLOOKUP($A1181,[1]Sheet1!$N$9:$N$2584,[1]Sheet1!$O$9:$O$2584,"N/A",0)</f>
        <v>108.79</v>
      </c>
      <c r="O1181">
        <v>110.53</v>
      </c>
      <c r="P1181">
        <v>150.06</v>
      </c>
      <c r="Q1181">
        <v>62.31</v>
      </c>
      <c r="R1181">
        <v>108.79</v>
      </c>
      <c r="S1181">
        <v>141.41</v>
      </c>
    </row>
    <row r="1182" spans="1:19">
      <c r="A1182" s="1">
        <v>44082</v>
      </c>
      <c r="B1182" t="s">
        <v>535</v>
      </c>
      <c r="C1182" t="s">
        <v>549</v>
      </c>
      <c r="D1182">
        <v>30.225</v>
      </c>
      <c r="E1182">
        <v>34.625</v>
      </c>
      <c r="F1182" s="2" t="s">
        <v>562</v>
      </c>
      <c r="G1182">
        <f ca="1" t="shared" si="54"/>
        <v>1.84293104991776</v>
      </c>
      <c r="H1182" t="str">
        <f ca="1" t="shared" si="55"/>
        <v>Risk-On</v>
      </c>
      <c r="I1182">
        <f ca="1" t="shared" si="56"/>
        <v>1</v>
      </c>
      <c r="J1182">
        <f>_xlfn.XLOOKUP($A1182,[1]Sheet1!$B$9:$B$2584,[1]Sheet1!$C$9:$C$2584,"N/A",0)</f>
        <v>109.9</v>
      </c>
      <c r="K1182">
        <f>_xlfn.XLOOKUP($A1182,[1]Sheet1!$E$9:$E$2584,[1]Sheet1!$F$9:$F$2584,"N/A",0)</f>
        <v>148.26</v>
      </c>
      <c r="L1182">
        <f>_xlfn.XLOOKUP($A1182,[1]Sheet1!$H$9:$H$2584,[1]Sheet1!$I$9:$I$2584,"N/A",0)</f>
        <v>62.47</v>
      </c>
      <c r="M1182">
        <f>_xlfn.XLOOKUP($A1182,[1]Sheet1!$K$9:$K$2584,[1]Sheet1!$L$9:$L$2584,"N/A",0)</f>
        <v>141.2</v>
      </c>
      <c r="N1182">
        <f>_xlfn.XLOOKUP($A1182,[1]Sheet1!$N$9:$N$2584,[1]Sheet1!$O$9:$O$2584,"N/A",0)</f>
        <v>108.52</v>
      </c>
      <c r="O1182">
        <v>109.9</v>
      </c>
      <c r="P1182">
        <v>148.26</v>
      </c>
      <c r="Q1182">
        <v>62.47</v>
      </c>
      <c r="R1182">
        <v>108.52</v>
      </c>
      <c r="S1182">
        <v>141.2</v>
      </c>
    </row>
    <row r="1183" spans="1:19">
      <c r="A1183" s="1">
        <v>44083</v>
      </c>
      <c r="B1183" t="s">
        <v>535</v>
      </c>
      <c r="C1183" t="s">
        <v>549</v>
      </c>
      <c r="D1183">
        <v>28.375</v>
      </c>
      <c r="E1183">
        <v>33.225</v>
      </c>
      <c r="F1183" s="2" t="s">
        <v>563</v>
      </c>
      <c r="G1183">
        <f ca="1" t="shared" si="54"/>
        <v>2.15696660853552</v>
      </c>
      <c r="H1183" t="str">
        <f ca="1" t="shared" si="55"/>
        <v>Risk-On</v>
      </c>
      <c r="I1183">
        <f ca="1" t="shared" si="56"/>
        <v>1</v>
      </c>
      <c r="J1183">
        <f>_xlfn.XLOOKUP($A1183,[1]Sheet1!$B$9:$B$2584,[1]Sheet1!$C$9:$C$2584,"N/A",0)</f>
        <v>109.68</v>
      </c>
      <c r="K1183">
        <f>_xlfn.XLOOKUP($A1183,[1]Sheet1!$E$9:$E$2584,[1]Sheet1!$F$9:$F$2584,"N/A",0)</f>
        <v>150.91</v>
      </c>
      <c r="L1183">
        <f>_xlfn.XLOOKUP($A1183,[1]Sheet1!$H$9:$H$2584,[1]Sheet1!$I$9:$I$2584,"N/A",0)</f>
        <v>62.58</v>
      </c>
      <c r="M1183">
        <f>_xlfn.XLOOKUP($A1183,[1]Sheet1!$K$9:$K$2584,[1]Sheet1!$L$9:$L$2584,"N/A",0)</f>
        <v>141.72</v>
      </c>
      <c r="N1183">
        <f>_xlfn.XLOOKUP($A1183,[1]Sheet1!$N$9:$N$2584,[1]Sheet1!$O$9:$O$2584,"N/A",0)</f>
        <v>108.75</v>
      </c>
      <c r="O1183">
        <v>109.68</v>
      </c>
      <c r="P1183">
        <v>150.91</v>
      </c>
      <c r="Q1183">
        <v>62.58</v>
      </c>
      <c r="R1183">
        <v>108.75</v>
      </c>
      <c r="S1183">
        <v>141.72</v>
      </c>
    </row>
    <row r="1184" spans="1:19">
      <c r="A1184" s="1">
        <v>44084</v>
      </c>
      <c r="B1184" t="s">
        <v>535</v>
      </c>
      <c r="C1184" t="s">
        <v>549</v>
      </c>
      <c r="D1184">
        <v>28.775</v>
      </c>
      <c r="E1184">
        <v>32.675</v>
      </c>
      <c r="F1184" s="2" t="s">
        <v>564</v>
      </c>
      <c r="G1184">
        <f ca="1" t="shared" si="54"/>
        <v>1.74011380644867</v>
      </c>
      <c r="H1184" t="str">
        <f ca="1" t="shared" si="55"/>
        <v>Risk-On</v>
      </c>
      <c r="I1184">
        <f ca="1" t="shared" si="56"/>
        <v>1</v>
      </c>
      <c r="J1184">
        <f>_xlfn.XLOOKUP($A1184,[1]Sheet1!$B$9:$B$2584,[1]Sheet1!$C$9:$C$2584,"N/A",0)</f>
        <v>109.73</v>
      </c>
      <c r="K1184">
        <f>_xlfn.XLOOKUP($A1184,[1]Sheet1!$E$9:$E$2584,[1]Sheet1!$F$9:$F$2584,"N/A",0)</f>
        <v>150.24</v>
      </c>
      <c r="L1184">
        <f>_xlfn.XLOOKUP($A1184,[1]Sheet1!$H$9:$H$2584,[1]Sheet1!$I$9:$I$2584,"N/A",0)</f>
        <v>62.55</v>
      </c>
      <c r="M1184">
        <f>_xlfn.XLOOKUP($A1184,[1]Sheet1!$K$9:$K$2584,[1]Sheet1!$L$9:$L$2584,"N/A",0)</f>
        <v>141.38</v>
      </c>
      <c r="N1184">
        <f>_xlfn.XLOOKUP($A1184,[1]Sheet1!$N$9:$N$2584,[1]Sheet1!$O$9:$O$2584,"N/A",0)</f>
        <v>108.25</v>
      </c>
      <c r="O1184">
        <v>109.73</v>
      </c>
      <c r="P1184">
        <v>150.24</v>
      </c>
      <c r="Q1184">
        <v>62.55</v>
      </c>
      <c r="R1184">
        <v>108.25</v>
      </c>
      <c r="S1184">
        <v>141.38</v>
      </c>
    </row>
    <row r="1185" spans="1:19">
      <c r="A1185" s="1">
        <v>44085</v>
      </c>
      <c r="B1185" t="s">
        <v>535</v>
      </c>
      <c r="C1185" t="s">
        <v>549</v>
      </c>
      <c r="D1185">
        <v>26.325</v>
      </c>
      <c r="E1185">
        <v>31.875</v>
      </c>
      <c r="F1185" s="2" t="s">
        <v>565</v>
      </c>
      <c r="G1185">
        <f ca="1" t="shared" si="54"/>
        <v>2.65194963033715</v>
      </c>
      <c r="H1185" t="str">
        <f ca="1" t="shared" si="55"/>
        <v>Risk-On</v>
      </c>
      <c r="I1185">
        <f ca="1" t="shared" si="56"/>
        <v>1</v>
      </c>
      <c r="J1185">
        <f>_xlfn.XLOOKUP($A1185,[1]Sheet1!$B$9:$B$2584,[1]Sheet1!$C$9:$C$2584,"N/A",0)</f>
        <v>109.43</v>
      </c>
      <c r="K1185">
        <f>_xlfn.XLOOKUP($A1185,[1]Sheet1!$E$9:$E$2584,[1]Sheet1!$F$9:$F$2584,"N/A",0)</f>
        <v>149.17</v>
      </c>
      <c r="L1185">
        <f>_xlfn.XLOOKUP($A1185,[1]Sheet1!$H$9:$H$2584,[1]Sheet1!$I$9:$I$2584,"N/A",0)</f>
        <v>62.67</v>
      </c>
      <c r="M1185">
        <f>_xlfn.XLOOKUP($A1185,[1]Sheet1!$K$9:$K$2584,[1]Sheet1!$L$9:$L$2584,"N/A",0)</f>
        <v>141.64</v>
      </c>
      <c r="N1185">
        <f>_xlfn.XLOOKUP($A1185,[1]Sheet1!$N$9:$N$2584,[1]Sheet1!$O$9:$O$2584,"N/A",0)</f>
        <v>109.1</v>
      </c>
      <c r="O1185">
        <v>109.43</v>
      </c>
      <c r="P1185">
        <v>149.17</v>
      </c>
      <c r="Q1185">
        <v>62.67</v>
      </c>
      <c r="R1185">
        <v>109.1</v>
      </c>
      <c r="S1185">
        <v>141.64</v>
      </c>
    </row>
    <row r="1186" spans="1:19">
      <c r="A1186" s="1">
        <v>44088</v>
      </c>
      <c r="B1186" t="s">
        <v>535</v>
      </c>
      <c r="C1186" t="s">
        <v>549</v>
      </c>
      <c r="D1186">
        <v>25.725</v>
      </c>
      <c r="E1186">
        <v>31.375</v>
      </c>
      <c r="F1186" s="2" t="s">
        <v>566</v>
      </c>
      <c r="G1186">
        <f ca="1" t="shared" si="54"/>
        <v>2.75857807242054</v>
      </c>
      <c r="H1186" t="str">
        <f ca="1" t="shared" si="55"/>
        <v>Risk-On</v>
      </c>
      <c r="I1186">
        <f ca="1" t="shared" si="56"/>
        <v>1</v>
      </c>
      <c r="J1186">
        <f>_xlfn.XLOOKUP($A1186,[1]Sheet1!$B$9:$B$2584,[1]Sheet1!$C$9:$C$2584,"N/A",0)</f>
        <v>109.12</v>
      </c>
      <c r="K1186">
        <f>_xlfn.XLOOKUP($A1186,[1]Sheet1!$E$9:$E$2584,[1]Sheet1!$F$9:$F$2584,"N/A",0)</f>
        <v>149.51</v>
      </c>
      <c r="L1186">
        <f>_xlfn.XLOOKUP($A1186,[1]Sheet1!$H$9:$H$2584,[1]Sheet1!$I$9:$I$2584,"N/A",0)</f>
        <v>62.71</v>
      </c>
      <c r="M1186">
        <f>_xlfn.XLOOKUP($A1186,[1]Sheet1!$K$9:$K$2584,[1]Sheet1!$L$9:$L$2584,"N/A",0)</f>
        <v>141.3</v>
      </c>
      <c r="N1186">
        <f>_xlfn.XLOOKUP($A1186,[1]Sheet1!$N$9:$N$2584,[1]Sheet1!$O$9:$O$2584,"N/A",0)</f>
        <v>108.71</v>
      </c>
      <c r="O1186">
        <v>109.12</v>
      </c>
      <c r="P1186">
        <v>149.51</v>
      </c>
      <c r="Q1186">
        <v>62.71</v>
      </c>
      <c r="R1186">
        <v>108.71</v>
      </c>
      <c r="S1186">
        <v>141.3</v>
      </c>
    </row>
    <row r="1187" spans="1:19">
      <c r="A1187" s="1">
        <v>44089</v>
      </c>
      <c r="B1187" t="s">
        <v>535</v>
      </c>
      <c r="C1187" t="s">
        <v>549</v>
      </c>
      <c r="D1187">
        <v>25.375</v>
      </c>
      <c r="E1187">
        <v>30.425</v>
      </c>
      <c r="F1187" s="2" t="s">
        <v>567</v>
      </c>
      <c r="G1187">
        <f ca="1" t="shared" si="54"/>
        <v>2.50890518186572</v>
      </c>
      <c r="H1187" t="str">
        <f ca="1" t="shared" si="55"/>
        <v>Risk-On</v>
      </c>
      <c r="I1187">
        <f ca="1" t="shared" si="56"/>
        <v>1</v>
      </c>
      <c r="J1187">
        <f>_xlfn.XLOOKUP($A1187,[1]Sheet1!$B$9:$B$2584,[1]Sheet1!$C$9:$C$2584,"N/A",0)</f>
        <v>109.79</v>
      </c>
      <c r="K1187">
        <f>_xlfn.XLOOKUP($A1187,[1]Sheet1!$E$9:$E$2584,[1]Sheet1!$F$9:$F$2584,"N/A",0)</f>
        <v>150.68</v>
      </c>
      <c r="L1187">
        <f>_xlfn.XLOOKUP($A1187,[1]Sheet1!$H$9:$H$2584,[1]Sheet1!$I$9:$I$2584,"N/A",0)</f>
        <v>62.49</v>
      </c>
      <c r="M1187">
        <f>_xlfn.XLOOKUP($A1187,[1]Sheet1!$K$9:$K$2584,[1]Sheet1!$L$9:$L$2584,"N/A",0)</f>
        <v>141.76</v>
      </c>
      <c r="N1187">
        <f>_xlfn.XLOOKUP($A1187,[1]Sheet1!$N$9:$N$2584,[1]Sheet1!$O$9:$O$2584,"N/A",0)</f>
        <v>108.92</v>
      </c>
      <c r="O1187">
        <v>109.79</v>
      </c>
      <c r="P1187">
        <v>150.68</v>
      </c>
      <c r="Q1187">
        <v>62.49</v>
      </c>
      <c r="R1187">
        <v>108.92</v>
      </c>
      <c r="S1187">
        <v>141.76</v>
      </c>
    </row>
    <row r="1188" spans="1:19">
      <c r="A1188" s="1">
        <v>44090</v>
      </c>
      <c r="B1188" t="s">
        <v>535</v>
      </c>
      <c r="C1188" t="s">
        <v>549</v>
      </c>
      <c r="D1188">
        <v>26.12</v>
      </c>
      <c r="E1188">
        <v>30.525</v>
      </c>
      <c r="F1188" s="2" t="s">
        <v>568</v>
      </c>
      <c r="G1188">
        <f ca="1" t="shared" si="54"/>
        <v>2.14110316327684</v>
      </c>
      <c r="H1188" t="str">
        <f ca="1" t="shared" si="55"/>
        <v>Risk-On</v>
      </c>
      <c r="I1188">
        <f ca="1" t="shared" si="56"/>
        <v>1</v>
      </c>
      <c r="J1188">
        <f>_xlfn.XLOOKUP($A1188,[1]Sheet1!$B$9:$B$2584,[1]Sheet1!$C$9:$C$2584,"N/A",0)</f>
        <v>109.96</v>
      </c>
      <c r="K1188">
        <f>_xlfn.XLOOKUP($A1188,[1]Sheet1!$E$9:$E$2584,[1]Sheet1!$F$9:$F$2584,"N/A",0)</f>
        <v>148.8</v>
      </c>
      <c r="L1188">
        <f>_xlfn.XLOOKUP($A1188,[1]Sheet1!$H$9:$H$2584,[1]Sheet1!$I$9:$I$2584,"N/A",0)</f>
        <v>62.55</v>
      </c>
      <c r="M1188">
        <f>_xlfn.XLOOKUP($A1188,[1]Sheet1!$K$9:$K$2584,[1]Sheet1!$L$9:$L$2584,"N/A",0)</f>
        <v>140.77</v>
      </c>
      <c r="N1188">
        <f>_xlfn.XLOOKUP($A1188,[1]Sheet1!$N$9:$N$2584,[1]Sheet1!$O$9:$O$2584,"N/A",0)</f>
        <v>108.41</v>
      </c>
      <c r="O1188">
        <v>109.96</v>
      </c>
      <c r="P1188">
        <v>148.8</v>
      </c>
      <c r="Q1188">
        <v>62.55</v>
      </c>
      <c r="R1188">
        <v>108.41</v>
      </c>
      <c r="S1188">
        <v>140.77</v>
      </c>
    </row>
    <row r="1189" spans="1:19">
      <c r="A1189" s="1">
        <v>44091</v>
      </c>
      <c r="B1189" t="s">
        <v>549</v>
      </c>
      <c r="C1189" t="s">
        <v>569</v>
      </c>
      <c r="D1189">
        <v>29.825</v>
      </c>
      <c r="E1189">
        <v>30.575</v>
      </c>
      <c r="F1189">
        <v>0.0251466890192791</v>
      </c>
      <c r="G1189">
        <f ca="1" t="shared" si="54"/>
        <v>0.403244844794342</v>
      </c>
      <c r="H1189" t="str">
        <f ca="1" t="shared" si="55"/>
        <v>Risk-On</v>
      </c>
      <c r="I1189">
        <f ca="1" t="shared" si="56"/>
        <v>1</v>
      </c>
      <c r="J1189">
        <f>_xlfn.XLOOKUP($A1189,[1]Sheet1!$B$9:$B$2584,[1]Sheet1!$C$9:$C$2584,"N/A",0)</f>
        <v>109.86</v>
      </c>
      <c r="K1189">
        <f>_xlfn.XLOOKUP($A1189,[1]Sheet1!$E$9:$E$2584,[1]Sheet1!$F$9:$F$2584,"N/A",0)</f>
        <v>147.37</v>
      </c>
      <c r="L1189">
        <f>_xlfn.XLOOKUP($A1189,[1]Sheet1!$H$9:$H$2584,[1]Sheet1!$I$9:$I$2584,"N/A",0)</f>
        <v>62.9</v>
      </c>
      <c r="M1189">
        <f>_xlfn.XLOOKUP($A1189,[1]Sheet1!$K$9:$K$2584,[1]Sheet1!$L$9:$L$2584,"N/A",0)</f>
        <v>141.09</v>
      </c>
      <c r="N1189">
        <f>_xlfn.XLOOKUP($A1189,[1]Sheet1!$N$9:$N$2584,[1]Sheet1!$O$9:$O$2584,"N/A",0)</f>
        <v>107.79</v>
      </c>
      <c r="O1189">
        <v>109.86</v>
      </c>
      <c r="P1189">
        <v>147.37</v>
      </c>
      <c r="Q1189">
        <v>62.9</v>
      </c>
      <c r="R1189">
        <v>107.79</v>
      </c>
      <c r="S1189">
        <v>141.09</v>
      </c>
    </row>
    <row r="1190" spans="1:19">
      <c r="A1190" s="1">
        <v>44092</v>
      </c>
      <c r="B1190" t="s">
        <v>549</v>
      </c>
      <c r="C1190" t="s">
        <v>569</v>
      </c>
      <c r="D1190">
        <v>30.075</v>
      </c>
      <c r="E1190">
        <v>30.675</v>
      </c>
      <c r="F1190">
        <v>0.0199501246882793</v>
      </c>
      <c r="G1190">
        <f ca="1" t="shared" si="54"/>
        <v>0.352676662260496</v>
      </c>
      <c r="H1190" t="str">
        <f ca="1" t="shared" si="55"/>
        <v>Risk-On</v>
      </c>
      <c r="I1190">
        <f ca="1" t="shared" si="56"/>
        <v>1</v>
      </c>
      <c r="J1190">
        <f>_xlfn.XLOOKUP($A1190,[1]Sheet1!$B$9:$B$2584,[1]Sheet1!$C$9:$C$2584,"N/A",0)</f>
        <v>109.69</v>
      </c>
      <c r="K1190">
        <f>_xlfn.XLOOKUP($A1190,[1]Sheet1!$E$9:$E$2584,[1]Sheet1!$F$9:$F$2584,"N/A",0)</f>
        <v>148.39</v>
      </c>
      <c r="L1190">
        <f>_xlfn.XLOOKUP($A1190,[1]Sheet1!$H$9:$H$2584,[1]Sheet1!$I$9:$I$2584,"N/A",0)</f>
        <v>63.09</v>
      </c>
      <c r="M1190">
        <f>_xlfn.XLOOKUP($A1190,[1]Sheet1!$K$9:$K$2584,[1]Sheet1!$L$9:$L$2584,"N/A",0)</f>
        <v>141.4</v>
      </c>
      <c r="N1190">
        <f>_xlfn.XLOOKUP($A1190,[1]Sheet1!$N$9:$N$2584,[1]Sheet1!$O$9:$O$2584,"N/A",0)</f>
        <v>107.3</v>
      </c>
      <c r="O1190">
        <v>109.69</v>
      </c>
      <c r="P1190">
        <v>148.39</v>
      </c>
      <c r="Q1190">
        <v>63.09</v>
      </c>
      <c r="R1190">
        <v>107.3</v>
      </c>
      <c r="S1190">
        <v>141.4</v>
      </c>
    </row>
    <row r="1191" spans="1:19">
      <c r="A1191" s="1">
        <v>44095</v>
      </c>
      <c r="B1191" t="s">
        <v>549</v>
      </c>
      <c r="C1191" t="s">
        <v>569</v>
      </c>
      <c r="D1191">
        <v>31.225</v>
      </c>
      <c r="E1191">
        <v>31.675</v>
      </c>
      <c r="F1191">
        <v>0.0144115292233786</v>
      </c>
      <c r="G1191">
        <f ca="1" t="shared" si="54"/>
        <v>0.291948176427273</v>
      </c>
      <c r="H1191" t="str">
        <f ca="1" t="shared" si="55"/>
        <v>Risk-Off</v>
      </c>
      <c r="I1191">
        <f ca="1" t="shared" si="56"/>
        <v>1</v>
      </c>
      <c r="J1191">
        <f>_xlfn.XLOOKUP($A1191,[1]Sheet1!$B$9:$B$2584,[1]Sheet1!$C$9:$C$2584,"N/A",0)</f>
        <v>109.84</v>
      </c>
      <c r="K1191">
        <f>_xlfn.XLOOKUP($A1191,[1]Sheet1!$E$9:$E$2584,[1]Sheet1!$F$9:$F$2584,"N/A",0)</f>
        <v>151.77</v>
      </c>
      <c r="L1191">
        <f>_xlfn.XLOOKUP($A1191,[1]Sheet1!$H$9:$H$2584,[1]Sheet1!$I$9:$I$2584,"N/A",0)</f>
        <v>62.29</v>
      </c>
      <c r="M1191">
        <f>_xlfn.XLOOKUP($A1191,[1]Sheet1!$K$9:$K$2584,[1]Sheet1!$L$9:$L$2584,"N/A",0)</f>
        <v>142.79</v>
      </c>
      <c r="N1191">
        <f>_xlfn.XLOOKUP($A1191,[1]Sheet1!$N$9:$N$2584,[1]Sheet1!$O$9:$O$2584,"N/A",0)</f>
        <v>108.02</v>
      </c>
      <c r="O1191">
        <v>109.84</v>
      </c>
      <c r="P1191">
        <v>151.77</v>
      </c>
      <c r="Q1191">
        <v>62.29</v>
      </c>
      <c r="R1191">
        <v>108.02</v>
      </c>
      <c r="S1191">
        <v>142.79</v>
      </c>
    </row>
    <row r="1192" spans="1:19">
      <c r="A1192" s="1">
        <v>44096</v>
      </c>
      <c r="B1192" t="s">
        <v>549</v>
      </c>
      <c r="C1192" t="s">
        <v>569</v>
      </c>
      <c r="D1192">
        <v>31.375</v>
      </c>
      <c r="E1192">
        <v>32.175</v>
      </c>
      <c r="F1192">
        <v>0.0254980079681274</v>
      </c>
      <c r="G1192">
        <f ca="1" t="shared" si="54"/>
        <v>0.434110622148861</v>
      </c>
      <c r="H1192" t="str">
        <f ca="1" t="shared" si="55"/>
        <v>Risk-Off</v>
      </c>
      <c r="I1192">
        <f ca="1" t="shared" si="56"/>
        <v>1</v>
      </c>
      <c r="J1192">
        <f>_xlfn.XLOOKUP($A1192,[1]Sheet1!$B$9:$B$2584,[1]Sheet1!$C$9:$C$2584,"N/A",0)</f>
        <v>110.32</v>
      </c>
      <c r="K1192">
        <f>_xlfn.XLOOKUP($A1192,[1]Sheet1!$E$9:$E$2584,[1]Sheet1!$F$9:$F$2584,"N/A",0)</f>
        <v>152.93</v>
      </c>
      <c r="L1192">
        <f>_xlfn.XLOOKUP($A1192,[1]Sheet1!$H$9:$H$2584,[1]Sheet1!$I$9:$I$2584,"N/A",0)</f>
        <v>61.71</v>
      </c>
      <c r="M1192">
        <f>_xlfn.XLOOKUP($A1192,[1]Sheet1!$K$9:$K$2584,[1]Sheet1!$L$9:$L$2584,"N/A",0)</f>
        <v>143.19</v>
      </c>
      <c r="N1192">
        <f>_xlfn.XLOOKUP($A1192,[1]Sheet1!$N$9:$N$2584,[1]Sheet1!$O$9:$O$2584,"N/A",0)</f>
        <v>107.94</v>
      </c>
      <c r="O1192">
        <v>110.32</v>
      </c>
      <c r="P1192">
        <v>152.93</v>
      </c>
      <c r="Q1192">
        <v>61.71</v>
      </c>
      <c r="R1192">
        <v>107.94</v>
      </c>
      <c r="S1192">
        <v>143.19</v>
      </c>
    </row>
    <row r="1193" spans="1:19">
      <c r="A1193" s="1">
        <v>44097</v>
      </c>
      <c r="B1193" t="s">
        <v>549</v>
      </c>
      <c r="C1193" t="s">
        <v>569</v>
      </c>
      <c r="D1193">
        <v>32.475</v>
      </c>
      <c r="E1193">
        <v>33.325</v>
      </c>
      <c r="F1193" s="2" t="s">
        <v>570</v>
      </c>
      <c r="G1193">
        <f ca="1" t="shared" si="54"/>
        <v>0.448835002543844</v>
      </c>
      <c r="H1193" t="str">
        <f ca="1" t="shared" si="55"/>
        <v>Risk-Off</v>
      </c>
      <c r="I1193">
        <f ca="1" t="shared" si="56"/>
        <v>1</v>
      </c>
      <c r="J1193">
        <f>_xlfn.XLOOKUP($A1193,[1]Sheet1!$B$9:$B$2584,[1]Sheet1!$C$9:$C$2584,"N/A",0)</f>
        <v>110.55</v>
      </c>
      <c r="K1193">
        <f>_xlfn.XLOOKUP($A1193,[1]Sheet1!$E$9:$E$2584,[1]Sheet1!$F$9:$F$2584,"N/A",0)</f>
        <v>151.87</v>
      </c>
      <c r="L1193">
        <f>_xlfn.XLOOKUP($A1193,[1]Sheet1!$H$9:$H$2584,[1]Sheet1!$I$9:$I$2584,"N/A",0)</f>
        <v>61.54</v>
      </c>
      <c r="M1193">
        <f>_xlfn.XLOOKUP($A1193,[1]Sheet1!$K$9:$K$2584,[1]Sheet1!$L$9:$L$2584,"N/A",0)</f>
        <v>144.04</v>
      </c>
      <c r="N1193">
        <f>_xlfn.XLOOKUP($A1193,[1]Sheet1!$N$9:$N$2584,[1]Sheet1!$O$9:$O$2584,"N/A",0)</f>
        <v>108.86</v>
      </c>
      <c r="O1193">
        <v>110.55</v>
      </c>
      <c r="P1193">
        <v>151.87</v>
      </c>
      <c r="Q1193">
        <v>61.54</v>
      </c>
      <c r="R1193">
        <v>108.86</v>
      </c>
      <c r="S1193">
        <v>144.04</v>
      </c>
    </row>
    <row r="1194" spans="1:19">
      <c r="A1194" s="1">
        <v>44098</v>
      </c>
      <c r="B1194" t="s">
        <v>549</v>
      </c>
      <c r="C1194" t="s">
        <v>569</v>
      </c>
      <c r="D1194">
        <v>32.225</v>
      </c>
      <c r="E1194">
        <v>33.675</v>
      </c>
      <c r="F1194">
        <v>0.0449961210240495</v>
      </c>
      <c r="G1194">
        <f ca="1" t="shared" si="54"/>
        <v>0.685145979190528</v>
      </c>
      <c r="H1194" t="str">
        <f ca="1" t="shared" si="55"/>
        <v>Risk-Off</v>
      </c>
      <c r="I1194">
        <f ca="1" t="shared" si="56"/>
        <v>1</v>
      </c>
      <c r="J1194">
        <f>_xlfn.XLOOKUP($A1194,[1]Sheet1!$B$9:$B$2584,[1]Sheet1!$C$9:$C$2584,"N/A",0)</f>
        <v>110.18</v>
      </c>
      <c r="K1194">
        <f>_xlfn.XLOOKUP($A1194,[1]Sheet1!$E$9:$E$2584,[1]Sheet1!$F$9:$F$2584,"N/A",0)</f>
        <v>151.96</v>
      </c>
      <c r="L1194">
        <f>_xlfn.XLOOKUP($A1194,[1]Sheet1!$H$9:$H$2584,[1]Sheet1!$I$9:$I$2584,"N/A",0)</f>
        <v>61.88</v>
      </c>
      <c r="M1194">
        <f>_xlfn.XLOOKUP($A1194,[1]Sheet1!$K$9:$K$2584,[1]Sheet1!$L$9:$L$2584,"N/A",0)</f>
        <v>144.27</v>
      </c>
      <c r="N1194">
        <f>_xlfn.XLOOKUP($A1194,[1]Sheet1!$N$9:$N$2584,[1]Sheet1!$O$9:$O$2584,"N/A",0)</f>
        <v>108.93</v>
      </c>
      <c r="O1194">
        <v>110.18</v>
      </c>
      <c r="P1194">
        <v>151.96</v>
      </c>
      <c r="Q1194">
        <v>61.88</v>
      </c>
      <c r="R1194">
        <v>108.93</v>
      </c>
      <c r="S1194">
        <v>144.27</v>
      </c>
    </row>
    <row r="1195" spans="1:19">
      <c r="A1195" s="1">
        <v>44099</v>
      </c>
      <c r="B1195" t="s">
        <v>549</v>
      </c>
      <c r="C1195" t="s">
        <v>569</v>
      </c>
      <c r="D1195">
        <v>31.225</v>
      </c>
      <c r="E1195">
        <v>32.925</v>
      </c>
      <c r="F1195">
        <v>0.0544435548438749</v>
      </c>
      <c r="G1195">
        <f ca="1" t="shared" si="54"/>
        <v>0.805012383492497</v>
      </c>
      <c r="H1195" t="str">
        <f ca="1" t="shared" si="55"/>
        <v>Risk-On</v>
      </c>
      <c r="I1195">
        <f ca="1" t="shared" si="56"/>
        <v>1</v>
      </c>
      <c r="J1195">
        <f>_xlfn.XLOOKUP($A1195,[1]Sheet1!$B$9:$B$2584,[1]Sheet1!$C$9:$C$2584,"N/A",0)</f>
        <v>109.88</v>
      </c>
      <c r="K1195">
        <f>_xlfn.XLOOKUP($A1195,[1]Sheet1!$E$9:$E$2584,[1]Sheet1!$F$9:$F$2584,"N/A",0)</f>
        <v>152.92</v>
      </c>
      <c r="L1195">
        <f>_xlfn.XLOOKUP($A1195,[1]Sheet1!$H$9:$H$2584,[1]Sheet1!$I$9:$I$2584,"N/A",0)</f>
        <v>61.5</v>
      </c>
      <c r="M1195">
        <f>_xlfn.XLOOKUP($A1195,[1]Sheet1!$K$9:$K$2584,[1]Sheet1!$L$9:$L$2584,"N/A",0)</f>
        <v>144.58</v>
      </c>
      <c r="N1195">
        <f>_xlfn.XLOOKUP($A1195,[1]Sheet1!$N$9:$N$2584,[1]Sheet1!$O$9:$O$2584,"N/A",0)</f>
        <v>109.04</v>
      </c>
      <c r="O1195">
        <v>109.88</v>
      </c>
      <c r="P1195">
        <v>152.92</v>
      </c>
      <c r="Q1195">
        <v>61.5</v>
      </c>
      <c r="R1195">
        <v>109.04</v>
      </c>
      <c r="S1195">
        <v>144.58</v>
      </c>
    </row>
    <row r="1196" spans="1:19">
      <c r="A1196" s="1">
        <v>44102</v>
      </c>
      <c r="B1196" t="s">
        <v>549</v>
      </c>
      <c r="C1196" t="s">
        <v>569</v>
      </c>
      <c r="D1196">
        <v>30.825</v>
      </c>
      <c r="E1196">
        <v>32.975</v>
      </c>
      <c r="F1196">
        <v>0.0697485806974858</v>
      </c>
      <c r="G1196">
        <f ca="1" t="shared" si="54"/>
        <v>0.996107359206816</v>
      </c>
      <c r="H1196" t="str">
        <f ca="1" t="shared" si="55"/>
        <v>Risk-On</v>
      </c>
      <c r="I1196">
        <f ca="1" t="shared" si="56"/>
        <v>1</v>
      </c>
      <c r="J1196">
        <f>_xlfn.XLOOKUP($A1196,[1]Sheet1!$B$9:$B$2584,[1]Sheet1!$C$9:$C$2584,"N/A",0)</f>
        <v>109.61</v>
      </c>
      <c r="K1196">
        <f>_xlfn.XLOOKUP($A1196,[1]Sheet1!$E$9:$E$2584,[1]Sheet1!$F$9:$F$2584,"N/A",0)</f>
        <v>153.59</v>
      </c>
      <c r="L1196">
        <f>_xlfn.XLOOKUP($A1196,[1]Sheet1!$H$9:$H$2584,[1]Sheet1!$I$9:$I$2584,"N/A",0)</f>
        <v>61.76</v>
      </c>
      <c r="M1196">
        <f>_xlfn.XLOOKUP($A1196,[1]Sheet1!$K$9:$K$2584,[1]Sheet1!$L$9:$L$2584,"N/A",0)</f>
        <v>144.63</v>
      </c>
      <c r="N1196">
        <f>_xlfn.XLOOKUP($A1196,[1]Sheet1!$N$9:$N$2584,[1]Sheet1!$O$9:$O$2584,"N/A",0)</f>
        <v>108.65</v>
      </c>
      <c r="O1196">
        <v>109.61</v>
      </c>
      <c r="P1196">
        <v>153.59</v>
      </c>
      <c r="Q1196">
        <v>61.76</v>
      </c>
      <c r="R1196">
        <v>108.65</v>
      </c>
      <c r="S1196">
        <v>144.63</v>
      </c>
    </row>
    <row r="1197" spans="1:19">
      <c r="A1197" s="1">
        <v>44103</v>
      </c>
      <c r="B1197" t="s">
        <v>549</v>
      </c>
      <c r="C1197" t="s">
        <v>569</v>
      </c>
      <c r="D1197">
        <v>29.775</v>
      </c>
      <c r="E1197">
        <v>32.075</v>
      </c>
      <c r="F1197">
        <v>0.077246011754828</v>
      </c>
      <c r="G1197">
        <f ca="1" t="shared" si="54"/>
        <v>1.08620087586575</v>
      </c>
      <c r="H1197" t="str">
        <f ca="1" t="shared" si="55"/>
        <v>Risk-On</v>
      </c>
      <c r="I1197">
        <f ca="1" t="shared" si="56"/>
        <v>1</v>
      </c>
      <c r="J1197">
        <f>_xlfn.XLOOKUP($A1197,[1]Sheet1!$B$9:$B$2584,[1]Sheet1!$C$9:$C$2584,"N/A",0)</f>
        <v>109.83</v>
      </c>
      <c r="K1197">
        <f>_xlfn.XLOOKUP($A1197,[1]Sheet1!$E$9:$E$2584,[1]Sheet1!$F$9:$F$2584,"N/A",0)</f>
        <v>154.36</v>
      </c>
      <c r="L1197">
        <f>_xlfn.XLOOKUP($A1197,[1]Sheet1!$H$9:$H$2584,[1]Sheet1!$I$9:$I$2584,"N/A",0)</f>
        <v>61.63</v>
      </c>
      <c r="M1197">
        <f>_xlfn.XLOOKUP($A1197,[1]Sheet1!$K$9:$K$2584,[1]Sheet1!$L$9:$L$2584,"N/A",0)</f>
        <v>144.75</v>
      </c>
      <c r="N1197">
        <f>_xlfn.XLOOKUP($A1197,[1]Sheet1!$N$9:$N$2584,[1]Sheet1!$O$9:$O$2584,"N/A",0)</f>
        <v>108.27</v>
      </c>
      <c r="O1197">
        <v>109.83</v>
      </c>
      <c r="P1197">
        <v>154.36</v>
      </c>
      <c r="Q1197">
        <v>61.63</v>
      </c>
      <c r="R1197">
        <v>108.27</v>
      </c>
      <c r="S1197">
        <v>144.75</v>
      </c>
    </row>
    <row r="1198" spans="1:19">
      <c r="A1198" s="1">
        <v>44104</v>
      </c>
      <c r="B1198" t="s">
        <v>549</v>
      </c>
      <c r="C1198" t="s">
        <v>569</v>
      </c>
      <c r="D1198">
        <v>30.375</v>
      </c>
      <c r="E1198">
        <v>32.875</v>
      </c>
      <c r="F1198">
        <v>0.0823045267489712</v>
      </c>
      <c r="G1198">
        <f ca="1" t="shared" si="54"/>
        <v>1.14665226334277</v>
      </c>
      <c r="H1198" t="str">
        <f ca="1" t="shared" si="55"/>
        <v>Risk-Off</v>
      </c>
      <c r="I1198">
        <f ca="1" t="shared" si="56"/>
        <v>1</v>
      </c>
      <c r="J1198">
        <f>_xlfn.XLOOKUP($A1198,[1]Sheet1!$B$9:$B$2584,[1]Sheet1!$C$9:$C$2584,"N/A",0)</f>
        <v>109.97</v>
      </c>
      <c r="K1198">
        <f>_xlfn.XLOOKUP($A1198,[1]Sheet1!$E$9:$E$2584,[1]Sheet1!$F$9:$F$2584,"N/A",0)</f>
        <v>154.28</v>
      </c>
      <c r="L1198">
        <f>_xlfn.XLOOKUP($A1198,[1]Sheet1!$H$9:$H$2584,[1]Sheet1!$I$9:$I$2584,"N/A",0)</f>
        <v>61.58</v>
      </c>
      <c r="M1198">
        <f>_xlfn.XLOOKUP($A1198,[1]Sheet1!$K$9:$K$2584,[1]Sheet1!$L$9:$L$2584,"N/A",0)</f>
        <v>144.94</v>
      </c>
      <c r="N1198">
        <f>_xlfn.XLOOKUP($A1198,[1]Sheet1!$N$9:$N$2584,[1]Sheet1!$O$9:$O$2584,"N/A",0)</f>
        <v>108.85</v>
      </c>
      <c r="O1198">
        <v>109.97</v>
      </c>
      <c r="P1198">
        <v>154.28</v>
      </c>
      <c r="Q1198">
        <v>61.58</v>
      </c>
      <c r="R1198">
        <v>108.85</v>
      </c>
      <c r="S1198">
        <v>144.94</v>
      </c>
    </row>
    <row r="1199" spans="1:19">
      <c r="A1199" s="1">
        <v>44105</v>
      </c>
      <c r="B1199" t="s">
        <v>549</v>
      </c>
      <c r="C1199" t="s">
        <v>569</v>
      </c>
      <c r="D1199">
        <v>30.675</v>
      </c>
      <c r="E1199">
        <v>32.475</v>
      </c>
      <c r="F1199">
        <v>0.058679706601467</v>
      </c>
      <c r="G1199">
        <f ca="1" t="shared" si="54"/>
        <v>0.848345802070118</v>
      </c>
      <c r="H1199" t="str">
        <f ca="1" t="shared" si="55"/>
        <v>Risk-Off</v>
      </c>
      <c r="I1199">
        <f ca="1" t="shared" si="56"/>
        <v>1</v>
      </c>
      <c r="J1199">
        <f>_xlfn.XLOOKUP($A1199,[1]Sheet1!$B$9:$B$2584,[1]Sheet1!$C$9:$C$2584,"N/A",0)</f>
        <v>109.83</v>
      </c>
      <c r="K1199">
        <f>_xlfn.XLOOKUP($A1199,[1]Sheet1!$E$9:$E$2584,[1]Sheet1!$F$9:$F$2584,"N/A",0)</f>
        <v>156.21</v>
      </c>
      <c r="L1199">
        <f>_xlfn.XLOOKUP($A1199,[1]Sheet1!$H$9:$H$2584,[1]Sheet1!$I$9:$I$2584,"N/A",0)</f>
        <v>61.02</v>
      </c>
      <c r="M1199">
        <f>_xlfn.XLOOKUP($A1199,[1]Sheet1!$K$9:$K$2584,[1]Sheet1!$L$9:$L$2584,"N/A",0)</f>
        <v>144.89</v>
      </c>
      <c r="N1199">
        <f>_xlfn.XLOOKUP($A1199,[1]Sheet1!$N$9:$N$2584,[1]Sheet1!$O$9:$O$2584,"N/A",0)</f>
        <v>108.35</v>
      </c>
      <c r="O1199">
        <v>109.83</v>
      </c>
      <c r="P1199">
        <v>156.21</v>
      </c>
      <c r="Q1199">
        <v>61.02</v>
      </c>
      <c r="R1199">
        <v>108.35</v>
      </c>
      <c r="S1199">
        <v>144.89</v>
      </c>
    </row>
    <row r="1200" spans="1:19">
      <c r="A1200" s="1">
        <v>44106</v>
      </c>
      <c r="B1200" t="s">
        <v>549</v>
      </c>
      <c r="C1200" t="s">
        <v>569</v>
      </c>
      <c r="D1200">
        <v>32.075</v>
      </c>
      <c r="E1200">
        <v>33.175</v>
      </c>
      <c r="F1200">
        <v>0.0342946219797348</v>
      </c>
      <c r="G1200">
        <f ca="1" t="shared" si="54"/>
        <v>0.54215520768922</v>
      </c>
      <c r="H1200" t="str">
        <f ca="1" t="shared" si="55"/>
        <v>Risk-Off</v>
      </c>
      <c r="I1200">
        <f ca="1" t="shared" si="56"/>
        <v>1</v>
      </c>
      <c r="J1200">
        <f>_xlfn.XLOOKUP($A1200,[1]Sheet1!$B$9:$B$2584,[1]Sheet1!$C$9:$C$2584,"N/A",0)</f>
        <v>109.41</v>
      </c>
      <c r="K1200">
        <f>_xlfn.XLOOKUP($A1200,[1]Sheet1!$E$9:$E$2584,[1]Sheet1!$F$9:$F$2584,"N/A",0)</f>
        <v>154.95</v>
      </c>
      <c r="L1200">
        <f>_xlfn.XLOOKUP($A1200,[1]Sheet1!$H$9:$H$2584,[1]Sheet1!$I$9:$I$2584,"N/A",0)</f>
        <v>61.5</v>
      </c>
      <c r="M1200">
        <f>_xlfn.XLOOKUP($A1200,[1]Sheet1!$K$9:$K$2584,[1]Sheet1!$L$9:$L$2584,"N/A",0)</f>
        <v>144.27</v>
      </c>
      <c r="N1200">
        <f>_xlfn.XLOOKUP($A1200,[1]Sheet1!$N$9:$N$2584,[1]Sheet1!$O$9:$O$2584,"N/A",0)</f>
        <v>107.53</v>
      </c>
      <c r="O1200">
        <v>109.41</v>
      </c>
      <c r="P1200">
        <v>154.95</v>
      </c>
      <c r="Q1200">
        <v>61.5</v>
      </c>
      <c r="R1200">
        <v>107.53</v>
      </c>
      <c r="S1200">
        <v>144.27</v>
      </c>
    </row>
    <row r="1201" spans="1:19">
      <c r="A1201" s="1">
        <v>44109</v>
      </c>
      <c r="B1201" t="s">
        <v>549</v>
      </c>
      <c r="C1201" t="s">
        <v>569</v>
      </c>
      <c r="D1201">
        <v>30.825</v>
      </c>
      <c r="E1201">
        <v>32.225</v>
      </c>
      <c r="F1201">
        <v>0.0454176804541768</v>
      </c>
      <c r="G1201">
        <f ca="1" t="shared" si="54"/>
        <v>0.676366209453232</v>
      </c>
      <c r="H1201" t="str">
        <f ca="1" t="shared" si="55"/>
        <v>Risk-On</v>
      </c>
      <c r="I1201">
        <f ca="1" t="shared" si="56"/>
        <v>1</v>
      </c>
      <c r="J1201">
        <f>_xlfn.XLOOKUP($A1201,[1]Sheet1!$B$9:$B$2584,[1]Sheet1!$C$9:$C$2584,"N/A",0)</f>
        <v>109.09</v>
      </c>
      <c r="K1201">
        <f>_xlfn.XLOOKUP($A1201,[1]Sheet1!$E$9:$E$2584,[1]Sheet1!$F$9:$F$2584,"N/A",0)</f>
        <v>155.87</v>
      </c>
      <c r="L1201">
        <f>_xlfn.XLOOKUP($A1201,[1]Sheet1!$H$9:$H$2584,[1]Sheet1!$I$9:$I$2584,"N/A",0)</f>
        <v>62.09</v>
      </c>
      <c r="M1201">
        <f>_xlfn.XLOOKUP($A1201,[1]Sheet1!$K$9:$K$2584,[1]Sheet1!$L$9:$L$2584,"N/A",0)</f>
        <v>144.81</v>
      </c>
      <c r="N1201">
        <f>_xlfn.XLOOKUP($A1201,[1]Sheet1!$N$9:$N$2584,[1]Sheet1!$O$9:$O$2584,"N/A",0)</f>
        <v>106.88</v>
      </c>
      <c r="O1201">
        <v>109.09</v>
      </c>
      <c r="P1201">
        <v>155.87</v>
      </c>
      <c r="Q1201">
        <v>62.09</v>
      </c>
      <c r="R1201">
        <v>106.88</v>
      </c>
      <c r="S1201">
        <v>144.81</v>
      </c>
    </row>
    <row r="1202" spans="1:19">
      <c r="A1202" s="1">
        <v>44110</v>
      </c>
      <c r="B1202" t="s">
        <v>549</v>
      </c>
      <c r="C1202" t="s">
        <v>569</v>
      </c>
      <c r="D1202">
        <v>31.225</v>
      </c>
      <c r="E1202">
        <v>32.225</v>
      </c>
      <c r="F1202" s="2" t="s">
        <v>571</v>
      </c>
      <c r="G1202">
        <f ca="1" t="shared" si="54"/>
        <v>0.513460988161055</v>
      </c>
      <c r="H1202" t="str">
        <f ca="1" t="shared" si="55"/>
        <v>Risk-Off</v>
      </c>
      <c r="I1202">
        <f ca="1" t="shared" si="56"/>
        <v>1</v>
      </c>
      <c r="J1202">
        <f>_xlfn.XLOOKUP($A1202,[1]Sheet1!$B$9:$B$2584,[1]Sheet1!$C$9:$C$2584,"N/A",0)</f>
        <v>108.67</v>
      </c>
      <c r="K1202">
        <f>_xlfn.XLOOKUP($A1202,[1]Sheet1!$E$9:$E$2584,[1]Sheet1!$F$9:$F$2584,"N/A",0)</f>
        <v>154.87</v>
      </c>
      <c r="L1202">
        <f>_xlfn.XLOOKUP($A1202,[1]Sheet1!$H$9:$H$2584,[1]Sheet1!$I$9:$I$2584,"N/A",0)</f>
        <v>62.22</v>
      </c>
      <c r="M1202">
        <f>_xlfn.XLOOKUP($A1202,[1]Sheet1!$K$9:$K$2584,[1]Sheet1!$L$9:$L$2584,"N/A",0)</f>
        <v>144.58</v>
      </c>
      <c r="N1202">
        <f>_xlfn.XLOOKUP($A1202,[1]Sheet1!$N$9:$N$2584,[1]Sheet1!$O$9:$O$2584,"N/A",0)</f>
        <v>105.72</v>
      </c>
      <c r="O1202">
        <v>108.67</v>
      </c>
      <c r="P1202">
        <v>154.87</v>
      </c>
      <c r="Q1202">
        <v>62.22</v>
      </c>
      <c r="R1202">
        <v>105.72</v>
      </c>
      <c r="S1202">
        <v>144.58</v>
      </c>
    </row>
    <row r="1203" spans="1:19">
      <c r="A1203" s="1">
        <v>44111</v>
      </c>
      <c r="B1203" t="s">
        <v>549</v>
      </c>
      <c r="C1203" t="s">
        <v>569</v>
      </c>
      <c r="D1203">
        <v>30.025</v>
      </c>
      <c r="E1203">
        <v>31.725</v>
      </c>
      <c r="F1203">
        <v>0.0566194837635304</v>
      </c>
      <c r="G1203">
        <f ca="1" t="shared" si="54"/>
        <v>0.81951490622245</v>
      </c>
      <c r="H1203" t="str">
        <f ca="1" t="shared" si="55"/>
        <v>Risk-On</v>
      </c>
      <c r="I1203">
        <f ca="1" t="shared" si="56"/>
        <v>1</v>
      </c>
      <c r="J1203">
        <f>_xlfn.XLOOKUP($A1203,[1]Sheet1!$B$9:$B$2584,[1]Sheet1!$C$9:$C$2584,"N/A",0)</f>
        <v>109.06</v>
      </c>
      <c r="K1203">
        <f>_xlfn.XLOOKUP($A1203,[1]Sheet1!$E$9:$E$2584,[1]Sheet1!$F$9:$F$2584,"N/A",0)</f>
        <v>154.81</v>
      </c>
      <c r="L1203">
        <f>_xlfn.XLOOKUP($A1203,[1]Sheet1!$H$9:$H$2584,[1]Sheet1!$I$9:$I$2584,"N/A",0)</f>
        <v>62.48</v>
      </c>
      <c r="M1203">
        <f>_xlfn.XLOOKUP($A1203,[1]Sheet1!$K$9:$K$2584,[1]Sheet1!$L$9:$L$2584,"N/A",0)</f>
        <v>145.18</v>
      </c>
      <c r="N1203">
        <f>_xlfn.XLOOKUP($A1203,[1]Sheet1!$N$9:$N$2584,[1]Sheet1!$O$9:$O$2584,"N/A",0)</f>
        <v>105.87</v>
      </c>
      <c r="O1203">
        <v>109.06</v>
      </c>
      <c r="P1203">
        <v>154.81</v>
      </c>
      <c r="Q1203">
        <v>62.48</v>
      </c>
      <c r="R1203">
        <v>105.87</v>
      </c>
      <c r="S1203">
        <v>145.18</v>
      </c>
    </row>
    <row r="1204" spans="1:19">
      <c r="A1204" s="1">
        <v>44112</v>
      </c>
      <c r="B1204" t="s">
        <v>549</v>
      </c>
      <c r="C1204" t="s">
        <v>569</v>
      </c>
      <c r="D1204">
        <v>28.125</v>
      </c>
      <c r="E1204">
        <v>30.425</v>
      </c>
      <c r="F1204">
        <v>0.0817777777777778</v>
      </c>
      <c r="G1204">
        <f ca="1" t="shared" si="54"/>
        <v>1.12015863470223</v>
      </c>
      <c r="H1204" t="str">
        <f ca="1" t="shared" si="55"/>
        <v>Risk-On</v>
      </c>
      <c r="I1204">
        <f ca="1" t="shared" si="56"/>
        <v>1</v>
      </c>
      <c r="J1204">
        <f>_xlfn.XLOOKUP($A1204,[1]Sheet1!$B$9:$B$2584,[1]Sheet1!$C$9:$C$2584,"N/A",0)</f>
        <v>109.31</v>
      </c>
      <c r="K1204">
        <f>_xlfn.XLOOKUP($A1204,[1]Sheet1!$E$9:$E$2584,[1]Sheet1!$F$9:$F$2584,"N/A",0)</f>
        <v>153.31</v>
      </c>
      <c r="L1204">
        <f>_xlfn.XLOOKUP($A1204,[1]Sheet1!$H$9:$H$2584,[1]Sheet1!$I$9:$I$2584,"N/A",0)</f>
        <v>62.46</v>
      </c>
      <c r="M1204">
        <f>_xlfn.XLOOKUP($A1204,[1]Sheet1!$K$9:$K$2584,[1]Sheet1!$L$9:$L$2584,"N/A",0)</f>
        <v>144.64</v>
      </c>
      <c r="N1204">
        <f>_xlfn.XLOOKUP($A1204,[1]Sheet1!$N$9:$N$2584,[1]Sheet1!$O$9:$O$2584,"N/A",0)</f>
        <v>105.86</v>
      </c>
      <c r="O1204">
        <v>109.31</v>
      </c>
      <c r="P1204">
        <v>153.31</v>
      </c>
      <c r="Q1204">
        <v>62.46</v>
      </c>
      <c r="R1204">
        <v>105.86</v>
      </c>
      <c r="S1204">
        <v>144.64</v>
      </c>
    </row>
    <row r="1205" spans="1:19">
      <c r="A1205" s="1">
        <v>44113</v>
      </c>
      <c r="B1205" t="s">
        <v>549</v>
      </c>
      <c r="C1205" t="s">
        <v>569</v>
      </c>
      <c r="D1205">
        <v>26.875</v>
      </c>
      <c r="E1205">
        <v>29.025</v>
      </c>
      <c r="F1205">
        <v>0.0799999999999999</v>
      </c>
      <c r="G1205">
        <f ca="1" t="shared" si="54"/>
        <v>1.0890775557173</v>
      </c>
      <c r="H1205" t="str">
        <f ca="1" t="shared" si="55"/>
        <v>Risk-On</v>
      </c>
      <c r="I1205">
        <f ca="1" t="shared" si="56"/>
        <v>1</v>
      </c>
      <c r="J1205">
        <f>_xlfn.XLOOKUP($A1205,[1]Sheet1!$B$9:$B$2584,[1]Sheet1!$C$9:$C$2584,"N/A",0)</f>
        <v>108.93</v>
      </c>
      <c r="K1205">
        <f>_xlfn.XLOOKUP($A1205,[1]Sheet1!$E$9:$E$2584,[1]Sheet1!$F$9:$F$2584,"N/A",0)</f>
        <v>154.85</v>
      </c>
      <c r="L1205">
        <f>_xlfn.XLOOKUP($A1205,[1]Sheet1!$H$9:$H$2584,[1]Sheet1!$I$9:$I$2584,"N/A",0)</f>
        <v>62.41</v>
      </c>
      <c r="M1205">
        <f>_xlfn.XLOOKUP($A1205,[1]Sheet1!$K$9:$K$2584,[1]Sheet1!$L$9:$L$2584,"N/A",0)</f>
        <v>144.79</v>
      </c>
      <c r="N1205">
        <f>_xlfn.XLOOKUP($A1205,[1]Sheet1!$N$9:$N$2584,[1]Sheet1!$O$9:$O$2584,"N/A",0)</f>
        <v>105.73</v>
      </c>
      <c r="O1205">
        <v>108.93</v>
      </c>
      <c r="P1205">
        <v>154.85</v>
      </c>
      <c r="Q1205">
        <v>62.41</v>
      </c>
      <c r="R1205">
        <v>105.73</v>
      </c>
      <c r="S1205">
        <v>144.79</v>
      </c>
    </row>
    <row r="1206" spans="1:19">
      <c r="A1206" s="1">
        <v>44116</v>
      </c>
      <c r="B1206" t="s">
        <v>549</v>
      </c>
      <c r="C1206" t="s">
        <v>569</v>
      </c>
      <c r="D1206">
        <v>26.325</v>
      </c>
      <c r="E1206">
        <v>28.575</v>
      </c>
      <c r="F1206">
        <v>0.0854700854700854</v>
      </c>
      <c r="G1206">
        <f ca="1" t="shared" si="54"/>
        <v>1.15369636820356</v>
      </c>
      <c r="H1206" t="str">
        <f ca="1" t="shared" si="55"/>
        <v>Risk-On</v>
      </c>
      <c r="I1206">
        <f ca="1" t="shared" si="56"/>
        <v>1</v>
      </c>
      <c r="J1206">
        <f>_xlfn.XLOOKUP($A1206,[1]Sheet1!$B$9:$B$2584,[1]Sheet1!$C$9:$C$2584,"N/A",0)</f>
        <v>108.98</v>
      </c>
      <c r="K1206">
        <f>_xlfn.XLOOKUP($A1206,[1]Sheet1!$E$9:$E$2584,[1]Sheet1!$F$9:$F$2584,"N/A",0)</f>
        <v>155.81</v>
      </c>
      <c r="L1206">
        <f>_xlfn.XLOOKUP($A1206,[1]Sheet1!$H$9:$H$2584,[1]Sheet1!$I$9:$I$2584,"N/A",0)</f>
        <v>62.49</v>
      </c>
      <c r="M1206">
        <f>_xlfn.XLOOKUP($A1206,[1]Sheet1!$K$9:$K$2584,[1]Sheet1!$L$9:$L$2584,"N/A",0)</f>
        <v>145.11</v>
      </c>
      <c r="N1206">
        <f>_xlfn.XLOOKUP($A1206,[1]Sheet1!$N$9:$N$2584,[1]Sheet1!$O$9:$O$2584,"N/A",0)</f>
        <v>105.85</v>
      </c>
      <c r="O1206">
        <v>108.98</v>
      </c>
      <c r="P1206">
        <v>155.81</v>
      </c>
      <c r="Q1206">
        <v>62.49</v>
      </c>
      <c r="R1206">
        <v>105.85</v>
      </c>
      <c r="S1206">
        <v>145.11</v>
      </c>
    </row>
    <row r="1207" spans="1:19">
      <c r="A1207" s="1">
        <v>44117</v>
      </c>
      <c r="B1207" t="s">
        <v>549</v>
      </c>
      <c r="C1207" t="s">
        <v>569</v>
      </c>
      <c r="D1207">
        <v>26.775</v>
      </c>
      <c r="E1207">
        <v>28.575</v>
      </c>
      <c r="F1207">
        <v>0.0672268907563025</v>
      </c>
      <c r="G1207">
        <f ca="1" t="shared" si="54"/>
        <v>0.920999801237297</v>
      </c>
      <c r="H1207" t="str">
        <f ca="1" t="shared" si="55"/>
        <v>Risk-On</v>
      </c>
      <c r="I1207">
        <f ca="1" t="shared" si="56"/>
        <v>1</v>
      </c>
      <c r="J1207">
        <f>_xlfn.XLOOKUP($A1207,[1]Sheet1!$B$9:$B$2584,[1]Sheet1!$C$9:$C$2584,"N/A",0)</f>
        <v>108.97</v>
      </c>
      <c r="K1207">
        <f>_xlfn.XLOOKUP($A1207,[1]Sheet1!$E$9:$E$2584,[1]Sheet1!$F$9:$F$2584,"N/A",0)</f>
        <v>158.01</v>
      </c>
      <c r="L1207">
        <f>_xlfn.XLOOKUP($A1207,[1]Sheet1!$H$9:$H$2584,[1]Sheet1!$I$9:$I$2584,"N/A",0)</f>
        <v>62.3</v>
      </c>
      <c r="M1207">
        <f>_xlfn.XLOOKUP($A1207,[1]Sheet1!$K$9:$K$2584,[1]Sheet1!$L$9:$L$2584,"N/A",0)</f>
        <v>145.57</v>
      </c>
      <c r="N1207">
        <f>_xlfn.XLOOKUP($A1207,[1]Sheet1!$N$9:$N$2584,[1]Sheet1!$O$9:$O$2584,"N/A",0)</f>
        <v>105.98</v>
      </c>
      <c r="O1207">
        <v>108.97</v>
      </c>
      <c r="P1207">
        <v>158.01</v>
      </c>
      <c r="Q1207">
        <v>62.3</v>
      </c>
      <c r="R1207">
        <v>105.98</v>
      </c>
      <c r="S1207">
        <v>145.57</v>
      </c>
    </row>
    <row r="1208" spans="1:19">
      <c r="A1208" s="1">
        <v>44118</v>
      </c>
      <c r="B1208" t="s">
        <v>549</v>
      </c>
      <c r="C1208" t="s">
        <v>569</v>
      </c>
      <c r="D1208">
        <v>27.075</v>
      </c>
      <c r="E1208">
        <v>28.2</v>
      </c>
      <c r="F1208">
        <v>0.0415512465373961</v>
      </c>
      <c r="G1208">
        <f ca="1" t="shared" si="54"/>
        <v>0.600980245833096</v>
      </c>
      <c r="H1208" t="str">
        <f ca="1" t="shared" si="55"/>
        <v>Risk-On</v>
      </c>
      <c r="I1208">
        <f ca="1" t="shared" si="56"/>
        <v>1</v>
      </c>
      <c r="J1208">
        <f>_xlfn.XLOOKUP($A1208,[1]Sheet1!$B$9:$B$2584,[1]Sheet1!$C$9:$C$2584,"N/A",0)</f>
        <v>108.76</v>
      </c>
      <c r="K1208">
        <f>_xlfn.XLOOKUP($A1208,[1]Sheet1!$E$9:$E$2584,[1]Sheet1!$F$9:$F$2584,"N/A",0)</f>
        <v>157.45</v>
      </c>
      <c r="L1208">
        <f>_xlfn.XLOOKUP($A1208,[1]Sheet1!$H$9:$H$2584,[1]Sheet1!$I$9:$I$2584,"N/A",0)</f>
        <v>62.38</v>
      </c>
      <c r="M1208">
        <f>_xlfn.XLOOKUP($A1208,[1]Sheet1!$K$9:$K$2584,[1]Sheet1!$L$9:$L$2584,"N/A",0)</f>
        <v>145.33</v>
      </c>
      <c r="N1208">
        <f>_xlfn.XLOOKUP($A1208,[1]Sheet1!$N$9:$N$2584,[1]Sheet1!$O$9:$O$2584,"N/A",0)</f>
        <v>106.16</v>
      </c>
      <c r="O1208">
        <v>108.76</v>
      </c>
      <c r="P1208">
        <v>157.45</v>
      </c>
      <c r="Q1208">
        <v>62.38</v>
      </c>
      <c r="R1208">
        <v>106.16</v>
      </c>
      <c r="S1208">
        <v>145.33</v>
      </c>
    </row>
    <row r="1209" spans="1:19">
      <c r="A1209" s="1">
        <v>44119</v>
      </c>
      <c r="B1209" t="s">
        <v>549</v>
      </c>
      <c r="C1209" t="s">
        <v>569</v>
      </c>
      <c r="D1209">
        <v>27.575</v>
      </c>
      <c r="E1209">
        <v>28.875</v>
      </c>
      <c r="F1209">
        <v>0.0471441523118767</v>
      </c>
      <c r="G1209">
        <f ca="1" t="shared" si="54"/>
        <v>0.666548531572092</v>
      </c>
      <c r="H1209" t="str">
        <f ca="1" t="shared" si="55"/>
        <v>Risk-On</v>
      </c>
      <c r="I1209">
        <f ca="1" t="shared" si="56"/>
        <v>1</v>
      </c>
      <c r="J1209">
        <f>_xlfn.XLOOKUP($A1209,[1]Sheet1!$B$9:$B$2584,[1]Sheet1!$C$9:$C$2584,"N/A",0)</f>
        <v>108.86</v>
      </c>
      <c r="K1209">
        <f>_xlfn.XLOOKUP($A1209,[1]Sheet1!$E$9:$E$2584,[1]Sheet1!$F$9:$F$2584,"N/A",0)</f>
        <v>157.68</v>
      </c>
      <c r="L1209">
        <f>_xlfn.XLOOKUP($A1209,[1]Sheet1!$H$9:$H$2584,[1]Sheet1!$I$9:$I$2584,"N/A",0)</f>
        <v>62.39</v>
      </c>
      <c r="M1209">
        <f>_xlfn.XLOOKUP($A1209,[1]Sheet1!$K$9:$K$2584,[1]Sheet1!$L$9:$L$2584,"N/A",0)</f>
        <v>145.2</v>
      </c>
      <c r="N1209">
        <f>_xlfn.XLOOKUP($A1209,[1]Sheet1!$N$9:$N$2584,[1]Sheet1!$O$9:$O$2584,"N/A",0)</f>
        <v>105.34</v>
      </c>
      <c r="O1209">
        <v>108.86</v>
      </c>
      <c r="P1209">
        <v>157.68</v>
      </c>
      <c r="Q1209">
        <v>62.39</v>
      </c>
      <c r="R1209">
        <v>105.34</v>
      </c>
      <c r="S1209">
        <v>145.2</v>
      </c>
    </row>
    <row r="1210" spans="1:19">
      <c r="A1210" s="1">
        <v>44120</v>
      </c>
      <c r="B1210" t="s">
        <v>549</v>
      </c>
      <c r="C1210" t="s">
        <v>569</v>
      </c>
      <c r="D1210">
        <v>27.875</v>
      </c>
      <c r="E1210">
        <v>29.025</v>
      </c>
      <c r="F1210">
        <v>0.0412556053811658</v>
      </c>
      <c r="G1210">
        <f ca="1" t="shared" si="54"/>
        <v>0.590807205943242</v>
      </c>
      <c r="H1210" t="str">
        <f ca="1" t="shared" si="55"/>
        <v>Risk-On</v>
      </c>
      <c r="I1210">
        <f ca="1" t="shared" si="56"/>
        <v>1</v>
      </c>
      <c r="J1210">
        <f>_xlfn.XLOOKUP($A1210,[1]Sheet1!$B$9:$B$2584,[1]Sheet1!$C$9:$C$2584,"N/A",0)</f>
        <v>108.95</v>
      </c>
      <c r="K1210">
        <f>_xlfn.XLOOKUP($A1210,[1]Sheet1!$E$9:$E$2584,[1]Sheet1!$F$9:$F$2584,"N/A",0)</f>
        <v>156.91</v>
      </c>
      <c r="L1210">
        <f>_xlfn.XLOOKUP($A1210,[1]Sheet1!$H$9:$H$2584,[1]Sheet1!$I$9:$I$2584,"N/A",0)</f>
        <v>62.78</v>
      </c>
      <c r="M1210">
        <f>_xlfn.XLOOKUP($A1210,[1]Sheet1!$K$9:$K$2584,[1]Sheet1!$L$9:$L$2584,"N/A",0)</f>
        <v>146.11</v>
      </c>
      <c r="N1210">
        <f>_xlfn.XLOOKUP($A1210,[1]Sheet1!$N$9:$N$2584,[1]Sheet1!$O$9:$O$2584,"N/A",0)</f>
        <v>105.94</v>
      </c>
      <c r="O1210">
        <v>108.95</v>
      </c>
      <c r="P1210">
        <v>156.91</v>
      </c>
      <c r="Q1210">
        <v>62.78</v>
      </c>
      <c r="R1210">
        <v>105.94</v>
      </c>
      <c r="S1210">
        <v>146.11</v>
      </c>
    </row>
    <row r="1211" spans="1:19">
      <c r="A1211" s="1">
        <v>44123</v>
      </c>
      <c r="B1211" t="s">
        <v>549</v>
      </c>
      <c r="C1211" t="s">
        <v>569</v>
      </c>
      <c r="D1211">
        <v>29.175</v>
      </c>
      <c r="E1211">
        <v>30.225</v>
      </c>
      <c r="F1211">
        <v>0.0359897172236504</v>
      </c>
      <c r="G1211">
        <f ca="1" t="shared" si="54"/>
        <v>0.52735372126831</v>
      </c>
      <c r="H1211" t="str">
        <f ca="1" t="shared" si="55"/>
        <v>Risk-On</v>
      </c>
      <c r="I1211">
        <f ca="1" t="shared" si="56"/>
        <v>1</v>
      </c>
      <c r="J1211">
        <f>_xlfn.XLOOKUP($A1211,[1]Sheet1!$B$9:$B$2584,[1]Sheet1!$C$9:$C$2584,"N/A",0)</f>
        <v>108.95</v>
      </c>
      <c r="K1211">
        <f>_xlfn.XLOOKUP($A1211,[1]Sheet1!$E$9:$E$2584,[1]Sheet1!$F$9:$F$2584,"N/A",0)</f>
        <v>155.81</v>
      </c>
      <c r="L1211">
        <f>_xlfn.XLOOKUP($A1211,[1]Sheet1!$H$9:$H$2584,[1]Sheet1!$I$9:$I$2584,"N/A",0)</f>
        <v>62.67</v>
      </c>
      <c r="M1211">
        <f>_xlfn.XLOOKUP($A1211,[1]Sheet1!$K$9:$K$2584,[1]Sheet1!$L$9:$L$2584,"N/A",0)</f>
        <v>145.74</v>
      </c>
      <c r="N1211">
        <f>_xlfn.XLOOKUP($A1211,[1]Sheet1!$N$9:$N$2584,[1]Sheet1!$O$9:$O$2584,"N/A",0)</f>
        <v>105.75</v>
      </c>
      <c r="O1211">
        <v>108.95</v>
      </c>
      <c r="P1211">
        <v>155.81</v>
      </c>
      <c r="Q1211">
        <v>62.67</v>
      </c>
      <c r="R1211">
        <v>105.75</v>
      </c>
      <c r="S1211">
        <v>145.74</v>
      </c>
    </row>
    <row r="1212" spans="1:19">
      <c r="A1212" s="1">
        <v>44124</v>
      </c>
      <c r="B1212" t="s">
        <v>549</v>
      </c>
      <c r="C1212" t="s">
        <v>569</v>
      </c>
      <c r="D1212">
        <v>29.275</v>
      </c>
      <c r="E1212">
        <v>29.975</v>
      </c>
      <c r="F1212">
        <v>0.0239111870196414</v>
      </c>
      <c r="G1212">
        <f ca="1" t="shared" si="54"/>
        <v>0.3762004705623</v>
      </c>
      <c r="H1212" t="str">
        <f ca="1" t="shared" si="55"/>
        <v>Risk-On</v>
      </c>
      <c r="I1212">
        <f ca="1" t="shared" si="56"/>
        <v>1</v>
      </c>
      <c r="J1212">
        <f>_xlfn.XLOOKUP($A1212,[1]Sheet1!$B$9:$B$2584,[1]Sheet1!$C$9:$C$2584,"N/A",0)</f>
        <v>108.71</v>
      </c>
      <c r="K1212">
        <f>_xlfn.XLOOKUP($A1212,[1]Sheet1!$E$9:$E$2584,[1]Sheet1!$F$9:$F$2584,"N/A",0)</f>
        <v>156.11</v>
      </c>
      <c r="L1212">
        <f>_xlfn.XLOOKUP($A1212,[1]Sheet1!$H$9:$H$2584,[1]Sheet1!$I$9:$I$2584,"N/A",0)</f>
        <v>62.42</v>
      </c>
      <c r="M1212">
        <f>_xlfn.XLOOKUP($A1212,[1]Sheet1!$K$9:$K$2584,[1]Sheet1!$L$9:$L$2584,"N/A",0)</f>
        <v>144.96</v>
      </c>
      <c r="N1212">
        <f>_xlfn.XLOOKUP($A1212,[1]Sheet1!$N$9:$N$2584,[1]Sheet1!$O$9:$O$2584,"N/A",0)</f>
        <v>105.96</v>
      </c>
      <c r="O1212">
        <v>108.71</v>
      </c>
      <c r="P1212">
        <v>156.11</v>
      </c>
      <c r="Q1212">
        <v>62.42</v>
      </c>
      <c r="R1212">
        <v>105.96</v>
      </c>
      <c r="S1212">
        <v>144.96</v>
      </c>
    </row>
    <row r="1213" spans="1:19">
      <c r="A1213" s="1">
        <v>44125</v>
      </c>
      <c r="B1213" t="s">
        <v>549</v>
      </c>
      <c r="C1213" t="s">
        <v>569</v>
      </c>
      <c r="D1213">
        <v>29.07</v>
      </c>
      <c r="E1213">
        <v>29.225</v>
      </c>
      <c r="F1213">
        <v>0.00533195734434128</v>
      </c>
      <c r="G1213">
        <f ca="1" t="shared" si="54"/>
        <v>0.152006104392785</v>
      </c>
      <c r="H1213" t="str">
        <f ca="1" t="shared" si="55"/>
        <v>Risk-On</v>
      </c>
      <c r="I1213">
        <f ca="1" t="shared" si="56"/>
        <v>1</v>
      </c>
      <c r="J1213">
        <f>_xlfn.XLOOKUP($A1213,[1]Sheet1!$B$9:$B$2584,[1]Sheet1!$C$9:$C$2584,"N/A",0)</f>
        <v>108.56</v>
      </c>
      <c r="K1213">
        <f>_xlfn.XLOOKUP($A1213,[1]Sheet1!$E$9:$E$2584,[1]Sheet1!$F$9:$F$2584,"N/A",0)</f>
        <v>154.53</v>
      </c>
      <c r="L1213">
        <f>_xlfn.XLOOKUP($A1213,[1]Sheet1!$H$9:$H$2584,[1]Sheet1!$I$9:$I$2584,"N/A",0)</f>
        <v>61.93</v>
      </c>
      <c r="M1213">
        <f>_xlfn.XLOOKUP($A1213,[1]Sheet1!$K$9:$K$2584,[1]Sheet1!$L$9:$L$2584,"N/A",0)</f>
        <v>143.99</v>
      </c>
      <c r="N1213">
        <f>_xlfn.XLOOKUP($A1213,[1]Sheet1!$N$9:$N$2584,[1]Sheet1!$O$9:$O$2584,"N/A",0)</f>
        <v>105.99</v>
      </c>
      <c r="O1213">
        <v>108.56</v>
      </c>
      <c r="P1213">
        <v>154.53</v>
      </c>
      <c r="Q1213">
        <v>61.93</v>
      </c>
      <c r="R1213">
        <v>105.99</v>
      </c>
      <c r="S1213">
        <v>143.99</v>
      </c>
    </row>
    <row r="1214" spans="1:19">
      <c r="A1214" s="1">
        <v>44126</v>
      </c>
      <c r="B1214" t="s">
        <v>569</v>
      </c>
      <c r="C1214" t="s">
        <v>572</v>
      </c>
      <c r="D1214">
        <v>28.825</v>
      </c>
      <c r="E1214">
        <v>28.525</v>
      </c>
      <c r="F1214">
        <v>-0.01040763226366</v>
      </c>
      <c r="G1214">
        <f ca="1" t="shared" si="54"/>
        <v>-0.0370775744720324</v>
      </c>
      <c r="H1214" t="str">
        <f ca="1" t="shared" si="55"/>
        <v>Risk-On</v>
      </c>
      <c r="I1214">
        <f ca="1" t="shared" si="56"/>
        <v>1</v>
      </c>
      <c r="J1214">
        <f>_xlfn.XLOOKUP($A1214,[1]Sheet1!$B$9:$B$2584,[1]Sheet1!$C$9:$C$2584,"N/A",0)</f>
        <v>108.11</v>
      </c>
      <c r="K1214">
        <f>_xlfn.XLOOKUP($A1214,[1]Sheet1!$E$9:$E$2584,[1]Sheet1!$F$9:$F$2584,"N/A",0)</f>
        <v>152.17</v>
      </c>
      <c r="L1214">
        <f>_xlfn.XLOOKUP($A1214,[1]Sheet1!$H$9:$H$2584,[1]Sheet1!$I$9:$I$2584,"N/A",0)</f>
        <v>62.14</v>
      </c>
      <c r="M1214">
        <f>_xlfn.XLOOKUP($A1214,[1]Sheet1!$K$9:$K$2584,[1]Sheet1!$L$9:$L$2584,"N/A",0)</f>
        <v>143.33</v>
      </c>
      <c r="N1214">
        <f>_xlfn.XLOOKUP($A1214,[1]Sheet1!$N$9:$N$2584,[1]Sheet1!$O$9:$O$2584,"N/A",0)</f>
        <v>105.64</v>
      </c>
      <c r="O1214">
        <v>108.11</v>
      </c>
      <c r="P1214">
        <v>152.17</v>
      </c>
      <c r="Q1214">
        <v>62.14</v>
      </c>
      <c r="R1214">
        <v>105.64</v>
      </c>
      <c r="S1214">
        <v>143.33</v>
      </c>
    </row>
    <row r="1215" spans="1:19">
      <c r="A1215" s="1">
        <v>44127</v>
      </c>
      <c r="B1215" t="s">
        <v>569</v>
      </c>
      <c r="C1215" t="s">
        <v>572</v>
      </c>
      <c r="D1215">
        <v>28.775</v>
      </c>
      <c r="E1215">
        <v>28.625</v>
      </c>
      <c r="F1215">
        <v>-0.00521285838401385</v>
      </c>
      <c r="G1215">
        <f ca="1" t="shared" si="54"/>
        <v>0.0345995346636701</v>
      </c>
      <c r="H1215" t="str">
        <f ca="1" t="shared" si="55"/>
        <v>Risk-On</v>
      </c>
      <c r="I1215">
        <f ca="1" t="shared" si="56"/>
        <v>1</v>
      </c>
      <c r="J1215">
        <f>_xlfn.XLOOKUP($A1215,[1]Sheet1!$B$9:$B$2584,[1]Sheet1!$C$9:$C$2584,"N/A",0)</f>
        <v>108.31</v>
      </c>
      <c r="K1215">
        <f>_xlfn.XLOOKUP($A1215,[1]Sheet1!$E$9:$E$2584,[1]Sheet1!$F$9:$F$2584,"N/A",0)</f>
        <v>153</v>
      </c>
      <c r="L1215">
        <f>_xlfn.XLOOKUP($A1215,[1]Sheet1!$H$9:$H$2584,[1]Sheet1!$I$9:$I$2584,"N/A",0)</f>
        <v>61.89</v>
      </c>
      <c r="M1215">
        <f>_xlfn.XLOOKUP($A1215,[1]Sheet1!$K$9:$K$2584,[1]Sheet1!$L$9:$L$2584,"N/A",0)</f>
        <v>143.65</v>
      </c>
      <c r="N1215">
        <f>_xlfn.XLOOKUP($A1215,[1]Sheet1!$N$9:$N$2584,[1]Sheet1!$O$9:$O$2584,"N/A",0)</f>
        <v>105.3</v>
      </c>
      <c r="O1215">
        <v>108.31</v>
      </c>
      <c r="P1215">
        <v>153</v>
      </c>
      <c r="Q1215">
        <v>61.89</v>
      </c>
      <c r="R1215">
        <v>105.3</v>
      </c>
      <c r="S1215">
        <v>143.65</v>
      </c>
    </row>
    <row r="1216" spans="1:19">
      <c r="A1216" s="1">
        <v>44130</v>
      </c>
      <c r="B1216" t="s">
        <v>569</v>
      </c>
      <c r="C1216" t="s">
        <v>572</v>
      </c>
      <c r="D1216">
        <v>31.325</v>
      </c>
      <c r="E1216">
        <v>30.375</v>
      </c>
      <c r="F1216">
        <v>-0.0303272146847565</v>
      </c>
      <c r="G1216">
        <f ca="1" t="shared" si="54"/>
        <v>-0.271295210782054</v>
      </c>
      <c r="H1216" t="str">
        <f ca="1" t="shared" si="55"/>
        <v>Risk-On</v>
      </c>
      <c r="I1216">
        <f ca="1" t="shared" si="56"/>
        <v>1</v>
      </c>
      <c r="J1216">
        <f>_xlfn.XLOOKUP($A1216,[1]Sheet1!$B$9:$B$2584,[1]Sheet1!$C$9:$C$2584,"N/A",0)</f>
        <v>108.5</v>
      </c>
      <c r="K1216">
        <f>_xlfn.XLOOKUP($A1216,[1]Sheet1!$E$9:$E$2584,[1]Sheet1!$F$9:$F$2584,"N/A",0)</f>
        <v>154.47</v>
      </c>
      <c r="L1216">
        <f>_xlfn.XLOOKUP($A1216,[1]Sheet1!$H$9:$H$2584,[1]Sheet1!$I$9:$I$2584,"N/A",0)</f>
        <v>61.95</v>
      </c>
      <c r="M1216">
        <f>_xlfn.XLOOKUP($A1216,[1]Sheet1!$K$9:$K$2584,[1]Sheet1!$L$9:$L$2584,"N/A",0)</f>
        <v>144.48</v>
      </c>
      <c r="N1216">
        <f>_xlfn.XLOOKUP($A1216,[1]Sheet1!$N$9:$N$2584,[1]Sheet1!$O$9:$O$2584,"N/A",0)</f>
        <v>105</v>
      </c>
      <c r="O1216">
        <v>108.5</v>
      </c>
      <c r="P1216">
        <v>154.47</v>
      </c>
      <c r="Q1216">
        <v>61.95</v>
      </c>
      <c r="R1216">
        <v>105</v>
      </c>
      <c r="S1216">
        <v>144.48</v>
      </c>
    </row>
    <row r="1217" spans="1:19">
      <c r="A1217" s="1">
        <v>44131</v>
      </c>
      <c r="B1217" t="s">
        <v>569</v>
      </c>
      <c r="C1217" t="s">
        <v>572</v>
      </c>
      <c r="D1217">
        <v>31.325</v>
      </c>
      <c r="E1217">
        <v>30.925</v>
      </c>
      <c r="F1217">
        <v>-0.0127693535514764</v>
      </c>
      <c r="G1217">
        <f ca="1" t="shared" si="54"/>
        <v>-0.0410287843215411</v>
      </c>
      <c r="H1217" t="str">
        <f ca="1" t="shared" si="55"/>
        <v>Risk-On</v>
      </c>
      <c r="I1217">
        <f ca="1" t="shared" si="56"/>
        <v>1</v>
      </c>
      <c r="J1217">
        <f>_xlfn.XLOOKUP($A1217,[1]Sheet1!$B$9:$B$2584,[1]Sheet1!$C$9:$C$2584,"N/A",0)</f>
        <v>108.99</v>
      </c>
      <c r="K1217">
        <f>_xlfn.XLOOKUP($A1217,[1]Sheet1!$E$9:$E$2584,[1]Sheet1!$F$9:$F$2584,"N/A",0)</f>
        <v>155.71</v>
      </c>
      <c r="L1217">
        <f>_xlfn.XLOOKUP($A1217,[1]Sheet1!$H$9:$H$2584,[1]Sheet1!$I$9:$I$2584,"N/A",0)</f>
        <v>61.27</v>
      </c>
      <c r="M1217">
        <f>_xlfn.XLOOKUP($A1217,[1]Sheet1!$K$9:$K$2584,[1]Sheet1!$L$9:$L$2584,"N/A",0)</f>
        <v>144.45</v>
      </c>
      <c r="N1217">
        <f>_xlfn.XLOOKUP($A1217,[1]Sheet1!$N$9:$N$2584,[1]Sheet1!$O$9:$O$2584,"N/A",0)</f>
        <v>104.22</v>
      </c>
      <c r="O1217">
        <v>108.99</v>
      </c>
      <c r="P1217">
        <v>155.71</v>
      </c>
      <c r="Q1217">
        <v>61.27</v>
      </c>
      <c r="R1217">
        <v>104.22</v>
      </c>
      <c r="S1217">
        <v>144.45</v>
      </c>
    </row>
    <row r="1218" spans="1:19">
      <c r="A1218" s="1">
        <v>44132</v>
      </c>
      <c r="B1218" t="s">
        <v>569</v>
      </c>
      <c r="C1218" t="s">
        <v>572</v>
      </c>
      <c r="D1218">
        <v>36</v>
      </c>
      <c r="E1218">
        <v>34.725</v>
      </c>
      <c r="F1218">
        <v>-0.0354166666666666</v>
      </c>
      <c r="G1218">
        <f ca="1" t="shared" si="54"/>
        <v>-0.31803426624668</v>
      </c>
      <c r="H1218" t="str">
        <f ca="1" t="shared" si="55"/>
        <v>Risk-On</v>
      </c>
      <c r="I1218">
        <f ca="1" t="shared" si="56"/>
        <v>1</v>
      </c>
      <c r="J1218">
        <f>_xlfn.XLOOKUP($A1218,[1]Sheet1!$B$9:$B$2584,[1]Sheet1!$C$9:$C$2584,"N/A",0)</f>
        <v>108.79</v>
      </c>
      <c r="K1218">
        <f>_xlfn.XLOOKUP($A1218,[1]Sheet1!$E$9:$E$2584,[1]Sheet1!$F$9:$F$2584,"N/A",0)</f>
        <v>155.84</v>
      </c>
      <c r="L1218">
        <f>_xlfn.XLOOKUP($A1218,[1]Sheet1!$H$9:$H$2584,[1]Sheet1!$I$9:$I$2584,"N/A",0)</f>
        <v>60.92</v>
      </c>
      <c r="M1218">
        <f>_xlfn.XLOOKUP($A1218,[1]Sheet1!$K$9:$K$2584,[1]Sheet1!$L$9:$L$2584,"N/A",0)</f>
        <v>144.6</v>
      </c>
      <c r="N1218">
        <f>_xlfn.XLOOKUP($A1218,[1]Sheet1!$N$9:$N$2584,[1]Sheet1!$O$9:$O$2584,"N/A",0)</f>
        <v>104.48</v>
      </c>
      <c r="O1218">
        <v>108.79</v>
      </c>
      <c r="P1218">
        <v>155.84</v>
      </c>
      <c r="Q1218">
        <v>60.92</v>
      </c>
      <c r="R1218">
        <v>104.48</v>
      </c>
      <c r="S1218">
        <v>144.6</v>
      </c>
    </row>
    <row r="1219" spans="1:19">
      <c r="A1219" s="1">
        <v>44133</v>
      </c>
      <c r="B1219" t="s">
        <v>569</v>
      </c>
      <c r="C1219" t="s">
        <v>572</v>
      </c>
      <c r="D1219">
        <v>33.125</v>
      </c>
      <c r="E1219">
        <v>32.575</v>
      </c>
      <c r="F1219">
        <v>-0.0166037735849055</v>
      </c>
      <c r="G1219">
        <f ca="1" t="shared" ref="G1219:G1282" si="57">IF(ROW()-ROW($A$3)+1&gt;252,(F1219-AVERAGE(OFFSET(F1219,-252,0,252,1)))/_xlfn.STDEV.S(OFFSET(F1219,-252,0,252,1)),"N/A")</f>
        <v>-0.078447419449987</v>
      </c>
      <c r="H1219" t="str">
        <f ca="1" t="shared" ref="H1219:H1282" si="58">IF(G1219&lt;&gt;"N/A",IF(G1469&gt;-0.5,"Risk-On","Risk-Off"),"N/A")</f>
        <v>Risk-On</v>
      </c>
      <c r="I1219">
        <f ca="1" t="shared" si="56"/>
        <v>1</v>
      </c>
      <c r="J1219">
        <f>_xlfn.XLOOKUP($A1219,[1]Sheet1!$B$9:$B$2584,[1]Sheet1!$C$9:$C$2584,"N/A",0)</f>
        <v>109.02</v>
      </c>
      <c r="K1219">
        <f>_xlfn.XLOOKUP($A1219,[1]Sheet1!$E$9:$E$2584,[1]Sheet1!$F$9:$F$2584,"N/A",0)</f>
        <v>155.58</v>
      </c>
      <c r="L1219">
        <f>_xlfn.XLOOKUP($A1219,[1]Sheet1!$H$9:$H$2584,[1]Sheet1!$I$9:$I$2584,"N/A",0)</f>
        <v>61</v>
      </c>
      <c r="M1219">
        <f>_xlfn.XLOOKUP($A1219,[1]Sheet1!$K$9:$K$2584,[1]Sheet1!$L$9:$L$2584,"N/A",0)</f>
        <v>144.6</v>
      </c>
      <c r="N1219">
        <f>_xlfn.XLOOKUP($A1219,[1]Sheet1!$N$9:$N$2584,[1]Sheet1!$O$9:$O$2584,"N/A",0)</f>
        <v>104.7</v>
      </c>
      <c r="O1219">
        <v>109.02</v>
      </c>
      <c r="P1219">
        <v>155.58</v>
      </c>
      <c r="Q1219">
        <v>61</v>
      </c>
      <c r="R1219">
        <v>104.7</v>
      </c>
      <c r="S1219">
        <v>144.6</v>
      </c>
    </row>
    <row r="1220" spans="1:19">
      <c r="A1220" s="1">
        <v>44134</v>
      </c>
      <c r="B1220" t="s">
        <v>569</v>
      </c>
      <c r="C1220" t="s">
        <v>572</v>
      </c>
      <c r="D1220">
        <v>34.1</v>
      </c>
      <c r="E1220">
        <v>34.075</v>
      </c>
      <c r="F1220">
        <v>-0.000733137829911981</v>
      </c>
      <c r="G1220">
        <f ca="1" t="shared" si="57"/>
        <v>0.123615140644659</v>
      </c>
      <c r="H1220" t="str">
        <f ca="1" t="shared" si="58"/>
        <v>Risk-On</v>
      </c>
      <c r="I1220">
        <f ca="1" t="shared" ref="I1220:I1283" si="59">IF(H1220&lt;&gt;"N/A",IF(H1470&gt;-0.5,1,0),0)</f>
        <v>1</v>
      </c>
      <c r="J1220">
        <f>_xlfn.XLOOKUP($A1220,[1]Sheet1!$B$9:$B$2584,[1]Sheet1!$C$9:$C$2584,"N/A",0)</f>
        <v>109.06</v>
      </c>
      <c r="K1220">
        <f>_xlfn.XLOOKUP($A1220,[1]Sheet1!$E$9:$E$2584,[1]Sheet1!$F$9:$F$2584,"N/A",0)</f>
        <v>152.56</v>
      </c>
      <c r="L1220">
        <f>_xlfn.XLOOKUP($A1220,[1]Sheet1!$H$9:$H$2584,[1]Sheet1!$I$9:$I$2584,"N/A",0)</f>
        <v>61.88</v>
      </c>
      <c r="M1220">
        <f>_xlfn.XLOOKUP($A1220,[1]Sheet1!$K$9:$K$2584,[1]Sheet1!$L$9:$L$2584,"N/A",0)</f>
        <v>143.89</v>
      </c>
      <c r="N1220">
        <f>_xlfn.XLOOKUP($A1220,[1]Sheet1!$N$9:$N$2584,[1]Sheet1!$O$9:$O$2584,"N/A",0)</f>
        <v>105.53</v>
      </c>
      <c r="O1220">
        <v>109.06</v>
      </c>
      <c r="P1220">
        <v>152.56</v>
      </c>
      <c r="Q1220">
        <v>61.88</v>
      </c>
      <c r="R1220">
        <v>105.53</v>
      </c>
      <c r="S1220">
        <v>143.89</v>
      </c>
    </row>
    <row r="1221" spans="1:19">
      <c r="A1221" s="1">
        <v>44137</v>
      </c>
      <c r="B1221" t="s">
        <v>569</v>
      </c>
      <c r="C1221" t="s">
        <v>572</v>
      </c>
      <c r="D1221">
        <v>33.375</v>
      </c>
      <c r="E1221">
        <v>33.175</v>
      </c>
      <c r="F1221">
        <v>-0.00599250936329596</v>
      </c>
      <c r="G1221">
        <f ca="1" t="shared" si="57"/>
        <v>0.0657290461014052</v>
      </c>
      <c r="H1221" t="str">
        <f ca="1" t="shared" si="58"/>
        <v>Risk-On</v>
      </c>
      <c r="I1221">
        <f ca="1" t="shared" si="59"/>
        <v>1</v>
      </c>
      <c r="J1221">
        <f>_xlfn.XLOOKUP($A1221,[1]Sheet1!$B$9:$B$2584,[1]Sheet1!$C$9:$C$2584,"N/A",0)</f>
        <v>109</v>
      </c>
      <c r="K1221">
        <f>_xlfn.XLOOKUP($A1221,[1]Sheet1!$E$9:$E$2584,[1]Sheet1!$F$9:$F$2584,"N/A",0)</f>
        <v>151.77</v>
      </c>
      <c r="L1221">
        <f>_xlfn.XLOOKUP($A1221,[1]Sheet1!$H$9:$H$2584,[1]Sheet1!$I$9:$I$2584,"N/A",0)</f>
        <v>61.98</v>
      </c>
      <c r="M1221">
        <f>_xlfn.XLOOKUP($A1221,[1]Sheet1!$K$9:$K$2584,[1]Sheet1!$L$9:$L$2584,"N/A",0)</f>
        <v>143.76</v>
      </c>
      <c r="N1221">
        <f>_xlfn.XLOOKUP($A1221,[1]Sheet1!$N$9:$N$2584,[1]Sheet1!$O$9:$O$2584,"N/A",0)</f>
        <v>105.21</v>
      </c>
      <c r="O1221">
        <v>109</v>
      </c>
      <c r="P1221">
        <v>151.77</v>
      </c>
      <c r="Q1221">
        <v>61.98</v>
      </c>
      <c r="R1221">
        <v>105.21</v>
      </c>
      <c r="S1221">
        <v>143.76</v>
      </c>
    </row>
    <row r="1222" spans="1:19">
      <c r="A1222" s="1">
        <v>44138</v>
      </c>
      <c r="B1222" t="s">
        <v>569</v>
      </c>
      <c r="C1222" t="s">
        <v>572</v>
      </c>
      <c r="D1222">
        <v>31.425</v>
      </c>
      <c r="E1222">
        <v>31.575</v>
      </c>
      <c r="F1222">
        <v>0.00477326968973742</v>
      </c>
      <c r="G1222">
        <f ca="1" t="shared" si="57"/>
        <v>0.203743153313283</v>
      </c>
      <c r="H1222" t="str">
        <f ca="1" t="shared" si="58"/>
        <v>Risk-On</v>
      </c>
      <c r="I1222">
        <f ca="1" t="shared" si="59"/>
        <v>1</v>
      </c>
      <c r="J1222">
        <f>_xlfn.XLOOKUP($A1222,[1]Sheet1!$B$9:$B$2584,[1]Sheet1!$C$9:$C$2584,"N/A",0)</f>
        <v>108.66</v>
      </c>
      <c r="K1222">
        <f>_xlfn.XLOOKUP($A1222,[1]Sheet1!$E$9:$E$2584,[1]Sheet1!$F$9:$F$2584,"N/A",0)</f>
        <v>151.57</v>
      </c>
      <c r="L1222">
        <f>_xlfn.XLOOKUP($A1222,[1]Sheet1!$H$9:$H$2584,[1]Sheet1!$I$9:$I$2584,"N/A",0)</f>
        <v>62.56</v>
      </c>
      <c r="M1222">
        <f>_xlfn.XLOOKUP($A1222,[1]Sheet1!$K$9:$K$2584,[1]Sheet1!$L$9:$L$2584,"N/A",0)</f>
        <v>144.04</v>
      </c>
      <c r="N1222">
        <f>_xlfn.XLOOKUP($A1222,[1]Sheet1!$N$9:$N$2584,[1]Sheet1!$O$9:$O$2584,"N/A",0)</f>
        <v>104.5</v>
      </c>
      <c r="O1222">
        <v>108.66</v>
      </c>
      <c r="P1222">
        <v>151.57</v>
      </c>
      <c r="Q1222">
        <v>62.56</v>
      </c>
      <c r="R1222">
        <v>104.5</v>
      </c>
      <c r="S1222">
        <v>144.04</v>
      </c>
    </row>
    <row r="1223" spans="1:19">
      <c r="A1223" s="1">
        <v>44139</v>
      </c>
      <c r="B1223" t="s">
        <v>569</v>
      </c>
      <c r="C1223" t="s">
        <v>572</v>
      </c>
      <c r="D1223">
        <v>28.375</v>
      </c>
      <c r="E1223">
        <v>29.175</v>
      </c>
      <c r="F1223" s="2" t="s">
        <v>573</v>
      </c>
      <c r="G1223">
        <f ca="1" t="shared" si="57"/>
        <v>0.504767460610395</v>
      </c>
      <c r="H1223" t="str">
        <f ca="1" t="shared" si="58"/>
        <v>Risk-On</v>
      </c>
      <c r="I1223">
        <f ca="1" t="shared" si="59"/>
        <v>1</v>
      </c>
      <c r="J1223">
        <f>_xlfn.XLOOKUP($A1223,[1]Sheet1!$B$9:$B$2584,[1]Sheet1!$C$9:$C$2584,"N/A",0)</f>
        <v>109.37</v>
      </c>
      <c r="K1223">
        <f>_xlfn.XLOOKUP($A1223,[1]Sheet1!$E$9:$E$2584,[1]Sheet1!$F$9:$F$2584,"N/A",0)</f>
        <v>156.89</v>
      </c>
      <c r="L1223">
        <f>_xlfn.XLOOKUP($A1223,[1]Sheet1!$H$9:$H$2584,[1]Sheet1!$I$9:$I$2584,"N/A",0)</f>
        <v>60.48</v>
      </c>
      <c r="M1223">
        <f>_xlfn.XLOOKUP($A1223,[1]Sheet1!$K$9:$K$2584,[1]Sheet1!$L$9:$L$2584,"N/A",0)</f>
        <v>145.63</v>
      </c>
      <c r="N1223">
        <f>_xlfn.XLOOKUP($A1223,[1]Sheet1!$N$9:$N$2584,[1]Sheet1!$O$9:$O$2584,"N/A",0)</f>
        <v>106.53</v>
      </c>
      <c r="O1223">
        <v>109.37</v>
      </c>
      <c r="P1223">
        <v>156.89</v>
      </c>
      <c r="Q1223">
        <v>60.48</v>
      </c>
      <c r="R1223">
        <v>106.53</v>
      </c>
      <c r="S1223">
        <v>145.63</v>
      </c>
    </row>
    <row r="1224" spans="1:19">
      <c r="A1224" s="1">
        <v>44140</v>
      </c>
      <c r="B1224" t="s">
        <v>569</v>
      </c>
      <c r="C1224" t="s">
        <v>572</v>
      </c>
      <c r="D1224">
        <v>27.775</v>
      </c>
      <c r="E1224">
        <v>28.775</v>
      </c>
      <c r="F1224" s="2" t="s">
        <v>574</v>
      </c>
      <c r="G1224">
        <f ca="1" t="shared" si="57"/>
        <v>0.605390825709953</v>
      </c>
      <c r="H1224" t="str">
        <f ca="1" t="shared" si="58"/>
        <v>Risk-On</v>
      </c>
      <c r="I1224">
        <f ca="1" t="shared" si="59"/>
        <v>1</v>
      </c>
      <c r="J1224">
        <f>_xlfn.XLOOKUP($A1224,[1]Sheet1!$B$9:$B$2584,[1]Sheet1!$C$9:$C$2584,"N/A",0)</f>
        <v>108.94</v>
      </c>
      <c r="K1224">
        <f>_xlfn.XLOOKUP($A1224,[1]Sheet1!$E$9:$E$2584,[1]Sheet1!$F$9:$F$2584,"N/A",0)</f>
        <v>157.73</v>
      </c>
      <c r="L1224">
        <f>_xlfn.XLOOKUP($A1224,[1]Sheet1!$H$9:$H$2584,[1]Sheet1!$I$9:$I$2584,"N/A",0)</f>
        <v>61.41</v>
      </c>
      <c r="M1224">
        <f>_xlfn.XLOOKUP($A1224,[1]Sheet1!$K$9:$K$2584,[1]Sheet1!$L$9:$L$2584,"N/A",0)</f>
        <v>144.76</v>
      </c>
      <c r="N1224">
        <f>_xlfn.XLOOKUP($A1224,[1]Sheet1!$N$9:$N$2584,[1]Sheet1!$O$9:$O$2584,"N/A",0)</f>
        <v>105.9</v>
      </c>
      <c r="O1224">
        <v>108.94</v>
      </c>
      <c r="P1224">
        <v>157.73</v>
      </c>
      <c r="Q1224">
        <v>61.41</v>
      </c>
      <c r="R1224">
        <v>105.9</v>
      </c>
      <c r="S1224">
        <v>144.76</v>
      </c>
    </row>
    <row r="1225" spans="1:19">
      <c r="A1225" s="1">
        <v>44141</v>
      </c>
      <c r="B1225" t="s">
        <v>569</v>
      </c>
      <c r="C1225" t="s">
        <v>572</v>
      </c>
      <c r="D1225">
        <v>25.475</v>
      </c>
      <c r="E1225">
        <v>27.175</v>
      </c>
      <c r="F1225">
        <v>0.0667320902845927</v>
      </c>
      <c r="G1225">
        <f ca="1" t="shared" si="57"/>
        <v>1.00130580747295</v>
      </c>
      <c r="H1225" t="str">
        <f ca="1" t="shared" si="58"/>
        <v>Risk-On</v>
      </c>
      <c r="I1225">
        <f ca="1" t="shared" si="59"/>
        <v>1</v>
      </c>
      <c r="J1225">
        <f>_xlfn.XLOOKUP($A1225,[1]Sheet1!$B$9:$B$2584,[1]Sheet1!$C$9:$C$2584,"N/A",0)</f>
        <v>108.65</v>
      </c>
      <c r="K1225">
        <f>_xlfn.XLOOKUP($A1225,[1]Sheet1!$E$9:$E$2584,[1]Sheet1!$F$9:$F$2584,"N/A",0)</f>
        <v>158.95</v>
      </c>
      <c r="L1225">
        <f>_xlfn.XLOOKUP($A1225,[1]Sheet1!$H$9:$H$2584,[1]Sheet1!$I$9:$I$2584,"N/A",0)</f>
        <v>60.63</v>
      </c>
      <c r="M1225">
        <f>_xlfn.XLOOKUP($A1225,[1]Sheet1!$K$9:$K$2584,[1]Sheet1!$L$9:$L$2584,"N/A",0)</f>
        <v>144.38</v>
      </c>
      <c r="N1225">
        <f>_xlfn.XLOOKUP($A1225,[1]Sheet1!$N$9:$N$2584,[1]Sheet1!$O$9:$O$2584,"N/A",0)</f>
        <v>106.09</v>
      </c>
      <c r="O1225">
        <v>108.65</v>
      </c>
      <c r="P1225">
        <v>158.95</v>
      </c>
      <c r="Q1225">
        <v>60.63</v>
      </c>
      <c r="R1225">
        <v>106.09</v>
      </c>
      <c r="S1225">
        <v>144.38</v>
      </c>
    </row>
    <row r="1226" spans="1:19">
      <c r="A1226" s="1">
        <v>44144</v>
      </c>
      <c r="B1226" t="s">
        <v>569</v>
      </c>
      <c r="C1226" t="s">
        <v>572</v>
      </c>
      <c r="D1226">
        <v>25.575</v>
      </c>
      <c r="E1226">
        <v>26.275</v>
      </c>
      <c r="F1226">
        <v>0.0273704789833821</v>
      </c>
      <c r="G1226">
        <f ca="1" t="shared" si="57"/>
        <v>0.487260848283771</v>
      </c>
      <c r="H1226" t="str">
        <f ca="1" t="shared" si="58"/>
        <v>Risk-On</v>
      </c>
      <c r="I1226">
        <f ca="1" t="shared" si="59"/>
        <v>1</v>
      </c>
      <c r="J1226">
        <f>_xlfn.XLOOKUP($A1226,[1]Sheet1!$B$9:$B$2584,[1]Sheet1!$C$9:$C$2584,"N/A",0)</f>
        <v>107.31</v>
      </c>
      <c r="K1226">
        <f>_xlfn.XLOOKUP($A1226,[1]Sheet1!$E$9:$E$2584,[1]Sheet1!$F$9:$F$2584,"N/A",0)</f>
        <v>141.98</v>
      </c>
      <c r="L1226">
        <f>_xlfn.XLOOKUP($A1226,[1]Sheet1!$H$9:$H$2584,[1]Sheet1!$I$9:$I$2584,"N/A",0)</f>
        <v>60.6</v>
      </c>
      <c r="M1226">
        <f>_xlfn.XLOOKUP($A1226,[1]Sheet1!$K$9:$K$2584,[1]Sheet1!$L$9:$L$2584,"N/A",0)</f>
        <v>140.87</v>
      </c>
      <c r="N1226">
        <f>_xlfn.XLOOKUP($A1226,[1]Sheet1!$N$9:$N$2584,[1]Sheet1!$O$9:$O$2584,"N/A",0)</f>
        <v>106.13</v>
      </c>
      <c r="O1226">
        <v>107.31</v>
      </c>
      <c r="P1226">
        <v>141.98</v>
      </c>
      <c r="Q1226">
        <v>60.6</v>
      </c>
      <c r="R1226">
        <v>106.13</v>
      </c>
      <c r="S1226">
        <v>140.87</v>
      </c>
    </row>
    <row r="1227" spans="1:19">
      <c r="A1227" s="1">
        <v>44145</v>
      </c>
      <c r="B1227" t="s">
        <v>569</v>
      </c>
      <c r="C1227" t="s">
        <v>572</v>
      </c>
      <c r="D1227">
        <v>24.675</v>
      </c>
      <c r="E1227">
        <v>25.425</v>
      </c>
      <c r="F1227" s="2" t="s">
        <v>575</v>
      </c>
      <c r="G1227">
        <f ca="1" t="shared" si="57"/>
        <v>0.524278009354351</v>
      </c>
      <c r="H1227" t="str">
        <f ca="1" t="shared" si="58"/>
        <v>Risk-On</v>
      </c>
      <c r="I1227">
        <f ca="1" t="shared" si="59"/>
        <v>1</v>
      </c>
      <c r="J1227">
        <f>_xlfn.XLOOKUP($A1227,[1]Sheet1!$B$9:$B$2584,[1]Sheet1!$C$9:$C$2584,"N/A",0)</f>
        <v>107.8</v>
      </c>
      <c r="K1227">
        <f>_xlfn.XLOOKUP($A1227,[1]Sheet1!$E$9:$E$2584,[1]Sheet1!$F$9:$F$2584,"N/A",0)</f>
        <v>137.93</v>
      </c>
      <c r="L1227">
        <f>_xlfn.XLOOKUP($A1227,[1]Sheet1!$H$9:$H$2584,[1]Sheet1!$I$9:$I$2584,"N/A",0)</f>
        <v>61.57</v>
      </c>
      <c r="M1227">
        <f>_xlfn.XLOOKUP($A1227,[1]Sheet1!$K$9:$K$2584,[1]Sheet1!$L$9:$L$2584,"N/A",0)</f>
        <v>140.76</v>
      </c>
      <c r="N1227">
        <f>_xlfn.XLOOKUP($A1227,[1]Sheet1!$N$9:$N$2584,[1]Sheet1!$O$9:$O$2584,"N/A",0)</f>
        <v>104.96</v>
      </c>
      <c r="O1227">
        <v>107.8</v>
      </c>
      <c r="P1227">
        <v>137.93</v>
      </c>
      <c r="Q1227">
        <v>61.57</v>
      </c>
      <c r="R1227">
        <v>104.96</v>
      </c>
      <c r="S1227">
        <v>140.76</v>
      </c>
    </row>
    <row r="1228" spans="1:19">
      <c r="A1228" s="1">
        <v>44146</v>
      </c>
      <c r="B1228" t="s">
        <v>569</v>
      </c>
      <c r="C1228" t="s">
        <v>572</v>
      </c>
      <c r="D1228">
        <v>23.825</v>
      </c>
      <c r="E1228">
        <v>24.975</v>
      </c>
      <c r="F1228">
        <v>0.0482686253934943</v>
      </c>
      <c r="G1228">
        <f ca="1" t="shared" si="57"/>
        <v>0.75517804705402</v>
      </c>
      <c r="H1228" t="str">
        <f ca="1" t="shared" si="58"/>
        <v>Risk-On</v>
      </c>
      <c r="I1228">
        <f ca="1" t="shared" si="59"/>
        <v>1</v>
      </c>
      <c r="J1228">
        <f>_xlfn.XLOOKUP($A1228,[1]Sheet1!$B$9:$B$2584,[1]Sheet1!$C$9:$C$2584,"N/A",0)</f>
        <v>108.13</v>
      </c>
      <c r="K1228">
        <f>_xlfn.XLOOKUP($A1228,[1]Sheet1!$E$9:$E$2584,[1]Sheet1!$F$9:$F$2584,"N/A",0)</f>
        <v>142.44</v>
      </c>
      <c r="L1228">
        <f>_xlfn.XLOOKUP($A1228,[1]Sheet1!$H$9:$H$2584,[1]Sheet1!$I$9:$I$2584,"N/A",0)</f>
        <v>61</v>
      </c>
      <c r="M1228">
        <f>_xlfn.XLOOKUP($A1228,[1]Sheet1!$K$9:$K$2584,[1]Sheet1!$L$9:$L$2584,"N/A",0)</f>
        <v>141.42</v>
      </c>
      <c r="N1228">
        <f>_xlfn.XLOOKUP($A1228,[1]Sheet1!$N$9:$N$2584,[1]Sheet1!$O$9:$O$2584,"N/A",0)</f>
        <v>104.76</v>
      </c>
      <c r="O1228">
        <v>108.13</v>
      </c>
      <c r="P1228">
        <v>142.44</v>
      </c>
      <c r="Q1228">
        <v>61</v>
      </c>
      <c r="R1228">
        <v>104.76</v>
      </c>
      <c r="S1228">
        <v>141.42</v>
      </c>
    </row>
    <row r="1229" spans="1:19">
      <c r="A1229" s="1">
        <v>44147</v>
      </c>
      <c r="B1229" t="s">
        <v>569</v>
      </c>
      <c r="C1229" t="s">
        <v>572</v>
      </c>
      <c r="D1229">
        <v>25.875</v>
      </c>
      <c r="E1229">
        <v>26.575</v>
      </c>
      <c r="F1229">
        <v>0.0270531400966183</v>
      </c>
      <c r="G1229">
        <f ca="1" t="shared" si="57"/>
        <v>0.476675235460864</v>
      </c>
      <c r="H1229" t="str">
        <f ca="1" t="shared" si="58"/>
        <v>Risk-On</v>
      </c>
      <c r="I1229">
        <f ca="1" t="shared" si="59"/>
        <v>1</v>
      </c>
      <c r="J1229">
        <f>_xlfn.XLOOKUP($A1229,[1]Sheet1!$B$9:$B$2584,[1]Sheet1!$C$9:$C$2584,"N/A",0)</f>
        <v>108.3</v>
      </c>
      <c r="K1229">
        <f>_xlfn.XLOOKUP($A1229,[1]Sheet1!$E$9:$E$2584,[1]Sheet1!$F$9:$F$2584,"N/A",0)</f>
        <v>144.82</v>
      </c>
      <c r="L1229">
        <f>_xlfn.XLOOKUP($A1229,[1]Sheet1!$H$9:$H$2584,[1]Sheet1!$I$9:$I$2584,"N/A",0)</f>
        <v>60.95</v>
      </c>
      <c r="M1229">
        <f>_xlfn.XLOOKUP($A1229,[1]Sheet1!$K$9:$K$2584,[1]Sheet1!$L$9:$L$2584,"N/A",0)</f>
        <v>140.66</v>
      </c>
      <c r="N1229">
        <f>_xlfn.XLOOKUP($A1229,[1]Sheet1!$N$9:$N$2584,[1]Sheet1!$O$9:$O$2584,"N/A",0)</f>
        <v>105.08</v>
      </c>
      <c r="O1229">
        <v>108.3</v>
      </c>
      <c r="P1229">
        <v>144.82</v>
      </c>
      <c r="Q1229">
        <v>60.95</v>
      </c>
      <c r="R1229">
        <v>105.08</v>
      </c>
      <c r="S1229">
        <v>140.66</v>
      </c>
    </row>
    <row r="1230" spans="1:19">
      <c r="A1230" s="1">
        <v>44148</v>
      </c>
      <c r="B1230" t="s">
        <v>569</v>
      </c>
      <c r="C1230" t="s">
        <v>572</v>
      </c>
      <c r="D1230">
        <v>23.325</v>
      </c>
      <c r="E1230">
        <v>25.075</v>
      </c>
      <c r="F1230">
        <v>0.07502679528403</v>
      </c>
      <c r="G1230">
        <f ca="1" t="shared" si="57"/>
        <v>1.09702119479823</v>
      </c>
      <c r="H1230" t="str">
        <f ca="1" t="shared" si="58"/>
        <v>Risk-On</v>
      </c>
      <c r="I1230">
        <f ca="1" t="shared" si="59"/>
        <v>1</v>
      </c>
      <c r="J1230">
        <f>_xlfn.XLOOKUP($A1230,[1]Sheet1!$B$9:$B$2584,[1]Sheet1!$C$9:$C$2584,"N/A",0)</f>
        <v>108.33</v>
      </c>
      <c r="K1230">
        <f>_xlfn.XLOOKUP($A1230,[1]Sheet1!$E$9:$E$2584,[1]Sheet1!$F$9:$F$2584,"N/A",0)</f>
        <v>141.46</v>
      </c>
      <c r="L1230">
        <f>_xlfn.XLOOKUP($A1230,[1]Sheet1!$H$9:$H$2584,[1]Sheet1!$I$9:$I$2584,"N/A",0)</f>
        <v>60.93</v>
      </c>
      <c r="M1230">
        <f>_xlfn.XLOOKUP($A1230,[1]Sheet1!$K$9:$K$2584,[1]Sheet1!$L$9:$L$2584,"N/A",0)</f>
        <v>139.85</v>
      </c>
      <c r="N1230">
        <f>_xlfn.XLOOKUP($A1230,[1]Sheet1!$N$9:$N$2584,[1]Sheet1!$O$9:$O$2584,"N/A",0)</f>
        <v>104.71</v>
      </c>
      <c r="O1230">
        <v>108.33</v>
      </c>
      <c r="P1230">
        <v>141.46</v>
      </c>
      <c r="Q1230">
        <v>60.93</v>
      </c>
      <c r="R1230">
        <v>104.71</v>
      </c>
      <c r="S1230">
        <v>139.85</v>
      </c>
    </row>
    <row r="1231" spans="1:19">
      <c r="A1231" s="1">
        <v>44151</v>
      </c>
      <c r="B1231" t="s">
        <v>569</v>
      </c>
      <c r="C1231" t="s">
        <v>572</v>
      </c>
      <c r="D1231">
        <v>22.925</v>
      </c>
      <c r="E1231">
        <v>24.525</v>
      </c>
      <c r="F1231">
        <v>0.06979280261723</v>
      </c>
      <c r="G1231">
        <f ca="1" t="shared" si="57"/>
        <v>1.02108945878814</v>
      </c>
      <c r="H1231" t="str">
        <f ca="1" t="shared" si="58"/>
        <v>Risk-On</v>
      </c>
      <c r="I1231">
        <f ca="1" t="shared" si="59"/>
        <v>1</v>
      </c>
      <c r="J1231">
        <f>_xlfn.XLOOKUP($A1231,[1]Sheet1!$B$9:$B$2584,[1]Sheet1!$C$9:$C$2584,"N/A",0)</f>
        <v>107.82</v>
      </c>
      <c r="K1231">
        <f>_xlfn.XLOOKUP($A1231,[1]Sheet1!$E$9:$E$2584,[1]Sheet1!$F$9:$F$2584,"N/A",0)</f>
        <v>138.69</v>
      </c>
      <c r="L1231">
        <f>_xlfn.XLOOKUP($A1231,[1]Sheet1!$H$9:$H$2584,[1]Sheet1!$I$9:$I$2584,"N/A",0)</f>
        <v>60.92</v>
      </c>
      <c r="M1231">
        <f>_xlfn.XLOOKUP($A1231,[1]Sheet1!$K$9:$K$2584,[1]Sheet1!$L$9:$L$2584,"N/A",0)</f>
        <v>139.46</v>
      </c>
      <c r="N1231">
        <f>_xlfn.XLOOKUP($A1231,[1]Sheet1!$N$9:$N$2584,[1]Sheet1!$O$9:$O$2584,"N/A",0)</f>
        <v>104.4</v>
      </c>
      <c r="O1231">
        <v>107.82</v>
      </c>
      <c r="P1231">
        <v>138.69</v>
      </c>
      <c r="Q1231">
        <v>60.92</v>
      </c>
      <c r="R1231">
        <v>104.4</v>
      </c>
      <c r="S1231">
        <v>139.46</v>
      </c>
    </row>
    <row r="1232" spans="1:19">
      <c r="A1232" s="1">
        <v>44152</v>
      </c>
      <c r="B1232" t="s">
        <v>569</v>
      </c>
      <c r="C1232" t="s">
        <v>572</v>
      </c>
      <c r="D1232">
        <v>22.975</v>
      </c>
      <c r="E1232">
        <v>24.025</v>
      </c>
      <c r="F1232">
        <v>0.0457018498367789</v>
      </c>
      <c r="G1232">
        <f ca="1" t="shared" si="57"/>
        <v>0.701896116372423</v>
      </c>
      <c r="H1232" t="str">
        <f ca="1" t="shared" si="58"/>
        <v>Risk-On</v>
      </c>
      <c r="I1232">
        <f ca="1" t="shared" si="59"/>
        <v>1</v>
      </c>
      <c r="J1232">
        <f>_xlfn.XLOOKUP($A1232,[1]Sheet1!$B$9:$B$2584,[1]Sheet1!$C$9:$C$2584,"N/A",0)</f>
        <v>108.36</v>
      </c>
      <c r="K1232">
        <f>_xlfn.XLOOKUP($A1232,[1]Sheet1!$E$9:$E$2584,[1]Sheet1!$F$9:$F$2584,"N/A",0)</f>
        <v>139.69</v>
      </c>
      <c r="L1232">
        <f>_xlfn.XLOOKUP($A1232,[1]Sheet1!$H$9:$H$2584,[1]Sheet1!$I$9:$I$2584,"N/A",0)</f>
        <v>60.97</v>
      </c>
      <c r="M1232">
        <f>_xlfn.XLOOKUP($A1232,[1]Sheet1!$K$9:$K$2584,[1]Sheet1!$L$9:$L$2584,"N/A",0)</f>
        <v>138.9</v>
      </c>
      <c r="N1232">
        <f>_xlfn.XLOOKUP($A1232,[1]Sheet1!$N$9:$N$2584,[1]Sheet1!$O$9:$O$2584,"N/A",0)</f>
        <v>103.93</v>
      </c>
      <c r="O1232">
        <v>108.36</v>
      </c>
      <c r="P1232">
        <v>139.69</v>
      </c>
      <c r="Q1232">
        <v>60.97</v>
      </c>
      <c r="R1232">
        <v>103.93</v>
      </c>
      <c r="S1232">
        <v>138.9</v>
      </c>
    </row>
    <row r="1233" spans="1:19">
      <c r="A1233" s="1">
        <v>44153</v>
      </c>
      <c r="B1233" t="s">
        <v>569</v>
      </c>
      <c r="C1233" t="s">
        <v>572</v>
      </c>
      <c r="D1233">
        <v>22.41</v>
      </c>
      <c r="E1233">
        <v>24.875</v>
      </c>
      <c r="F1233" s="2" t="s">
        <v>576</v>
      </c>
      <c r="G1233">
        <f ca="1" t="shared" si="57"/>
        <v>1.53322838781249</v>
      </c>
      <c r="H1233" t="str">
        <f ca="1" t="shared" si="58"/>
        <v>Risk-On</v>
      </c>
      <c r="I1233">
        <f ca="1" t="shared" si="59"/>
        <v>1</v>
      </c>
      <c r="J1233">
        <f>_xlfn.XLOOKUP($A1233,[1]Sheet1!$B$9:$B$2584,[1]Sheet1!$C$9:$C$2584,"N/A",0)</f>
        <v>108.27</v>
      </c>
      <c r="K1233">
        <f>_xlfn.XLOOKUP($A1233,[1]Sheet1!$E$9:$E$2584,[1]Sheet1!$F$9:$F$2584,"N/A",0)</f>
        <v>140.01</v>
      </c>
      <c r="L1233">
        <f>_xlfn.XLOOKUP($A1233,[1]Sheet1!$H$9:$H$2584,[1]Sheet1!$I$9:$I$2584,"N/A",0)</f>
        <v>61.3</v>
      </c>
      <c r="M1233">
        <f>_xlfn.XLOOKUP($A1233,[1]Sheet1!$K$9:$K$2584,[1]Sheet1!$L$9:$L$2584,"N/A",0)</f>
        <v>138.5</v>
      </c>
      <c r="N1233">
        <f>_xlfn.XLOOKUP($A1233,[1]Sheet1!$N$9:$N$2584,[1]Sheet1!$O$9:$O$2584,"N/A",0)</f>
        <v>104.3</v>
      </c>
      <c r="O1233">
        <v>108.27</v>
      </c>
      <c r="P1233">
        <v>140.01</v>
      </c>
      <c r="Q1233">
        <v>61.3</v>
      </c>
      <c r="R1233">
        <v>104.3</v>
      </c>
      <c r="S1233">
        <v>138.5</v>
      </c>
    </row>
    <row r="1234" spans="1:19">
      <c r="A1234" s="1">
        <v>44154</v>
      </c>
      <c r="B1234" t="s">
        <v>572</v>
      </c>
      <c r="C1234" t="s">
        <v>577</v>
      </c>
      <c r="D1234">
        <v>24.475</v>
      </c>
      <c r="E1234">
        <v>25.925</v>
      </c>
      <c r="F1234">
        <v>0.0592441266598569</v>
      </c>
      <c r="G1234">
        <f ca="1" t="shared" si="57"/>
        <v>0.874270817787757</v>
      </c>
      <c r="H1234" t="str">
        <f ca="1" t="shared" si="58"/>
        <v>Risk-On</v>
      </c>
      <c r="I1234">
        <f ca="1" t="shared" si="59"/>
        <v>1</v>
      </c>
      <c r="J1234">
        <f>_xlfn.XLOOKUP($A1234,[1]Sheet1!$B$9:$B$2584,[1]Sheet1!$C$9:$C$2584,"N/A",0)</f>
        <v>108</v>
      </c>
      <c r="K1234">
        <f>_xlfn.XLOOKUP($A1234,[1]Sheet1!$E$9:$E$2584,[1]Sheet1!$F$9:$F$2584,"N/A",0)</f>
        <v>141.27</v>
      </c>
      <c r="L1234">
        <f>_xlfn.XLOOKUP($A1234,[1]Sheet1!$H$9:$H$2584,[1]Sheet1!$I$9:$I$2584,"N/A",0)</f>
        <v>60.91</v>
      </c>
      <c r="M1234">
        <f>_xlfn.XLOOKUP($A1234,[1]Sheet1!$K$9:$K$2584,[1]Sheet1!$L$9:$L$2584,"N/A",0)</f>
        <v>138.19</v>
      </c>
      <c r="N1234">
        <f>_xlfn.XLOOKUP($A1234,[1]Sheet1!$N$9:$N$2584,[1]Sheet1!$O$9:$O$2584,"N/A",0)</f>
        <v>104.04</v>
      </c>
      <c r="O1234">
        <v>108</v>
      </c>
      <c r="P1234">
        <v>141.27</v>
      </c>
      <c r="Q1234">
        <v>60.91</v>
      </c>
      <c r="R1234">
        <v>104.04</v>
      </c>
      <c r="S1234">
        <v>138.19</v>
      </c>
    </row>
    <row r="1235" spans="1:19">
      <c r="A1235" s="1">
        <v>44155</v>
      </c>
      <c r="B1235" t="s">
        <v>572</v>
      </c>
      <c r="C1235" t="s">
        <v>577</v>
      </c>
      <c r="D1235">
        <v>24.375</v>
      </c>
      <c r="E1235">
        <v>25.825</v>
      </c>
      <c r="F1235">
        <v>0.0594871794871794</v>
      </c>
      <c r="G1235">
        <f ca="1" t="shared" si="57"/>
        <v>0.872370353520187</v>
      </c>
      <c r="H1235" t="str">
        <f ca="1" t="shared" si="58"/>
        <v>Risk-On</v>
      </c>
      <c r="I1235">
        <f ca="1" t="shared" si="59"/>
        <v>1</v>
      </c>
      <c r="J1235">
        <f>_xlfn.XLOOKUP($A1235,[1]Sheet1!$B$9:$B$2584,[1]Sheet1!$C$9:$C$2584,"N/A",0)</f>
        <v>108.08</v>
      </c>
      <c r="K1235">
        <f>_xlfn.XLOOKUP($A1235,[1]Sheet1!$E$9:$E$2584,[1]Sheet1!$F$9:$F$2584,"N/A",0)</f>
        <v>142.38</v>
      </c>
      <c r="L1235">
        <f>_xlfn.XLOOKUP($A1235,[1]Sheet1!$H$9:$H$2584,[1]Sheet1!$I$9:$I$2584,"N/A",0)</f>
        <v>61.06</v>
      </c>
      <c r="M1235">
        <f>_xlfn.XLOOKUP($A1235,[1]Sheet1!$K$9:$K$2584,[1]Sheet1!$L$9:$L$2584,"N/A",0)</f>
        <v>137.62</v>
      </c>
      <c r="N1235">
        <f>_xlfn.XLOOKUP($A1235,[1]Sheet1!$N$9:$N$2584,[1]Sheet1!$O$9:$O$2584,"N/A",0)</f>
        <v>103.27</v>
      </c>
      <c r="O1235">
        <v>108.08</v>
      </c>
      <c r="P1235">
        <v>142.38</v>
      </c>
      <c r="Q1235">
        <v>61.06</v>
      </c>
      <c r="R1235">
        <v>103.27</v>
      </c>
      <c r="S1235">
        <v>137.62</v>
      </c>
    </row>
    <row r="1236" spans="1:19">
      <c r="A1236" s="1">
        <v>44158</v>
      </c>
      <c r="B1236" t="s">
        <v>572</v>
      </c>
      <c r="C1236" t="s">
        <v>577</v>
      </c>
      <c r="D1236">
        <v>24.1</v>
      </c>
      <c r="E1236">
        <v>25.725</v>
      </c>
      <c r="F1236">
        <v>0.0674273858921161</v>
      </c>
      <c r="G1236">
        <f ca="1" t="shared" si="57"/>
        <v>0.970625871527269</v>
      </c>
      <c r="H1236" t="str">
        <f ca="1" t="shared" si="58"/>
        <v>Risk-On</v>
      </c>
      <c r="I1236">
        <f ca="1" t="shared" si="59"/>
        <v>1</v>
      </c>
      <c r="J1236">
        <f>_xlfn.XLOOKUP($A1236,[1]Sheet1!$B$9:$B$2584,[1]Sheet1!$C$9:$C$2584,"N/A",0)</f>
        <v>108.25</v>
      </c>
      <c r="K1236">
        <f>_xlfn.XLOOKUP($A1236,[1]Sheet1!$E$9:$E$2584,[1]Sheet1!$F$9:$F$2584,"N/A",0)</f>
        <v>140.06</v>
      </c>
      <c r="L1236">
        <f>_xlfn.XLOOKUP($A1236,[1]Sheet1!$H$9:$H$2584,[1]Sheet1!$I$9:$I$2584,"N/A",0)</f>
        <v>61.14</v>
      </c>
      <c r="M1236">
        <f>_xlfn.XLOOKUP($A1236,[1]Sheet1!$K$9:$K$2584,[1]Sheet1!$L$9:$L$2584,"N/A",0)</f>
        <v>136.87</v>
      </c>
      <c r="N1236">
        <f>_xlfn.XLOOKUP($A1236,[1]Sheet1!$N$9:$N$2584,[1]Sheet1!$O$9:$O$2584,"N/A",0)</f>
        <v>103.15</v>
      </c>
      <c r="O1236">
        <v>108.25</v>
      </c>
      <c r="P1236">
        <v>140.06</v>
      </c>
      <c r="Q1236">
        <v>61.14</v>
      </c>
      <c r="R1236">
        <v>103.15</v>
      </c>
      <c r="S1236">
        <v>136.87</v>
      </c>
    </row>
    <row r="1237" spans="1:19">
      <c r="A1237" s="1">
        <v>44159</v>
      </c>
      <c r="B1237" t="s">
        <v>572</v>
      </c>
      <c r="C1237" t="s">
        <v>577</v>
      </c>
      <c r="D1237">
        <v>23.6</v>
      </c>
      <c r="E1237">
        <v>25.625</v>
      </c>
      <c r="F1237">
        <v>0.0858050847457626</v>
      </c>
      <c r="G1237">
        <f ca="1" t="shared" si="57"/>
        <v>1.2035736206314</v>
      </c>
      <c r="H1237" t="str">
        <f ca="1" t="shared" si="58"/>
        <v>Risk-On</v>
      </c>
      <c r="I1237">
        <f ca="1" t="shared" si="59"/>
        <v>1</v>
      </c>
      <c r="J1237">
        <f>_xlfn.XLOOKUP($A1237,[1]Sheet1!$B$9:$B$2584,[1]Sheet1!$C$9:$C$2584,"N/A",0)</f>
        <v>107.57</v>
      </c>
      <c r="K1237">
        <f>_xlfn.XLOOKUP($A1237,[1]Sheet1!$E$9:$E$2584,[1]Sheet1!$F$9:$F$2584,"N/A",0)</f>
        <v>134.91</v>
      </c>
      <c r="L1237">
        <f>_xlfn.XLOOKUP($A1237,[1]Sheet1!$H$9:$H$2584,[1]Sheet1!$I$9:$I$2584,"N/A",0)</f>
        <v>61.8</v>
      </c>
      <c r="M1237">
        <f>_xlfn.XLOOKUP($A1237,[1]Sheet1!$K$9:$K$2584,[1]Sheet1!$L$9:$L$2584,"N/A",0)</f>
        <v>135.5</v>
      </c>
      <c r="N1237">
        <f>_xlfn.XLOOKUP($A1237,[1]Sheet1!$N$9:$N$2584,[1]Sheet1!$O$9:$O$2584,"N/A",0)</f>
        <v>103.48</v>
      </c>
      <c r="O1237">
        <v>107.57</v>
      </c>
      <c r="P1237">
        <v>134.91</v>
      </c>
      <c r="Q1237">
        <v>61.8</v>
      </c>
      <c r="R1237">
        <v>103.48</v>
      </c>
      <c r="S1237">
        <v>135.5</v>
      </c>
    </row>
    <row r="1238" spans="1:19">
      <c r="A1238" s="1">
        <v>44160</v>
      </c>
      <c r="B1238" t="s">
        <v>572</v>
      </c>
      <c r="C1238" t="s">
        <v>577</v>
      </c>
      <c r="D1238">
        <v>22.625</v>
      </c>
      <c r="E1238">
        <v>24.825</v>
      </c>
      <c r="F1238">
        <v>0.0972375690607734</v>
      </c>
      <c r="G1238">
        <f ca="1" t="shared" si="57"/>
        <v>1.34260384342825</v>
      </c>
      <c r="H1238" t="str">
        <f ca="1" t="shared" si="58"/>
        <v>Risk-On</v>
      </c>
      <c r="I1238">
        <f ca="1" t="shared" si="59"/>
        <v>1</v>
      </c>
      <c r="J1238">
        <f>_xlfn.XLOOKUP($A1238,[1]Sheet1!$B$9:$B$2584,[1]Sheet1!$C$9:$C$2584,"N/A",0)</f>
        <v>107.38</v>
      </c>
      <c r="K1238">
        <f>_xlfn.XLOOKUP($A1238,[1]Sheet1!$E$9:$E$2584,[1]Sheet1!$F$9:$F$2584,"N/A",0)</f>
        <v>137.82</v>
      </c>
      <c r="L1238">
        <f>_xlfn.XLOOKUP($A1238,[1]Sheet1!$H$9:$H$2584,[1]Sheet1!$I$9:$I$2584,"N/A",0)</f>
        <v>61.34</v>
      </c>
      <c r="M1238">
        <f>_xlfn.XLOOKUP($A1238,[1]Sheet1!$K$9:$K$2584,[1]Sheet1!$L$9:$L$2584,"N/A",0)</f>
        <v>135.57</v>
      </c>
      <c r="N1238">
        <f>_xlfn.XLOOKUP($A1238,[1]Sheet1!$N$9:$N$2584,[1]Sheet1!$O$9:$O$2584,"N/A",0)</f>
        <v>103.77</v>
      </c>
      <c r="O1238">
        <v>107.38</v>
      </c>
      <c r="P1238">
        <v>137.82</v>
      </c>
      <c r="Q1238">
        <v>61.34</v>
      </c>
      <c r="R1238">
        <v>103.77</v>
      </c>
      <c r="S1238">
        <v>135.57</v>
      </c>
    </row>
    <row r="1239" spans="1:19">
      <c r="A1239" s="1">
        <v>44162</v>
      </c>
      <c r="B1239" t="s">
        <v>572</v>
      </c>
      <c r="C1239" t="s">
        <v>577</v>
      </c>
      <c r="D1239">
        <v>22.825</v>
      </c>
      <c r="E1239">
        <v>25.025</v>
      </c>
      <c r="F1239">
        <v>0.0963855421686746</v>
      </c>
      <c r="G1239">
        <f ca="1" t="shared" si="57"/>
        <v>1.31956753323175</v>
      </c>
      <c r="H1239" t="str">
        <f ca="1" t="shared" si="58"/>
        <v>Risk-On</v>
      </c>
      <c r="I1239">
        <f ca="1" t="shared" si="59"/>
        <v>1</v>
      </c>
      <c r="J1239">
        <f>_xlfn.XLOOKUP($A1239,[1]Sheet1!$B$9:$B$2584,[1]Sheet1!$C$9:$C$2584,"N/A",0)</f>
        <v>107.72</v>
      </c>
      <c r="K1239">
        <f>_xlfn.XLOOKUP($A1239,[1]Sheet1!$E$9:$E$2584,[1]Sheet1!$F$9:$F$2584,"N/A",0)</f>
        <v>139.22</v>
      </c>
      <c r="L1239">
        <f>_xlfn.XLOOKUP($A1239,[1]Sheet1!$H$9:$H$2584,[1]Sheet1!$I$9:$I$2584,"N/A",0)</f>
        <v>61.22</v>
      </c>
      <c r="M1239">
        <f>_xlfn.XLOOKUP($A1239,[1]Sheet1!$K$9:$K$2584,[1]Sheet1!$L$9:$L$2584,"N/A",0)</f>
        <v>135.13</v>
      </c>
      <c r="N1239">
        <f>_xlfn.XLOOKUP($A1239,[1]Sheet1!$N$9:$N$2584,[1]Sheet1!$O$9:$O$2584,"N/A",0)</f>
        <v>103.67</v>
      </c>
      <c r="O1239">
        <v>107.72</v>
      </c>
      <c r="P1239">
        <v>139.22</v>
      </c>
      <c r="Q1239">
        <v>61.22</v>
      </c>
      <c r="R1239">
        <v>103.67</v>
      </c>
      <c r="S1239">
        <v>135.13</v>
      </c>
    </row>
    <row r="1240" spans="1:19">
      <c r="A1240" s="1">
        <v>44165</v>
      </c>
      <c r="B1240" t="s">
        <v>572</v>
      </c>
      <c r="C1240" t="s">
        <v>577</v>
      </c>
      <c r="D1240">
        <v>22.375</v>
      </c>
      <c r="E1240">
        <v>24.575</v>
      </c>
      <c r="F1240">
        <v>0.0983240223463686</v>
      </c>
      <c r="G1240">
        <f ca="1" t="shared" si="57"/>
        <v>1.33316129662548</v>
      </c>
      <c r="H1240" t="str">
        <f ca="1" t="shared" si="58"/>
        <v>Risk-Off</v>
      </c>
      <c r="I1240">
        <f ca="1" t="shared" si="59"/>
        <v>1</v>
      </c>
      <c r="J1240">
        <f>_xlfn.XLOOKUP($A1240,[1]Sheet1!$B$9:$B$2584,[1]Sheet1!$C$9:$C$2584,"N/A",0)</f>
        <v>107.92</v>
      </c>
      <c r="K1240">
        <f>_xlfn.XLOOKUP($A1240,[1]Sheet1!$E$9:$E$2584,[1]Sheet1!$F$9:$F$2584,"N/A",0)</f>
        <v>141.81</v>
      </c>
      <c r="L1240">
        <f>_xlfn.XLOOKUP($A1240,[1]Sheet1!$H$9:$H$2584,[1]Sheet1!$I$9:$I$2584,"N/A",0)</f>
        <v>61.22</v>
      </c>
      <c r="M1240">
        <f>_xlfn.XLOOKUP($A1240,[1]Sheet1!$K$9:$K$2584,[1]Sheet1!$L$9:$L$2584,"N/A",0)</f>
        <v>136.07</v>
      </c>
      <c r="N1240">
        <f>_xlfn.XLOOKUP($A1240,[1]Sheet1!$N$9:$N$2584,[1]Sheet1!$O$9:$O$2584,"N/A",0)</f>
        <v>104.74</v>
      </c>
      <c r="O1240">
        <v>107.92</v>
      </c>
      <c r="P1240">
        <v>141.81</v>
      </c>
      <c r="Q1240">
        <v>61.22</v>
      </c>
      <c r="R1240">
        <v>104.74</v>
      </c>
      <c r="S1240">
        <v>136.07</v>
      </c>
    </row>
    <row r="1241" spans="1:19">
      <c r="A1241" s="1">
        <v>44166</v>
      </c>
      <c r="B1241" t="s">
        <v>572</v>
      </c>
      <c r="C1241" t="s">
        <v>577</v>
      </c>
      <c r="D1241">
        <v>22.825</v>
      </c>
      <c r="E1241">
        <v>24.425</v>
      </c>
      <c r="F1241">
        <v>0.0700985761226725</v>
      </c>
      <c r="G1241">
        <f ca="1" t="shared" si="57"/>
        <v>0.957553718997477</v>
      </c>
      <c r="H1241" t="str">
        <f ca="1" t="shared" si="58"/>
        <v>Risk-On</v>
      </c>
      <c r="I1241">
        <f ca="1" t="shared" si="59"/>
        <v>1</v>
      </c>
      <c r="J1241">
        <f>_xlfn.XLOOKUP($A1241,[1]Sheet1!$B$9:$B$2584,[1]Sheet1!$C$9:$C$2584,"N/A",0)</f>
        <v>107.41</v>
      </c>
      <c r="K1241">
        <f>_xlfn.XLOOKUP($A1241,[1]Sheet1!$E$9:$E$2584,[1]Sheet1!$F$9:$F$2584,"N/A",0)</f>
        <v>140.15</v>
      </c>
      <c r="L1241">
        <f>_xlfn.XLOOKUP($A1241,[1]Sheet1!$H$9:$H$2584,[1]Sheet1!$I$9:$I$2584,"N/A",0)</f>
        <v>61.08</v>
      </c>
      <c r="M1241">
        <f>_xlfn.XLOOKUP($A1241,[1]Sheet1!$K$9:$K$2584,[1]Sheet1!$L$9:$L$2584,"N/A",0)</f>
        <v>135.33</v>
      </c>
      <c r="N1241">
        <f>_xlfn.XLOOKUP($A1241,[1]Sheet1!$N$9:$N$2584,[1]Sheet1!$O$9:$O$2584,"N/A",0)</f>
        <v>104.46</v>
      </c>
      <c r="O1241">
        <v>107.41</v>
      </c>
      <c r="P1241">
        <v>140.15</v>
      </c>
      <c r="Q1241">
        <v>61.08</v>
      </c>
      <c r="R1241">
        <v>104.46</v>
      </c>
      <c r="S1241">
        <v>135.33</v>
      </c>
    </row>
    <row r="1242" spans="1:19">
      <c r="A1242" s="1">
        <v>44167</v>
      </c>
      <c r="B1242" t="s">
        <v>572</v>
      </c>
      <c r="C1242" t="s">
        <v>577</v>
      </c>
      <c r="D1242">
        <v>22.675</v>
      </c>
      <c r="E1242">
        <v>24.325</v>
      </c>
      <c r="F1242">
        <v>0.0727673649393604</v>
      </c>
      <c r="G1242">
        <f ca="1" t="shared" si="57"/>
        <v>0.986221109973545</v>
      </c>
      <c r="H1242" t="str">
        <f ca="1" t="shared" si="58"/>
        <v>Risk-Off</v>
      </c>
      <c r="I1242">
        <f ca="1" t="shared" si="59"/>
        <v>1</v>
      </c>
      <c r="J1242">
        <f>_xlfn.XLOOKUP($A1242,[1]Sheet1!$B$9:$B$2584,[1]Sheet1!$C$9:$C$2584,"N/A",0)</f>
        <v>107.3</v>
      </c>
      <c r="K1242">
        <f>_xlfn.XLOOKUP($A1242,[1]Sheet1!$E$9:$E$2584,[1]Sheet1!$F$9:$F$2584,"N/A",0)</f>
        <v>137.66</v>
      </c>
      <c r="L1242">
        <f>_xlfn.XLOOKUP($A1242,[1]Sheet1!$H$9:$H$2584,[1]Sheet1!$I$9:$I$2584,"N/A",0)</f>
        <v>61.16</v>
      </c>
      <c r="M1242">
        <f>_xlfn.XLOOKUP($A1242,[1]Sheet1!$K$9:$K$2584,[1]Sheet1!$L$9:$L$2584,"N/A",0)</f>
        <v>134.24</v>
      </c>
      <c r="N1242">
        <f>_xlfn.XLOOKUP($A1242,[1]Sheet1!$N$9:$N$2584,[1]Sheet1!$O$9:$O$2584,"N/A",0)</f>
        <v>104.74</v>
      </c>
      <c r="O1242">
        <v>107.3</v>
      </c>
      <c r="P1242">
        <v>137.66</v>
      </c>
      <c r="Q1242">
        <v>61.16</v>
      </c>
      <c r="R1242">
        <v>104.74</v>
      </c>
      <c r="S1242">
        <v>134.24</v>
      </c>
    </row>
    <row r="1243" spans="1:19">
      <c r="A1243" s="1">
        <v>44168</v>
      </c>
      <c r="B1243" t="s">
        <v>572</v>
      </c>
      <c r="C1243" t="s">
        <v>577</v>
      </c>
      <c r="D1243">
        <v>22.975</v>
      </c>
      <c r="E1243">
        <v>24.475</v>
      </c>
      <c r="F1243">
        <v>0.0652883569096844</v>
      </c>
      <c r="G1243">
        <f ca="1" t="shared" si="57"/>
        <v>0.891404347659966</v>
      </c>
      <c r="H1243" t="str">
        <f ca="1" t="shared" si="58"/>
        <v>Risk-Off</v>
      </c>
      <c r="I1243">
        <f ca="1" t="shared" si="59"/>
        <v>1</v>
      </c>
      <c r="J1243">
        <f>_xlfn.XLOOKUP($A1243,[1]Sheet1!$B$9:$B$2584,[1]Sheet1!$C$9:$C$2584,"N/A",0)</f>
        <v>106.71</v>
      </c>
      <c r="K1243">
        <f>_xlfn.XLOOKUP($A1243,[1]Sheet1!$E$9:$E$2584,[1]Sheet1!$F$9:$F$2584,"N/A",0)</f>
        <v>137.61</v>
      </c>
      <c r="L1243">
        <f>_xlfn.XLOOKUP($A1243,[1]Sheet1!$H$9:$H$2584,[1]Sheet1!$I$9:$I$2584,"N/A",0)</f>
        <v>61.12</v>
      </c>
      <c r="M1243">
        <f>_xlfn.XLOOKUP($A1243,[1]Sheet1!$K$9:$K$2584,[1]Sheet1!$L$9:$L$2584,"N/A",0)</f>
        <v>133.41</v>
      </c>
      <c r="N1243">
        <f>_xlfn.XLOOKUP($A1243,[1]Sheet1!$N$9:$N$2584,[1]Sheet1!$O$9:$O$2584,"N/A",0)</f>
        <v>104.37</v>
      </c>
      <c r="O1243">
        <v>106.71</v>
      </c>
      <c r="P1243">
        <v>137.61</v>
      </c>
      <c r="Q1243">
        <v>61.12</v>
      </c>
      <c r="R1243">
        <v>104.37</v>
      </c>
      <c r="S1243">
        <v>133.41</v>
      </c>
    </row>
    <row r="1244" spans="1:19">
      <c r="A1244" s="1">
        <v>44169</v>
      </c>
      <c r="B1244" t="s">
        <v>572</v>
      </c>
      <c r="C1244" t="s">
        <v>577</v>
      </c>
      <c r="D1244">
        <v>22.475</v>
      </c>
      <c r="E1244">
        <v>24.225</v>
      </c>
      <c r="F1244">
        <v>0.0778642936596218</v>
      </c>
      <c r="G1244">
        <f ca="1" t="shared" si="57"/>
        <v>1.04887756531584</v>
      </c>
      <c r="H1244" t="str">
        <f ca="1" t="shared" si="58"/>
        <v>Risk-Off</v>
      </c>
      <c r="I1244">
        <f ca="1" t="shared" si="59"/>
        <v>1</v>
      </c>
      <c r="J1244">
        <f>_xlfn.XLOOKUP($A1244,[1]Sheet1!$B$9:$B$2584,[1]Sheet1!$C$9:$C$2584,"N/A",0)</f>
        <v>106.95</v>
      </c>
      <c r="K1244">
        <f>_xlfn.XLOOKUP($A1244,[1]Sheet1!$E$9:$E$2584,[1]Sheet1!$F$9:$F$2584,"N/A",0)</f>
        <v>136.05</v>
      </c>
      <c r="L1244">
        <f>_xlfn.XLOOKUP($A1244,[1]Sheet1!$H$9:$H$2584,[1]Sheet1!$I$9:$I$2584,"N/A",0)</f>
        <v>60.92</v>
      </c>
      <c r="M1244">
        <f>_xlfn.XLOOKUP($A1244,[1]Sheet1!$K$9:$K$2584,[1]Sheet1!$L$9:$L$2584,"N/A",0)</f>
        <v>132.33</v>
      </c>
      <c r="N1244">
        <f>_xlfn.XLOOKUP($A1244,[1]Sheet1!$N$9:$N$2584,[1]Sheet1!$O$9:$O$2584,"N/A",0)</f>
        <v>103.49</v>
      </c>
      <c r="O1244">
        <v>106.95</v>
      </c>
      <c r="P1244">
        <v>136.05</v>
      </c>
      <c r="Q1244">
        <v>60.92</v>
      </c>
      <c r="R1244">
        <v>103.49</v>
      </c>
      <c r="S1244">
        <v>132.33</v>
      </c>
    </row>
    <row r="1245" spans="1:19">
      <c r="A1245" s="1">
        <v>44172</v>
      </c>
      <c r="B1245" t="s">
        <v>572</v>
      </c>
      <c r="C1245" t="s">
        <v>577</v>
      </c>
      <c r="D1245">
        <v>22.475</v>
      </c>
      <c r="E1245">
        <v>24.325</v>
      </c>
      <c r="F1245">
        <v>0.0823136818687429</v>
      </c>
      <c r="G1245">
        <f ca="1" t="shared" si="57"/>
        <v>1.0995201191929</v>
      </c>
      <c r="H1245" t="str">
        <f ca="1" t="shared" si="58"/>
        <v>Risk-Off</v>
      </c>
      <c r="I1245">
        <f ca="1" t="shared" si="59"/>
        <v>1</v>
      </c>
      <c r="J1245">
        <f>_xlfn.XLOOKUP($A1245,[1]Sheet1!$B$9:$B$2584,[1]Sheet1!$C$9:$C$2584,"N/A",0)</f>
        <v>106.92</v>
      </c>
      <c r="K1245">
        <f>_xlfn.XLOOKUP($A1245,[1]Sheet1!$E$9:$E$2584,[1]Sheet1!$F$9:$F$2584,"N/A",0)</f>
        <v>138.34</v>
      </c>
      <c r="L1245">
        <f>_xlfn.XLOOKUP($A1245,[1]Sheet1!$H$9:$H$2584,[1]Sheet1!$I$9:$I$2584,"N/A",0)</f>
        <v>61.1</v>
      </c>
      <c r="M1245">
        <f>_xlfn.XLOOKUP($A1245,[1]Sheet1!$K$9:$K$2584,[1]Sheet1!$L$9:$L$2584,"N/A",0)</f>
        <v>132.41</v>
      </c>
      <c r="N1245">
        <f>_xlfn.XLOOKUP($A1245,[1]Sheet1!$N$9:$N$2584,[1]Sheet1!$O$9:$O$2584,"N/A",0)</f>
        <v>103.04</v>
      </c>
      <c r="O1245">
        <v>106.92</v>
      </c>
      <c r="P1245">
        <v>138.34</v>
      </c>
      <c r="Q1245">
        <v>61.1</v>
      </c>
      <c r="R1245">
        <v>103.04</v>
      </c>
      <c r="S1245">
        <v>132.41</v>
      </c>
    </row>
    <row r="1246" spans="1:19">
      <c r="A1246" s="1">
        <v>44173</v>
      </c>
      <c r="B1246" t="s">
        <v>572</v>
      </c>
      <c r="C1246" t="s">
        <v>577</v>
      </c>
      <c r="D1246">
        <v>21.375</v>
      </c>
      <c r="E1246">
        <v>23.625</v>
      </c>
      <c r="F1246" s="2" t="s">
        <v>578</v>
      </c>
      <c r="G1246">
        <f ca="1" t="shared" si="57"/>
        <v>1.38824307956083</v>
      </c>
      <c r="H1246" t="str">
        <f ca="1" t="shared" si="58"/>
        <v>Risk-Off</v>
      </c>
      <c r="I1246">
        <f ca="1" t="shared" si="59"/>
        <v>1</v>
      </c>
      <c r="J1246">
        <f>_xlfn.XLOOKUP($A1246,[1]Sheet1!$B$9:$B$2584,[1]Sheet1!$C$9:$C$2584,"N/A",0)</f>
        <v>106.48</v>
      </c>
      <c r="K1246">
        <f>_xlfn.XLOOKUP($A1246,[1]Sheet1!$E$9:$E$2584,[1]Sheet1!$F$9:$F$2584,"N/A",0)</f>
        <v>138.56</v>
      </c>
      <c r="L1246">
        <f>_xlfn.XLOOKUP($A1246,[1]Sheet1!$H$9:$H$2584,[1]Sheet1!$I$9:$I$2584,"N/A",0)</f>
        <v>60.87</v>
      </c>
      <c r="M1246">
        <f>_xlfn.XLOOKUP($A1246,[1]Sheet1!$K$9:$K$2584,[1]Sheet1!$L$9:$L$2584,"N/A",0)</f>
        <v>132.57</v>
      </c>
      <c r="N1246">
        <f>_xlfn.XLOOKUP($A1246,[1]Sheet1!$N$9:$N$2584,[1]Sheet1!$O$9:$O$2584,"N/A",0)</f>
        <v>101.89</v>
      </c>
      <c r="O1246">
        <v>106.48</v>
      </c>
      <c r="P1246">
        <v>138.56</v>
      </c>
      <c r="Q1246">
        <v>60.87</v>
      </c>
      <c r="R1246">
        <v>101.89</v>
      </c>
      <c r="S1246">
        <v>132.57</v>
      </c>
    </row>
    <row r="1247" spans="1:19">
      <c r="A1247" s="1">
        <v>44174</v>
      </c>
      <c r="B1247" t="s">
        <v>572</v>
      </c>
      <c r="C1247" t="s">
        <v>577</v>
      </c>
      <c r="D1247">
        <v>22.525</v>
      </c>
      <c r="E1247">
        <v>24.375</v>
      </c>
      <c r="F1247">
        <v>0.0821309655937847</v>
      </c>
      <c r="G1247">
        <f ca="1" t="shared" si="57"/>
        <v>1.09970298704187</v>
      </c>
      <c r="H1247" t="str">
        <f ca="1" t="shared" si="58"/>
        <v>Risk-On</v>
      </c>
      <c r="I1247">
        <f ca="1" t="shared" si="59"/>
        <v>1</v>
      </c>
      <c r="J1247">
        <f>_xlfn.XLOOKUP($A1247,[1]Sheet1!$B$9:$B$2584,[1]Sheet1!$C$9:$C$2584,"N/A",0)</f>
        <v>106.14</v>
      </c>
      <c r="K1247">
        <f>_xlfn.XLOOKUP($A1247,[1]Sheet1!$E$9:$E$2584,[1]Sheet1!$F$9:$F$2584,"N/A",0)</f>
        <v>135.18</v>
      </c>
      <c r="L1247">
        <f>_xlfn.XLOOKUP($A1247,[1]Sheet1!$H$9:$H$2584,[1]Sheet1!$I$9:$I$2584,"N/A",0)</f>
        <v>61.36</v>
      </c>
      <c r="M1247">
        <f>_xlfn.XLOOKUP($A1247,[1]Sheet1!$K$9:$K$2584,[1]Sheet1!$L$9:$L$2584,"N/A",0)</f>
        <v>133.55</v>
      </c>
      <c r="N1247">
        <f>_xlfn.XLOOKUP($A1247,[1]Sheet1!$N$9:$N$2584,[1]Sheet1!$O$9:$O$2584,"N/A",0)</f>
        <v>102.02</v>
      </c>
      <c r="O1247">
        <v>106.14</v>
      </c>
      <c r="P1247">
        <v>135.18</v>
      </c>
      <c r="Q1247">
        <v>61.36</v>
      </c>
      <c r="R1247">
        <v>102.02</v>
      </c>
      <c r="S1247">
        <v>133.55</v>
      </c>
    </row>
    <row r="1248" spans="1:19">
      <c r="A1248" s="1">
        <v>44175</v>
      </c>
      <c r="B1248" t="s">
        <v>572</v>
      </c>
      <c r="C1248" t="s">
        <v>577</v>
      </c>
      <c r="D1248">
        <v>22.525</v>
      </c>
      <c r="E1248">
        <v>24.675</v>
      </c>
      <c r="F1248">
        <v>0.095449500554939</v>
      </c>
      <c r="G1248">
        <f ca="1" t="shared" si="57"/>
        <v>1.26434927141062</v>
      </c>
      <c r="H1248" t="str">
        <f ca="1" t="shared" si="58"/>
        <v>Risk-On</v>
      </c>
      <c r="I1248">
        <f ca="1" t="shared" si="59"/>
        <v>1</v>
      </c>
      <c r="J1248">
        <f>_xlfn.XLOOKUP($A1248,[1]Sheet1!$B$9:$B$2584,[1]Sheet1!$C$9:$C$2584,"N/A",0)</f>
        <v>106.03</v>
      </c>
      <c r="K1248">
        <f>_xlfn.XLOOKUP($A1248,[1]Sheet1!$E$9:$E$2584,[1]Sheet1!$F$9:$F$2584,"N/A",0)</f>
        <v>137.09</v>
      </c>
      <c r="L1248">
        <f>_xlfn.XLOOKUP($A1248,[1]Sheet1!$H$9:$H$2584,[1]Sheet1!$I$9:$I$2584,"N/A",0)</f>
        <v>61</v>
      </c>
      <c r="M1248">
        <f>_xlfn.XLOOKUP($A1248,[1]Sheet1!$K$9:$K$2584,[1]Sheet1!$L$9:$L$2584,"N/A",0)</f>
        <v>133.19</v>
      </c>
      <c r="N1248">
        <f>_xlfn.XLOOKUP($A1248,[1]Sheet1!$N$9:$N$2584,[1]Sheet1!$O$9:$O$2584,"N/A",0)</f>
        <v>101.08</v>
      </c>
      <c r="O1248">
        <v>106.03</v>
      </c>
      <c r="P1248">
        <v>137.09</v>
      </c>
      <c r="Q1248">
        <v>61</v>
      </c>
      <c r="R1248">
        <v>101.08</v>
      </c>
      <c r="S1248">
        <v>133.19</v>
      </c>
    </row>
    <row r="1249" spans="1:19">
      <c r="A1249" s="1">
        <v>44176</v>
      </c>
      <c r="B1249" t="s">
        <v>572</v>
      </c>
      <c r="C1249" t="s">
        <v>577</v>
      </c>
      <c r="D1249">
        <v>23.625</v>
      </c>
      <c r="E1249">
        <v>25.575</v>
      </c>
      <c r="F1249">
        <v>0.0825396825396825</v>
      </c>
      <c r="G1249">
        <f ca="1" t="shared" si="57"/>
        <v>1.08778042605451</v>
      </c>
      <c r="H1249" t="str">
        <f ca="1" t="shared" si="58"/>
        <v>Risk-On</v>
      </c>
      <c r="I1249">
        <f ca="1" t="shared" si="59"/>
        <v>1</v>
      </c>
      <c r="J1249">
        <f>_xlfn.XLOOKUP($A1249,[1]Sheet1!$B$9:$B$2584,[1]Sheet1!$C$9:$C$2584,"N/A",0)</f>
        <v>106.04</v>
      </c>
      <c r="K1249">
        <f>_xlfn.XLOOKUP($A1249,[1]Sheet1!$E$9:$E$2584,[1]Sheet1!$F$9:$F$2584,"N/A",0)</f>
        <v>137.77</v>
      </c>
      <c r="L1249">
        <f>_xlfn.XLOOKUP($A1249,[1]Sheet1!$H$9:$H$2584,[1]Sheet1!$I$9:$I$2584,"N/A",0)</f>
        <v>60.99</v>
      </c>
      <c r="M1249">
        <f>_xlfn.XLOOKUP($A1249,[1]Sheet1!$K$9:$K$2584,[1]Sheet1!$L$9:$L$2584,"N/A",0)</f>
        <v>133.46</v>
      </c>
      <c r="N1249">
        <f>_xlfn.XLOOKUP($A1249,[1]Sheet1!$N$9:$N$2584,[1]Sheet1!$O$9:$O$2584,"N/A",0)</f>
        <v>101.11</v>
      </c>
      <c r="O1249">
        <v>106.04</v>
      </c>
      <c r="P1249">
        <v>137.77</v>
      </c>
      <c r="Q1249">
        <v>60.99</v>
      </c>
      <c r="R1249">
        <v>101.11</v>
      </c>
      <c r="S1249">
        <v>133.46</v>
      </c>
    </row>
    <row r="1250" spans="1:19">
      <c r="A1250" s="1">
        <v>44179</v>
      </c>
      <c r="B1250" t="s">
        <v>572</v>
      </c>
      <c r="C1250" t="s">
        <v>577</v>
      </c>
      <c r="D1250">
        <v>24.275</v>
      </c>
      <c r="E1250">
        <v>26.125</v>
      </c>
      <c r="F1250">
        <v>0.0762100926879506</v>
      </c>
      <c r="G1250">
        <f ca="1" t="shared" si="57"/>
        <v>0.998957476875468</v>
      </c>
      <c r="H1250" t="str">
        <f ca="1" t="shared" si="58"/>
        <v>Risk-On</v>
      </c>
      <c r="I1250">
        <f ca="1" t="shared" si="59"/>
        <v>1</v>
      </c>
      <c r="J1250">
        <f>_xlfn.XLOOKUP($A1250,[1]Sheet1!$B$9:$B$2584,[1]Sheet1!$C$9:$C$2584,"N/A",0)</f>
        <v>105.84</v>
      </c>
      <c r="K1250">
        <f>_xlfn.XLOOKUP($A1250,[1]Sheet1!$E$9:$E$2584,[1]Sheet1!$F$9:$F$2584,"N/A",0)</f>
        <v>138.17</v>
      </c>
      <c r="L1250">
        <f>_xlfn.XLOOKUP($A1250,[1]Sheet1!$H$9:$H$2584,[1]Sheet1!$I$9:$I$2584,"N/A",0)</f>
        <v>60.85</v>
      </c>
      <c r="M1250">
        <f>_xlfn.XLOOKUP($A1250,[1]Sheet1!$K$9:$K$2584,[1]Sheet1!$L$9:$L$2584,"N/A",0)</f>
        <v>134.01</v>
      </c>
      <c r="N1250">
        <f>_xlfn.XLOOKUP($A1250,[1]Sheet1!$N$9:$N$2584,[1]Sheet1!$O$9:$O$2584,"N/A",0)</f>
        <v>100.36</v>
      </c>
      <c r="O1250">
        <v>105.84</v>
      </c>
      <c r="P1250">
        <v>138.17</v>
      </c>
      <c r="Q1250">
        <v>60.85</v>
      </c>
      <c r="R1250">
        <v>100.36</v>
      </c>
      <c r="S1250">
        <v>134.01</v>
      </c>
    </row>
    <row r="1251" spans="1:19">
      <c r="A1251" s="1">
        <v>44180</v>
      </c>
      <c r="B1251" t="s">
        <v>572</v>
      </c>
      <c r="C1251" t="s">
        <v>577</v>
      </c>
      <c r="D1251">
        <v>22.875</v>
      </c>
      <c r="E1251">
        <v>24.975</v>
      </c>
      <c r="F1251">
        <v>0.0918032786885246</v>
      </c>
      <c r="G1251">
        <f ca="1" t="shared" si="57"/>
        <v>1.19397415009883</v>
      </c>
      <c r="H1251" t="str">
        <f ca="1" t="shared" si="58"/>
        <v>Risk-On</v>
      </c>
      <c r="I1251">
        <f ca="1" t="shared" si="59"/>
        <v>1</v>
      </c>
      <c r="J1251">
        <f>_xlfn.XLOOKUP($A1251,[1]Sheet1!$B$9:$B$2584,[1]Sheet1!$C$9:$C$2584,"N/A",0)</f>
        <v>105.32</v>
      </c>
      <c r="K1251">
        <f>_xlfn.XLOOKUP($A1251,[1]Sheet1!$E$9:$E$2584,[1]Sheet1!$F$9:$F$2584,"N/A",0)</f>
        <v>138.8</v>
      </c>
      <c r="L1251">
        <f>_xlfn.XLOOKUP($A1251,[1]Sheet1!$H$9:$H$2584,[1]Sheet1!$I$9:$I$2584,"N/A",0)</f>
        <v>60.54</v>
      </c>
      <c r="M1251">
        <f>_xlfn.XLOOKUP($A1251,[1]Sheet1!$K$9:$K$2584,[1]Sheet1!$L$9:$L$2584,"N/A",0)</f>
        <v>133.65</v>
      </c>
      <c r="N1251">
        <f>_xlfn.XLOOKUP($A1251,[1]Sheet1!$N$9:$N$2584,[1]Sheet1!$O$9:$O$2584,"N/A",0)</f>
        <v>99.63</v>
      </c>
      <c r="O1251">
        <v>105.32</v>
      </c>
      <c r="P1251">
        <v>138.8</v>
      </c>
      <c r="Q1251">
        <v>60.54</v>
      </c>
      <c r="R1251">
        <v>99.63</v>
      </c>
      <c r="S1251">
        <v>133.65</v>
      </c>
    </row>
    <row r="1252" spans="1:19">
      <c r="A1252" s="1">
        <v>44181</v>
      </c>
      <c r="B1252" t="s">
        <v>572</v>
      </c>
      <c r="C1252" t="s">
        <v>577</v>
      </c>
      <c r="D1252">
        <v>23.35</v>
      </c>
      <c r="E1252">
        <v>24.1</v>
      </c>
      <c r="F1252" s="2" t="s">
        <v>579</v>
      </c>
      <c r="G1252">
        <f ca="1" t="shared" si="57"/>
        <v>0.416744654116439</v>
      </c>
      <c r="H1252" t="str">
        <f ca="1" t="shared" si="58"/>
        <v>Risk-On</v>
      </c>
      <c r="I1252">
        <f ca="1" t="shared" si="59"/>
        <v>1</v>
      </c>
      <c r="J1252">
        <f>_xlfn.XLOOKUP($A1252,[1]Sheet1!$B$9:$B$2584,[1]Sheet1!$C$9:$C$2584,"N/A",0)</f>
        <v>105.36</v>
      </c>
      <c r="K1252">
        <f>_xlfn.XLOOKUP($A1252,[1]Sheet1!$E$9:$E$2584,[1]Sheet1!$F$9:$F$2584,"N/A",0)</f>
        <v>140.25</v>
      </c>
      <c r="L1252">
        <f>_xlfn.XLOOKUP($A1252,[1]Sheet1!$H$9:$H$2584,[1]Sheet1!$I$9:$I$2584,"N/A",0)</f>
        <v>60.44</v>
      </c>
      <c r="M1252">
        <f>_xlfn.XLOOKUP($A1252,[1]Sheet1!$K$9:$K$2584,[1]Sheet1!$L$9:$L$2584,"N/A",0)</f>
        <v>134.71</v>
      </c>
      <c r="N1252">
        <f>_xlfn.XLOOKUP($A1252,[1]Sheet1!$N$9:$N$2584,[1]Sheet1!$O$9:$O$2584,"N/A",0)</f>
        <v>99.83</v>
      </c>
      <c r="O1252">
        <v>105.36</v>
      </c>
      <c r="P1252">
        <v>140.25</v>
      </c>
      <c r="Q1252">
        <v>60.44</v>
      </c>
      <c r="R1252">
        <v>99.83</v>
      </c>
      <c r="S1252">
        <v>134.71</v>
      </c>
    </row>
    <row r="1253" spans="1:19">
      <c r="A1253" s="1">
        <v>44182</v>
      </c>
      <c r="B1253" t="s">
        <v>577</v>
      </c>
      <c r="C1253" t="s">
        <v>580</v>
      </c>
      <c r="D1253">
        <v>23.825</v>
      </c>
      <c r="E1253">
        <v>25.425</v>
      </c>
      <c r="F1253">
        <v>0.0671563483735572</v>
      </c>
      <c r="G1253">
        <f ca="1" t="shared" si="57"/>
        <v>0.867907302111362</v>
      </c>
      <c r="H1253" t="str">
        <f ca="1" t="shared" si="58"/>
        <v>Risk-On</v>
      </c>
      <c r="I1253">
        <f ca="1" t="shared" si="59"/>
        <v>1</v>
      </c>
      <c r="J1253">
        <f>_xlfn.XLOOKUP($A1253,[1]Sheet1!$B$9:$B$2584,[1]Sheet1!$C$9:$C$2584,"N/A",0)</f>
        <v>105.38</v>
      </c>
      <c r="K1253">
        <f>_xlfn.XLOOKUP($A1253,[1]Sheet1!$E$9:$E$2584,[1]Sheet1!$F$9:$F$2584,"N/A",0)</f>
        <v>142.6</v>
      </c>
      <c r="L1253">
        <f>_xlfn.XLOOKUP($A1253,[1]Sheet1!$H$9:$H$2584,[1]Sheet1!$I$9:$I$2584,"N/A",0)</f>
        <v>60.21</v>
      </c>
      <c r="M1253">
        <f>_xlfn.XLOOKUP($A1253,[1]Sheet1!$K$9:$K$2584,[1]Sheet1!$L$9:$L$2584,"N/A",0)</f>
        <v>134.67</v>
      </c>
      <c r="N1253">
        <f>_xlfn.XLOOKUP($A1253,[1]Sheet1!$N$9:$N$2584,[1]Sheet1!$O$9:$O$2584,"N/A",0)</f>
        <v>99.38</v>
      </c>
      <c r="O1253">
        <v>105.38</v>
      </c>
      <c r="P1253">
        <v>142.6</v>
      </c>
      <c r="Q1253">
        <v>60.21</v>
      </c>
      <c r="R1253">
        <v>99.38</v>
      </c>
      <c r="S1253">
        <v>134.67</v>
      </c>
    </row>
    <row r="1254" spans="1:19">
      <c r="A1254" s="1">
        <v>44183</v>
      </c>
      <c r="B1254" t="s">
        <v>577</v>
      </c>
      <c r="C1254" t="s">
        <v>580</v>
      </c>
      <c r="D1254">
        <v>24.175</v>
      </c>
      <c r="E1254">
        <v>25.725</v>
      </c>
      <c r="F1254">
        <v>0.0641158221302999</v>
      </c>
      <c r="G1254">
        <f ca="1" t="shared" si="57"/>
        <v>0.824181478846399</v>
      </c>
      <c r="H1254" t="str">
        <f ca="1" t="shared" si="58"/>
        <v>Risk-On</v>
      </c>
      <c r="I1254">
        <f ca="1" t="shared" si="59"/>
        <v>1</v>
      </c>
      <c r="J1254">
        <f>_xlfn.XLOOKUP($A1254,[1]Sheet1!$B$9:$B$2584,[1]Sheet1!$C$9:$C$2584,"N/A",0)</f>
        <v>105.67</v>
      </c>
      <c r="K1254">
        <f>_xlfn.XLOOKUP($A1254,[1]Sheet1!$E$9:$E$2584,[1]Sheet1!$F$9:$F$2584,"N/A",0)</f>
        <v>143.48</v>
      </c>
      <c r="L1254">
        <f>_xlfn.XLOOKUP($A1254,[1]Sheet1!$H$9:$H$2584,[1]Sheet1!$I$9:$I$2584,"N/A",0)</f>
        <v>60.09</v>
      </c>
      <c r="M1254">
        <f>_xlfn.XLOOKUP($A1254,[1]Sheet1!$K$9:$K$2584,[1]Sheet1!$L$9:$L$2584,"N/A",0)</f>
        <v>135.34</v>
      </c>
      <c r="N1254">
        <f>_xlfn.XLOOKUP($A1254,[1]Sheet1!$N$9:$N$2584,[1]Sheet1!$O$9:$O$2584,"N/A",0)</f>
        <v>99.46</v>
      </c>
      <c r="O1254">
        <v>105.67</v>
      </c>
      <c r="P1254">
        <v>143.48</v>
      </c>
      <c r="Q1254">
        <v>60.09</v>
      </c>
      <c r="R1254">
        <v>99.46</v>
      </c>
      <c r="S1254">
        <v>135.34</v>
      </c>
    </row>
    <row r="1255" spans="1:19">
      <c r="A1255" s="1">
        <v>44186</v>
      </c>
      <c r="B1255" t="s">
        <v>577</v>
      </c>
      <c r="C1255" t="s">
        <v>580</v>
      </c>
      <c r="D1255">
        <v>26.325</v>
      </c>
      <c r="E1255">
        <v>27.125</v>
      </c>
      <c r="F1255" s="2" t="s">
        <v>581</v>
      </c>
      <c r="G1255">
        <f ca="1" t="shared" si="57"/>
        <v>0.385027021095784</v>
      </c>
      <c r="H1255" t="str">
        <f ca="1" t="shared" si="58"/>
        <v>Risk-On</v>
      </c>
      <c r="I1255">
        <f ca="1" t="shared" si="59"/>
        <v>1</v>
      </c>
      <c r="J1255">
        <f>_xlfn.XLOOKUP($A1255,[1]Sheet1!$B$9:$B$2584,[1]Sheet1!$C$9:$C$2584,"N/A",0)</f>
        <v>105.78</v>
      </c>
      <c r="K1255">
        <f>_xlfn.XLOOKUP($A1255,[1]Sheet1!$E$9:$E$2584,[1]Sheet1!$F$9:$F$2584,"N/A",0)</f>
        <v>144.93</v>
      </c>
      <c r="L1255">
        <f>_xlfn.XLOOKUP($A1255,[1]Sheet1!$H$9:$H$2584,[1]Sheet1!$I$9:$I$2584,"N/A",0)</f>
        <v>59.97</v>
      </c>
      <c r="M1255">
        <f>_xlfn.XLOOKUP($A1255,[1]Sheet1!$K$9:$K$2584,[1]Sheet1!$L$9:$L$2584,"N/A",0)</f>
        <v>135.74</v>
      </c>
      <c r="N1255">
        <f>_xlfn.XLOOKUP($A1255,[1]Sheet1!$N$9:$N$2584,[1]Sheet1!$O$9:$O$2584,"N/A",0)</f>
        <v>98.97</v>
      </c>
      <c r="O1255">
        <v>105.78</v>
      </c>
      <c r="P1255">
        <v>144.93</v>
      </c>
      <c r="Q1255">
        <v>59.97</v>
      </c>
      <c r="R1255">
        <v>98.97</v>
      </c>
      <c r="S1255">
        <v>135.74</v>
      </c>
    </row>
    <row r="1256" spans="1:19">
      <c r="A1256" s="1">
        <v>44187</v>
      </c>
      <c r="B1256" t="s">
        <v>577</v>
      </c>
      <c r="C1256" t="s">
        <v>580</v>
      </c>
      <c r="D1256">
        <v>25.775</v>
      </c>
      <c r="E1256">
        <v>26.925</v>
      </c>
      <c r="F1256">
        <v>0.0446168768186227</v>
      </c>
      <c r="G1256">
        <f ca="1" t="shared" si="57"/>
        <v>0.56855143457379</v>
      </c>
      <c r="H1256" t="str">
        <f ca="1" t="shared" si="58"/>
        <v>Risk-On</v>
      </c>
      <c r="I1256">
        <f ca="1" t="shared" si="59"/>
        <v>1</v>
      </c>
      <c r="J1256">
        <f>_xlfn.XLOOKUP($A1256,[1]Sheet1!$B$9:$B$2584,[1]Sheet1!$C$9:$C$2584,"N/A",0)</f>
        <v>106.16</v>
      </c>
      <c r="K1256">
        <f>_xlfn.XLOOKUP($A1256,[1]Sheet1!$E$9:$E$2584,[1]Sheet1!$F$9:$F$2584,"N/A",0)</f>
        <v>147.15</v>
      </c>
      <c r="L1256">
        <f>_xlfn.XLOOKUP($A1256,[1]Sheet1!$H$9:$H$2584,[1]Sheet1!$I$9:$I$2584,"N/A",0)</f>
        <v>59.77</v>
      </c>
      <c r="M1256">
        <f>_xlfn.XLOOKUP($A1256,[1]Sheet1!$K$9:$K$2584,[1]Sheet1!$L$9:$L$2584,"N/A",0)</f>
        <v>137.14</v>
      </c>
      <c r="N1256">
        <f>_xlfn.XLOOKUP($A1256,[1]Sheet1!$N$9:$N$2584,[1]Sheet1!$O$9:$O$2584,"N/A",0)</f>
        <v>97.63</v>
      </c>
      <c r="O1256">
        <v>106.16</v>
      </c>
      <c r="P1256">
        <v>147.15</v>
      </c>
      <c r="Q1256">
        <v>59.77</v>
      </c>
      <c r="R1256">
        <v>97.63</v>
      </c>
      <c r="S1256">
        <v>137.14</v>
      </c>
    </row>
    <row r="1257" spans="1:19">
      <c r="A1257" s="1">
        <v>44188</v>
      </c>
      <c r="B1257" t="s">
        <v>577</v>
      </c>
      <c r="C1257" t="s">
        <v>580</v>
      </c>
      <c r="D1257">
        <v>24.625</v>
      </c>
      <c r="E1257">
        <v>26.175</v>
      </c>
      <c r="F1257">
        <v>0.0629441624365482</v>
      </c>
      <c r="G1257">
        <f ca="1" t="shared" si="57"/>
        <v>0.803219683539001</v>
      </c>
      <c r="H1257" t="str">
        <f ca="1" t="shared" si="58"/>
        <v>Risk-On</v>
      </c>
      <c r="I1257">
        <f ca="1" t="shared" si="59"/>
        <v>1</v>
      </c>
      <c r="J1257">
        <f>_xlfn.XLOOKUP($A1257,[1]Sheet1!$B$9:$B$2584,[1]Sheet1!$C$9:$C$2584,"N/A",0)</f>
        <v>106.08</v>
      </c>
      <c r="K1257">
        <f>_xlfn.XLOOKUP($A1257,[1]Sheet1!$E$9:$E$2584,[1]Sheet1!$F$9:$F$2584,"N/A",0)</f>
        <v>144.85</v>
      </c>
      <c r="L1257">
        <f>_xlfn.XLOOKUP($A1257,[1]Sheet1!$H$9:$H$2584,[1]Sheet1!$I$9:$I$2584,"N/A",0)</f>
        <v>60.37</v>
      </c>
      <c r="M1257">
        <f>_xlfn.XLOOKUP($A1257,[1]Sheet1!$K$9:$K$2584,[1]Sheet1!$L$9:$L$2584,"N/A",0)</f>
        <v>135.25</v>
      </c>
      <c r="N1257">
        <f>_xlfn.XLOOKUP($A1257,[1]Sheet1!$N$9:$N$2584,[1]Sheet1!$O$9:$O$2584,"N/A",0)</f>
        <v>97.49</v>
      </c>
      <c r="O1257">
        <v>106.08</v>
      </c>
      <c r="P1257">
        <v>144.85</v>
      </c>
      <c r="Q1257">
        <v>60.37</v>
      </c>
      <c r="R1257">
        <v>97.49</v>
      </c>
      <c r="S1257">
        <v>135.25</v>
      </c>
    </row>
    <row r="1258" spans="1:19">
      <c r="A1258" s="1">
        <v>44189</v>
      </c>
      <c r="B1258" t="s">
        <v>577</v>
      </c>
      <c r="C1258" t="s">
        <v>580</v>
      </c>
      <c r="D1258">
        <v>23.825</v>
      </c>
      <c r="E1258">
        <v>25.625</v>
      </c>
      <c r="F1258">
        <v>0.0755508919202518</v>
      </c>
      <c r="G1258">
        <f ca="1" t="shared" si="57"/>
        <v>0.962463580833552</v>
      </c>
      <c r="H1258" t="str">
        <f ca="1" t="shared" si="58"/>
        <v>Risk-Off</v>
      </c>
      <c r="I1258">
        <f ca="1" t="shared" si="59"/>
        <v>1</v>
      </c>
      <c r="J1258">
        <f>_xlfn.XLOOKUP($A1258,[1]Sheet1!$B$9:$B$2584,[1]Sheet1!$C$9:$C$2584,"N/A",0)</f>
        <v>105.92</v>
      </c>
      <c r="K1258">
        <f>_xlfn.XLOOKUP($A1258,[1]Sheet1!$E$9:$E$2584,[1]Sheet1!$F$9:$F$2584,"N/A",0)</f>
        <v>144.76</v>
      </c>
      <c r="L1258">
        <f>_xlfn.XLOOKUP($A1258,[1]Sheet1!$H$9:$H$2584,[1]Sheet1!$I$9:$I$2584,"N/A",0)</f>
        <v>60.4</v>
      </c>
      <c r="M1258">
        <f>_xlfn.XLOOKUP($A1258,[1]Sheet1!$K$9:$K$2584,[1]Sheet1!$L$9:$L$2584,"N/A",0)</f>
        <v>135.39</v>
      </c>
      <c r="N1258">
        <f>_xlfn.XLOOKUP($A1258,[1]Sheet1!$N$9:$N$2584,[1]Sheet1!$O$9:$O$2584,"N/A",0)</f>
        <v>97.62</v>
      </c>
      <c r="O1258">
        <v>105.92</v>
      </c>
      <c r="P1258">
        <v>144.76</v>
      </c>
      <c r="Q1258">
        <v>60.4</v>
      </c>
      <c r="R1258">
        <v>97.62</v>
      </c>
      <c r="S1258">
        <v>135.39</v>
      </c>
    </row>
    <row r="1259" spans="1:19">
      <c r="A1259" s="1">
        <v>44193</v>
      </c>
      <c r="B1259" t="s">
        <v>577</v>
      </c>
      <c r="C1259" t="s">
        <v>580</v>
      </c>
      <c r="D1259">
        <v>23.675</v>
      </c>
      <c r="E1259">
        <v>25.575</v>
      </c>
      <c r="F1259">
        <v>0.0802534318901794</v>
      </c>
      <c r="G1259">
        <f ca="1" t="shared" si="57"/>
        <v>1.01791870789397</v>
      </c>
      <c r="H1259" t="str">
        <f ca="1" t="shared" si="58"/>
        <v>Risk-On</v>
      </c>
      <c r="I1259">
        <f ca="1" t="shared" si="59"/>
        <v>1</v>
      </c>
      <c r="J1259">
        <f>_xlfn.XLOOKUP($A1259,[1]Sheet1!$B$9:$B$2584,[1]Sheet1!$C$9:$C$2584,"N/A",0)</f>
        <v>105.61</v>
      </c>
      <c r="K1259">
        <f>_xlfn.XLOOKUP($A1259,[1]Sheet1!$E$9:$E$2584,[1]Sheet1!$F$9:$F$2584,"N/A",0)</f>
        <v>142.09</v>
      </c>
      <c r="L1259">
        <f>_xlfn.XLOOKUP($A1259,[1]Sheet1!$H$9:$H$2584,[1]Sheet1!$I$9:$I$2584,"N/A",0)</f>
        <v>60.19</v>
      </c>
      <c r="M1259">
        <f>_xlfn.XLOOKUP($A1259,[1]Sheet1!$K$9:$K$2584,[1]Sheet1!$L$9:$L$2584,"N/A",0)</f>
        <v>135.02</v>
      </c>
      <c r="N1259">
        <f>_xlfn.XLOOKUP($A1259,[1]Sheet1!$N$9:$N$2584,[1]Sheet1!$O$9:$O$2584,"N/A",0)</f>
        <v>97.99</v>
      </c>
      <c r="O1259">
        <v>105.61</v>
      </c>
      <c r="P1259">
        <v>142.09</v>
      </c>
      <c r="Q1259">
        <v>60.19</v>
      </c>
      <c r="R1259">
        <v>97.99</v>
      </c>
      <c r="S1259">
        <v>135.02</v>
      </c>
    </row>
    <row r="1260" spans="1:19">
      <c r="A1260" s="1">
        <v>44194</v>
      </c>
      <c r="B1260" t="s">
        <v>577</v>
      </c>
      <c r="C1260" t="s">
        <v>580</v>
      </c>
      <c r="D1260">
        <v>24.625</v>
      </c>
      <c r="E1260">
        <v>26.425</v>
      </c>
      <c r="F1260">
        <v>0.0730964467005076</v>
      </c>
      <c r="G1260">
        <f ca="1" t="shared" si="57"/>
        <v>0.919292860290362</v>
      </c>
      <c r="H1260" t="str">
        <f ca="1" t="shared" si="58"/>
        <v>Risk-On</v>
      </c>
      <c r="I1260">
        <f ca="1" t="shared" si="59"/>
        <v>1</v>
      </c>
      <c r="J1260">
        <f>_xlfn.XLOOKUP($A1260,[1]Sheet1!$B$9:$B$2584,[1]Sheet1!$C$9:$C$2584,"N/A",0)</f>
        <v>105.45</v>
      </c>
      <c r="K1260">
        <f>_xlfn.XLOOKUP($A1260,[1]Sheet1!$E$9:$E$2584,[1]Sheet1!$F$9:$F$2584,"N/A",0)</f>
        <v>141.78</v>
      </c>
      <c r="L1260">
        <f>_xlfn.XLOOKUP($A1260,[1]Sheet1!$H$9:$H$2584,[1]Sheet1!$I$9:$I$2584,"N/A",0)</f>
        <v>60.28</v>
      </c>
      <c r="M1260">
        <f>_xlfn.XLOOKUP($A1260,[1]Sheet1!$K$9:$K$2584,[1]Sheet1!$L$9:$L$2584,"N/A",0)</f>
        <v>135.05</v>
      </c>
      <c r="N1260">
        <f>_xlfn.XLOOKUP($A1260,[1]Sheet1!$N$9:$N$2584,[1]Sheet1!$O$9:$O$2584,"N/A",0)</f>
        <v>99.07</v>
      </c>
      <c r="O1260">
        <v>105.45</v>
      </c>
      <c r="P1260">
        <v>141.78</v>
      </c>
      <c r="Q1260">
        <v>60.28</v>
      </c>
      <c r="R1260">
        <v>99.07</v>
      </c>
      <c r="S1260">
        <v>135.05</v>
      </c>
    </row>
    <row r="1261" spans="1:19">
      <c r="A1261" s="1">
        <v>44195</v>
      </c>
      <c r="B1261" t="s">
        <v>577</v>
      </c>
      <c r="C1261" t="s">
        <v>580</v>
      </c>
      <c r="D1261">
        <v>23.675</v>
      </c>
      <c r="E1261">
        <v>25.625</v>
      </c>
      <c r="F1261">
        <v>0.0823653643083421</v>
      </c>
      <c r="G1261">
        <f ca="1" t="shared" si="57"/>
        <v>1.03440869506849</v>
      </c>
      <c r="H1261" t="str">
        <f ca="1" t="shared" si="58"/>
        <v>Risk-On</v>
      </c>
      <c r="I1261">
        <f ca="1" t="shared" si="59"/>
        <v>1</v>
      </c>
      <c r="J1261">
        <f>_xlfn.XLOOKUP($A1261,[1]Sheet1!$B$9:$B$2584,[1]Sheet1!$C$9:$C$2584,"N/A",0)</f>
        <v>105.66</v>
      </c>
      <c r="K1261">
        <f>_xlfn.XLOOKUP($A1261,[1]Sheet1!$E$9:$E$2584,[1]Sheet1!$F$9:$F$2584,"N/A",0)</f>
        <v>142.69</v>
      </c>
      <c r="L1261">
        <f>_xlfn.XLOOKUP($A1261,[1]Sheet1!$H$9:$H$2584,[1]Sheet1!$I$9:$I$2584,"N/A",0)</f>
        <v>60.38</v>
      </c>
      <c r="M1261">
        <f>_xlfn.XLOOKUP($A1261,[1]Sheet1!$K$9:$K$2584,[1]Sheet1!$L$9:$L$2584,"N/A",0)</f>
        <v>134.99</v>
      </c>
      <c r="N1261">
        <f>_xlfn.XLOOKUP($A1261,[1]Sheet1!$N$9:$N$2584,[1]Sheet1!$O$9:$O$2584,"N/A",0)</f>
        <v>98.91</v>
      </c>
      <c r="O1261">
        <v>105.66</v>
      </c>
      <c r="P1261">
        <v>142.69</v>
      </c>
      <c r="Q1261">
        <v>60.38</v>
      </c>
      <c r="R1261">
        <v>98.91</v>
      </c>
      <c r="S1261">
        <v>134.99</v>
      </c>
    </row>
    <row r="1262" spans="1:19">
      <c r="A1262" s="1">
        <v>44196</v>
      </c>
      <c r="B1262" t="s">
        <v>577</v>
      </c>
      <c r="C1262" t="s">
        <v>580</v>
      </c>
      <c r="D1262">
        <v>23.675</v>
      </c>
      <c r="E1262">
        <v>25.575</v>
      </c>
      <c r="F1262">
        <v>0.0802534318901794</v>
      </c>
      <c r="G1262">
        <f ca="1" t="shared" si="57"/>
        <v>1.0009358939043</v>
      </c>
      <c r="H1262" t="str">
        <f ca="1" t="shared" si="58"/>
        <v>Risk-On</v>
      </c>
      <c r="I1262">
        <f ca="1" t="shared" si="59"/>
        <v>1</v>
      </c>
      <c r="J1262">
        <f>_xlfn.XLOOKUP($A1262,[1]Sheet1!$B$9:$B$2584,[1]Sheet1!$C$9:$C$2584,"N/A",0)</f>
        <v>105.54</v>
      </c>
      <c r="K1262">
        <f>_xlfn.XLOOKUP($A1262,[1]Sheet1!$E$9:$E$2584,[1]Sheet1!$F$9:$F$2584,"N/A",0)</f>
        <v>141.41</v>
      </c>
      <c r="L1262">
        <f>_xlfn.XLOOKUP($A1262,[1]Sheet1!$H$9:$H$2584,[1]Sheet1!$I$9:$I$2584,"N/A",0)</f>
        <v>60.33</v>
      </c>
      <c r="M1262">
        <f>_xlfn.XLOOKUP($A1262,[1]Sheet1!$K$9:$K$2584,[1]Sheet1!$L$9:$L$2584,"N/A",0)</f>
        <v>135.18</v>
      </c>
      <c r="N1262">
        <f>_xlfn.XLOOKUP($A1262,[1]Sheet1!$N$9:$N$2584,[1]Sheet1!$O$9:$O$2584,"N/A",0)</f>
        <v>99.46</v>
      </c>
      <c r="O1262">
        <v>105.54</v>
      </c>
      <c r="P1262">
        <v>141.41</v>
      </c>
      <c r="Q1262">
        <v>60.33</v>
      </c>
      <c r="R1262">
        <v>99.46</v>
      </c>
      <c r="S1262">
        <v>135.18</v>
      </c>
    </row>
    <row r="1263" spans="1:19">
      <c r="A1263" s="1">
        <v>44200</v>
      </c>
      <c r="B1263" t="s">
        <v>577</v>
      </c>
      <c r="C1263" t="s">
        <v>580</v>
      </c>
      <c r="D1263">
        <v>26.275</v>
      </c>
      <c r="E1263">
        <v>27.125</v>
      </c>
      <c r="F1263" s="2" t="s">
        <v>582</v>
      </c>
      <c r="G1263">
        <f ca="1" t="shared" si="57"/>
        <v>0.375130138644207</v>
      </c>
      <c r="H1263" t="str">
        <f ca="1" t="shared" si="58"/>
        <v>Risk-On</v>
      </c>
      <c r="I1263">
        <f ca="1" t="shared" si="59"/>
        <v>1</v>
      </c>
      <c r="J1263">
        <f>_xlfn.XLOOKUP($A1263,[1]Sheet1!$B$9:$B$2584,[1]Sheet1!$C$9:$C$2584,"N/A",0)</f>
        <v>105.72</v>
      </c>
      <c r="K1263">
        <f>_xlfn.XLOOKUP($A1263,[1]Sheet1!$E$9:$E$2584,[1]Sheet1!$F$9:$F$2584,"N/A",0)</f>
        <v>141.82</v>
      </c>
      <c r="L1263">
        <f>_xlfn.XLOOKUP($A1263,[1]Sheet1!$H$9:$H$2584,[1]Sheet1!$I$9:$I$2584,"N/A",0)</f>
        <v>61.22</v>
      </c>
      <c r="M1263">
        <f>_xlfn.XLOOKUP($A1263,[1]Sheet1!$K$9:$K$2584,[1]Sheet1!$L$9:$L$2584,"N/A",0)</f>
        <v>134.2</v>
      </c>
      <c r="N1263">
        <f>_xlfn.XLOOKUP($A1263,[1]Sheet1!$N$9:$N$2584,[1]Sheet1!$O$9:$O$2584,"N/A",0)</f>
        <v>99.16</v>
      </c>
      <c r="O1263">
        <v>105.72</v>
      </c>
      <c r="P1263">
        <v>141.82</v>
      </c>
      <c r="Q1263">
        <v>61.22</v>
      </c>
      <c r="R1263">
        <v>99.16</v>
      </c>
      <c r="S1263">
        <v>134.2</v>
      </c>
    </row>
    <row r="1264" spans="1:19">
      <c r="A1264" s="1">
        <v>44201</v>
      </c>
      <c r="B1264" t="s">
        <v>577</v>
      </c>
      <c r="C1264" t="s">
        <v>580</v>
      </c>
      <c r="D1264">
        <v>25.325</v>
      </c>
      <c r="E1264">
        <v>26.425</v>
      </c>
      <c r="F1264">
        <v>0.0434353405725568</v>
      </c>
      <c r="G1264">
        <f ca="1" t="shared" si="57"/>
        <v>0.528368672722098</v>
      </c>
      <c r="H1264" t="str">
        <f ca="1" t="shared" si="58"/>
        <v>Risk-On</v>
      </c>
      <c r="I1264">
        <f ca="1" t="shared" si="59"/>
        <v>1</v>
      </c>
      <c r="J1264">
        <f>_xlfn.XLOOKUP($A1264,[1]Sheet1!$B$9:$B$2584,[1]Sheet1!$C$9:$C$2584,"N/A",0)</f>
        <v>106.17</v>
      </c>
      <c r="K1264">
        <f>_xlfn.XLOOKUP($A1264,[1]Sheet1!$E$9:$E$2584,[1]Sheet1!$F$9:$F$2584,"N/A",0)</f>
        <v>142.33</v>
      </c>
      <c r="L1264">
        <f>_xlfn.XLOOKUP($A1264,[1]Sheet1!$H$9:$H$2584,[1]Sheet1!$I$9:$I$2584,"N/A",0)</f>
        <v>61.48</v>
      </c>
      <c r="M1264">
        <f>_xlfn.XLOOKUP($A1264,[1]Sheet1!$K$9:$K$2584,[1]Sheet1!$L$9:$L$2584,"N/A",0)</f>
        <v>133.83</v>
      </c>
      <c r="N1264">
        <f>_xlfn.XLOOKUP($A1264,[1]Sheet1!$N$9:$N$2584,[1]Sheet1!$O$9:$O$2584,"N/A",0)</f>
        <v>98.71</v>
      </c>
      <c r="O1264">
        <v>106.17</v>
      </c>
      <c r="P1264">
        <v>142.33</v>
      </c>
      <c r="Q1264">
        <v>61.48</v>
      </c>
      <c r="R1264">
        <v>98.71</v>
      </c>
      <c r="S1264">
        <v>133.83</v>
      </c>
    </row>
    <row r="1265" spans="1:19">
      <c r="A1265" s="1">
        <v>44202</v>
      </c>
      <c r="B1265" t="s">
        <v>577</v>
      </c>
      <c r="C1265" t="s">
        <v>580</v>
      </c>
      <c r="D1265">
        <v>25.125</v>
      </c>
      <c r="E1265">
        <v>26.275</v>
      </c>
      <c r="F1265">
        <v>0.0457711442786069</v>
      </c>
      <c r="G1265">
        <f ca="1" t="shared" si="57"/>
        <v>0.556833503738924</v>
      </c>
      <c r="H1265" t="str">
        <f ca="1" t="shared" si="58"/>
        <v>Risk-On</v>
      </c>
      <c r="I1265">
        <f ca="1" t="shared" si="59"/>
        <v>1</v>
      </c>
      <c r="J1265">
        <f>_xlfn.XLOOKUP($A1265,[1]Sheet1!$B$9:$B$2584,[1]Sheet1!$C$9:$C$2584,"N/A",0)</f>
        <v>105.92</v>
      </c>
      <c r="K1265">
        <f>_xlfn.XLOOKUP($A1265,[1]Sheet1!$E$9:$E$2584,[1]Sheet1!$F$9:$F$2584,"N/A",0)</f>
        <v>140.21</v>
      </c>
      <c r="L1265">
        <f>_xlfn.XLOOKUP($A1265,[1]Sheet1!$H$9:$H$2584,[1]Sheet1!$I$9:$I$2584,"N/A",0)</f>
        <v>62.75</v>
      </c>
      <c r="M1265">
        <f>_xlfn.XLOOKUP($A1265,[1]Sheet1!$K$9:$K$2584,[1]Sheet1!$L$9:$L$2584,"N/A",0)</f>
        <v>132.73</v>
      </c>
      <c r="N1265">
        <f>_xlfn.XLOOKUP($A1265,[1]Sheet1!$N$9:$N$2584,[1]Sheet1!$O$9:$O$2584,"N/A",0)</f>
        <v>96.94</v>
      </c>
      <c r="O1265">
        <v>105.92</v>
      </c>
      <c r="P1265">
        <v>140.21</v>
      </c>
      <c r="Q1265">
        <v>62.75</v>
      </c>
      <c r="R1265">
        <v>96.94</v>
      </c>
      <c r="S1265">
        <v>132.73</v>
      </c>
    </row>
    <row r="1266" spans="1:19">
      <c r="A1266" s="1">
        <v>44203</v>
      </c>
      <c r="B1266" t="s">
        <v>577</v>
      </c>
      <c r="C1266" t="s">
        <v>580</v>
      </c>
      <c r="D1266">
        <v>23.225</v>
      </c>
      <c r="E1266">
        <v>24.975</v>
      </c>
      <c r="F1266">
        <v>0.0753498385360602</v>
      </c>
      <c r="G1266">
        <f ca="1" t="shared" si="57"/>
        <v>0.940364972279508</v>
      </c>
      <c r="H1266" t="str">
        <f ca="1" t="shared" si="58"/>
        <v>Risk-On</v>
      </c>
      <c r="I1266">
        <f ca="1" t="shared" si="59"/>
        <v>1</v>
      </c>
      <c r="J1266">
        <f>_xlfn.XLOOKUP($A1266,[1]Sheet1!$B$9:$B$2584,[1]Sheet1!$C$9:$C$2584,"N/A",0)</f>
        <v>106.66</v>
      </c>
      <c r="K1266">
        <f>_xlfn.XLOOKUP($A1266,[1]Sheet1!$E$9:$E$2584,[1]Sheet1!$F$9:$F$2584,"N/A",0)</f>
        <v>143.77</v>
      </c>
      <c r="L1266">
        <f>_xlfn.XLOOKUP($A1266,[1]Sheet1!$H$9:$H$2584,[1]Sheet1!$I$9:$I$2584,"N/A",0)</f>
        <v>62.67</v>
      </c>
      <c r="M1266">
        <f>_xlfn.XLOOKUP($A1266,[1]Sheet1!$K$9:$K$2584,[1]Sheet1!$L$9:$L$2584,"N/A",0)</f>
        <v>133.02</v>
      </c>
      <c r="N1266">
        <f>_xlfn.XLOOKUP($A1266,[1]Sheet1!$N$9:$N$2584,[1]Sheet1!$O$9:$O$2584,"N/A",0)</f>
        <v>97.04</v>
      </c>
      <c r="O1266">
        <v>106.66</v>
      </c>
      <c r="P1266">
        <v>143.77</v>
      </c>
      <c r="Q1266">
        <v>62.67</v>
      </c>
      <c r="R1266">
        <v>97.04</v>
      </c>
      <c r="S1266">
        <v>133.02</v>
      </c>
    </row>
    <row r="1267" spans="1:19">
      <c r="A1267" s="1">
        <v>44204</v>
      </c>
      <c r="B1267" t="s">
        <v>577</v>
      </c>
      <c r="C1267" t="s">
        <v>580</v>
      </c>
      <c r="D1267">
        <v>22.775</v>
      </c>
      <c r="E1267">
        <v>24.825</v>
      </c>
      <c r="F1267">
        <v>0.0900109769484083</v>
      </c>
      <c r="G1267">
        <f ca="1" t="shared" si="57"/>
        <v>1.12656611512045</v>
      </c>
      <c r="H1267" t="str">
        <f ca="1" t="shared" si="58"/>
        <v>Risk-On</v>
      </c>
      <c r="I1267">
        <f ca="1" t="shared" si="59"/>
        <v>1</v>
      </c>
      <c r="J1267">
        <f>_xlfn.XLOOKUP($A1267,[1]Sheet1!$B$9:$B$2584,[1]Sheet1!$C$9:$C$2584,"N/A",0)</f>
        <v>107.18</v>
      </c>
      <c r="K1267">
        <f>_xlfn.XLOOKUP($A1267,[1]Sheet1!$E$9:$E$2584,[1]Sheet1!$F$9:$F$2584,"N/A",0)</f>
        <v>144.2</v>
      </c>
      <c r="L1267">
        <f>_xlfn.XLOOKUP($A1267,[1]Sheet1!$H$9:$H$2584,[1]Sheet1!$I$9:$I$2584,"N/A",0)</f>
        <v>62.39</v>
      </c>
      <c r="M1267">
        <f>_xlfn.XLOOKUP($A1267,[1]Sheet1!$K$9:$K$2584,[1]Sheet1!$L$9:$L$2584,"N/A",0)</f>
        <v>134.7</v>
      </c>
      <c r="N1267">
        <f>_xlfn.XLOOKUP($A1267,[1]Sheet1!$N$9:$N$2584,[1]Sheet1!$O$9:$O$2584,"N/A",0)</f>
        <v>97.38</v>
      </c>
      <c r="O1267">
        <v>107.18</v>
      </c>
      <c r="P1267">
        <v>144.2</v>
      </c>
      <c r="Q1267">
        <v>62.39</v>
      </c>
      <c r="R1267">
        <v>97.38</v>
      </c>
      <c r="S1267">
        <v>134.7</v>
      </c>
    </row>
    <row r="1268" spans="1:19">
      <c r="A1268" s="1">
        <v>44207</v>
      </c>
      <c r="B1268" t="s">
        <v>577</v>
      </c>
      <c r="C1268" t="s">
        <v>580</v>
      </c>
      <c r="D1268">
        <v>24.475</v>
      </c>
      <c r="E1268">
        <v>26.175</v>
      </c>
      <c r="F1268">
        <v>0.069458631256384</v>
      </c>
      <c r="G1268">
        <f ca="1" t="shared" si="57"/>
        <v>0.851587766648639</v>
      </c>
      <c r="H1268" t="str">
        <f ca="1" t="shared" si="58"/>
        <v>Risk-On</v>
      </c>
      <c r="I1268">
        <f ca="1" t="shared" si="59"/>
        <v>1</v>
      </c>
      <c r="J1268">
        <f>_xlfn.XLOOKUP($A1268,[1]Sheet1!$B$9:$B$2584,[1]Sheet1!$C$9:$C$2584,"N/A",0)</f>
        <v>106.63</v>
      </c>
      <c r="K1268">
        <f>_xlfn.XLOOKUP($A1268,[1]Sheet1!$E$9:$E$2584,[1]Sheet1!$F$9:$F$2584,"N/A",0)</f>
        <v>143.28</v>
      </c>
      <c r="L1268">
        <f>_xlfn.XLOOKUP($A1268,[1]Sheet1!$H$9:$H$2584,[1]Sheet1!$I$9:$I$2584,"N/A",0)</f>
        <v>62.62</v>
      </c>
      <c r="M1268">
        <f>_xlfn.XLOOKUP($A1268,[1]Sheet1!$K$9:$K$2584,[1]Sheet1!$L$9:$L$2584,"N/A",0)</f>
        <v>135.11</v>
      </c>
      <c r="N1268">
        <f>_xlfn.XLOOKUP($A1268,[1]Sheet1!$N$9:$N$2584,[1]Sheet1!$O$9:$O$2584,"N/A",0)</f>
        <v>97.19</v>
      </c>
      <c r="O1268">
        <v>106.63</v>
      </c>
      <c r="P1268">
        <v>143.28</v>
      </c>
      <c r="Q1268">
        <v>62.62</v>
      </c>
      <c r="R1268">
        <v>97.19</v>
      </c>
      <c r="S1268">
        <v>135.11</v>
      </c>
    </row>
    <row r="1269" spans="1:19">
      <c r="A1269" s="1">
        <v>44208</v>
      </c>
      <c r="B1269" t="s">
        <v>577</v>
      </c>
      <c r="C1269" t="s">
        <v>580</v>
      </c>
      <c r="D1269">
        <v>23.325</v>
      </c>
      <c r="E1269">
        <v>25.425</v>
      </c>
      <c r="F1269">
        <v>0.090032154340836</v>
      </c>
      <c r="G1269">
        <f ca="1" t="shared" si="57"/>
        <v>1.11580166908128</v>
      </c>
      <c r="H1269" t="str">
        <f ca="1" t="shared" si="58"/>
        <v>Risk-On</v>
      </c>
      <c r="I1269">
        <f ca="1" t="shared" si="59"/>
        <v>1</v>
      </c>
      <c r="J1269">
        <f>_xlfn.XLOOKUP($A1269,[1]Sheet1!$B$9:$B$2584,[1]Sheet1!$C$9:$C$2584,"N/A",0)</f>
        <v>107.16</v>
      </c>
      <c r="K1269">
        <f>_xlfn.XLOOKUP($A1269,[1]Sheet1!$E$9:$E$2584,[1]Sheet1!$F$9:$F$2584,"N/A",0)</f>
        <v>144.28</v>
      </c>
      <c r="L1269">
        <f>_xlfn.XLOOKUP($A1269,[1]Sheet1!$H$9:$H$2584,[1]Sheet1!$I$9:$I$2584,"N/A",0)</f>
        <v>63.1</v>
      </c>
      <c r="M1269">
        <f>_xlfn.XLOOKUP($A1269,[1]Sheet1!$K$9:$K$2584,[1]Sheet1!$L$9:$L$2584,"N/A",0)</f>
        <v>135.62</v>
      </c>
      <c r="N1269">
        <f>_xlfn.XLOOKUP($A1269,[1]Sheet1!$N$9:$N$2584,[1]Sheet1!$O$9:$O$2584,"N/A",0)</f>
        <v>96.44</v>
      </c>
      <c r="O1269">
        <v>107.16</v>
      </c>
      <c r="P1269">
        <v>144.28</v>
      </c>
      <c r="Q1269">
        <v>63.1</v>
      </c>
      <c r="R1269">
        <v>96.44</v>
      </c>
      <c r="S1269">
        <v>135.62</v>
      </c>
    </row>
    <row r="1270" spans="1:19">
      <c r="A1270" s="1">
        <v>44209</v>
      </c>
      <c r="B1270" t="s">
        <v>577</v>
      </c>
      <c r="C1270" t="s">
        <v>580</v>
      </c>
      <c r="D1270">
        <v>22.675</v>
      </c>
      <c r="E1270">
        <v>25.075</v>
      </c>
      <c r="F1270" s="2" t="s">
        <v>583</v>
      </c>
      <c r="G1270">
        <f ca="1" t="shared" si="57"/>
        <v>1.31492963666188</v>
      </c>
      <c r="H1270" t="str">
        <f ca="1" t="shared" si="58"/>
        <v>Risk-On</v>
      </c>
      <c r="I1270">
        <f ca="1" t="shared" si="59"/>
        <v>1</v>
      </c>
      <c r="J1270">
        <f>_xlfn.XLOOKUP($A1270,[1]Sheet1!$B$9:$B$2584,[1]Sheet1!$C$9:$C$2584,"N/A",0)</f>
        <v>107.35</v>
      </c>
      <c r="K1270">
        <f>_xlfn.XLOOKUP($A1270,[1]Sheet1!$E$9:$E$2584,[1]Sheet1!$F$9:$F$2584,"N/A",0)</f>
        <v>144.04</v>
      </c>
      <c r="L1270">
        <f>_xlfn.XLOOKUP($A1270,[1]Sheet1!$H$9:$H$2584,[1]Sheet1!$I$9:$I$2584,"N/A",0)</f>
        <v>62.88</v>
      </c>
      <c r="M1270">
        <f>_xlfn.XLOOKUP($A1270,[1]Sheet1!$K$9:$K$2584,[1]Sheet1!$L$9:$L$2584,"N/A",0)</f>
        <v>135.26</v>
      </c>
      <c r="N1270">
        <f>_xlfn.XLOOKUP($A1270,[1]Sheet1!$N$9:$N$2584,[1]Sheet1!$O$9:$O$2584,"N/A",0)</f>
        <v>96.74</v>
      </c>
      <c r="O1270">
        <v>107.35</v>
      </c>
      <c r="P1270">
        <v>144.04</v>
      </c>
      <c r="Q1270">
        <v>62.88</v>
      </c>
      <c r="R1270">
        <v>96.74</v>
      </c>
      <c r="S1270">
        <v>135.26</v>
      </c>
    </row>
    <row r="1271" spans="1:19">
      <c r="A1271" s="1">
        <v>44210</v>
      </c>
      <c r="B1271" t="s">
        <v>577</v>
      </c>
      <c r="C1271" t="s">
        <v>580</v>
      </c>
      <c r="D1271">
        <v>23.175</v>
      </c>
      <c r="E1271">
        <v>25.325</v>
      </c>
      <c r="F1271">
        <v>0.0927723840345198</v>
      </c>
      <c r="G1271">
        <f ca="1" t="shared" si="57"/>
        <v>1.14457819139235</v>
      </c>
      <c r="H1271" t="str">
        <f ca="1" t="shared" si="58"/>
        <v>Risk-On</v>
      </c>
      <c r="I1271">
        <f ca="1" t="shared" si="59"/>
        <v>1</v>
      </c>
      <c r="J1271">
        <f>_xlfn.XLOOKUP($A1271,[1]Sheet1!$B$9:$B$2584,[1]Sheet1!$C$9:$C$2584,"N/A",0)</f>
        <v>107.1</v>
      </c>
      <c r="K1271">
        <f>_xlfn.XLOOKUP($A1271,[1]Sheet1!$E$9:$E$2584,[1]Sheet1!$F$9:$F$2584,"N/A",0)</f>
        <v>142.31</v>
      </c>
      <c r="L1271">
        <f>_xlfn.XLOOKUP($A1271,[1]Sheet1!$H$9:$H$2584,[1]Sheet1!$I$9:$I$2584,"N/A",0)</f>
        <v>63.55</v>
      </c>
      <c r="M1271">
        <f>_xlfn.XLOOKUP($A1271,[1]Sheet1!$K$9:$K$2584,[1]Sheet1!$L$9:$L$2584,"N/A",0)</f>
        <v>134.22</v>
      </c>
      <c r="N1271">
        <f>_xlfn.XLOOKUP($A1271,[1]Sheet1!$N$9:$N$2584,[1]Sheet1!$O$9:$O$2584,"N/A",0)</f>
        <v>95.17</v>
      </c>
      <c r="O1271">
        <v>107.1</v>
      </c>
      <c r="P1271">
        <v>142.31</v>
      </c>
      <c r="Q1271">
        <v>63.55</v>
      </c>
      <c r="R1271">
        <v>95.17</v>
      </c>
      <c r="S1271">
        <v>134.22</v>
      </c>
    </row>
    <row r="1272" spans="1:19">
      <c r="A1272" s="1">
        <v>44211</v>
      </c>
      <c r="B1272" t="s">
        <v>577</v>
      </c>
      <c r="C1272" t="s">
        <v>580</v>
      </c>
      <c r="D1272">
        <v>23.775</v>
      </c>
      <c r="E1272">
        <v>25.975</v>
      </c>
      <c r="F1272">
        <v>0.0925341745531021</v>
      </c>
      <c r="G1272">
        <f ca="1" t="shared" si="57"/>
        <v>1.13419638539401</v>
      </c>
      <c r="H1272" t="str">
        <f ca="1" t="shared" si="58"/>
        <v>Risk-On</v>
      </c>
      <c r="I1272">
        <f ca="1" t="shared" si="59"/>
        <v>1</v>
      </c>
      <c r="J1272">
        <f>_xlfn.XLOOKUP($A1272,[1]Sheet1!$B$9:$B$2584,[1]Sheet1!$C$9:$C$2584,"N/A",0)</f>
        <v>107.22</v>
      </c>
      <c r="K1272">
        <f>_xlfn.XLOOKUP($A1272,[1]Sheet1!$E$9:$E$2584,[1]Sheet1!$F$9:$F$2584,"N/A",0)</f>
        <v>140.52</v>
      </c>
      <c r="L1272">
        <f>_xlfn.XLOOKUP($A1272,[1]Sheet1!$H$9:$H$2584,[1]Sheet1!$I$9:$I$2584,"N/A",0)</f>
        <v>63.26</v>
      </c>
      <c r="M1272">
        <f>_xlfn.XLOOKUP($A1272,[1]Sheet1!$K$9:$K$2584,[1]Sheet1!$L$9:$L$2584,"N/A",0)</f>
        <v>134.71</v>
      </c>
      <c r="N1272">
        <f>_xlfn.XLOOKUP($A1272,[1]Sheet1!$N$9:$N$2584,[1]Sheet1!$O$9:$O$2584,"N/A",0)</f>
        <v>95.57</v>
      </c>
      <c r="O1272">
        <v>107.22</v>
      </c>
      <c r="P1272">
        <v>140.52</v>
      </c>
      <c r="Q1272">
        <v>63.26</v>
      </c>
      <c r="R1272">
        <v>95.57</v>
      </c>
      <c r="S1272">
        <v>134.71</v>
      </c>
    </row>
    <row r="1273" spans="1:19">
      <c r="A1273" s="1">
        <v>44215</v>
      </c>
      <c r="B1273" t="s">
        <v>577</v>
      </c>
      <c r="C1273" t="s">
        <v>580</v>
      </c>
      <c r="D1273">
        <v>23.225</v>
      </c>
      <c r="E1273">
        <v>25.225</v>
      </c>
      <c r="F1273">
        <v>0.0861141011840688</v>
      </c>
      <c r="G1273">
        <f ca="1" t="shared" si="57"/>
        <v>1.04355885456332</v>
      </c>
      <c r="H1273" t="str">
        <f ca="1" t="shared" si="58"/>
        <v>Risk-On</v>
      </c>
      <c r="I1273">
        <f ca="1" t="shared" si="59"/>
        <v>1</v>
      </c>
      <c r="J1273">
        <f>_xlfn.XLOOKUP($A1273,[1]Sheet1!$B$9:$B$2584,[1]Sheet1!$C$9:$C$2584,"N/A",0)</f>
        <v>107.28</v>
      </c>
      <c r="K1273">
        <f>_xlfn.XLOOKUP($A1273,[1]Sheet1!$E$9:$E$2584,[1]Sheet1!$F$9:$F$2584,"N/A",0)</f>
        <v>141.22</v>
      </c>
      <c r="L1273">
        <f>_xlfn.XLOOKUP($A1273,[1]Sheet1!$H$9:$H$2584,[1]Sheet1!$I$9:$I$2584,"N/A",0)</f>
        <v>62.91</v>
      </c>
      <c r="M1273">
        <f>_xlfn.XLOOKUP($A1273,[1]Sheet1!$K$9:$K$2584,[1]Sheet1!$L$9:$L$2584,"N/A",0)</f>
        <v>133.92</v>
      </c>
      <c r="N1273">
        <f>_xlfn.XLOOKUP($A1273,[1]Sheet1!$N$9:$N$2584,[1]Sheet1!$O$9:$O$2584,"N/A",0)</f>
        <v>95.21</v>
      </c>
      <c r="O1273">
        <v>107.28</v>
      </c>
      <c r="P1273">
        <v>141.22</v>
      </c>
      <c r="Q1273">
        <v>62.91</v>
      </c>
      <c r="R1273">
        <v>95.21</v>
      </c>
      <c r="S1273">
        <v>133.92</v>
      </c>
    </row>
    <row r="1274" spans="1:19">
      <c r="A1274" s="1">
        <v>44216</v>
      </c>
      <c r="B1274" t="s">
        <v>577</v>
      </c>
      <c r="C1274" t="s">
        <v>580</v>
      </c>
      <c r="D1274">
        <v>22.59</v>
      </c>
      <c r="E1274">
        <v>24.775</v>
      </c>
      <c r="F1274">
        <v>0.0967242142540946</v>
      </c>
      <c r="G1274">
        <f ca="1" t="shared" si="57"/>
        <v>1.17564410044436</v>
      </c>
      <c r="H1274" t="str">
        <f ca="1" t="shared" si="58"/>
        <v>Risk-On</v>
      </c>
      <c r="I1274">
        <f ca="1" t="shared" si="59"/>
        <v>1</v>
      </c>
      <c r="J1274">
        <f>_xlfn.XLOOKUP($A1274,[1]Sheet1!$B$9:$B$2584,[1]Sheet1!$C$9:$C$2584,"N/A",0)</f>
        <v>107.52</v>
      </c>
      <c r="K1274">
        <f>_xlfn.XLOOKUP($A1274,[1]Sheet1!$E$9:$E$2584,[1]Sheet1!$F$9:$F$2584,"N/A",0)</f>
        <v>142.22</v>
      </c>
      <c r="L1274">
        <f>_xlfn.XLOOKUP($A1274,[1]Sheet1!$H$9:$H$2584,[1]Sheet1!$I$9:$I$2584,"N/A",0)</f>
        <v>62.89</v>
      </c>
      <c r="M1274">
        <f>_xlfn.XLOOKUP($A1274,[1]Sheet1!$K$9:$K$2584,[1]Sheet1!$L$9:$L$2584,"N/A",0)</f>
        <v>133.91</v>
      </c>
      <c r="N1274">
        <f>_xlfn.XLOOKUP($A1274,[1]Sheet1!$N$9:$N$2584,[1]Sheet1!$O$9:$O$2584,"N/A",0)</f>
        <v>95.43</v>
      </c>
      <c r="O1274">
        <v>107.52</v>
      </c>
      <c r="P1274">
        <v>142.22</v>
      </c>
      <c r="Q1274">
        <v>62.89</v>
      </c>
      <c r="R1274">
        <v>95.43</v>
      </c>
      <c r="S1274">
        <v>133.91</v>
      </c>
    </row>
    <row r="1275" spans="1:19">
      <c r="A1275" s="1">
        <v>44217</v>
      </c>
      <c r="B1275" t="s">
        <v>580</v>
      </c>
      <c r="C1275" t="s">
        <v>584</v>
      </c>
      <c r="D1275">
        <v>24.525</v>
      </c>
      <c r="E1275">
        <v>26.225</v>
      </c>
      <c r="F1275">
        <v>0.0693170234454639</v>
      </c>
      <c r="G1275">
        <f ca="1" t="shared" si="57"/>
        <v>0.811890314474358</v>
      </c>
      <c r="H1275" t="str">
        <f ca="1" t="shared" si="58"/>
        <v>Risk-Off</v>
      </c>
      <c r="I1275">
        <f ca="1" t="shared" si="59"/>
        <v>1</v>
      </c>
      <c r="J1275">
        <f>_xlfn.XLOOKUP($A1275,[1]Sheet1!$B$9:$B$2584,[1]Sheet1!$C$9:$C$2584,"N/A",0)</f>
        <v>107.33</v>
      </c>
      <c r="K1275">
        <f>_xlfn.XLOOKUP($A1275,[1]Sheet1!$E$9:$E$2584,[1]Sheet1!$F$9:$F$2584,"N/A",0)</f>
        <v>142.78</v>
      </c>
      <c r="L1275">
        <f>_xlfn.XLOOKUP($A1275,[1]Sheet1!$H$9:$H$2584,[1]Sheet1!$I$9:$I$2584,"N/A",0)</f>
        <v>63.48</v>
      </c>
      <c r="M1275">
        <f>_xlfn.XLOOKUP($A1275,[1]Sheet1!$K$9:$K$2584,[1]Sheet1!$L$9:$L$2584,"N/A",0)</f>
        <v>133.94</v>
      </c>
      <c r="N1275">
        <f>_xlfn.XLOOKUP($A1275,[1]Sheet1!$N$9:$N$2584,[1]Sheet1!$O$9:$O$2584,"N/A",0)</f>
        <v>95.76</v>
      </c>
      <c r="O1275">
        <v>107.33</v>
      </c>
      <c r="P1275">
        <v>142.78</v>
      </c>
      <c r="Q1275">
        <v>63.48</v>
      </c>
      <c r="R1275">
        <v>95.76</v>
      </c>
      <c r="S1275">
        <v>133.94</v>
      </c>
    </row>
    <row r="1276" spans="1:19">
      <c r="A1276" s="1">
        <v>44218</v>
      </c>
      <c r="B1276" t="s">
        <v>580</v>
      </c>
      <c r="C1276" t="s">
        <v>584</v>
      </c>
      <c r="D1276">
        <v>24.875</v>
      </c>
      <c r="E1276">
        <v>26.525</v>
      </c>
      <c r="F1276">
        <v>0.0663316582914572</v>
      </c>
      <c r="G1276">
        <f ca="1" t="shared" si="57"/>
        <v>0.769425896787906</v>
      </c>
      <c r="H1276" t="str">
        <f ca="1" t="shared" si="58"/>
        <v>Risk-Off</v>
      </c>
      <c r="I1276">
        <f ca="1" t="shared" si="59"/>
        <v>1</v>
      </c>
      <c r="J1276">
        <f>_xlfn.XLOOKUP($A1276,[1]Sheet1!$B$9:$B$2584,[1]Sheet1!$C$9:$C$2584,"N/A",0)</f>
        <v>107.64</v>
      </c>
      <c r="K1276">
        <f>_xlfn.XLOOKUP($A1276,[1]Sheet1!$E$9:$E$2584,[1]Sheet1!$F$9:$F$2584,"N/A",0)</f>
        <v>143.2</v>
      </c>
      <c r="L1276">
        <f>_xlfn.XLOOKUP($A1276,[1]Sheet1!$H$9:$H$2584,[1]Sheet1!$I$9:$I$2584,"N/A",0)</f>
        <v>63.21</v>
      </c>
      <c r="M1276">
        <f>_xlfn.XLOOKUP($A1276,[1]Sheet1!$K$9:$K$2584,[1]Sheet1!$L$9:$L$2584,"N/A",0)</f>
        <v>133.92</v>
      </c>
      <c r="N1276">
        <f>_xlfn.XLOOKUP($A1276,[1]Sheet1!$N$9:$N$2584,[1]Sheet1!$O$9:$O$2584,"N/A",0)</f>
        <v>94.05</v>
      </c>
      <c r="O1276">
        <v>107.64</v>
      </c>
      <c r="P1276">
        <v>143.2</v>
      </c>
      <c r="Q1276">
        <v>63.21</v>
      </c>
      <c r="R1276">
        <v>94.05</v>
      </c>
      <c r="S1276">
        <v>133.92</v>
      </c>
    </row>
    <row r="1277" spans="1:19">
      <c r="A1277" s="1">
        <v>44221</v>
      </c>
      <c r="B1277" t="s">
        <v>580</v>
      </c>
      <c r="C1277" t="s">
        <v>584</v>
      </c>
      <c r="D1277">
        <v>25.9535</v>
      </c>
      <c r="E1277">
        <v>27.4004</v>
      </c>
      <c r="F1277">
        <v>0.0557497062053288</v>
      </c>
      <c r="G1277">
        <f ca="1" t="shared" si="57"/>
        <v>0.629522645315158</v>
      </c>
      <c r="H1277" t="str">
        <f ca="1" t="shared" si="58"/>
        <v>Risk-Off</v>
      </c>
      <c r="I1277">
        <f ca="1" t="shared" si="59"/>
        <v>1</v>
      </c>
      <c r="J1277">
        <f>_xlfn.XLOOKUP($A1277,[1]Sheet1!$B$9:$B$2584,[1]Sheet1!$C$9:$C$2584,"N/A",0)</f>
        <v>108.05</v>
      </c>
      <c r="K1277">
        <f>_xlfn.XLOOKUP($A1277,[1]Sheet1!$E$9:$E$2584,[1]Sheet1!$F$9:$F$2584,"N/A",0)</f>
        <v>140.91</v>
      </c>
      <c r="L1277">
        <f>_xlfn.XLOOKUP($A1277,[1]Sheet1!$H$9:$H$2584,[1]Sheet1!$I$9:$I$2584,"N/A",0)</f>
        <v>63.17</v>
      </c>
      <c r="M1277">
        <f>_xlfn.XLOOKUP($A1277,[1]Sheet1!$K$9:$K$2584,[1]Sheet1!$L$9:$L$2584,"N/A",0)</f>
        <v>133.75</v>
      </c>
      <c r="N1277">
        <f>_xlfn.XLOOKUP($A1277,[1]Sheet1!$N$9:$N$2584,[1]Sheet1!$O$9:$O$2584,"N/A",0)</f>
        <v>93.94</v>
      </c>
      <c r="O1277">
        <v>108.05</v>
      </c>
      <c r="P1277">
        <v>140.91</v>
      </c>
      <c r="Q1277">
        <v>63.17</v>
      </c>
      <c r="R1277">
        <v>93.94</v>
      </c>
      <c r="S1277">
        <v>133.75</v>
      </c>
    </row>
    <row r="1278" spans="1:19">
      <c r="A1278" s="1">
        <v>44222</v>
      </c>
      <c r="B1278" t="s">
        <v>580</v>
      </c>
      <c r="C1278" t="s">
        <v>584</v>
      </c>
      <c r="D1278">
        <v>25.4095</v>
      </c>
      <c r="E1278">
        <v>27.2267</v>
      </c>
      <c r="F1278">
        <v>0.0715165587673901</v>
      </c>
      <c r="G1278">
        <f ca="1" t="shared" si="57"/>
        <v>0.832385322230529</v>
      </c>
      <c r="H1278" t="str">
        <f ca="1" t="shared" si="58"/>
        <v>Risk-Off</v>
      </c>
      <c r="I1278">
        <f ca="1" t="shared" si="59"/>
        <v>1</v>
      </c>
      <c r="J1278">
        <f>_xlfn.XLOOKUP($A1278,[1]Sheet1!$B$9:$B$2584,[1]Sheet1!$C$9:$C$2584,"N/A",0)</f>
        <v>106.85</v>
      </c>
      <c r="K1278">
        <f>_xlfn.XLOOKUP($A1278,[1]Sheet1!$E$9:$E$2584,[1]Sheet1!$F$9:$F$2584,"N/A",0)</f>
        <v>137.89</v>
      </c>
      <c r="L1278">
        <f>_xlfn.XLOOKUP($A1278,[1]Sheet1!$H$9:$H$2584,[1]Sheet1!$I$9:$I$2584,"N/A",0)</f>
        <v>63.55</v>
      </c>
      <c r="M1278">
        <f>_xlfn.XLOOKUP($A1278,[1]Sheet1!$K$9:$K$2584,[1]Sheet1!$L$9:$L$2584,"N/A",0)</f>
        <v>133.5</v>
      </c>
      <c r="N1278">
        <f>_xlfn.XLOOKUP($A1278,[1]Sheet1!$N$9:$N$2584,[1]Sheet1!$O$9:$O$2584,"N/A",0)</f>
        <v>93.18</v>
      </c>
      <c r="O1278">
        <v>106.85</v>
      </c>
      <c r="P1278">
        <v>137.89</v>
      </c>
      <c r="Q1278">
        <v>63.55</v>
      </c>
      <c r="R1278">
        <v>93.18</v>
      </c>
      <c r="S1278">
        <v>133.5</v>
      </c>
    </row>
    <row r="1279" spans="1:19">
      <c r="A1279" s="1">
        <v>44223</v>
      </c>
      <c r="B1279" t="s">
        <v>580</v>
      </c>
      <c r="C1279" t="s">
        <v>584</v>
      </c>
      <c r="D1279">
        <v>31.5342</v>
      </c>
      <c r="E1279">
        <v>31.2313</v>
      </c>
      <c r="F1279">
        <v>-0.00960544424783243</v>
      </c>
      <c r="G1279">
        <f ca="1" t="shared" si="57"/>
        <v>-0.229953808785773</v>
      </c>
      <c r="H1279" t="str">
        <f ca="1" t="shared" si="58"/>
        <v>Risk-Off</v>
      </c>
      <c r="I1279">
        <f ca="1" t="shared" si="59"/>
        <v>1</v>
      </c>
      <c r="J1279">
        <f>_xlfn.XLOOKUP($A1279,[1]Sheet1!$B$9:$B$2584,[1]Sheet1!$C$9:$C$2584,"N/A",0)</f>
        <v>106.06</v>
      </c>
      <c r="K1279">
        <f>_xlfn.XLOOKUP($A1279,[1]Sheet1!$E$9:$E$2584,[1]Sheet1!$F$9:$F$2584,"N/A",0)</f>
        <v>134.31</v>
      </c>
      <c r="L1279">
        <f>_xlfn.XLOOKUP($A1279,[1]Sheet1!$H$9:$H$2584,[1]Sheet1!$I$9:$I$2584,"N/A",0)</f>
        <v>63.7</v>
      </c>
      <c r="M1279">
        <f>_xlfn.XLOOKUP($A1279,[1]Sheet1!$K$9:$K$2584,[1]Sheet1!$L$9:$L$2584,"N/A",0)</f>
        <v>132.99</v>
      </c>
      <c r="N1279">
        <f>_xlfn.XLOOKUP($A1279,[1]Sheet1!$N$9:$N$2584,[1]Sheet1!$O$9:$O$2584,"N/A",0)</f>
        <v>92.45</v>
      </c>
      <c r="O1279">
        <v>106.06</v>
      </c>
      <c r="P1279">
        <v>134.31</v>
      </c>
      <c r="Q1279">
        <v>63.7</v>
      </c>
      <c r="R1279">
        <v>92.45</v>
      </c>
      <c r="S1279">
        <v>132.99</v>
      </c>
    </row>
    <row r="1280" spans="1:19">
      <c r="A1280" s="1">
        <v>44224</v>
      </c>
      <c r="B1280" t="s">
        <v>580</v>
      </c>
      <c r="C1280" t="s">
        <v>584</v>
      </c>
      <c r="D1280">
        <v>30.3946</v>
      </c>
      <c r="E1280">
        <v>30.7199</v>
      </c>
      <c r="F1280">
        <v>0.010702559007192</v>
      </c>
      <c r="G1280">
        <f ca="1" t="shared" si="57"/>
        <v>0.035310309333697</v>
      </c>
      <c r="H1280" t="str">
        <f ca="1" t="shared" si="58"/>
        <v>Risk-Off</v>
      </c>
      <c r="I1280">
        <f ca="1" t="shared" si="59"/>
        <v>1</v>
      </c>
      <c r="J1280">
        <f>_xlfn.XLOOKUP($A1280,[1]Sheet1!$B$9:$B$2584,[1]Sheet1!$C$9:$C$2584,"N/A",0)</f>
        <v>106.3</v>
      </c>
      <c r="K1280">
        <f>_xlfn.XLOOKUP($A1280,[1]Sheet1!$E$9:$E$2584,[1]Sheet1!$F$9:$F$2584,"N/A",0)</f>
        <v>139.35</v>
      </c>
      <c r="L1280">
        <f>_xlfn.XLOOKUP($A1280,[1]Sheet1!$H$9:$H$2584,[1]Sheet1!$I$9:$I$2584,"N/A",0)</f>
        <v>63.64</v>
      </c>
      <c r="M1280">
        <f>_xlfn.XLOOKUP($A1280,[1]Sheet1!$K$9:$K$2584,[1]Sheet1!$L$9:$L$2584,"N/A",0)</f>
        <v>133.42</v>
      </c>
      <c r="N1280">
        <f>_xlfn.XLOOKUP($A1280,[1]Sheet1!$N$9:$N$2584,[1]Sheet1!$O$9:$O$2584,"N/A",0)</f>
        <v>94.31</v>
      </c>
      <c r="O1280">
        <v>106.3</v>
      </c>
      <c r="P1280">
        <v>139.35</v>
      </c>
      <c r="Q1280">
        <v>63.64</v>
      </c>
      <c r="R1280">
        <v>94.31</v>
      </c>
      <c r="S1280">
        <v>133.42</v>
      </c>
    </row>
    <row r="1281" spans="1:19">
      <c r="A1281" s="1">
        <v>44225</v>
      </c>
      <c r="B1281" t="s">
        <v>580</v>
      </c>
      <c r="C1281" t="s">
        <v>584</v>
      </c>
      <c r="D1281">
        <v>32.3859</v>
      </c>
      <c r="E1281">
        <v>32.4205</v>
      </c>
      <c r="F1281">
        <v>0.0010683661716981</v>
      </c>
      <c r="G1281">
        <f ca="1" t="shared" si="57"/>
        <v>-0.0902285978876462</v>
      </c>
      <c r="H1281" t="str">
        <f ca="1" t="shared" si="58"/>
        <v>Risk-Off</v>
      </c>
      <c r="I1281">
        <f ca="1" t="shared" si="59"/>
        <v>1</v>
      </c>
      <c r="J1281">
        <f>_xlfn.XLOOKUP($A1281,[1]Sheet1!$B$9:$B$2584,[1]Sheet1!$C$9:$C$2584,"N/A",0)</f>
        <v>106.27</v>
      </c>
      <c r="K1281">
        <f>_xlfn.XLOOKUP($A1281,[1]Sheet1!$E$9:$E$2584,[1]Sheet1!$F$9:$F$2584,"N/A",0)</f>
        <v>139.76</v>
      </c>
      <c r="L1281">
        <f>_xlfn.XLOOKUP($A1281,[1]Sheet1!$H$9:$H$2584,[1]Sheet1!$I$9:$I$2584,"N/A",0)</f>
        <v>63.9</v>
      </c>
      <c r="M1281">
        <f>_xlfn.XLOOKUP($A1281,[1]Sheet1!$K$9:$K$2584,[1]Sheet1!$L$9:$L$2584,"N/A",0)</f>
        <v>133.69</v>
      </c>
      <c r="N1281">
        <f>_xlfn.XLOOKUP($A1281,[1]Sheet1!$N$9:$N$2584,[1]Sheet1!$O$9:$O$2584,"N/A",0)</f>
        <v>94.44</v>
      </c>
      <c r="O1281">
        <v>106.27</v>
      </c>
      <c r="P1281">
        <v>139.76</v>
      </c>
      <c r="Q1281">
        <v>63.9</v>
      </c>
      <c r="R1281">
        <v>94.44</v>
      </c>
      <c r="S1281">
        <v>133.69</v>
      </c>
    </row>
    <row r="1282" spans="1:19">
      <c r="A1282" s="1">
        <v>44228</v>
      </c>
      <c r="B1282" t="s">
        <v>580</v>
      </c>
      <c r="C1282" t="s">
        <v>584</v>
      </c>
      <c r="D1282">
        <v>30.3302</v>
      </c>
      <c r="E1282">
        <v>31.0263</v>
      </c>
      <c r="F1282" s="2" t="s">
        <v>585</v>
      </c>
      <c r="G1282">
        <f ca="1" t="shared" si="57"/>
        <v>0.195623306968014</v>
      </c>
      <c r="H1282" t="str">
        <f ca="1" t="shared" si="58"/>
        <v>Risk-Off</v>
      </c>
      <c r="I1282">
        <f ca="1" t="shared" si="59"/>
        <v>1</v>
      </c>
      <c r="J1282">
        <f>_xlfn.XLOOKUP($A1282,[1]Sheet1!$B$9:$B$2584,[1]Sheet1!$C$9:$C$2584,"N/A",0)</f>
        <v>106.48</v>
      </c>
      <c r="K1282">
        <f>_xlfn.XLOOKUP($A1282,[1]Sheet1!$E$9:$E$2584,[1]Sheet1!$F$9:$F$2584,"N/A",0)</f>
        <v>141.88</v>
      </c>
      <c r="L1282">
        <f>_xlfn.XLOOKUP($A1282,[1]Sheet1!$H$9:$H$2584,[1]Sheet1!$I$9:$I$2584,"N/A",0)</f>
        <v>63.54</v>
      </c>
      <c r="M1282">
        <f>_xlfn.XLOOKUP($A1282,[1]Sheet1!$K$9:$K$2584,[1]Sheet1!$L$9:$L$2584,"N/A",0)</f>
        <v>133.42</v>
      </c>
      <c r="N1282">
        <f>_xlfn.XLOOKUP($A1282,[1]Sheet1!$N$9:$N$2584,[1]Sheet1!$O$9:$O$2584,"N/A",0)</f>
        <v>93.69</v>
      </c>
      <c r="O1282">
        <v>106.48</v>
      </c>
      <c r="P1282">
        <v>141.88</v>
      </c>
      <c r="Q1282">
        <v>63.54</v>
      </c>
      <c r="R1282">
        <v>93.69</v>
      </c>
      <c r="S1282">
        <v>133.42</v>
      </c>
    </row>
    <row r="1283" spans="1:19">
      <c r="A1283" s="1">
        <v>44229</v>
      </c>
      <c r="B1283" t="s">
        <v>580</v>
      </c>
      <c r="C1283" t="s">
        <v>584</v>
      </c>
      <c r="D1283">
        <v>27.5781</v>
      </c>
      <c r="E1283">
        <v>28.7376</v>
      </c>
      <c r="F1283">
        <v>0.0420442307483112</v>
      </c>
      <c r="G1283">
        <f ca="1" t="shared" ref="G1283:G1346" si="60">IF(ROW()-ROW($A$3)+1&gt;252,(F1283-AVERAGE(OFFSET(F1283,-252,0,252,1)))/_xlfn.STDEV.S(OFFSET(F1283,-252,0,252,1)),"N/A")</f>
        <v>0.440362584424659</v>
      </c>
      <c r="H1283" t="str">
        <f ca="1" t="shared" ref="H1283:H1346" si="61">IF(G1283&lt;&gt;"N/A",IF(G1533&gt;-0.5,"Risk-On","Risk-Off"),"N/A")</f>
        <v>Risk-Off</v>
      </c>
      <c r="I1283">
        <f ca="1" t="shared" si="59"/>
        <v>1</v>
      </c>
      <c r="J1283">
        <f>_xlfn.XLOOKUP($A1283,[1]Sheet1!$B$9:$B$2584,[1]Sheet1!$C$9:$C$2584,"N/A",0)</f>
        <v>107.58</v>
      </c>
      <c r="K1283">
        <f>_xlfn.XLOOKUP($A1283,[1]Sheet1!$E$9:$E$2584,[1]Sheet1!$F$9:$F$2584,"N/A",0)</f>
        <v>144.28</v>
      </c>
      <c r="L1283">
        <f>_xlfn.XLOOKUP($A1283,[1]Sheet1!$H$9:$H$2584,[1]Sheet1!$I$9:$I$2584,"N/A",0)</f>
        <v>62.84</v>
      </c>
      <c r="M1283">
        <f>_xlfn.XLOOKUP($A1283,[1]Sheet1!$K$9:$K$2584,[1]Sheet1!$L$9:$L$2584,"N/A",0)</f>
        <v>134.1</v>
      </c>
      <c r="N1283">
        <f>_xlfn.XLOOKUP($A1283,[1]Sheet1!$N$9:$N$2584,[1]Sheet1!$O$9:$O$2584,"N/A",0)</f>
        <v>94</v>
      </c>
      <c r="O1283">
        <v>107.58</v>
      </c>
      <c r="P1283">
        <v>144.28</v>
      </c>
      <c r="Q1283">
        <v>62.84</v>
      </c>
      <c r="R1283">
        <v>94</v>
      </c>
      <c r="S1283">
        <v>134.1</v>
      </c>
    </row>
    <row r="1284" spans="1:19">
      <c r="A1284" s="1">
        <v>44230</v>
      </c>
      <c r="B1284" t="s">
        <v>580</v>
      </c>
      <c r="C1284" t="s">
        <v>584</v>
      </c>
      <c r="D1284">
        <v>25.7794</v>
      </c>
      <c r="E1284">
        <v>27.6514</v>
      </c>
      <c r="F1284">
        <v>0.0726161198476302</v>
      </c>
      <c r="G1284">
        <f ca="1" t="shared" si="60"/>
        <v>0.831914821118594</v>
      </c>
      <c r="H1284" t="str">
        <f ca="1" t="shared" si="61"/>
        <v>Risk-Off</v>
      </c>
      <c r="I1284">
        <f ca="1" t="shared" ref="I1284:I1347" si="62">IF(H1284&lt;&gt;"N/A",IF(H1534&gt;-0.5,1,0),0)</f>
        <v>1</v>
      </c>
      <c r="J1284">
        <f>_xlfn.XLOOKUP($A1284,[1]Sheet1!$B$9:$B$2584,[1]Sheet1!$C$9:$C$2584,"N/A",0)</f>
        <v>108.08</v>
      </c>
      <c r="K1284">
        <f>_xlfn.XLOOKUP($A1284,[1]Sheet1!$E$9:$E$2584,[1]Sheet1!$F$9:$F$2584,"N/A",0)</f>
        <v>143.75</v>
      </c>
      <c r="L1284">
        <f>_xlfn.XLOOKUP($A1284,[1]Sheet1!$H$9:$H$2584,[1]Sheet1!$I$9:$I$2584,"N/A",0)</f>
        <v>63.38</v>
      </c>
      <c r="M1284">
        <f>_xlfn.XLOOKUP($A1284,[1]Sheet1!$K$9:$K$2584,[1]Sheet1!$L$9:$L$2584,"N/A",0)</f>
        <v>133.34</v>
      </c>
      <c r="N1284">
        <f>_xlfn.XLOOKUP($A1284,[1]Sheet1!$N$9:$N$2584,[1]Sheet1!$O$9:$O$2584,"N/A",0)</f>
        <v>93.62</v>
      </c>
      <c r="O1284">
        <v>108.08</v>
      </c>
      <c r="P1284">
        <v>143.75</v>
      </c>
      <c r="Q1284">
        <v>63.38</v>
      </c>
      <c r="R1284">
        <v>93.62</v>
      </c>
      <c r="S1284">
        <v>133.34</v>
      </c>
    </row>
    <row r="1285" spans="1:19">
      <c r="A1285" s="1">
        <v>44231</v>
      </c>
      <c r="B1285" t="s">
        <v>580</v>
      </c>
      <c r="C1285" t="s">
        <v>584</v>
      </c>
      <c r="D1285">
        <v>24.2274</v>
      </c>
      <c r="E1285">
        <v>26.7436</v>
      </c>
      <c r="F1285" s="2" t="s">
        <v>586</v>
      </c>
      <c r="G1285">
        <f ca="1" t="shared" si="60"/>
        <v>1.2298255467362</v>
      </c>
      <c r="H1285" t="str">
        <f ca="1" t="shared" si="61"/>
        <v>Risk-Off</v>
      </c>
      <c r="I1285">
        <f ca="1" t="shared" si="62"/>
        <v>1</v>
      </c>
      <c r="J1285">
        <f>_xlfn.XLOOKUP($A1285,[1]Sheet1!$B$9:$B$2584,[1]Sheet1!$C$9:$C$2584,"N/A",0)</f>
        <v>107.8</v>
      </c>
      <c r="K1285">
        <f>_xlfn.XLOOKUP($A1285,[1]Sheet1!$E$9:$E$2584,[1]Sheet1!$F$9:$F$2584,"N/A",0)</f>
        <v>144.41</v>
      </c>
      <c r="L1285">
        <f>_xlfn.XLOOKUP($A1285,[1]Sheet1!$H$9:$H$2584,[1]Sheet1!$I$9:$I$2584,"N/A",0)</f>
        <v>63.12</v>
      </c>
      <c r="M1285">
        <f>_xlfn.XLOOKUP($A1285,[1]Sheet1!$K$9:$K$2584,[1]Sheet1!$L$9:$L$2584,"N/A",0)</f>
        <v>133.98</v>
      </c>
      <c r="N1285">
        <f>_xlfn.XLOOKUP($A1285,[1]Sheet1!$N$9:$N$2584,[1]Sheet1!$O$9:$O$2584,"N/A",0)</f>
        <v>93.27</v>
      </c>
      <c r="O1285">
        <v>107.8</v>
      </c>
      <c r="P1285">
        <v>144.41</v>
      </c>
      <c r="Q1285">
        <v>63.12</v>
      </c>
      <c r="R1285">
        <v>93.27</v>
      </c>
      <c r="S1285">
        <v>133.98</v>
      </c>
    </row>
    <row r="1286" spans="1:19">
      <c r="A1286" s="1">
        <v>44232</v>
      </c>
      <c r="B1286" t="s">
        <v>580</v>
      </c>
      <c r="C1286" t="s">
        <v>584</v>
      </c>
      <c r="D1286">
        <v>24.0993</v>
      </c>
      <c r="E1286">
        <v>26.65</v>
      </c>
      <c r="F1286" s="2" t="s">
        <v>587</v>
      </c>
      <c r="G1286">
        <f ca="1" t="shared" si="60"/>
        <v>1.25550964422486</v>
      </c>
      <c r="H1286" t="str">
        <f ca="1" t="shared" si="61"/>
        <v>Risk-On</v>
      </c>
      <c r="I1286">
        <f ca="1" t="shared" si="62"/>
        <v>1</v>
      </c>
      <c r="J1286">
        <f>_xlfn.XLOOKUP($A1286,[1]Sheet1!$B$9:$B$2584,[1]Sheet1!$C$9:$C$2584,"N/A",0)</f>
        <v>107.52</v>
      </c>
      <c r="K1286">
        <f>_xlfn.XLOOKUP($A1286,[1]Sheet1!$E$9:$E$2584,[1]Sheet1!$F$9:$F$2584,"N/A",0)</f>
        <v>146.02</v>
      </c>
      <c r="L1286">
        <f>_xlfn.XLOOKUP($A1286,[1]Sheet1!$H$9:$H$2584,[1]Sheet1!$I$9:$I$2584,"N/A",0)</f>
        <v>62.87</v>
      </c>
      <c r="M1286">
        <f>_xlfn.XLOOKUP($A1286,[1]Sheet1!$K$9:$K$2584,[1]Sheet1!$L$9:$L$2584,"N/A",0)</f>
        <v>134.02</v>
      </c>
      <c r="N1286">
        <f>_xlfn.XLOOKUP($A1286,[1]Sheet1!$N$9:$N$2584,[1]Sheet1!$O$9:$O$2584,"N/A",0)</f>
        <v>92.35</v>
      </c>
      <c r="O1286">
        <v>107.52</v>
      </c>
      <c r="P1286">
        <v>146.02</v>
      </c>
      <c r="Q1286">
        <v>62.87</v>
      </c>
      <c r="R1286">
        <v>92.35</v>
      </c>
      <c r="S1286">
        <v>134.02</v>
      </c>
    </row>
    <row r="1287" spans="1:19">
      <c r="A1287" s="1">
        <v>44235</v>
      </c>
      <c r="B1287" t="s">
        <v>580</v>
      </c>
      <c r="C1287" t="s">
        <v>584</v>
      </c>
      <c r="D1287">
        <v>23.8379</v>
      </c>
      <c r="E1287">
        <v>26.5484</v>
      </c>
      <c r="F1287" s="2" t="s">
        <v>588</v>
      </c>
      <c r="G1287">
        <f ca="1" t="shared" si="60"/>
        <v>1.35733587096084</v>
      </c>
      <c r="H1287" t="str">
        <f ca="1" t="shared" si="61"/>
        <v>Risk-Off</v>
      </c>
      <c r="I1287">
        <f ca="1" t="shared" si="62"/>
        <v>1</v>
      </c>
      <c r="J1287">
        <f>_xlfn.XLOOKUP($A1287,[1]Sheet1!$B$9:$B$2584,[1]Sheet1!$C$9:$C$2584,"N/A",0)</f>
        <v>107.98</v>
      </c>
      <c r="K1287">
        <f>_xlfn.XLOOKUP($A1287,[1]Sheet1!$E$9:$E$2584,[1]Sheet1!$F$9:$F$2584,"N/A",0)</f>
        <v>145.65</v>
      </c>
      <c r="L1287">
        <f>_xlfn.XLOOKUP($A1287,[1]Sheet1!$H$9:$H$2584,[1]Sheet1!$I$9:$I$2584,"N/A",0)</f>
        <v>63.1</v>
      </c>
      <c r="M1287">
        <f>_xlfn.XLOOKUP($A1287,[1]Sheet1!$K$9:$K$2584,[1]Sheet1!$L$9:$L$2584,"N/A",0)</f>
        <v>133.65</v>
      </c>
      <c r="N1287">
        <f>_xlfn.XLOOKUP($A1287,[1]Sheet1!$N$9:$N$2584,[1]Sheet1!$O$9:$O$2584,"N/A",0)</f>
        <v>90.73</v>
      </c>
      <c r="O1287">
        <v>107.98</v>
      </c>
      <c r="P1287">
        <v>145.65</v>
      </c>
      <c r="Q1287">
        <v>63.1</v>
      </c>
      <c r="R1287">
        <v>90.73</v>
      </c>
      <c r="S1287">
        <v>133.65</v>
      </c>
    </row>
    <row r="1288" spans="1:19">
      <c r="A1288" s="1">
        <v>44236</v>
      </c>
      <c r="B1288" t="s">
        <v>580</v>
      </c>
      <c r="C1288" t="s">
        <v>584</v>
      </c>
      <c r="D1288">
        <v>23.7021</v>
      </c>
      <c r="E1288">
        <v>26.6863</v>
      </c>
      <c r="F1288" s="2" t="s">
        <v>589</v>
      </c>
      <c r="G1288">
        <f ca="1" t="shared" si="60"/>
        <v>1.51528826095171</v>
      </c>
      <c r="H1288" t="str">
        <f ca="1" t="shared" si="61"/>
        <v>Risk-Off</v>
      </c>
      <c r="I1288">
        <f ca="1" t="shared" si="62"/>
        <v>1</v>
      </c>
      <c r="J1288">
        <f>_xlfn.XLOOKUP($A1288,[1]Sheet1!$B$9:$B$2584,[1]Sheet1!$C$9:$C$2584,"N/A",0)</f>
        <v>108.45</v>
      </c>
      <c r="K1288">
        <f>_xlfn.XLOOKUP($A1288,[1]Sheet1!$E$9:$E$2584,[1]Sheet1!$F$9:$F$2584,"N/A",0)</f>
        <v>146.23</v>
      </c>
      <c r="L1288">
        <f>_xlfn.XLOOKUP($A1288,[1]Sheet1!$H$9:$H$2584,[1]Sheet1!$I$9:$I$2584,"N/A",0)</f>
        <v>63.37</v>
      </c>
      <c r="M1288">
        <f>_xlfn.XLOOKUP($A1288,[1]Sheet1!$K$9:$K$2584,[1]Sheet1!$L$9:$L$2584,"N/A",0)</f>
        <v>133.77</v>
      </c>
      <c r="N1288">
        <f>_xlfn.XLOOKUP($A1288,[1]Sheet1!$N$9:$N$2584,[1]Sheet1!$O$9:$O$2584,"N/A",0)</f>
        <v>89.61</v>
      </c>
      <c r="O1288">
        <v>108.45</v>
      </c>
      <c r="P1288">
        <v>146.23</v>
      </c>
      <c r="Q1288">
        <v>63.37</v>
      </c>
      <c r="R1288">
        <v>89.61</v>
      </c>
      <c r="S1288">
        <v>133.77</v>
      </c>
    </row>
    <row r="1289" spans="1:19">
      <c r="A1289" s="1">
        <v>44237</v>
      </c>
      <c r="B1289" t="s">
        <v>580</v>
      </c>
      <c r="C1289" t="s">
        <v>584</v>
      </c>
      <c r="D1289">
        <v>23.7413</v>
      </c>
      <c r="E1289">
        <v>27.2855</v>
      </c>
      <c r="F1289" s="2" t="s">
        <v>590</v>
      </c>
      <c r="G1289">
        <f ca="1" t="shared" si="60"/>
        <v>1.81416302727051</v>
      </c>
      <c r="H1289" t="str">
        <f ca="1" t="shared" si="61"/>
        <v>Risk-Off</v>
      </c>
      <c r="I1289">
        <f ca="1" t="shared" si="62"/>
        <v>1</v>
      </c>
      <c r="J1289">
        <f>_xlfn.XLOOKUP($A1289,[1]Sheet1!$B$9:$B$2584,[1]Sheet1!$C$9:$C$2584,"N/A",0)</f>
        <v>107.83</v>
      </c>
      <c r="K1289">
        <f>_xlfn.XLOOKUP($A1289,[1]Sheet1!$E$9:$E$2584,[1]Sheet1!$F$9:$F$2584,"N/A",0)</f>
        <v>146.45</v>
      </c>
      <c r="L1289">
        <f>_xlfn.XLOOKUP($A1289,[1]Sheet1!$H$9:$H$2584,[1]Sheet1!$I$9:$I$2584,"N/A",0)</f>
        <v>63.28</v>
      </c>
      <c r="M1289">
        <f>_xlfn.XLOOKUP($A1289,[1]Sheet1!$K$9:$K$2584,[1]Sheet1!$L$9:$L$2584,"N/A",0)</f>
        <v>133.57</v>
      </c>
      <c r="N1289">
        <f>_xlfn.XLOOKUP($A1289,[1]Sheet1!$N$9:$N$2584,[1]Sheet1!$O$9:$O$2584,"N/A",0)</f>
        <v>90.19</v>
      </c>
      <c r="O1289">
        <v>107.83</v>
      </c>
      <c r="P1289">
        <v>146.45</v>
      </c>
      <c r="Q1289">
        <v>63.28</v>
      </c>
      <c r="R1289">
        <v>90.19</v>
      </c>
      <c r="S1289">
        <v>133.57</v>
      </c>
    </row>
    <row r="1290" spans="1:19">
      <c r="A1290" s="1">
        <v>44238</v>
      </c>
      <c r="B1290" t="s">
        <v>580</v>
      </c>
      <c r="C1290" t="s">
        <v>584</v>
      </c>
      <c r="D1290">
        <v>22.71</v>
      </c>
      <c r="E1290">
        <v>26.692</v>
      </c>
      <c r="F1290" s="2" t="s">
        <v>591</v>
      </c>
      <c r="G1290">
        <f ca="1" t="shared" si="60"/>
        <v>2.15066076655796</v>
      </c>
      <c r="H1290" t="str">
        <f ca="1" t="shared" si="61"/>
        <v>Risk-Off</v>
      </c>
      <c r="I1290">
        <f ca="1" t="shared" si="62"/>
        <v>1</v>
      </c>
      <c r="J1290">
        <f>_xlfn.XLOOKUP($A1290,[1]Sheet1!$B$9:$B$2584,[1]Sheet1!$C$9:$C$2584,"N/A",0)</f>
        <v>107.33</v>
      </c>
      <c r="K1290">
        <f>_xlfn.XLOOKUP($A1290,[1]Sheet1!$E$9:$E$2584,[1]Sheet1!$F$9:$F$2584,"N/A",0)</f>
        <v>147.89</v>
      </c>
      <c r="L1290">
        <f>_xlfn.XLOOKUP($A1290,[1]Sheet1!$H$9:$H$2584,[1]Sheet1!$I$9:$I$2584,"N/A",0)</f>
        <v>63.55</v>
      </c>
      <c r="M1290">
        <f>_xlfn.XLOOKUP($A1290,[1]Sheet1!$K$9:$K$2584,[1]Sheet1!$L$9:$L$2584,"N/A",0)</f>
        <v>134.34</v>
      </c>
      <c r="N1290">
        <f>_xlfn.XLOOKUP($A1290,[1]Sheet1!$N$9:$N$2584,[1]Sheet1!$O$9:$O$2584,"N/A",0)</f>
        <v>90.15</v>
      </c>
      <c r="O1290">
        <v>107.33</v>
      </c>
      <c r="P1290">
        <v>147.89</v>
      </c>
      <c r="Q1290">
        <v>63.55</v>
      </c>
      <c r="R1290">
        <v>90.15</v>
      </c>
      <c r="S1290">
        <v>134.34</v>
      </c>
    </row>
    <row r="1291" spans="1:19">
      <c r="A1291" s="1">
        <v>44239</v>
      </c>
      <c r="B1291" t="s">
        <v>580</v>
      </c>
      <c r="C1291" t="s">
        <v>584</v>
      </c>
      <c r="D1291">
        <v>21.3594</v>
      </c>
      <c r="E1291">
        <v>25.8785</v>
      </c>
      <c r="F1291" s="2" t="s">
        <v>592</v>
      </c>
      <c r="G1291">
        <f ca="1" t="shared" si="60"/>
        <v>2.61790830786054</v>
      </c>
      <c r="H1291" t="str">
        <f ca="1" t="shared" si="61"/>
        <v>Risk-On</v>
      </c>
      <c r="I1291">
        <f ca="1" t="shared" si="62"/>
        <v>1</v>
      </c>
      <c r="J1291">
        <f>_xlfn.XLOOKUP($A1291,[1]Sheet1!$B$9:$B$2584,[1]Sheet1!$C$9:$C$2584,"N/A",0)</f>
        <v>107.83</v>
      </c>
      <c r="K1291">
        <f>_xlfn.XLOOKUP($A1291,[1]Sheet1!$E$9:$E$2584,[1]Sheet1!$F$9:$F$2584,"N/A",0)</f>
        <v>149.3</v>
      </c>
      <c r="L1291">
        <f>_xlfn.XLOOKUP($A1291,[1]Sheet1!$H$9:$H$2584,[1]Sheet1!$I$9:$I$2584,"N/A",0)</f>
        <v>63.68</v>
      </c>
      <c r="M1291">
        <f>_xlfn.XLOOKUP($A1291,[1]Sheet1!$K$9:$K$2584,[1]Sheet1!$L$9:$L$2584,"N/A",0)</f>
        <v>134.37</v>
      </c>
      <c r="N1291">
        <f>_xlfn.XLOOKUP($A1291,[1]Sheet1!$N$9:$N$2584,[1]Sheet1!$O$9:$O$2584,"N/A",0)</f>
        <v>90.3</v>
      </c>
      <c r="O1291">
        <v>107.83</v>
      </c>
      <c r="P1291">
        <v>149.3</v>
      </c>
      <c r="Q1291">
        <v>63.68</v>
      </c>
      <c r="R1291">
        <v>90.3</v>
      </c>
      <c r="S1291">
        <v>134.37</v>
      </c>
    </row>
    <row r="1292" spans="1:19">
      <c r="A1292" s="1">
        <v>44243</v>
      </c>
      <c r="B1292" t="s">
        <v>580</v>
      </c>
      <c r="C1292" t="s">
        <v>584</v>
      </c>
      <c r="D1292">
        <v>21.2418</v>
      </c>
      <c r="E1292">
        <v>26.1251</v>
      </c>
      <c r="F1292" s="2" t="s">
        <v>593</v>
      </c>
      <c r="G1292">
        <f ca="1" t="shared" si="60"/>
        <v>2.85407109214154</v>
      </c>
      <c r="H1292" t="str">
        <f ca="1" t="shared" si="61"/>
        <v>Risk-Off</v>
      </c>
      <c r="I1292">
        <f ca="1" t="shared" si="62"/>
        <v>1</v>
      </c>
      <c r="J1292">
        <f>_xlfn.XLOOKUP($A1292,[1]Sheet1!$B$9:$B$2584,[1]Sheet1!$C$9:$C$2584,"N/A",0)</f>
        <v>108.42</v>
      </c>
      <c r="K1292">
        <f>_xlfn.XLOOKUP($A1292,[1]Sheet1!$E$9:$E$2584,[1]Sheet1!$F$9:$F$2584,"N/A",0)</f>
        <v>149.06</v>
      </c>
      <c r="L1292">
        <f>_xlfn.XLOOKUP($A1292,[1]Sheet1!$H$9:$H$2584,[1]Sheet1!$I$9:$I$2584,"N/A",0)</f>
        <v>63.36</v>
      </c>
      <c r="M1292">
        <f>_xlfn.XLOOKUP($A1292,[1]Sheet1!$K$9:$K$2584,[1]Sheet1!$L$9:$L$2584,"N/A",0)</f>
        <v>133.56</v>
      </c>
      <c r="N1292">
        <f>_xlfn.XLOOKUP($A1292,[1]Sheet1!$N$9:$N$2584,[1]Sheet1!$O$9:$O$2584,"N/A",0)</f>
        <v>90.92</v>
      </c>
      <c r="O1292">
        <v>108.42</v>
      </c>
      <c r="P1292">
        <v>149.06</v>
      </c>
      <c r="Q1292">
        <v>63.36</v>
      </c>
      <c r="R1292">
        <v>90.92</v>
      </c>
      <c r="S1292">
        <v>133.56</v>
      </c>
    </row>
    <row r="1293" spans="1:19">
      <c r="A1293" s="1">
        <v>44244</v>
      </c>
      <c r="B1293" t="s">
        <v>580</v>
      </c>
      <c r="C1293" t="s">
        <v>584</v>
      </c>
      <c r="D1293">
        <v>22.81</v>
      </c>
      <c r="E1293">
        <v>25.6</v>
      </c>
      <c r="F1293" s="2" t="s">
        <v>594</v>
      </c>
      <c r="G1293">
        <f ca="1" t="shared" si="60"/>
        <v>1.46981819015923</v>
      </c>
      <c r="H1293" t="str">
        <f ca="1" t="shared" si="61"/>
        <v>Risk-Off</v>
      </c>
      <c r="I1293">
        <f ca="1" t="shared" si="62"/>
        <v>1</v>
      </c>
      <c r="J1293">
        <f>_xlfn.XLOOKUP($A1293,[1]Sheet1!$B$9:$B$2584,[1]Sheet1!$C$9:$C$2584,"N/A",0)</f>
        <v>108.02</v>
      </c>
      <c r="K1293">
        <f>_xlfn.XLOOKUP($A1293,[1]Sheet1!$E$9:$E$2584,[1]Sheet1!$F$9:$F$2584,"N/A",0)</f>
        <v>146.86</v>
      </c>
      <c r="L1293">
        <f>_xlfn.XLOOKUP($A1293,[1]Sheet1!$H$9:$H$2584,[1]Sheet1!$I$9:$I$2584,"N/A",0)</f>
        <v>63.22</v>
      </c>
      <c r="M1293">
        <f>_xlfn.XLOOKUP($A1293,[1]Sheet1!$K$9:$K$2584,[1]Sheet1!$L$9:$L$2584,"N/A",0)</f>
        <v>133.71</v>
      </c>
      <c r="N1293">
        <f>_xlfn.XLOOKUP($A1293,[1]Sheet1!$N$9:$N$2584,[1]Sheet1!$O$9:$O$2584,"N/A",0)</f>
        <v>91.53</v>
      </c>
      <c r="O1293">
        <v>108.02</v>
      </c>
      <c r="P1293">
        <v>146.86</v>
      </c>
      <c r="Q1293">
        <v>63.22</v>
      </c>
      <c r="R1293">
        <v>91.53</v>
      </c>
      <c r="S1293">
        <v>133.71</v>
      </c>
    </row>
    <row r="1294" spans="1:19">
      <c r="A1294" s="1">
        <v>44245</v>
      </c>
      <c r="B1294" t="s">
        <v>584</v>
      </c>
      <c r="C1294" t="s">
        <v>595</v>
      </c>
      <c r="D1294">
        <v>25.8017</v>
      </c>
      <c r="E1294">
        <v>28.65</v>
      </c>
      <c r="F1294" s="2" t="s">
        <v>596</v>
      </c>
      <c r="G1294">
        <f ca="1" t="shared" si="60"/>
        <v>1.31844969225798</v>
      </c>
      <c r="H1294" t="str">
        <f ca="1" t="shared" si="61"/>
        <v>Risk-Off</v>
      </c>
      <c r="I1294">
        <f ca="1" t="shared" si="62"/>
        <v>1</v>
      </c>
      <c r="J1294">
        <f>_xlfn.XLOOKUP($A1294,[1]Sheet1!$B$9:$B$2584,[1]Sheet1!$C$9:$C$2584,"N/A",0)</f>
        <v>107.5</v>
      </c>
      <c r="K1294">
        <f>_xlfn.XLOOKUP($A1294,[1]Sheet1!$E$9:$E$2584,[1]Sheet1!$F$9:$F$2584,"N/A",0)</f>
        <v>145.61</v>
      </c>
      <c r="L1294">
        <f>_xlfn.XLOOKUP($A1294,[1]Sheet1!$H$9:$H$2584,[1]Sheet1!$I$9:$I$2584,"N/A",0)</f>
        <v>63.07</v>
      </c>
      <c r="M1294">
        <f>_xlfn.XLOOKUP($A1294,[1]Sheet1!$K$9:$K$2584,[1]Sheet1!$L$9:$L$2584,"N/A",0)</f>
        <v>133.9</v>
      </c>
      <c r="N1294">
        <f>_xlfn.XLOOKUP($A1294,[1]Sheet1!$N$9:$N$2584,[1]Sheet1!$O$9:$O$2584,"N/A",0)</f>
        <v>92.4</v>
      </c>
      <c r="O1294">
        <v>107.5</v>
      </c>
      <c r="P1294">
        <v>145.61</v>
      </c>
      <c r="Q1294">
        <v>63.07</v>
      </c>
      <c r="R1294">
        <v>92.4</v>
      </c>
      <c r="S1294">
        <v>133.9</v>
      </c>
    </row>
    <row r="1295" spans="1:19">
      <c r="A1295" s="1">
        <v>44246</v>
      </c>
      <c r="B1295" t="s">
        <v>584</v>
      </c>
      <c r="C1295" t="s">
        <v>595</v>
      </c>
      <c r="D1295">
        <v>24.7988</v>
      </c>
      <c r="E1295">
        <v>27.8902</v>
      </c>
      <c r="F1295" s="2" t="s">
        <v>597</v>
      </c>
      <c r="G1295">
        <f ca="1" t="shared" si="60"/>
        <v>1.50332967719441</v>
      </c>
      <c r="H1295" t="str">
        <f ca="1" t="shared" si="61"/>
        <v>Risk-Off</v>
      </c>
      <c r="I1295">
        <f ca="1" t="shared" si="62"/>
        <v>1</v>
      </c>
      <c r="J1295">
        <f>_xlfn.XLOOKUP($A1295,[1]Sheet1!$B$9:$B$2584,[1]Sheet1!$C$9:$C$2584,"N/A",0)</f>
        <v>107.4</v>
      </c>
      <c r="K1295">
        <f>_xlfn.XLOOKUP($A1295,[1]Sheet1!$E$9:$E$2584,[1]Sheet1!$F$9:$F$2584,"N/A",0)</f>
        <v>147.54</v>
      </c>
      <c r="L1295">
        <f>_xlfn.XLOOKUP($A1295,[1]Sheet1!$H$9:$H$2584,[1]Sheet1!$I$9:$I$2584,"N/A",0)</f>
        <v>63.66</v>
      </c>
      <c r="M1295">
        <f>_xlfn.XLOOKUP($A1295,[1]Sheet1!$K$9:$K$2584,[1]Sheet1!$L$9:$L$2584,"N/A",0)</f>
        <v>134.02</v>
      </c>
      <c r="N1295">
        <f>_xlfn.XLOOKUP($A1295,[1]Sheet1!$N$9:$N$2584,[1]Sheet1!$O$9:$O$2584,"N/A",0)</f>
        <v>91.51</v>
      </c>
      <c r="O1295">
        <v>107.4</v>
      </c>
      <c r="P1295">
        <v>147.54</v>
      </c>
      <c r="Q1295">
        <v>63.66</v>
      </c>
      <c r="R1295">
        <v>91.51</v>
      </c>
      <c r="S1295">
        <v>134.02</v>
      </c>
    </row>
    <row r="1296" spans="1:19">
      <c r="A1296" s="1">
        <v>44249</v>
      </c>
      <c r="B1296" t="s">
        <v>584</v>
      </c>
      <c r="C1296" t="s">
        <v>595</v>
      </c>
      <c r="D1296">
        <v>25.9031</v>
      </c>
      <c r="E1296">
        <v>28.6508</v>
      </c>
      <c r="F1296" s="2" t="s">
        <v>598</v>
      </c>
      <c r="G1296">
        <f ca="1" t="shared" si="60"/>
        <v>1.26482587496496</v>
      </c>
      <c r="H1296" t="str">
        <f ca="1" t="shared" si="61"/>
        <v>Risk-Off</v>
      </c>
      <c r="I1296">
        <f ca="1" t="shared" si="62"/>
        <v>1</v>
      </c>
      <c r="J1296">
        <f>_xlfn.XLOOKUP($A1296,[1]Sheet1!$B$9:$B$2584,[1]Sheet1!$C$9:$C$2584,"N/A",0)</f>
        <v>107.5</v>
      </c>
      <c r="K1296">
        <f>_xlfn.XLOOKUP($A1296,[1]Sheet1!$E$9:$E$2584,[1]Sheet1!$F$9:$F$2584,"N/A",0)</f>
        <v>141.71</v>
      </c>
      <c r="L1296">
        <f>_xlfn.XLOOKUP($A1296,[1]Sheet1!$H$9:$H$2584,[1]Sheet1!$I$9:$I$2584,"N/A",0)</f>
        <v>64.49</v>
      </c>
      <c r="M1296">
        <f>_xlfn.XLOOKUP($A1296,[1]Sheet1!$K$9:$K$2584,[1]Sheet1!$L$9:$L$2584,"N/A",0)</f>
        <v>133.32</v>
      </c>
      <c r="N1296">
        <f>_xlfn.XLOOKUP($A1296,[1]Sheet1!$N$9:$N$2584,[1]Sheet1!$O$9:$O$2584,"N/A",0)</f>
        <v>91.56</v>
      </c>
      <c r="O1296">
        <v>107.5</v>
      </c>
      <c r="P1296">
        <v>141.71</v>
      </c>
      <c r="Q1296">
        <v>64.49</v>
      </c>
      <c r="R1296">
        <v>91.56</v>
      </c>
      <c r="S1296">
        <v>133.32</v>
      </c>
    </row>
    <row r="1297" spans="1:19">
      <c r="A1297" s="1">
        <v>44250</v>
      </c>
      <c r="B1297" t="s">
        <v>584</v>
      </c>
      <c r="C1297" t="s">
        <v>595</v>
      </c>
      <c r="D1297">
        <v>24.748</v>
      </c>
      <c r="E1297">
        <v>27.8272</v>
      </c>
      <c r="F1297" s="2" t="s">
        <v>599</v>
      </c>
      <c r="G1297">
        <f ca="1" t="shared" si="60"/>
        <v>1.49994290549198</v>
      </c>
      <c r="H1297" t="str">
        <f ca="1" t="shared" si="61"/>
        <v>Risk-Off</v>
      </c>
      <c r="I1297">
        <f ca="1" t="shared" si="62"/>
        <v>1</v>
      </c>
      <c r="J1297">
        <f>_xlfn.XLOOKUP($A1297,[1]Sheet1!$B$9:$B$2584,[1]Sheet1!$C$9:$C$2584,"N/A",0)</f>
        <v>107.66</v>
      </c>
      <c r="K1297">
        <f>_xlfn.XLOOKUP($A1297,[1]Sheet1!$E$9:$E$2584,[1]Sheet1!$F$9:$F$2584,"N/A",0)</f>
        <v>140.4</v>
      </c>
      <c r="L1297">
        <f>_xlfn.XLOOKUP($A1297,[1]Sheet1!$H$9:$H$2584,[1]Sheet1!$I$9:$I$2584,"N/A",0)</f>
        <v>64.22</v>
      </c>
      <c r="M1297">
        <f>_xlfn.XLOOKUP($A1297,[1]Sheet1!$K$9:$K$2584,[1]Sheet1!$L$9:$L$2584,"N/A",0)</f>
        <v>133.03</v>
      </c>
      <c r="N1297">
        <f>_xlfn.XLOOKUP($A1297,[1]Sheet1!$N$9:$N$2584,[1]Sheet1!$O$9:$O$2584,"N/A",0)</f>
        <v>92.35</v>
      </c>
      <c r="O1297">
        <v>107.66</v>
      </c>
      <c r="P1297">
        <v>140.4</v>
      </c>
      <c r="Q1297">
        <v>64.22</v>
      </c>
      <c r="R1297">
        <v>92.35</v>
      </c>
      <c r="S1297">
        <v>133.03</v>
      </c>
    </row>
    <row r="1298" spans="1:19">
      <c r="A1298" s="1">
        <v>44251</v>
      </c>
      <c r="B1298" t="s">
        <v>584</v>
      </c>
      <c r="C1298" t="s">
        <v>595</v>
      </c>
      <c r="D1298">
        <v>23.7595</v>
      </c>
      <c r="E1298">
        <v>26.7495</v>
      </c>
      <c r="F1298" s="2" t="s">
        <v>600</v>
      </c>
      <c r="G1298">
        <f ca="1" t="shared" si="60"/>
        <v>1.51211853960861</v>
      </c>
      <c r="H1298" t="str">
        <f ca="1" t="shared" si="61"/>
        <v>Risk-Off</v>
      </c>
      <c r="I1298">
        <f ca="1" t="shared" si="62"/>
        <v>1</v>
      </c>
      <c r="J1298">
        <f>_xlfn.XLOOKUP($A1298,[1]Sheet1!$B$9:$B$2584,[1]Sheet1!$C$9:$C$2584,"N/A",0)</f>
        <v>107.77</v>
      </c>
      <c r="K1298">
        <f>_xlfn.XLOOKUP($A1298,[1]Sheet1!$E$9:$E$2584,[1]Sheet1!$F$9:$F$2584,"N/A",0)</f>
        <v>138.73</v>
      </c>
      <c r="L1298">
        <f>_xlfn.XLOOKUP($A1298,[1]Sheet1!$H$9:$H$2584,[1]Sheet1!$I$9:$I$2584,"N/A",0)</f>
        <v>64.83</v>
      </c>
      <c r="M1298">
        <f>_xlfn.XLOOKUP($A1298,[1]Sheet1!$K$9:$K$2584,[1]Sheet1!$L$9:$L$2584,"N/A",0)</f>
        <v>132.18</v>
      </c>
      <c r="N1298">
        <f>_xlfn.XLOOKUP($A1298,[1]Sheet1!$N$9:$N$2584,[1]Sheet1!$O$9:$O$2584,"N/A",0)</f>
        <v>91.91</v>
      </c>
      <c r="O1298">
        <v>107.77</v>
      </c>
      <c r="P1298">
        <v>138.73</v>
      </c>
      <c r="Q1298">
        <v>64.83</v>
      </c>
      <c r="R1298">
        <v>91.91</v>
      </c>
      <c r="S1298">
        <v>132.18</v>
      </c>
    </row>
    <row r="1299" spans="1:19">
      <c r="A1299" s="1">
        <v>44252</v>
      </c>
      <c r="B1299" t="s">
        <v>584</v>
      </c>
      <c r="C1299" t="s">
        <v>595</v>
      </c>
      <c r="D1299">
        <v>28.215</v>
      </c>
      <c r="E1299">
        <v>29.6522</v>
      </c>
      <c r="F1299">
        <v>0.0509374446216551</v>
      </c>
      <c r="G1299">
        <f ca="1" t="shared" si="60"/>
        <v>0.548742642890238</v>
      </c>
      <c r="H1299" t="str">
        <f ca="1" t="shared" si="61"/>
        <v>Risk-Off</v>
      </c>
      <c r="I1299">
        <f ca="1" t="shared" si="62"/>
        <v>1</v>
      </c>
      <c r="J1299">
        <f>_xlfn.XLOOKUP($A1299,[1]Sheet1!$B$9:$B$2584,[1]Sheet1!$C$9:$C$2584,"N/A",0)</f>
        <v>107.89</v>
      </c>
      <c r="K1299">
        <f>_xlfn.XLOOKUP($A1299,[1]Sheet1!$E$9:$E$2584,[1]Sheet1!$F$9:$F$2584,"N/A",0)</f>
        <v>136.05</v>
      </c>
      <c r="L1299">
        <f>_xlfn.XLOOKUP($A1299,[1]Sheet1!$H$9:$H$2584,[1]Sheet1!$I$9:$I$2584,"N/A",0)</f>
        <v>64.9</v>
      </c>
      <c r="M1299">
        <f>_xlfn.XLOOKUP($A1299,[1]Sheet1!$K$9:$K$2584,[1]Sheet1!$L$9:$L$2584,"N/A",0)</f>
        <v>131.88</v>
      </c>
      <c r="N1299">
        <f>_xlfn.XLOOKUP($A1299,[1]Sheet1!$N$9:$N$2584,[1]Sheet1!$O$9:$O$2584,"N/A",0)</f>
        <v>92.31</v>
      </c>
      <c r="O1299">
        <v>107.89</v>
      </c>
      <c r="P1299">
        <v>136.05</v>
      </c>
      <c r="Q1299">
        <v>64.9</v>
      </c>
      <c r="R1299">
        <v>92.31</v>
      </c>
      <c r="S1299">
        <v>131.88</v>
      </c>
    </row>
    <row r="1300" spans="1:19">
      <c r="A1300" s="1">
        <v>44253</v>
      </c>
      <c r="B1300" t="s">
        <v>584</v>
      </c>
      <c r="C1300" t="s">
        <v>595</v>
      </c>
      <c r="D1300">
        <v>26.7444</v>
      </c>
      <c r="E1300">
        <v>28.2329</v>
      </c>
      <c r="F1300" s="2" t="s">
        <v>601</v>
      </c>
      <c r="G1300">
        <f ca="1" t="shared" si="60"/>
        <v>0.601830816270022</v>
      </c>
      <c r="H1300" t="str">
        <f ca="1" t="shared" si="61"/>
        <v>Risk-Off</v>
      </c>
      <c r="I1300">
        <f ca="1" t="shared" si="62"/>
        <v>1</v>
      </c>
      <c r="J1300">
        <f>_xlfn.XLOOKUP($A1300,[1]Sheet1!$B$9:$B$2584,[1]Sheet1!$C$9:$C$2584,"N/A",0)</f>
        <v>108.25</v>
      </c>
      <c r="K1300">
        <f>_xlfn.XLOOKUP($A1300,[1]Sheet1!$E$9:$E$2584,[1]Sheet1!$F$9:$F$2584,"N/A",0)</f>
        <v>139.64</v>
      </c>
      <c r="L1300">
        <f>_xlfn.XLOOKUP($A1300,[1]Sheet1!$H$9:$H$2584,[1]Sheet1!$I$9:$I$2584,"N/A",0)</f>
        <v>64.66</v>
      </c>
      <c r="M1300">
        <f>_xlfn.XLOOKUP($A1300,[1]Sheet1!$K$9:$K$2584,[1]Sheet1!$L$9:$L$2584,"N/A",0)</f>
        <v>131.94</v>
      </c>
      <c r="N1300">
        <f>_xlfn.XLOOKUP($A1300,[1]Sheet1!$N$9:$N$2584,[1]Sheet1!$O$9:$O$2584,"N/A",0)</f>
        <v>92.31</v>
      </c>
      <c r="O1300">
        <v>108.25</v>
      </c>
      <c r="P1300">
        <v>139.64</v>
      </c>
      <c r="Q1300">
        <v>64.66</v>
      </c>
      <c r="R1300">
        <v>92.31</v>
      </c>
      <c r="S1300">
        <v>131.94</v>
      </c>
    </row>
    <row r="1301" spans="1:19">
      <c r="A1301" s="1">
        <v>44256</v>
      </c>
      <c r="B1301" t="s">
        <v>584</v>
      </c>
      <c r="C1301" t="s">
        <v>595</v>
      </c>
      <c r="D1301">
        <v>24.6158</v>
      </c>
      <c r="E1301">
        <v>26.9033</v>
      </c>
      <c r="F1301">
        <v>0.0929281193379862</v>
      </c>
      <c r="G1301">
        <f ca="1" t="shared" si="60"/>
        <v>1.07406301222481</v>
      </c>
      <c r="H1301" t="str">
        <f ca="1" t="shared" si="61"/>
        <v>Risk-Off</v>
      </c>
      <c r="I1301">
        <f ca="1" t="shared" si="62"/>
        <v>1</v>
      </c>
      <c r="J1301">
        <f>_xlfn.XLOOKUP($A1301,[1]Sheet1!$B$9:$B$2584,[1]Sheet1!$C$9:$C$2584,"N/A",0)</f>
        <v>108.28</v>
      </c>
      <c r="K1301">
        <f>_xlfn.XLOOKUP($A1301,[1]Sheet1!$E$9:$E$2584,[1]Sheet1!$F$9:$F$2584,"N/A",0)</f>
        <v>141.42</v>
      </c>
      <c r="L1301">
        <f>_xlfn.XLOOKUP($A1301,[1]Sheet1!$H$9:$H$2584,[1]Sheet1!$I$9:$I$2584,"N/A",0)</f>
        <v>64.94</v>
      </c>
      <c r="M1301">
        <f>_xlfn.XLOOKUP($A1301,[1]Sheet1!$K$9:$K$2584,[1]Sheet1!$L$9:$L$2584,"N/A",0)</f>
        <v>133.2</v>
      </c>
      <c r="N1301">
        <f>_xlfn.XLOOKUP($A1301,[1]Sheet1!$N$9:$N$2584,[1]Sheet1!$O$9:$O$2584,"N/A",0)</f>
        <v>91.87</v>
      </c>
      <c r="O1301">
        <v>108.28</v>
      </c>
      <c r="P1301">
        <v>141.42</v>
      </c>
      <c r="Q1301">
        <v>64.94</v>
      </c>
      <c r="R1301">
        <v>91.87</v>
      </c>
      <c r="S1301">
        <v>133.2</v>
      </c>
    </row>
    <row r="1302" spans="1:19">
      <c r="A1302" s="1">
        <v>44257</v>
      </c>
      <c r="B1302" t="s">
        <v>584</v>
      </c>
      <c r="C1302" t="s">
        <v>595</v>
      </c>
      <c r="D1302">
        <v>24.765</v>
      </c>
      <c r="E1302">
        <v>27.0329</v>
      </c>
      <c r="F1302">
        <v>0.0915768221280032</v>
      </c>
      <c r="G1302">
        <f ca="1" t="shared" si="60"/>
        <v>1.04642179459278</v>
      </c>
      <c r="H1302" t="str">
        <f ca="1" t="shared" si="61"/>
        <v>Risk-Off</v>
      </c>
      <c r="I1302">
        <f ca="1" t="shared" si="62"/>
        <v>1</v>
      </c>
      <c r="J1302">
        <f>_xlfn.XLOOKUP($A1302,[1]Sheet1!$B$9:$B$2584,[1]Sheet1!$C$9:$C$2584,"N/A",0)</f>
        <v>108.44</v>
      </c>
      <c r="K1302">
        <f>_xlfn.XLOOKUP($A1302,[1]Sheet1!$E$9:$E$2584,[1]Sheet1!$F$9:$F$2584,"N/A",0)</f>
        <v>138.71</v>
      </c>
      <c r="L1302">
        <f>_xlfn.XLOOKUP($A1302,[1]Sheet1!$H$9:$H$2584,[1]Sheet1!$I$9:$I$2584,"N/A",0)</f>
        <v>65.56</v>
      </c>
      <c r="M1302">
        <f>_xlfn.XLOOKUP($A1302,[1]Sheet1!$K$9:$K$2584,[1]Sheet1!$L$9:$L$2584,"N/A",0)</f>
        <v>131.9</v>
      </c>
      <c r="N1302">
        <f>_xlfn.XLOOKUP($A1302,[1]Sheet1!$N$9:$N$2584,[1]Sheet1!$O$9:$O$2584,"N/A",0)</f>
        <v>92.97</v>
      </c>
      <c r="O1302">
        <v>108.44</v>
      </c>
      <c r="P1302">
        <v>138.71</v>
      </c>
      <c r="Q1302">
        <v>65.56</v>
      </c>
      <c r="R1302">
        <v>92.97</v>
      </c>
      <c r="S1302">
        <v>131.9</v>
      </c>
    </row>
    <row r="1303" spans="1:19">
      <c r="A1303" s="1">
        <v>44258</v>
      </c>
      <c r="B1303" t="s">
        <v>584</v>
      </c>
      <c r="C1303" t="s">
        <v>595</v>
      </c>
      <c r="D1303">
        <v>26.1275</v>
      </c>
      <c r="E1303">
        <v>27.9008</v>
      </c>
      <c r="F1303">
        <v>0.0678710171275475</v>
      </c>
      <c r="G1303">
        <f ca="1" t="shared" si="60"/>
        <v>0.728475584379252</v>
      </c>
      <c r="H1303" t="str">
        <f ca="1" t="shared" si="61"/>
        <v>Risk-Off</v>
      </c>
      <c r="I1303">
        <f ca="1" t="shared" si="62"/>
        <v>1</v>
      </c>
      <c r="J1303">
        <f>_xlfn.XLOOKUP($A1303,[1]Sheet1!$B$9:$B$2584,[1]Sheet1!$C$9:$C$2584,"N/A",0)</f>
        <v>108.36</v>
      </c>
      <c r="K1303">
        <f>_xlfn.XLOOKUP($A1303,[1]Sheet1!$E$9:$E$2584,[1]Sheet1!$F$9:$F$2584,"N/A",0)</f>
        <v>132.39</v>
      </c>
      <c r="L1303">
        <f>_xlfn.XLOOKUP($A1303,[1]Sheet1!$H$9:$H$2584,[1]Sheet1!$I$9:$I$2584,"N/A",0)</f>
        <v>66.54</v>
      </c>
      <c r="M1303">
        <f>_xlfn.XLOOKUP($A1303,[1]Sheet1!$K$9:$K$2584,[1]Sheet1!$L$9:$L$2584,"N/A",0)</f>
        <v>130.8</v>
      </c>
      <c r="N1303">
        <f>_xlfn.XLOOKUP($A1303,[1]Sheet1!$N$9:$N$2584,[1]Sheet1!$O$9:$O$2584,"N/A",0)</f>
        <v>92.47</v>
      </c>
      <c r="O1303">
        <v>108.36</v>
      </c>
      <c r="P1303">
        <v>132.39</v>
      </c>
      <c r="Q1303">
        <v>66.54</v>
      </c>
      <c r="R1303">
        <v>92.47</v>
      </c>
      <c r="S1303">
        <v>130.8</v>
      </c>
    </row>
    <row r="1304" spans="1:19">
      <c r="A1304" s="1">
        <v>44259</v>
      </c>
      <c r="B1304" t="s">
        <v>584</v>
      </c>
      <c r="C1304" t="s">
        <v>595</v>
      </c>
      <c r="D1304">
        <v>27.521</v>
      </c>
      <c r="E1304">
        <v>28.9361</v>
      </c>
      <c r="F1304" s="2" t="s">
        <v>602</v>
      </c>
      <c r="G1304">
        <f ca="1" t="shared" si="60"/>
        <v>0.504816596476045</v>
      </c>
      <c r="H1304" t="str">
        <f ca="1" t="shared" si="61"/>
        <v>Risk-Off</v>
      </c>
      <c r="I1304">
        <f ca="1" t="shared" si="62"/>
        <v>1</v>
      </c>
      <c r="J1304">
        <f>_xlfn.XLOOKUP($A1304,[1]Sheet1!$B$9:$B$2584,[1]Sheet1!$C$9:$C$2584,"N/A",0)</f>
        <v>107.2</v>
      </c>
      <c r="K1304">
        <f>_xlfn.XLOOKUP($A1304,[1]Sheet1!$E$9:$E$2584,[1]Sheet1!$F$9:$F$2584,"N/A",0)</f>
        <v>129.12</v>
      </c>
      <c r="L1304">
        <f>_xlfn.XLOOKUP($A1304,[1]Sheet1!$H$9:$H$2584,[1]Sheet1!$I$9:$I$2584,"N/A",0)</f>
        <v>66.8</v>
      </c>
      <c r="M1304">
        <f>_xlfn.XLOOKUP($A1304,[1]Sheet1!$K$9:$K$2584,[1]Sheet1!$L$9:$L$2584,"N/A",0)</f>
        <v>130.61</v>
      </c>
      <c r="N1304">
        <f>_xlfn.XLOOKUP($A1304,[1]Sheet1!$N$9:$N$2584,[1]Sheet1!$O$9:$O$2584,"N/A",0)</f>
        <v>93.23</v>
      </c>
      <c r="O1304">
        <v>107.2</v>
      </c>
      <c r="P1304">
        <v>129.12</v>
      </c>
      <c r="Q1304">
        <v>66.8</v>
      </c>
      <c r="R1304">
        <v>93.23</v>
      </c>
      <c r="S1304">
        <v>130.61</v>
      </c>
    </row>
    <row r="1305" spans="1:19">
      <c r="A1305" s="1">
        <v>44260</v>
      </c>
      <c r="B1305" t="s">
        <v>584</v>
      </c>
      <c r="C1305" t="s">
        <v>595</v>
      </c>
      <c r="D1305">
        <v>25.0507</v>
      </c>
      <c r="E1305">
        <v>27.2112</v>
      </c>
      <c r="F1305">
        <v>0.0862450949474466</v>
      </c>
      <c r="G1305">
        <f ca="1" t="shared" si="60"/>
        <v>0.954650651356075</v>
      </c>
      <c r="H1305" t="str">
        <f ca="1" t="shared" si="61"/>
        <v>Risk-Off</v>
      </c>
      <c r="I1305">
        <f ca="1" t="shared" si="62"/>
        <v>1</v>
      </c>
      <c r="J1305">
        <f>_xlfn.XLOOKUP($A1305,[1]Sheet1!$B$9:$B$2584,[1]Sheet1!$C$9:$C$2584,"N/A",0)</f>
        <v>107</v>
      </c>
      <c r="K1305">
        <f>_xlfn.XLOOKUP($A1305,[1]Sheet1!$E$9:$E$2584,[1]Sheet1!$F$9:$F$2584,"N/A",0)</f>
        <v>127.42</v>
      </c>
      <c r="L1305">
        <f>_xlfn.XLOOKUP($A1305,[1]Sheet1!$H$9:$H$2584,[1]Sheet1!$I$9:$I$2584,"N/A",0)</f>
        <v>67.18</v>
      </c>
      <c r="M1305">
        <f>_xlfn.XLOOKUP($A1305,[1]Sheet1!$K$9:$K$2584,[1]Sheet1!$L$9:$L$2584,"N/A",0)</f>
        <v>131.33</v>
      </c>
      <c r="N1305">
        <f>_xlfn.XLOOKUP($A1305,[1]Sheet1!$N$9:$N$2584,[1]Sheet1!$O$9:$O$2584,"N/A",0)</f>
        <v>93.02</v>
      </c>
      <c r="O1305">
        <v>107</v>
      </c>
      <c r="P1305">
        <v>127.42</v>
      </c>
      <c r="Q1305">
        <v>67.18</v>
      </c>
      <c r="R1305">
        <v>93.02</v>
      </c>
      <c r="S1305">
        <v>131.33</v>
      </c>
    </row>
    <row r="1306" spans="1:19">
      <c r="A1306" s="1">
        <v>44263</v>
      </c>
      <c r="B1306" t="s">
        <v>584</v>
      </c>
      <c r="C1306" t="s">
        <v>595</v>
      </c>
      <c r="D1306">
        <v>25.3667</v>
      </c>
      <c r="E1306">
        <v>27.6657</v>
      </c>
      <c r="F1306">
        <v>0.0906306299203286</v>
      </c>
      <c r="G1306">
        <f ca="1" t="shared" si="60"/>
        <v>1.00415617351926</v>
      </c>
      <c r="H1306" t="str">
        <f ca="1" t="shared" si="61"/>
        <v>Risk-Off</v>
      </c>
      <c r="I1306">
        <f ca="1" t="shared" si="62"/>
        <v>1</v>
      </c>
      <c r="J1306">
        <f>_xlfn.XLOOKUP($A1306,[1]Sheet1!$B$9:$B$2584,[1]Sheet1!$C$9:$C$2584,"N/A",0)</f>
        <v>106.63</v>
      </c>
      <c r="K1306">
        <f>_xlfn.XLOOKUP($A1306,[1]Sheet1!$E$9:$E$2584,[1]Sheet1!$F$9:$F$2584,"N/A",0)</f>
        <v>121.83</v>
      </c>
      <c r="L1306">
        <f>_xlfn.XLOOKUP($A1306,[1]Sheet1!$H$9:$H$2584,[1]Sheet1!$I$9:$I$2584,"N/A",0)</f>
        <v>68.28</v>
      </c>
      <c r="M1306">
        <f>_xlfn.XLOOKUP($A1306,[1]Sheet1!$K$9:$K$2584,[1]Sheet1!$L$9:$L$2584,"N/A",0)</f>
        <v>130.7</v>
      </c>
      <c r="N1306">
        <f>_xlfn.XLOOKUP($A1306,[1]Sheet1!$N$9:$N$2584,[1]Sheet1!$O$9:$O$2584,"N/A",0)</f>
        <v>91.95</v>
      </c>
      <c r="O1306">
        <v>106.63</v>
      </c>
      <c r="P1306">
        <v>121.83</v>
      </c>
      <c r="Q1306">
        <v>68.28</v>
      </c>
      <c r="R1306">
        <v>91.95</v>
      </c>
      <c r="S1306">
        <v>130.7</v>
      </c>
    </row>
    <row r="1307" spans="1:19">
      <c r="A1307" s="1">
        <v>44264</v>
      </c>
      <c r="B1307" t="s">
        <v>584</v>
      </c>
      <c r="C1307" t="s">
        <v>595</v>
      </c>
      <c r="D1307">
        <v>23.9726</v>
      </c>
      <c r="E1307">
        <v>26.7188</v>
      </c>
      <c r="F1307" s="2" t="s">
        <v>603</v>
      </c>
      <c r="G1307">
        <f ca="1" t="shared" si="60"/>
        <v>1.3171736247753</v>
      </c>
      <c r="H1307" t="str">
        <f ca="1" t="shared" si="61"/>
        <v>Risk-Off</v>
      </c>
      <c r="I1307">
        <f ca="1" t="shared" si="62"/>
        <v>1</v>
      </c>
      <c r="J1307">
        <f>_xlfn.XLOOKUP($A1307,[1]Sheet1!$B$9:$B$2584,[1]Sheet1!$C$9:$C$2584,"N/A",0)</f>
        <v>107.17</v>
      </c>
      <c r="K1307">
        <f>_xlfn.XLOOKUP($A1307,[1]Sheet1!$E$9:$E$2584,[1]Sheet1!$F$9:$F$2584,"N/A",0)</f>
        <v>127.49</v>
      </c>
      <c r="L1307">
        <f>_xlfn.XLOOKUP($A1307,[1]Sheet1!$H$9:$H$2584,[1]Sheet1!$I$9:$I$2584,"N/A",0)</f>
        <v>67.39</v>
      </c>
      <c r="M1307">
        <f>_xlfn.XLOOKUP($A1307,[1]Sheet1!$K$9:$K$2584,[1]Sheet1!$L$9:$L$2584,"N/A",0)</f>
        <v>130.49</v>
      </c>
      <c r="N1307">
        <f>_xlfn.XLOOKUP($A1307,[1]Sheet1!$N$9:$N$2584,[1]Sheet1!$O$9:$O$2584,"N/A",0)</f>
        <v>92.07</v>
      </c>
      <c r="O1307">
        <v>107.17</v>
      </c>
      <c r="P1307">
        <v>127.49</v>
      </c>
      <c r="Q1307">
        <v>67.39</v>
      </c>
      <c r="R1307">
        <v>92.07</v>
      </c>
      <c r="S1307">
        <v>130.49</v>
      </c>
    </row>
    <row r="1308" spans="1:19">
      <c r="A1308" s="1">
        <v>44265</v>
      </c>
      <c r="B1308" t="s">
        <v>584</v>
      </c>
      <c r="C1308" t="s">
        <v>595</v>
      </c>
      <c r="D1308">
        <v>23.5048</v>
      </c>
      <c r="E1308">
        <v>26.4616</v>
      </c>
      <c r="F1308" s="2" t="s">
        <v>604</v>
      </c>
      <c r="G1308">
        <f ca="1" t="shared" si="60"/>
        <v>1.47883323236519</v>
      </c>
      <c r="H1308" t="str">
        <f ca="1" t="shared" si="61"/>
        <v>Risk-Off</v>
      </c>
      <c r="I1308">
        <f ca="1" t="shared" si="62"/>
        <v>1</v>
      </c>
      <c r="J1308">
        <f>_xlfn.XLOOKUP($A1308,[1]Sheet1!$B$9:$B$2584,[1]Sheet1!$C$9:$C$2584,"N/A",0)</f>
        <v>106.91</v>
      </c>
      <c r="K1308">
        <f>_xlfn.XLOOKUP($A1308,[1]Sheet1!$E$9:$E$2584,[1]Sheet1!$F$9:$F$2584,"N/A",0)</f>
        <v>127.01</v>
      </c>
      <c r="L1308">
        <f>_xlfn.XLOOKUP($A1308,[1]Sheet1!$H$9:$H$2584,[1]Sheet1!$I$9:$I$2584,"N/A",0)</f>
        <v>67.88</v>
      </c>
      <c r="M1308">
        <f>_xlfn.XLOOKUP($A1308,[1]Sheet1!$K$9:$K$2584,[1]Sheet1!$L$9:$L$2584,"N/A",0)</f>
        <v>130.51</v>
      </c>
      <c r="N1308">
        <f>_xlfn.XLOOKUP($A1308,[1]Sheet1!$N$9:$N$2584,[1]Sheet1!$O$9:$O$2584,"N/A",0)</f>
        <v>91.23</v>
      </c>
      <c r="O1308">
        <v>106.91</v>
      </c>
      <c r="P1308">
        <v>127.01</v>
      </c>
      <c r="Q1308">
        <v>67.88</v>
      </c>
      <c r="R1308">
        <v>91.23</v>
      </c>
      <c r="S1308">
        <v>130.51</v>
      </c>
    </row>
    <row r="1309" spans="1:19">
      <c r="A1309" s="1">
        <v>44266</v>
      </c>
      <c r="B1309" t="s">
        <v>584</v>
      </c>
      <c r="C1309" t="s">
        <v>595</v>
      </c>
      <c r="D1309">
        <v>22.8882</v>
      </c>
      <c r="E1309">
        <v>25.8013</v>
      </c>
      <c r="F1309" s="2" t="s">
        <v>605</v>
      </c>
      <c r="G1309">
        <f ca="1" t="shared" si="60"/>
        <v>1.50842021529599</v>
      </c>
      <c r="H1309" t="str">
        <f ca="1" t="shared" si="61"/>
        <v>Risk-Off</v>
      </c>
      <c r="I1309">
        <f ca="1" t="shared" si="62"/>
        <v>1</v>
      </c>
      <c r="J1309">
        <f>_xlfn.XLOOKUP($A1309,[1]Sheet1!$B$9:$B$2584,[1]Sheet1!$C$9:$C$2584,"N/A",0)</f>
        <v>107.64</v>
      </c>
      <c r="K1309">
        <f>_xlfn.XLOOKUP($A1309,[1]Sheet1!$E$9:$E$2584,[1]Sheet1!$F$9:$F$2584,"N/A",0)</f>
        <v>131.07</v>
      </c>
      <c r="L1309">
        <f>_xlfn.XLOOKUP($A1309,[1]Sheet1!$H$9:$H$2584,[1]Sheet1!$I$9:$I$2584,"N/A",0)</f>
        <v>67.61</v>
      </c>
      <c r="M1309">
        <f>_xlfn.XLOOKUP($A1309,[1]Sheet1!$K$9:$K$2584,[1]Sheet1!$L$9:$L$2584,"N/A",0)</f>
        <v>129.82</v>
      </c>
      <c r="N1309">
        <f>_xlfn.XLOOKUP($A1309,[1]Sheet1!$N$9:$N$2584,[1]Sheet1!$O$9:$O$2584,"N/A",0)</f>
        <v>90.75</v>
      </c>
      <c r="O1309">
        <v>107.64</v>
      </c>
      <c r="P1309">
        <v>131.07</v>
      </c>
      <c r="Q1309">
        <v>67.61</v>
      </c>
      <c r="R1309">
        <v>90.75</v>
      </c>
      <c r="S1309">
        <v>129.82</v>
      </c>
    </row>
    <row r="1310" spans="1:19">
      <c r="A1310" s="1">
        <v>44267</v>
      </c>
      <c r="B1310" t="s">
        <v>584</v>
      </c>
      <c r="C1310" t="s">
        <v>595</v>
      </c>
      <c r="D1310">
        <v>21.9778</v>
      </c>
      <c r="E1310">
        <v>25.4109</v>
      </c>
      <c r="F1310" s="2" t="s">
        <v>606</v>
      </c>
      <c r="G1310">
        <f ca="1" t="shared" si="60"/>
        <v>1.92619402136893</v>
      </c>
      <c r="H1310" t="str">
        <f ca="1" t="shared" si="61"/>
        <v>Risk-Off</v>
      </c>
      <c r="I1310">
        <f ca="1" t="shared" si="62"/>
        <v>1</v>
      </c>
      <c r="J1310">
        <f>_xlfn.XLOOKUP($A1310,[1]Sheet1!$B$9:$B$2584,[1]Sheet1!$C$9:$C$2584,"N/A",0)</f>
        <v>106.91</v>
      </c>
      <c r="K1310">
        <f>_xlfn.XLOOKUP($A1310,[1]Sheet1!$E$9:$E$2584,[1]Sheet1!$F$9:$F$2584,"N/A",0)</f>
        <v>129.06</v>
      </c>
      <c r="L1310">
        <f>_xlfn.XLOOKUP($A1310,[1]Sheet1!$H$9:$H$2584,[1]Sheet1!$I$9:$I$2584,"N/A",0)</f>
        <v>67.77</v>
      </c>
      <c r="M1310">
        <f>_xlfn.XLOOKUP($A1310,[1]Sheet1!$K$9:$K$2584,[1]Sheet1!$L$9:$L$2584,"N/A",0)</f>
        <v>129.03</v>
      </c>
      <c r="N1310">
        <f>_xlfn.XLOOKUP($A1310,[1]Sheet1!$N$9:$N$2584,[1]Sheet1!$O$9:$O$2584,"N/A",0)</f>
        <v>90.4</v>
      </c>
      <c r="O1310">
        <v>106.91</v>
      </c>
      <c r="P1310">
        <v>129.06</v>
      </c>
      <c r="Q1310">
        <v>67.77</v>
      </c>
      <c r="R1310">
        <v>90.4</v>
      </c>
      <c r="S1310">
        <v>129.03</v>
      </c>
    </row>
    <row r="1311" spans="1:19">
      <c r="A1311" s="1">
        <v>44270</v>
      </c>
      <c r="B1311" t="s">
        <v>584</v>
      </c>
      <c r="C1311" t="s">
        <v>595</v>
      </c>
      <c r="D1311">
        <v>20.1006</v>
      </c>
      <c r="E1311">
        <v>23.9781</v>
      </c>
      <c r="F1311" s="2" t="s">
        <v>607</v>
      </c>
      <c r="G1311">
        <f ca="1" t="shared" si="60"/>
        <v>2.49713154191371</v>
      </c>
      <c r="H1311" t="str">
        <f ca="1" t="shared" si="61"/>
        <v>Risk-Off</v>
      </c>
      <c r="I1311">
        <f ca="1" t="shared" si="62"/>
        <v>1</v>
      </c>
      <c r="J1311">
        <f>_xlfn.XLOOKUP($A1311,[1]Sheet1!$B$9:$B$2584,[1]Sheet1!$C$9:$C$2584,"N/A",0)</f>
        <v>106.82</v>
      </c>
      <c r="K1311">
        <f>_xlfn.XLOOKUP($A1311,[1]Sheet1!$E$9:$E$2584,[1]Sheet1!$F$9:$F$2584,"N/A",0)</f>
        <v>128.85</v>
      </c>
      <c r="L1311">
        <f>_xlfn.XLOOKUP($A1311,[1]Sheet1!$H$9:$H$2584,[1]Sheet1!$I$9:$I$2584,"N/A",0)</f>
        <v>68.06</v>
      </c>
      <c r="M1311">
        <f>_xlfn.XLOOKUP($A1311,[1]Sheet1!$K$9:$K$2584,[1]Sheet1!$L$9:$L$2584,"N/A",0)</f>
        <v>128.89</v>
      </c>
      <c r="N1311">
        <f>_xlfn.XLOOKUP($A1311,[1]Sheet1!$N$9:$N$2584,[1]Sheet1!$O$9:$O$2584,"N/A",0)</f>
        <v>90.64</v>
      </c>
      <c r="O1311">
        <v>106.82</v>
      </c>
      <c r="P1311">
        <v>128.85</v>
      </c>
      <c r="Q1311">
        <v>68.06</v>
      </c>
      <c r="R1311">
        <v>90.64</v>
      </c>
      <c r="S1311">
        <v>128.89</v>
      </c>
    </row>
    <row r="1312" spans="1:19">
      <c r="A1312" s="1">
        <v>44271</v>
      </c>
      <c r="B1312" t="s">
        <v>584</v>
      </c>
      <c r="C1312" t="s">
        <v>595</v>
      </c>
      <c r="D1312">
        <v>19.9204</v>
      </c>
      <c r="E1312">
        <v>24.047</v>
      </c>
      <c r="F1312" s="2" t="s">
        <v>608</v>
      </c>
      <c r="G1312">
        <f ca="1" t="shared" si="60"/>
        <v>2.74756530266603</v>
      </c>
      <c r="H1312" t="str">
        <f ca="1" t="shared" si="61"/>
        <v>Risk-Off</v>
      </c>
      <c r="I1312">
        <f ca="1" t="shared" si="62"/>
        <v>1</v>
      </c>
      <c r="J1312">
        <f>_xlfn.XLOOKUP($A1312,[1]Sheet1!$B$9:$B$2584,[1]Sheet1!$C$9:$C$2584,"N/A",0)</f>
        <v>106.5</v>
      </c>
      <c r="K1312">
        <f>_xlfn.XLOOKUP($A1312,[1]Sheet1!$E$9:$E$2584,[1]Sheet1!$F$9:$F$2584,"N/A",0)</f>
        <v>127.76</v>
      </c>
      <c r="L1312">
        <f>_xlfn.XLOOKUP($A1312,[1]Sheet1!$H$9:$H$2584,[1]Sheet1!$I$9:$I$2584,"N/A",0)</f>
        <v>68.06</v>
      </c>
      <c r="M1312">
        <f>_xlfn.XLOOKUP($A1312,[1]Sheet1!$K$9:$K$2584,[1]Sheet1!$L$9:$L$2584,"N/A",0)</f>
        <v>128.72</v>
      </c>
      <c r="N1312">
        <f>_xlfn.XLOOKUP($A1312,[1]Sheet1!$N$9:$N$2584,[1]Sheet1!$O$9:$O$2584,"N/A",0)</f>
        <v>91.37</v>
      </c>
      <c r="O1312">
        <v>106.5</v>
      </c>
      <c r="P1312">
        <v>127.76</v>
      </c>
      <c r="Q1312">
        <v>68.06</v>
      </c>
      <c r="R1312">
        <v>91.37</v>
      </c>
      <c r="S1312">
        <v>128.72</v>
      </c>
    </row>
    <row r="1313" spans="1:19">
      <c r="A1313" s="1">
        <v>44272</v>
      </c>
      <c r="B1313" t="s">
        <v>584</v>
      </c>
      <c r="C1313" t="s">
        <v>595</v>
      </c>
      <c r="D1313">
        <v>20.8</v>
      </c>
      <c r="E1313">
        <v>23.0025</v>
      </c>
      <c r="F1313" s="2" t="s">
        <v>609</v>
      </c>
      <c r="G1313">
        <f ca="1" t="shared" si="60"/>
        <v>1.25959637166633</v>
      </c>
      <c r="H1313" t="str">
        <f ca="1" t="shared" si="61"/>
        <v>Risk-Off</v>
      </c>
      <c r="I1313">
        <f ca="1" t="shared" si="62"/>
        <v>1</v>
      </c>
      <c r="J1313">
        <f>_xlfn.XLOOKUP($A1313,[1]Sheet1!$B$9:$B$2584,[1]Sheet1!$C$9:$C$2584,"N/A",0)</f>
        <v>106.21</v>
      </c>
      <c r="K1313">
        <f>_xlfn.XLOOKUP($A1313,[1]Sheet1!$E$9:$E$2584,[1]Sheet1!$F$9:$F$2584,"N/A",0)</f>
        <v>127.3</v>
      </c>
      <c r="L1313">
        <f>_xlfn.XLOOKUP($A1313,[1]Sheet1!$H$9:$H$2584,[1]Sheet1!$I$9:$I$2584,"N/A",0)</f>
        <v>68.77</v>
      </c>
      <c r="M1313">
        <f>_xlfn.XLOOKUP($A1313,[1]Sheet1!$K$9:$K$2584,[1]Sheet1!$L$9:$L$2584,"N/A",0)</f>
        <v>128.36</v>
      </c>
      <c r="N1313">
        <f>_xlfn.XLOOKUP($A1313,[1]Sheet1!$N$9:$N$2584,[1]Sheet1!$O$9:$O$2584,"N/A",0)</f>
        <v>91.21</v>
      </c>
      <c r="O1313">
        <v>106.21</v>
      </c>
      <c r="P1313">
        <v>127.3</v>
      </c>
      <c r="Q1313">
        <v>68.77</v>
      </c>
      <c r="R1313">
        <v>91.21</v>
      </c>
      <c r="S1313">
        <v>128.36</v>
      </c>
    </row>
    <row r="1314" spans="1:19">
      <c r="A1314" s="1">
        <v>44273</v>
      </c>
      <c r="B1314" t="s">
        <v>595</v>
      </c>
      <c r="C1314" t="s">
        <v>610</v>
      </c>
      <c r="D1314">
        <v>24.3001</v>
      </c>
      <c r="E1314">
        <v>25.8014</v>
      </c>
      <c r="F1314">
        <v>0.0617816387586882</v>
      </c>
      <c r="G1314">
        <f ca="1" t="shared" si="60"/>
        <v>0.581416904541139</v>
      </c>
      <c r="H1314" t="str">
        <f ca="1" t="shared" si="61"/>
        <v>Risk-Off</v>
      </c>
      <c r="I1314">
        <f ca="1" t="shared" si="62"/>
        <v>1</v>
      </c>
      <c r="J1314">
        <f>_xlfn.XLOOKUP($A1314,[1]Sheet1!$B$9:$B$2584,[1]Sheet1!$C$9:$C$2584,"N/A",0)</f>
        <v>105.3</v>
      </c>
      <c r="K1314">
        <f>_xlfn.XLOOKUP($A1314,[1]Sheet1!$E$9:$E$2584,[1]Sheet1!$F$9:$F$2584,"N/A",0)</f>
        <v>124.15</v>
      </c>
      <c r="L1314">
        <f>_xlfn.XLOOKUP($A1314,[1]Sheet1!$H$9:$H$2584,[1]Sheet1!$I$9:$I$2584,"N/A",0)</f>
        <v>69.29</v>
      </c>
      <c r="M1314">
        <f>_xlfn.XLOOKUP($A1314,[1]Sheet1!$K$9:$K$2584,[1]Sheet1!$L$9:$L$2584,"N/A",0)</f>
        <v>128.75</v>
      </c>
      <c r="N1314">
        <f>_xlfn.XLOOKUP($A1314,[1]Sheet1!$N$9:$N$2584,[1]Sheet1!$O$9:$O$2584,"N/A",0)</f>
        <v>91.88</v>
      </c>
      <c r="O1314">
        <v>105.3</v>
      </c>
      <c r="P1314">
        <v>124.15</v>
      </c>
      <c r="Q1314">
        <v>69.29</v>
      </c>
      <c r="R1314">
        <v>91.88</v>
      </c>
      <c r="S1314">
        <v>128.75</v>
      </c>
    </row>
    <row r="1315" spans="1:19">
      <c r="A1315" s="1">
        <v>44274</v>
      </c>
      <c r="B1315" t="s">
        <v>595</v>
      </c>
      <c r="C1315" t="s">
        <v>610</v>
      </c>
      <c r="D1315">
        <v>23.315</v>
      </c>
      <c r="E1315">
        <v>25.2669</v>
      </c>
      <c r="F1315">
        <v>0.0837186360711987</v>
      </c>
      <c r="G1315">
        <f ca="1" t="shared" si="60"/>
        <v>0.916808378163282</v>
      </c>
      <c r="H1315" t="str">
        <f ca="1" t="shared" si="61"/>
        <v>Risk-Off</v>
      </c>
      <c r="I1315">
        <f ca="1" t="shared" si="62"/>
        <v>1</v>
      </c>
      <c r="J1315">
        <f>_xlfn.XLOOKUP($A1315,[1]Sheet1!$B$9:$B$2584,[1]Sheet1!$C$9:$C$2584,"N/A",0)</f>
        <v>105.71</v>
      </c>
      <c r="K1315">
        <f>_xlfn.XLOOKUP($A1315,[1]Sheet1!$E$9:$E$2584,[1]Sheet1!$F$9:$F$2584,"N/A",0)</f>
        <v>126.4</v>
      </c>
      <c r="L1315">
        <f>_xlfn.XLOOKUP($A1315,[1]Sheet1!$H$9:$H$2584,[1]Sheet1!$I$9:$I$2584,"N/A",0)</f>
        <v>69.31</v>
      </c>
      <c r="M1315">
        <f>_xlfn.XLOOKUP($A1315,[1]Sheet1!$K$9:$K$2584,[1]Sheet1!$L$9:$L$2584,"N/A",0)</f>
        <v>129.3</v>
      </c>
      <c r="N1315">
        <f>_xlfn.XLOOKUP($A1315,[1]Sheet1!$N$9:$N$2584,[1]Sheet1!$O$9:$O$2584,"N/A",0)</f>
        <v>91.4</v>
      </c>
      <c r="O1315">
        <v>105.71</v>
      </c>
      <c r="P1315">
        <v>126.4</v>
      </c>
      <c r="Q1315">
        <v>69.31</v>
      </c>
      <c r="R1315">
        <v>91.4</v>
      </c>
      <c r="S1315">
        <v>129.3</v>
      </c>
    </row>
    <row r="1316" spans="1:19">
      <c r="A1316" s="1">
        <v>44277</v>
      </c>
      <c r="B1316" t="s">
        <v>595</v>
      </c>
      <c r="C1316" t="s">
        <v>610</v>
      </c>
      <c r="D1316">
        <v>21.731</v>
      </c>
      <c r="E1316">
        <v>23.9449</v>
      </c>
      <c r="F1316" s="2" t="s">
        <v>611</v>
      </c>
      <c r="G1316">
        <f ca="1" t="shared" si="60"/>
        <v>1.19114936995262</v>
      </c>
      <c r="H1316" t="str">
        <f ca="1" t="shared" si="61"/>
        <v>Risk-Off</v>
      </c>
      <c r="I1316">
        <f ca="1" t="shared" si="62"/>
        <v>1</v>
      </c>
      <c r="J1316">
        <f>_xlfn.XLOOKUP($A1316,[1]Sheet1!$B$9:$B$2584,[1]Sheet1!$C$9:$C$2584,"N/A",0)</f>
        <v>105.88</v>
      </c>
      <c r="K1316">
        <f>_xlfn.XLOOKUP($A1316,[1]Sheet1!$E$9:$E$2584,[1]Sheet1!$F$9:$F$2584,"N/A",0)</f>
        <v>127.9</v>
      </c>
      <c r="L1316">
        <f>_xlfn.XLOOKUP($A1316,[1]Sheet1!$H$9:$H$2584,[1]Sheet1!$I$9:$I$2584,"N/A",0)</f>
        <v>68.99</v>
      </c>
      <c r="M1316">
        <f>_xlfn.XLOOKUP($A1316,[1]Sheet1!$K$9:$K$2584,[1]Sheet1!$L$9:$L$2584,"N/A",0)</f>
        <v>130.25</v>
      </c>
      <c r="N1316">
        <f>_xlfn.XLOOKUP($A1316,[1]Sheet1!$N$9:$N$2584,[1]Sheet1!$O$9:$O$2584,"N/A",0)</f>
        <v>92.49</v>
      </c>
      <c r="O1316">
        <v>105.88</v>
      </c>
      <c r="P1316">
        <v>127.9</v>
      </c>
      <c r="Q1316">
        <v>68.99</v>
      </c>
      <c r="R1316">
        <v>92.49</v>
      </c>
      <c r="S1316">
        <v>130.25</v>
      </c>
    </row>
    <row r="1317" spans="1:19">
      <c r="A1317" s="1">
        <v>44278</v>
      </c>
      <c r="B1317" t="s">
        <v>595</v>
      </c>
      <c r="C1317" t="s">
        <v>610</v>
      </c>
      <c r="D1317">
        <v>22.833</v>
      </c>
      <c r="E1317">
        <v>24.7467</v>
      </c>
      <c r="F1317">
        <v>0.083812902378137</v>
      </c>
      <c r="G1317">
        <f ca="1" t="shared" si="60"/>
        <v>0.904972385920807</v>
      </c>
      <c r="H1317" t="str">
        <f ca="1" t="shared" si="61"/>
        <v>Risk-Off</v>
      </c>
      <c r="I1317">
        <f ca="1" t="shared" si="62"/>
        <v>1</v>
      </c>
      <c r="J1317">
        <f>_xlfn.XLOOKUP($A1317,[1]Sheet1!$B$9:$B$2584,[1]Sheet1!$C$9:$C$2584,"N/A",0)</f>
        <v>106.16</v>
      </c>
      <c r="K1317">
        <f>_xlfn.XLOOKUP($A1317,[1]Sheet1!$E$9:$E$2584,[1]Sheet1!$F$9:$F$2584,"N/A",0)</f>
        <v>127.43</v>
      </c>
      <c r="L1317">
        <f>_xlfn.XLOOKUP($A1317,[1]Sheet1!$H$9:$H$2584,[1]Sheet1!$I$9:$I$2584,"N/A",0)</f>
        <v>68.13</v>
      </c>
      <c r="M1317">
        <f>_xlfn.XLOOKUP($A1317,[1]Sheet1!$K$9:$K$2584,[1]Sheet1!$L$9:$L$2584,"N/A",0)</f>
        <v>131.99</v>
      </c>
      <c r="N1317">
        <f>_xlfn.XLOOKUP($A1317,[1]Sheet1!$N$9:$N$2584,[1]Sheet1!$O$9:$O$2584,"N/A",0)</f>
        <v>93.75</v>
      </c>
      <c r="O1317">
        <v>106.16</v>
      </c>
      <c r="P1317">
        <v>127.43</v>
      </c>
      <c r="Q1317">
        <v>68.13</v>
      </c>
      <c r="R1317">
        <v>93.75</v>
      </c>
      <c r="S1317">
        <v>131.99</v>
      </c>
    </row>
    <row r="1318" spans="1:19">
      <c r="A1318" s="1">
        <v>44279</v>
      </c>
      <c r="B1318" t="s">
        <v>595</v>
      </c>
      <c r="C1318" t="s">
        <v>610</v>
      </c>
      <c r="D1318">
        <v>22.9775</v>
      </c>
      <c r="E1318">
        <v>24.7612</v>
      </c>
      <c r="F1318">
        <v>0.0776281144597976</v>
      </c>
      <c r="G1318">
        <f ca="1" t="shared" si="60"/>
        <v>0.797845757338604</v>
      </c>
      <c r="H1318" t="str">
        <f ca="1" t="shared" si="61"/>
        <v>Risk-Off</v>
      </c>
      <c r="I1318">
        <f ca="1" t="shared" si="62"/>
        <v>1</v>
      </c>
      <c r="J1318">
        <f>_xlfn.XLOOKUP($A1318,[1]Sheet1!$B$9:$B$2584,[1]Sheet1!$C$9:$C$2584,"N/A",0)</f>
        <v>106.41</v>
      </c>
      <c r="K1318">
        <f>_xlfn.XLOOKUP($A1318,[1]Sheet1!$E$9:$E$2584,[1]Sheet1!$F$9:$F$2584,"N/A",0)</f>
        <v>123.68</v>
      </c>
      <c r="L1318">
        <f>_xlfn.XLOOKUP($A1318,[1]Sheet1!$H$9:$H$2584,[1]Sheet1!$I$9:$I$2584,"N/A",0)</f>
        <v>68.27</v>
      </c>
      <c r="M1318">
        <f>_xlfn.XLOOKUP($A1318,[1]Sheet1!$K$9:$K$2584,[1]Sheet1!$L$9:$L$2584,"N/A",0)</f>
        <v>131.97</v>
      </c>
      <c r="N1318">
        <f>_xlfn.XLOOKUP($A1318,[1]Sheet1!$N$9:$N$2584,[1]Sheet1!$O$9:$O$2584,"N/A",0)</f>
        <v>95.08</v>
      </c>
      <c r="O1318">
        <v>106.41</v>
      </c>
      <c r="P1318">
        <v>123.68</v>
      </c>
      <c r="Q1318">
        <v>68.27</v>
      </c>
      <c r="R1318">
        <v>95.08</v>
      </c>
      <c r="S1318">
        <v>131.97</v>
      </c>
    </row>
    <row r="1319" spans="1:19">
      <c r="A1319" s="1">
        <v>44280</v>
      </c>
      <c r="B1319" t="s">
        <v>595</v>
      </c>
      <c r="C1319" t="s">
        <v>610</v>
      </c>
      <c r="D1319">
        <v>22.3056</v>
      </c>
      <c r="E1319">
        <v>24.2012</v>
      </c>
      <c r="F1319">
        <v>0.084983143246539</v>
      </c>
      <c r="G1319">
        <f ca="1" t="shared" si="60"/>
        <v>0.915176335007077</v>
      </c>
      <c r="H1319" t="str">
        <f ca="1" t="shared" si="61"/>
        <v>Risk-On</v>
      </c>
      <c r="I1319">
        <f ca="1" t="shared" si="62"/>
        <v>1</v>
      </c>
      <c r="J1319">
        <f>_xlfn.XLOOKUP($A1319,[1]Sheet1!$B$9:$B$2584,[1]Sheet1!$C$9:$C$2584,"N/A",0)</f>
        <v>105.81</v>
      </c>
      <c r="K1319">
        <f>_xlfn.XLOOKUP($A1319,[1]Sheet1!$E$9:$E$2584,[1]Sheet1!$F$9:$F$2584,"N/A",0)</f>
        <v>122.26</v>
      </c>
      <c r="L1319">
        <f>_xlfn.XLOOKUP($A1319,[1]Sheet1!$H$9:$H$2584,[1]Sheet1!$I$9:$I$2584,"N/A",0)</f>
        <v>68.68</v>
      </c>
      <c r="M1319">
        <f>_xlfn.XLOOKUP($A1319,[1]Sheet1!$K$9:$K$2584,[1]Sheet1!$L$9:$L$2584,"N/A",0)</f>
        <v>131.9</v>
      </c>
      <c r="N1319">
        <f>_xlfn.XLOOKUP($A1319,[1]Sheet1!$N$9:$N$2584,[1]Sheet1!$O$9:$O$2584,"N/A",0)</f>
        <v>94.32</v>
      </c>
      <c r="O1319">
        <v>105.81</v>
      </c>
      <c r="P1319">
        <v>122.26</v>
      </c>
      <c r="Q1319">
        <v>68.68</v>
      </c>
      <c r="R1319">
        <v>94.32</v>
      </c>
      <c r="S1319">
        <v>131.9</v>
      </c>
    </row>
    <row r="1320" spans="1:19">
      <c r="A1320" s="1">
        <v>44281</v>
      </c>
      <c r="B1320" t="s">
        <v>595</v>
      </c>
      <c r="C1320" t="s">
        <v>610</v>
      </c>
      <c r="D1320">
        <v>21.3859</v>
      </c>
      <c r="E1320">
        <v>23.3135</v>
      </c>
      <c r="F1320">
        <v>0.0901341538116236</v>
      </c>
      <c r="G1320">
        <f ca="1" t="shared" si="60"/>
        <v>0.995466587402369</v>
      </c>
      <c r="H1320" t="str">
        <f ca="1" t="shared" si="61"/>
        <v>Risk-On</v>
      </c>
      <c r="I1320">
        <f ca="1" t="shared" si="62"/>
        <v>1</v>
      </c>
      <c r="J1320">
        <f>_xlfn.XLOOKUP($A1320,[1]Sheet1!$B$9:$B$2584,[1]Sheet1!$C$9:$C$2584,"N/A",0)</f>
        <v>106.27</v>
      </c>
      <c r="K1320">
        <f>_xlfn.XLOOKUP($A1320,[1]Sheet1!$E$9:$E$2584,[1]Sheet1!$F$9:$F$2584,"N/A",0)</f>
        <v>122.1</v>
      </c>
      <c r="L1320">
        <f>_xlfn.XLOOKUP($A1320,[1]Sheet1!$H$9:$H$2584,[1]Sheet1!$I$9:$I$2584,"N/A",0)</f>
        <v>69.11</v>
      </c>
      <c r="M1320">
        <f>_xlfn.XLOOKUP($A1320,[1]Sheet1!$K$9:$K$2584,[1]Sheet1!$L$9:$L$2584,"N/A",0)</f>
        <v>132.79</v>
      </c>
      <c r="N1320">
        <f>_xlfn.XLOOKUP($A1320,[1]Sheet1!$N$9:$N$2584,[1]Sheet1!$O$9:$O$2584,"N/A",0)</f>
        <v>94.51</v>
      </c>
      <c r="O1320">
        <v>106.27</v>
      </c>
      <c r="P1320">
        <v>122.1</v>
      </c>
      <c r="Q1320">
        <v>69.11</v>
      </c>
      <c r="R1320">
        <v>94.51</v>
      </c>
      <c r="S1320">
        <v>132.79</v>
      </c>
    </row>
    <row r="1321" spans="1:19">
      <c r="A1321" s="1">
        <v>44284</v>
      </c>
      <c r="B1321" t="s">
        <v>595</v>
      </c>
      <c r="C1321" t="s">
        <v>610</v>
      </c>
      <c r="D1321">
        <v>22.0032</v>
      </c>
      <c r="E1321">
        <v>23.6502</v>
      </c>
      <c r="F1321">
        <v>0.0748527486910995</v>
      </c>
      <c r="G1321">
        <f ca="1" t="shared" si="60"/>
        <v>0.736184373136093</v>
      </c>
      <c r="H1321" t="str">
        <f ca="1" t="shared" si="61"/>
        <v>Risk-On</v>
      </c>
      <c r="I1321">
        <f ca="1" t="shared" si="62"/>
        <v>1</v>
      </c>
      <c r="J1321">
        <f>_xlfn.XLOOKUP($A1321,[1]Sheet1!$B$9:$B$2584,[1]Sheet1!$C$9:$C$2584,"N/A",0)</f>
        <v>106.31</v>
      </c>
      <c r="K1321">
        <f>_xlfn.XLOOKUP($A1321,[1]Sheet1!$E$9:$E$2584,[1]Sheet1!$F$9:$F$2584,"N/A",0)</f>
        <v>120.14</v>
      </c>
      <c r="L1321">
        <f>_xlfn.XLOOKUP($A1321,[1]Sheet1!$H$9:$H$2584,[1]Sheet1!$I$9:$I$2584,"N/A",0)</f>
        <v>68.91</v>
      </c>
      <c r="M1321">
        <f>_xlfn.XLOOKUP($A1321,[1]Sheet1!$K$9:$K$2584,[1]Sheet1!$L$9:$L$2584,"N/A",0)</f>
        <v>133.3</v>
      </c>
      <c r="N1321">
        <f>_xlfn.XLOOKUP($A1321,[1]Sheet1!$N$9:$N$2584,[1]Sheet1!$O$9:$O$2584,"N/A",0)</f>
        <v>96.09</v>
      </c>
      <c r="O1321">
        <v>106.31</v>
      </c>
      <c r="P1321">
        <v>120.14</v>
      </c>
      <c r="Q1321">
        <v>68.91</v>
      </c>
      <c r="R1321">
        <v>96.09</v>
      </c>
      <c r="S1321">
        <v>133.3</v>
      </c>
    </row>
    <row r="1322" spans="1:19">
      <c r="A1322" s="1">
        <v>44285</v>
      </c>
      <c r="B1322" t="s">
        <v>595</v>
      </c>
      <c r="C1322" t="s">
        <v>610</v>
      </c>
      <c r="D1322">
        <v>21.0321</v>
      </c>
      <c r="E1322">
        <v>22.8076</v>
      </c>
      <c r="F1322">
        <v>0.0844185792193837</v>
      </c>
      <c r="G1322">
        <f ca="1" t="shared" si="60"/>
        <v>0.900528530486289</v>
      </c>
      <c r="H1322" t="str">
        <f ca="1" t="shared" si="61"/>
        <v>Risk-On</v>
      </c>
      <c r="I1322">
        <f ca="1" t="shared" si="62"/>
        <v>1</v>
      </c>
      <c r="J1322">
        <f>_xlfn.XLOOKUP($A1322,[1]Sheet1!$B$9:$B$2584,[1]Sheet1!$C$9:$C$2584,"N/A",0)</f>
        <v>106.26</v>
      </c>
      <c r="K1322">
        <f>_xlfn.XLOOKUP($A1322,[1]Sheet1!$E$9:$E$2584,[1]Sheet1!$F$9:$F$2584,"N/A",0)</f>
        <v>121.63</v>
      </c>
      <c r="L1322">
        <f>_xlfn.XLOOKUP($A1322,[1]Sheet1!$H$9:$H$2584,[1]Sheet1!$I$9:$I$2584,"N/A",0)</f>
        <v>69.37</v>
      </c>
      <c r="M1322">
        <f>_xlfn.XLOOKUP($A1322,[1]Sheet1!$K$9:$K$2584,[1]Sheet1!$L$9:$L$2584,"N/A",0)</f>
        <v>132.74</v>
      </c>
      <c r="N1322">
        <f>_xlfn.XLOOKUP($A1322,[1]Sheet1!$N$9:$N$2584,[1]Sheet1!$O$9:$O$2584,"N/A",0)</f>
        <v>95.1</v>
      </c>
      <c r="O1322">
        <v>106.26</v>
      </c>
      <c r="P1322">
        <v>121.63</v>
      </c>
      <c r="Q1322">
        <v>69.37</v>
      </c>
      <c r="R1322">
        <v>95.1</v>
      </c>
      <c r="S1322">
        <v>132.74</v>
      </c>
    </row>
    <row r="1323" spans="1:19">
      <c r="A1323" s="1">
        <v>44286</v>
      </c>
      <c r="B1323" t="s">
        <v>595</v>
      </c>
      <c r="C1323" t="s">
        <v>610</v>
      </c>
      <c r="D1323">
        <v>20.734</v>
      </c>
      <c r="E1323">
        <v>22.6758</v>
      </c>
      <c r="F1323">
        <v>0.0936529372045913</v>
      </c>
      <c r="G1323">
        <f ca="1" t="shared" si="60"/>
        <v>1.06406009461323</v>
      </c>
      <c r="H1323" t="str">
        <f ca="1" t="shared" si="61"/>
        <v>Risk-On</v>
      </c>
      <c r="I1323">
        <f ca="1" t="shared" si="62"/>
        <v>1</v>
      </c>
      <c r="J1323">
        <f>_xlfn.XLOOKUP($A1323,[1]Sheet1!$B$9:$B$2584,[1]Sheet1!$C$9:$C$2584,"N/A",0)</f>
        <v>106.19</v>
      </c>
      <c r="K1323">
        <f>_xlfn.XLOOKUP($A1323,[1]Sheet1!$E$9:$E$2584,[1]Sheet1!$F$9:$F$2584,"N/A",0)</f>
        <v>124.7</v>
      </c>
      <c r="L1323">
        <f>_xlfn.XLOOKUP($A1323,[1]Sheet1!$H$9:$H$2584,[1]Sheet1!$I$9:$I$2584,"N/A",0)</f>
        <v>69.22</v>
      </c>
      <c r="M1323">
        <f>_xlfn.XLOOKUP($A1323,[1]Sheet1!$K$9:$K$2584,[1]Sheet1!$L$9:$L$2584,"N/A",0)</f>
        <v>133.37</v>
      </c>
      <c r="N1323">
        <f>_xlfn.XLOOKUP($A1323,[1]Sheet1!$N$9:$N$2584,[1]Sheet1!$O$9:$O$2584,"N/A",0)</f>
        <v>94.68</v>
      </c>
      <c r="O1323">
        <v>106.19</v>
      </c>
      <c r="P1323">
        <v>124.7</v>
      </c>
      <c r="Q1323">
        <v>69.22</v>
      </c>
      <c r="R1323">
        <v>94.68</v>
      </c>
      <c r="S1323">
        <v>133.37</v>
      </c>
    </row>
    <row r="1324" spans="1:19">
      <c r="A1324" s="1">
        <v>44287</v>
      </c>
      <c r="B1324" t="s">
        <v>595</v>
      </c>
      <c r="C1324" t="s">
        <v>610</v>
      </c>
      <c r="D1324">
        <v>20.0824</v>
      </c>
      <c r="E1324">
        <v>22.0336</v>
      </c>
      <c r="F1324">
        <v>0.0971597020276461</v>
      </c>
      <c r="G1324">
        <f ca="1" t="shared" si="60"/>
        <v>1.12684555927594</v>
      </c>
      <c r="H1324" t="str">
        <f ca="1" t="shared" si="61"/>
        <v>Risk-On</v>
      </c>
      <c r="I1324">
        <f ca="1" t="shared" si="62"/>
        <v>1</v>
      </c>
      <c r="J1324">
        <f>_xlfn.XLOOKUP($A1324,[1]Sheet1!$B$9:$B$2584,[1]Sheet1!$C$9:$C$2584,"N/A",0)</f>
        <v>106.77</v>
      </c>
      <c r="K1324">
        <f>_xlfn.XLOOKUP($A1324,[1]Sheet1!$E$9:$E$2584,[1]Sheet1!$F$9:$F$2584,"N/A",0)</f>
        <v>124.78</v>
      </c>
      <c r="L1324">
        <f>_xlfn.XLOOKUP($A1324,[1]Sheet1!$H$9:$H$2584,[1]Sheet1!$I$9:$I$2584,"N/A",0)</f>
        <v>69.01</v>
      </c>
      <c r="M1324">
        <f>_xlfn.XLOOKUP($A1324,[1]Sheet1!$K$9:$K$2584,[1]Sheet1!$L$9:$L$2584,"N/A",0)</f>
        <v>133.55</v>
      </c>
      <c r="N1324">
        <f>_xlfn.XLOOKUP($A1324,[1]Sheet1!$N$9:$N$2584,[1]Sheet1!$O$9:$O$2584,"N/A",0)</f>
        <v>94.26</v>
      </c>
      <c r="O1324">
        <v>106.77</v>
      </c>
      <c r="P1324">
        <v>124.78</v>
      </c>
      <c r="Q1324">
        <v>69.01</v>
      </c>
      <c r="R1324">
        <v>94.26</v>
      </c>
      <c r="S1324">
        <v>133.55</v>
      </c>
    </row>
    <row r="1325" spans="1:19">
      <c r="A1325" s="1">
        <v>44291</v>
      </c>
      <c r="B1325" t="s">
        <v>595</v>
      </c>
      <c r="C1325" t="s">
        <v>610</v>
      </c>
      <c r="D1325">
        <v>19.5423</v>
      </c>
      <c r="E1325">
        <v>21.4914</v>
      </c>
      <c r="F1325">
        <v>0.0997374925162339</v>
      </c>
      <c r="G1325">
        <f ca="1" t="shared" si="60"/>
        <v>1.17709050786062</v>
      </c>
      <c r="H1325" t="str">
        <f ca="1" t="shared" si="61"/>
        <v>Risk-On</v>
      </c>
      <c r="I1325">
        <f ca="1" t="shared" si="62"/>
        <v>1</v>
      </c>
      <c r="J1325">
        <f>_xlfn.XLOOKUP($A1325,[1]Sheet1!$B$9:$B$2584,[1]Sheet1!$C$9:$C$2584,"N/A",0)</f>
        <v>106.77</v>
      </c>
      <c r="K1325">
        <f>_xlfn.XLOOKUP($A1325,[1]Sheet1!$E$9:$E$2584,[1]Sheet1!$F$9:$F$2584,"N/A",0)</f>
        <v>123.65</v>
      </c>
      <c r="L1325">
        <f>_xlfn.XLOOKUP($A1325,[1]Sheet1!$H$9:$H$2584,[1]Sheet1!$I$9:$I$2584,"N/A",0)</f>
        <v>69.08</v>
      </c>
      <c r="M1325">
        <f>_xlfn.XLOOKUP($A1325,[1]Sheet1!$K$9:$K$2584,[1]Sheet1!$L$9:$L$2584,"N/A",0)</f>
        <v>133.89</v>
      </c>
      <c r="N1325">
        <f>_xlfn.XLOOKUP($A1325,[1]Sheet1!$N$9:$N$2584,[1]Sheet1!$O$9:$O$2584,"N/A",0)</f>
        <v>94.8</v>
      </c>
      <c r="O1325">
        <v>106.77</v>
      </c>
      <c r="P1325">
        <v>123.65</v>
      </c>
      <c r="Q1325">
        <v>69.08</v>
      </c>
      <c r="R1325">
        <v>94.8</v>
      </c>
      <c r="S1325">
        <v>133.89</v>
      </c>
    </row>
    <row r="1326" spans="1:19">
      <c r="A1326" s="1">
        <v>44292</v>
      </c>
      <c r="B1326" t="s">
        <v>595</v>
      </c>
      <c r="C1326" t="s">
        <v>610</v>
      </c>
      <c r="D1326">
        <v>19.561</v>
      </c>
      <c r="E1326">
        <v>21.4864</v>
      </c>
      <c r="F1326">
        <v>0.0984305505853483</v>
      </c>
      <c r="G1326">
        <f ca="1" t="shared" si="60"/>
        <v>1.15064363762461</v>
      </c>
      <c r="H1326" t="str">
        <f ca="1" t="shared" si="61"/>
        <v>Risk-On</v>
      </c>
      <c r="I1326">
        <f ca="1" t="shared" si="62"/>
        <v>1</v>
      </c>
      <c r="J1326">
        <f>_xlfn.XLOOKUP($A1326,[1]Sheet1!$B$9:$B$2584,[1]Sheet1!$C$9:$C$2584,"N/A",0)</f>
        <v>107.1</v>
      </c>
      <c r="K1326">
        <f>_xlfn.XLOOKUP($A1326,[1]Sheet1!$E$9:$E$2584,[1]Sheet1!$F$9:$F$2584,"N/A",0)</f>
        <v>125.39</v>
      </c>
      <c r="L1326">
        <f>_xlfn.XLOOKUP($A1326,[1]Sheet1!$H$9:$H$2584,[1]Sheet1!$I$9:$I$2584,"N/A",0)</f>
        <v>69</v>
      </c>
      <c r="M1326">
        <f>_xlfn.XLOOKUP($A1326,[1]Sheet1!$K$9:$K$2584,[1]Sheet1!$L$9:$L$2584,"N/A",0)</f>
        <v>133.57</v>
      </c>
      <c r="N1326">
        <f>_xlfn.XLOOKUP($A1326,[1]Sheet1!$N$9:$N$2584,[1]Sheet1!$O$9:$O$2584,"N/A",0)</f>
        <v>94.85</v>
      </c>
      <c r="O1326">
        <v>107.1</v>
      </c>
      <c r="P1326">
        <v>125.39</v>
      </c>
      <c r="Q1326">
        <v>69</v>
      </c>
      <c r="R1326">
        <v>94.85</v>
      </c>
      <c r="S1326">
        <v>133.57</v>
      </c>
    </row>
    <row r="1327" spans="1:19">
      <c r="A1327" s="1">
        <v>44293</v>
      </c>
      <c r="B1327" t="s">
        <v>595</v>
      </c>
      <c r="C1327" t="s">
        <v>610</v>
      </c>
      <c r="D1327">
        <v>18.986</v>
      </c>
      <c r="E1327">
        <v>21.0655</v>
      </c>
      <c r="F1327" s="2" t="s">
        <v>612</v>
      </c>
      <c r="G1327">
        <f ca="1" t="shared" si="60"/>
        <v>1.35828540995422</v>
      </c>
      <c r="H1327" t="str">
        <f ca="1" t="shared" si="61"/>
        <v>Risk-On</v>
      </c>
      <c r="I1327">
        <f ca="1" t="shared" si="62"/>
        <v>1</v>
      </c>
      <c r="J1327">
        <f>_xlfn.XLOOKUP($A1327,[1]Sheet1!$B$9:$B$2584,[1]Sheet1!$C$9:$C$2584,"N/A",0)</f>
        <v>106.97</v>
      </c>
      <c r="K1327">
        <f>_xlfn.XLOOKUP($A1327,[1]Sheet1!$E$9:$E$2584,[1]Sheet1!$F$9:$F$2584,"N/A",0)</f>
        <v>124.38</v>
      </c>
      <c r="L1327">
        <f>_xlfn.XLOOKUP($A1327,[1]Sheet1!$H$9:$H$2584,[1]Sheet1!$I$9:$I$2584,"N/A",0)</f>
        <v>69.31</v>
      </c>
      <c r="M1327">
        <f>_xlfn.XLOOKUP($A1327,[1]Sheet1!$K$9:$K$2584,[1]Sheet1!$L$9:$L$2584,"N/A",0)</f>
        <v>133.67</v>
      </c>
      <c r="N1327">
        <f>_xlfn.XLOOKUP($A1327,[1]Sheet1!$N$9:$N$2584,[1]Sheet1!$O$9:$O$2584,"N/A",0)</f>
        <v>95.82</v>
      </c>
      <c r="O1327">
        <v>106.97</v>
      </c>
      <c r="P1327">
        <v>124.38</v>
      </c>
      <c r="Q1327">
        <v>69.31</v>
      </c>
      <c r="R1327">
        <v>95.82</v>
      </c>
      <c r="S1327">
        <v>133.67</v>
      </c>
    </row>
    <row r="1328" spans="1:19">
      <c r="A1328" s="1">
        <v>44294</v>
      </c>
      <c r="B1328" t="s">
        <v>595</v>
      </c>
      <c r="C1328" t="s">
        <v>610</v>
      </c>
      <c r="D1328">
        <v>18.4887</v>
      </c>
      <c r="E1328">
        <v>20.805</v>
      </c>
      <c r="F1328" s="2" t="s">
        <v>613</v>
      </c>
      <c r="G1328">
        <f ca="1" t="shared" si="60"/>
        <v>1.672965529443</v>
      </c>
      <c r="H1328" t="str">
        <f ca="1" t="shared" si="61"/>
        <v>Risk-On</v>
      </c>
      <c r="I1328">
        <f ca="1" t="shared" si="62"/>
        <v>1</v>
      </c>
      <c r="J1328">
        <f>_xlfn.XLOOKUP($A1328,[1]Sheet1!$B$9:$B$2584,[1]Sheet1!$C$9:$C$2584,"N/A",0)</f>
        <v>106.78</v>
      </c>
      <c r="K1328">
        <f>_xlfn.XLOOKUP($A1328,[1]Sheet1!$E$9:$E$2584,[1]Sheet1!$F$9:$F$2584,"N/A",0)</f>
        <v>126.17</v>
      </c>
      <c r="L1328">
        <f>_xlfn.XLOOKUP($A1328,[1]Sheet1!$H$9:$H$2584,[1]Sheet1!$I$9:$I$2584,"N/A",0)</f>
        <v>69.11</v>
      </c>
      <c r="M1328">
        <f>_xlfn.XLOOKUP($A1328,[1]Sheet1!$K$9:$K$2584,[1]Sheet1!$L$9:$L$2584,"N/A",0)</f>
        <v>134.09</v>
      </c>
      <c r="N1328">
        <f>_xlfn.XLOOKUP($A1328,[1]Sheet1!$N$9:$N$2584,[1]Sheet1!$O$9:$O$2584,"N/A",0)</f>
        <v>95.6</v>
      </c>
      <c r="O1328">
        <v>106.78</v>
      </c>
      <c r="P1328">
        <v>126.17</v>
      </c>
      <c r="Q1328">
        <v>69.11</v>
      </c>
      <c r="R1328">
        <v>95.6</v>
      </c>
      <c r="S1328">
        <v>134.09</v>
      </c>
    </row>
    <row r="1329" spans="1:19">
      <c r="A1329" s="1">
        <v>44295</v>
      </c>
      <c r="B1329" t="s">
        <v>595</v>
      </c>
      <c r="C1329" t="s">
        <v>610</v>
      </c>
      <c r="D1329">
        <v>18.1505</v>
      </c>
      <c r="E1329">
        <v>20.8262</v>
      </c>
      <c r="F1329" s="2" t="s">
        <v>614</v>
      </c>
      <c r="G1329">
        <f ca="1" t="shared" si="60"/>
        <v>2.13009577584945</v>
      </c>
      <c r="H1329" t="str">
        <f ca="1" t="shared" si="61"/>
        <v>Risk-On</v>
      </c>
      <c r="I1329">
        <f ca="1" t="shared" si="62"/>
        <v>1</v>
      </c>
      <c r="J1329">
        <f>_xlfn.XLOOKUP($A1329,[1]Sheet1!$B$9:$B$2584,[1]Sheet1!$C$9:$C$2584,"N/A",0)</f>
        <v>107.17</v>
      </c>
      <c r="K1329">
        <f>_xlfn.XLOOKUP($A1329,[1]Sheet1!$E$9:$E$2584,[1]Sheet1!$F$9:$F$2584,"N/A",0)</f>
        <v>125.66</v>
      </c>
      <c r="L1329">
        <f>_xlfn.XLOOKUP($A1329,[1]Sheet1!$H$9:$H$2584,[1]Sheet1!$I$9:$I$2584,"N/A",0)</f>
        <v>69.28</v>
      </c>
      <c r="M1329">
        <f>_xlfn.XLOOKUP($A1329,[1]Sheet1!$K$9:$K$2584,[1]Sheet1!$L$9:$L$2584,"N/A",0)</f>
        <v>134.81</v>
      </c>
      <c r="N1329">
        <f>_xlfn.XLOOKUP($A1329,[1]Sheet1!$N$9:$N$2584,[1]Sheet1!$O$9:$O$2584,"N/A",0)</f>
        <v>95.92</v>
      </c>
      <c r="O1329">
        <v>107.17</v>
      </c>
      <c r="P1329">
        <v>125.66</v>
      </c>
      <c r="Q1329">
        <v>69.28</v>
      </c>
      <c r="R1329">
        <v>95.92</v>
      </c>
      <c r="S1329">
        <v>134.81</v>
      </c>
    </row>
    <row r="1330" spans="1:19">
      <c r="A1330" s="1">
        <v>44298</v>
      </c>
      <c r="B1330" t="s">
        <v>595</v>
      </c>
      <c r="C1330" t="s">
        <v>610</v>
      </c>
      <c r="D1330">
        <v>18.0039</v>
      </c>
      <c r="E1330">
        <v>20.5653</v>
      </c>
      <c r="F1330" s="2" t="s">
        <v>615</v>
      </c>
      <c r="G1330">
        <f ca="1" t="shared" si="60"/>
        <v>2.05180023130399</v>
      </c>
      <c r="H1330" t="str">
        <f ca="1" t="shared" si="61"/>
        <v>Risk-On</v>
      </c>
      <c r="I1330">
        <f ca="1" t="shared" si="62"/>
        <v>1</v>
      </c>
      <c r="J1330">
        <f>_xlfn.XLOOKUP($A1330,[1]Sheet1!$B$9:$B$2584,[1]Sheet1!$C$9:$C$2584,"N/A",0)</f>
        <v>107.74</v>
      </c>
      <c r="K1330">
        <f>_xlfn.XLOOKUP($A1330,[1]Sheet1!$E$9:$E$2584,[1]Sheet1!$F$9:$F$2584,"N/A",0)</f>
        <v>125.4</v>
      </c>
      <c r="L1330">
        <f>_xlfn.XLOOKUP($A1330,[1]Sheet1!$H$9:$H$2584,[1]Sheet1!$I$9:$I$2584,"N/A",0)</f>
        <v>69.21</v>
      </c>
      <c r="M1330">
        <f>_xlfn.XLOOKUP($A1330,[1]Sheet1!$K$9:$K$2584,[1]Sheet1!$L$9:$L$2584,"N/A",0)</f>
        <v>135.39</v>
      </c>
      <c r="N1330">
        <f>_xlfn.XLOOKUP($A1330,[1]Sheet1!$N$9:$N$2584,[1]Sheet1!$O$9:$O$2584,"N/A",0)</f>
        <v>95.82</v>
      </c>
      <c r="O1330">
        <v>107.74</v>
      </c>
      <c r="P1330">
        <v>125.4</v>
      </c>
      <c r="Q1330">
        <v>69.21</v>
      </c>
      <c r="R1330">
        <v>95.82</v>
      </c>
      <c r="S1330">
        <v>135.39</v>
      </c>
    </row>
    <row r="1331" spans="1:19">
      <c r="A1331" s="1">
        <v>44299</v>
      </c>
      <c r="B1331" t="s">
        <v>595</v>
      </c>
      <c r="C1331" t="s">
        <v>610</v>
      </c>
      <c r="D1331">
        <v>17.6781</v>
      </c>
      <c r="E1331">
        <v>20.4734</v>
      </c>
      <c r="F1331" s="2" t="s">
        <v>616</v>
      </c>
      <c r="G1331">
        <f ca="1" t="shared" si="60"/>
        <v>2.41499955564503</v>
      </c>
      <c r="H1331" t="str">
        <f ca="1" t="shared" si="61"/>
        <v>Risk-On</v>
      </c>
      <c r="I1331">
        <f ca="1" t="shared" si="62"/>
        <v>1</v>
      </c>
      <c r="J1331">
        <f>_xlfn.XLOOKUP($A1331,[1]Sheet1!$B$9:$B$2584,[1]Sheet1!$C$9:$C$2584,"N/A",0)</f>
        <v>108.12</v>
      </c>
      <c r="K1331">
        <f>_xlfn.XLOOKUP($A1331,[1]Sheet1!$E$9:$E$2584,[1]Sheet1!$F$9:$F$2584,"N/A",0)</f>
        <v>127.73</v>
      </c>
      <c r="L1331">
        <f>_xlfn.XLOOKUP($A1331,[1]Sheet1!$H$9:$H$2584,[1]Sheet1!$I$9:$I$2584,"N/A",0)</f>
        <v>68.87</v>
      </c>
      <c r="M1331">
        <f>_xlfn.XLOOKUP($A1331,[1]Sheet1!$K$9:$K$2584,[1]Sheet1!$L$9:$L$2584,"N/A",0)</f>
        <v>135.74</v>
      </c>
      <c r="N1331">
        <f>_xlfn.XLOOKUP($A1331,[1]Sheet1!$N$9:$N$2584,[1]Sheet1!$O$9:$O$2584,"N/A",0)</f>
        <v>96.37</v>
      </c>
      <c r="O1331">
        <v>108.12</v>
      </c>
      <c r="P1331">
        <v>127.73</v>
      </c>
      <c r="Q1331">
        <v>68.87</v>
      </c>
      <c r="R1331">
        <v>96.37</v>
      </c>
      <c r="S1331">
        <v>135.74</v>
      </c>
    </row>
    <row r="1332" spans="1:19">
      <c r="A1332" s="1">
        <v>44300</v>
      </c>
      <c r="B1332" t="s">
        <v>595</v>
      </c>
      <c r="C1332" t="s">
        <v>610</v>
      </c>
      <c r="D1332">
        <v>18.0989</v>
      </c>
      <c r="E1332">
        <v>20.9333</v>
      </c>
      <c r="F1332" s="2" t="s">
        <v>617</v>
      </c>
      <c r="G1332">
        <f ca="1" t="shared" si="60"/>
        <v>2.43298688359432</v>
      </c>
      <c r="H1332" t="str">
        <f ca="1" t="shared" si="61"/>
        <v>Risk-On</v>
      </c>
      <c r="I1332">
        <f ca="1" t="shared" si="62"/>
        <v>1</v>
      </c>
      <c r="J1332">
        <f>_xlfn.XLOOKUP($A1332,[1]Sheet1!$B$9:$B$2584,[1]Sheet1!$C$9:$C$2584,"N/A",0)</f>
        <v>108.01</v>
      </c>
      <c r="K1332">
        <f>_xlfn.XLOOKUP($A1332,[1]Sheet1!$E$9:$E$2584,[1]Sheet1!$F$9:$F$2584,"N/A",0)</f>
        <v>126.87</v>
      </c>
      <c r="L1332">
        <f>_xlfn.XLOOKUP($A1332,[1]Sheet1!$H$9:$H$2584,[1]Sheet1!$I$9:$I$2584,"N/A",0)</f>
        <v>68.95</v>
      </c>
      <c r="M1332">
        <f>_xlfn.XLOOKUP($A1332,[1]Sheet1!$K$9:$K$2584,[1]Sheet1!$L$9:$L$2584,"N/A",0)</f>
        <v>134.78</v>
      </c>
      <c r="N1332">
        <f>_xlfn.XLOOKUP($A1332,[1]Sheet1!$N$9:$N$2584,[1]Sheet1!$O$9:$O$2584,"N/A",0)</f>
        <v>95.88</v>
      </c>
      <c r="O1332">
        <v>108.01</v>
      </c>
      <c r="P1332">
        <v>126.87</v>
      </c>
      <c r="Q1332">
        <v>68.95</v>
      </c>
      <c r="R1332">
        <v>95.88</v>
      </c>
      <c r="S1332">
        <v>134.78</v>
      </c>
    </row>
    <row r="1333" spans="1:19">
      <c r="A1333" s="1">
        <v>44301</v>
      </c>
      <c r="B1333" t="s">
        <v>595</v>
      </c>
      <c r="C1333" t="s">
        <v>610</v>
      </c>
      <c r="D1333">
        <v>17.1523</v>
      </c>
      <c r="E1333">
        <v>20.2942</v>
      </c>
      <c r="F1333" s="2" t="s">
        <v>618</v>
      </c>
      <c r="G1333">
        <f ca="1" t="shared" si="60"/>
        <v>3.10485734969392</v>
      </c>
      <c r="H1333" t="str">
        <f ca="1" t="shared" si="61"/>
        <v>Risk-On</v>
      </c>
      <c r="I1333">
        <f ca="1" t="shared" si="62"/>
        <v>1</v>
      </c>
      <c r="J1333">
        <f>_xlfn.XLOOKUP($A1333,[1]Sheet1!$B$9:$B$2584,[1]Sheet1!$C$9:$C$2584,"N/A",0)</f>
        <v>108.16</v>
      </c>
      <c r="K1333">
        <f>_xlfn.XLOOKUP($A1333,[1]Sheet1!$E$9:$E$2584,[1]Sheet1!$F$9:$F$2584,"N/A",0)</f>
        <v>127.34</v>
      </c>
      <c r="L1333">
        <f>_xlfn.XLOOKUP($A1333,[1]Sheet1!$H$9:$H$2584,[1]Sheet1!$I$9:$I$2584,"N/A",0)</f>
        <v>69.1</v>
      </c>
      <c r="M1333">
        <f>_xlfn.XLOOKUP($A1333,[1]Sheet1!$K$9:$K$2584,[1]Sheet1!$L$9:$L$2584,"N/A",0)</f>
        <v>135.08</v>
      </c>
      <c r="N1333">
        <f>_xlfn.XLOOKUP($A1333,[1]Sheet1!$N$9:$N$2584,[1]Sheet1!$O$9:$O$2584,"N/A",0)</f>
        <v>96.29</v>
      </c>
      <c r="O1333">
        <v>108.16</v>
      </c>
      <c r="P1333">
        <v>127.34</v>
      </c>
      <c r="Q1333">
        <v>69.1</v>
      </c>
      <c r="R1333">
        <v>96.29</v>
      </c>
      <c r="S1333">
        <v>135.08</v>
      </c>
    </row>
    <row r="1334" spans="1:19">
      <c r="A1334" s="1">
        <v>44302</v>
      </c>
      <c r="B1334" t="s">
        <v>595</v>
      </c>
      <c r="C1334" t="s">
        <v>610</v>
      </c>
      <c r="D1334">
        <v>17.0019</v>
      </c>
      <c r="E1334">
        <v>19.955</v>
      </c>
      <c r="F1334" s="2" t="s">
        <v>619</v>
      </c>
      <c r="G1334">
        <f ca="1" t="shared" si="60"/>
        <v>3.02205558182899</v>
      </c>
      <c r="H1334" t="str">
        <f ca="1" t="shared" si="61"/>
        <v>Risk-On</v>
      </c>
      <c r="I1334">
        <f ca="1" t="shared" si="62"/>
        <v>1</v>
      </c>
      <c r="J1334">
        <f>_xlfn.XLOOKUP($A1334,[1]Sheet1!$B$9:$B$2584,[1]Sheet1!$C$9:$C$2584,"N/A",0)</f>
        <v>108.28</v>
      </c>
      <c r="K1334">
        <f>_xlfn.XLOOKUP($A1334,[1]Sheet1!$E$9:$E$2584,[1]Sheet1!$F$9:$F$2584,"N/A",0)</f>
        <v>127.23</v>
      </c>
      <c r="L1334">
        <f>_xlfn.XLOOKUP($A1334,[1]Sheet1!$H$9:$H$2584,[1]Sheet1!$I$9:$I$2584,"N/A",0)</f>
        <v>69.54</v>
      </c>
      <c r="M1334">
        <f>_xlfn.XLOOKUP($A1334,[1]Sheet1!$K$9:$K$2584,[1]Sheet1!$L$9:$L$2584,"N/A",0)</f>
        <v>135.23</v>
      </c>
      <c r="N1334">
        <f>_xlfn.XLOOKUP($A1334,[1]Sheet1!$N$9:$N$2584,[1]Sheet1!$O$9:$O$2584,"N/A",0)</f>
        <v>96.32</v>
      </c>
      <c r="O1334">
        <v>108.28</v>
      </c>
      <c r="P1334">
        <v>127.23</v>
      </c>
      <c r="Q1334">
        <v>69.54</v>
      </c>
      <c r="R1334">
        <v>96.32</v>
      </c>
      <c r="S1334">
        <v>135.23</v>
      </c>
    </row>
    <row r="1335" spans="1:19">
      <c r="A1335" s="1">
        <v>44305</v>
      </c>
      <c r="B1335" t="s">
        <v>595</v>
      </c>
      <c r="C1335" t="s">
        <v>610</v>
      </c>
      <c r="D1335">
        <v>17.657</v>
      </c>
      <c r="E1335">
        <v>20.7006</v>
      </c>
      <c r="F1335" s="2" t="s">
        <v>620</v>
      </c>
      <c r="G1335">
        <f ca="1" t="shared" si="60"/>
        <v>3.02269561586471</v>
      </c>
      <c r="H1335" t="str">
        <f ca="1" t="shared" si="61"/>
        <v>Risk-On</v>
      </c>
      <c r="I1335">
        <f ca="1" t="shared" si="62"/>
        <v>1</v>
      </c>
      <c r="J1335">
        <f>_xlfn.XLOOKUP($A1335,[1]Sheet1!$B$9:$B$2584,[1]Sheet1!$C$9:$C$2584,"N/A",0)</f>
        <v>108.36</v>
      </c>
      <c r="K1335">
        <f>_xlfn.XLOOKUP($A1335,[1]Sheet1!$E$9:$E$2584,[1]Sheet1!$F$9:$F$2584,"N/A",0)</f>
        <v>125.8</v>
      </c>
      <c r="L1335">
        <f>_xlfn.XLOOKUP($A1335,[1]Sheet1!$H$9:$H$2584,[1]Sheet1!$I$9:$I$2584,"N/A",0)</f>
        <v>69.71</v>
      </c>
      <c r="M1335">
        <f>_xlfn.XLOOKUP($A1335,[1]Sheet1!$K$9:$K$2584,[1]Sheet1!$L$9:$L$2584,"N/A",0)</f>
        <v>135.1</v>
      </c>
      <c r="N1335">
        <f>_xlfn.XLOOKUP($A1335,[1]Sheet1!$N$9:$N$2584,[1]Sheet1!$O$9:$O$2584,"N/A",0)</f>
        <v>96.64</v>
      </c>
      <c r="O1335">
        <v>108.36</v>
      </c>
      <c r="P1335">
        <v>125.8</v>
      </c>
      <c r="Q1335">
        <v>69.71</v>
      </c>
      <c r="R1335">
        <v>96.64</v>
      </c>
      <c r="S1335">
        <v>135.1</v>
      </c>
    </row>
    <row r="1336" spans="1:19">
      <c r="A1336" s="1">
        <v>44306</v>
      </c>
      <c r="B1336" t="s">
        <v>595</v>
      </c>
      <c r="C1336" t="s">
        <v>610</v>
      </c>
      <c r="D1336">
        <v>18.6526</v>
      </c>
      <c r="E1336">
        <v>21.0528</v>
      </c>
      <c r="F1336" s="2" t="s">
        <v>621</v>
      </c>
      <c r="G1336">
        <f ca="1" t="shared" si="60"/>
        <v>1.98757375336044</v>
      </c>
      <c r="H1336" t="str">
        <f ca="1" t="shared" si="61"/>
        <v>Risk-On</v>
      </c>
      <c r="I1336">
        <f ca="1" t="shared" si="62"/>
        <v>1</v>
      </c>
      <c r="J1336">
        <f>_xlfn.XLOOKUP($A1336,[1]Sheet1!$B$9:$B$2584,[1]Sheet1!$C$9:$C$2584,"N/A",0)</f>
        <v>108.65</v>
      </c>
      <c r="K1336">
        <f>_xlfn.XLOOKUP($A1336,[1]Sheet1!$E$9:$E$2584,[1]Sheet1!$F$9:$F$2584,"N/A",0)</f>
        <v>125.31</v>
      </c>
      <c r="L1336">
        <f>_xlfn.XLOOKUP($A1336,[1]Sheet1!$H$9:$H$2584,[1]Sheet1!$I$9:$I$2584,"N/A",0)</f>
        <v>69.65</v>
      </c>
      <c r="M1336">
        <f>_xlfn.XLOOKUP($A1336,[1]Sheet1!$K$9:$K$2584,[1]Sheet1!$L$9:$L$2584,"N/A",0)</f>
        <v>135.75</v>
      </c>
      <c r="N1336">
        <f>_xlfn.XLOOKUP($A1336,[1]Sheet1!$N$9:$N$2584,[1]Sheet1!$O$9:$O$2584,"N/A",0)</f>
        <v>97.14</v>
      </c>
      <c r="O1336">
        <v>108.65</v>
      </c>
      <c r="P1336">
        <v>125.31</v>
      </c>
      <c r="Q1336">
        <v>69.65</v>
      </c>
      <c r="R1336">
        <v>97.14</v>
      </c>
      <c r="S1336">
        <v>135.75</v>
      </c>
    </row>
    <row r="1337" spans="1:19">
      <c r="A1337" s="1">
        <v>44307</v>
      </c>
      <c r="B1337" t="s">
        <v>595</v>
      </c>
      <c r="C1337" t="s">
        <v>610</v>
      </c>
      <c r="D1337">
        <v>19.28</v>
      </c>
      <c r="E1337">
        <v>19.9955</v>
      </c>
      <c r="F1337">
        <v>0.0371109958506223</v>
      </c>
      <c r="G1337">
        <f ca="1" t="shared" si="60"/>
        <v>-0.250543112236279</v>
      </c>
      <c r="H1337" t="str">
        <f ca="1" t="shared" si="61"/>
        <v>Risk-On</v>
      </c>
      <c r="I1337">
        <f ca="1" t="shared" si="62"/>
        <v>1</v>
      </c>
      <c r="J1337">
        <f>_xlfn.XLOOKUP($A1337,[1]Sheet1!$B$9:$B$2584,[1]Sheet1!$C$9:$C$2584,"N/A",0)</f>
        <v>108.69</v>
      </c>
      <c r="K1337">
        <f>_xlfn.XLOOKUP($A1337,[1]Sheet1!$E$9:$E$2584,[1]Sheet1!$F$9:$F$2584,"N/A",0)</f>
        <v>125.5</v>
      </c>
      <c r="L1337">
        <f>_xlfn.XLOOKUP($A1337,[1]Sheet1!$H$9:$H$2584,[1]Sheet1!$I$9:$I$2584,"N/A",0)</f>
        <v>69.95</v>
      </c>
      <c r="M1337">
        <f>_xlfn.XLOOKUP($A1337,[1]Sheet1!$K$9:$K$2584,[1]Sheet1!$L$9:$L$2584,"N/A",0)</f>
        <v>134.93</v>
      </c>
      <c r="N1337">
        <f>_xlfn.XLOOKUP($A1337,[1]Sheet1!$N$9:$N$2584,[1]Sheet1!$O$9:$O$2584,"N/A",0)</f>
        <v>96.59</v>
      </c>
      <c r="O1337">
        <v>108.69</v>
      </c>
      <c r="P1337">
        <v>125.5</v>
      </c>
      <c r="Q1337">
        <v>69.95</v>
      </c>
      <c r="R1337">
        <v>96.59</v>
      </c>
      <c r="S1337">
        <v>134.93</v>
      </c>
    </row>
    <row r="1338" spans="1:19">
      <c r="A1338" s="1">
        <v>44308</v>
      </c>
      <c r="B1338" t="s">
        <v>610</v>
      </c>
      <c r="C1338" t="s">
        <v>622</v>
      </c>
      <c r="D1338">
        <v>21.1658</v>
      </c>
      <c r="E1338">
        <v>22.8048</v>
      </c>
      <c r="F1338">
        <v>0.0774362414839032</v>
      </c>
      <c r="G1338">
        <f ca="1" t="shared" si="60"/>
        <v>0.752716374881979</v>
      </c>
      <c r="H1338" t="str">
        <f ca="1" t="shared" si="61"/>
        <v>Risk-On</v>
      </c>
      <c r="I1338">
        <f ca="1" t="shared" si="62"/>
        <v>1</v>
      </c>
      <c r="J1338">
        <f>_xlfn.XLOOKUP($A1338,[1]Sheet1!$B$9:$B$2584,[1]Sheet1!$C$9:$C$2584,"N/A",0)</f>
        <v>109.07</v>
      </c>
      <c r="K1338">
        <f>_xlfn.XLOOKUP($A1338,[1]Sheet1!$E$9:$E$2584,[1]Sheet1!$F$9:$F$2584,"N/A",0)</f>
        <v>125.66</v>
      </c>
      <c r="L1338">
        <f>_xlfn.XLOOKUP($A1338,[1]Sheet1!$H$9:$H$2584,[1]Sheet1!$I$9:$I$2584,"N/A",0)</f>
        <v>69.53</v>
      </c>
      <c r="M1338">
        <f>_xlfn.XLOOKUP($A1338,[1]Sheet1!$K$9:$K$2584,[1]Sheet1!$L$9:$L$2584,"N/A",0)</f>
        <v>135.14</v>
      </c>
      <c r="N1338">
        <f>_xlfn.XLOOKUP($A1338,[1]Sheet1!$N$9:$N$2584,[1]Sheet1!$O$9:$O$2584,"N/A",0)</f>
        <v>96.04</v>
      </c>
      <c r="O1338">
        <v>109.07</v>
      </c>
      <c r="P1338">
        <v>125.66</v>
      </c>
      <c r="Q1338">
        <v>69.53</v>
      </c>
      <c r="R1338">
        <v>96.04</v>
      </c>
      <c r="S1338">
        <v>135.14</v>
      </c>
    </row>
    <row r="1339" spans="1:19">
      <c r="A1339" s="1">
        <v>44309</v>
      </c>
      <c r="B1339" t="s">
        <v>610</v>
      </c>
      <c r="C1339" t="s">
        <v>622</v>
      </c>
      <c r="D1339">
        <v>20.4318</v>
      </c>
      <c r="E1339">
        <v>22.191</v>
      </c>
      <c r="F1339">
        <v>0.086101077731771</v>
      </c>
      <c r="G1339">
        <f ca="1" t="shared" si="60"/>
        <v>0.972908374914757</v>
      </c>
      <c r="H1339" t="str">
        <f ca="1" t="shared" si="61"/>
        <v>Risk-On</v>
      </c>
      <c r="I1339">
        <f ca="1" t="shared" si="62"/>
        <v>1</v>
      </c>
      <c r="J1339">
        <f>_xlfn.XLOOKUP($A1339,[1]Sheet1!$B$9:$B$2584,[1]Sheet1!$C$9:$C$2584,"N/A",0)</f>
        <v>109.02</v>
      </c>
      <c r="K1339">
        <f>_xlfn.XLOOKUP($A1339,[1]Sheet1!$E$9:$E$2584,[1]Sheet1!$F$9:$F$2584,"N/A",0)</f>
        <v>126.48</v>
      </c>
      <c r="L1339">
        <f>_xlfn.XLOOKUP($A1339,[1]Sheet1!$H$9:$H$2584,[1]Sheet1!$I$9:$I$2584,"N/A",0)</f>
        <v>69.43</v>
      </c>
      <c r="M1339">
        <f>_xlfn.XLOOKUP($A1339,[1]Sheet1!$K$9:$K$2584,[1]Sheet1!$L$9:$L$2584,"N/A",0)</f>
        <v>135.9</v>
      </c>
      <c r="N1339">
        <f>_xlfn.XLOOKUP($A1339,[1]Sheet1!$N$9:$N$2584,[1]Sheet1!$O$9:$O$2584,"N/A",0)</f>
        <v>95.77</v>
      </c>
      <c r="O1339">
        <v>109.02</v>
      </c>
      <c r="P1339">
        <v>126.48</v>
      </c>
      <c r="Q1339">
        <v>69.43</v>
      </c>
      <c r="R1339">
        <v>95.77</v>
      </c>
      <c r="S1339">
        <v>135.9</v>
      </c>
    </row>
    <row r="1340" spans="1:19">
      <c r="A1340" s="1">
        <v>44312</v>
      </c>
      <c r="B1340" t="s">
        <v>610</v>
      </c>
      <c r="C1340" t="s">
        <v>622</v>
      </c>
      <c r="D1340">
        <v>20.2051</v>
      </c>
      <c r="E1340">
        <v>22.1001</v>
      </c>
      <c r="F1340">
        <v>0.0937882019886068</v>
      </c>
      <c r="G1340">
        <f ca="1" t="shared" si="60"/>
        <v>1.17270200011117</v>
      </c>
      <c r="H1340" t="str">
        <f ca="1" t="shared" si="61"/>
        <v>Risk-On</v>
      </c>
      <c r="I1340">
        <f ca="1" t="shared" si="62"/>
        <v>1</v>
      </c>
      <c r="J1340">
        <f>_xlfn.XLOOKUP($A1340,[1]Sheet1!$B$9:$B$2584,[1]Sheet1!$C$9:$C$2584,"N/A",0)</f>
        <v>109.51</v>
      </c>
      <c r="K1340">
        <f>_xlfn.XLOOKUP($A1340,[1]Sheet1!$E$9:$E$2584,[1]Sheet1!$F$9:$F$2584,"N/A",0)</f>
        <v>127.53</v>
      </c>
      <c r="L1340">
        <f>_xlfn.XLOOKUP($A1340,[1]Sheet1!$H$9:$H$2584,[1]Sheet1!$I$9:$I$2584,"N/A",0)</f>
        <v>69.49</v>
      </c>
      <c r="M1340">
        <f>_xlfn.XLOOKUP($A1340,[1]Sheet1!$K$9:$K$2584,[1]Sheet1!$L$9:$L$2584,"N/A",0)</f>
        <v>135.24</v>
      </c>
      <c r="N1340">
        <f>_xlfn.XLOOKUP($A1340,[1]Sheet1!$N$9:$N$2584,[1]Sheet1!$O$9:$O$2584,"N/A",0)</f>
        <v>95.37</v>
      </c>
      <c r="O1340">
        <v>109.51</v>
      </c>
      <c r="P1340">
        <v>127.53</v>
      </c>
      <c r="Q1340">
        <v>69.49</v>
      </c>
      <c r="R1340">
        <v>95.37</v>
      </c>
      <c r="S1340">
        <v>135.24</v>
      </c>
    </row>
    <row r="1341" spans="1:19">
      <c r="A1341" s="1">
        <v>44313</v>
      </c>
      <c r="B1341" t="s">
        <v>610</v>
      </c>
      <c r="C1341" t="s">
        <v>622</v>
      </c>
      <c r="D1341">
        <v>19.7093</v>
      </c>
      <c r="E1341">
        <v>21.6953</v>
      </c>
      <c r="F1341" s="2" t="s">
        <v>623</v>
      </c>
      <c r="G1341">
        <f ca="1" t="shared" si="60"/>
        <v>1.35181612168068</v>
      </c>
      <c r="H1341" t="str">
        <f ca="1" t="shared" si="61"/>
        <v>Risk-Off</v>
      </c>
      <c r="I1341">
        <f ca="1" t="shared" si="62"/>
        <v>1</v>
      </c>
      <c r="J1341">
        <f>_xlfn.XLOOKUP($A1341,[1]Sheet1!$B$9:$B$2584,[1]Sheet1!$C$9:$C$2584,"N/A",0)</f>
        <v>109.5</v>
      </c>
      <c r="K1341">
        <f>_xlfn.XLOOKUP($A1341,[1]Sheet1!$E$9:$E$2584,[1]Sheet1!$F$9:$F$2584,"N/A",0)</f>
        <v>127.35</v>
      </c>
      <c r="L1341">
        <f>_xlfn.XLOOKUP($A1341,[1]Sheet1!$H$9:$H$2584,[1]Sheet1!$I$9:$I$2584,"N/A",0)</f>
        <v>69.49</v>
      </c>
      <c r="M1341">
        <f>_xlfn.XLOOKUP($A1341,[1]Sheet1!$K$9:$K$2584,[1]Sheet1!$L$9:$L$2584,"N/A",0)</f>
        <v>135.33</v>
      </c>
      <c r="N1341">
        <f>_xlfn.XLOOKUP($A1341,[1]Sheet1!$N$9:$N$2584,[1]Sheet1!$O$9:$O$2584,"N/A",0)</f>
        <v>95.65</v>
      </c>
      <c r="O1341">
        <v>109.5</v>
      </c>
      <c r="P1341">
        <v>127.35</v>
      </c>
      <c r="Q1341">
        <v>69.49</v>
      </c>
      <c r="R1341">
        <v>95.65</v>
      </c>
      <c r="S1341">
        <v>135.33</v>
      </c>
    </row>
    <row r="1342" spans="1:19">
      <c r="A1342" s="1">
        <v>44314</v>
      </c>
      <c r="B1342" t="s">
        <v>610</v>
      </c>
      <c r="C1342" t="s">
        <v>622</v>
      </c>
      <c r="D1342">
        <v>19.6632</v>
      </c>
      <c r="E1342">
        <v>21.7018</v>
      </c>
      <c r="F1342" s="2" t="s">
        <v>624</v>
      </c>
      <c r="G1342">
        <f ca="1" t="shared" si="60"/>
        <v>1.42770235943815</v>
      </c>
      <c r="H1342" t="str">
        <f ca="1" t="shared" si="61"/>
        <v>Risk-Off</v>
      </c>
      <c r="I1342">
        <f ca="1" t="shared" si="62"/>
        <v>1</v>
      </c>
      <c r="J1342">
        <f>_xlfn.XLOOKUP($A1342,[1]Sheet1!$B$9:$B$2584,[1]Sheet1!$C$9:$C$2584,"N/A",0)</f>
        <v>109.39</v>
      </c>
      <c r="K1342">
        <f>_xlfn.XLOOKUP($A1342,[1]Sheet1!$E$9:$E$2584,[1]Sheet1!$F$9:$F$2584,"N/A",0)</f>
        <v>126.98</v>
      </c>
      <c r="L1342">
        <f>_xlfn.XLOOKUP($A1342,[1]Sheet1!$H$9:$H$2584,[1]Sheet1!$I$9:$I$2584,"N/A",0)</f>
        <v>69.33</v>
      </c>
      <c r="M1342">
        <f>_xlfn.XLOOKUP($A1342,[1]Sheet1!$K$9:$K$2584,[1]Sheet1!$L$9:$L$2584,"N/A",0)</f>
        <v>133.76</v>
      </c>
      <c r="N1342">
        <f>_xlfn.XLOOKUP($A1342,[1]Sheet1!$N$9:$N$2584,[1]Sheet1!$O$9:$O$2584,"N/A",0)</f>
        <v>95.44</v>
      </c>
      <c r="O1342">
        <v>109.39</v>
      </c>
      <c r="P1342">
        <v>126.98</v>
      </c>
      <c r="Q1342">
        <v>69.33</v>
      </c>
      <c r="R1342">
        <v>95.44</v>
      </c>
      <c r="S1342">
        <v>133.76</v>
      </c>
    </row>
    <row r="1343" spans="1:19">
      <c r="A1343" s="1">
        <v>44315</v>
      </c>
      <c r="B1343" t="s">
        <v>610</v>
      </c>
      <c r="C1343" t="s">
        <v>622</v>
      </c>
      <c r="D1343">
        <v>19.5684</v>
      </c>
      <c r="E1343">
        <v>21.598</v>
      </c>
      <c r="F1343" s="2" t="s">
        <v>625</v>
      </c>
      <c r="G1343">
        <f ca="1" t="shared" si="60"/>
        <v>1.42630273296151</v>
      </c>
      <c r="H1343" t="str">
        <f ca="1" t="shared" si="61"/>
        <v>Risk-Off</v>
      </c>
      <c r="I1343">
        <f ca="1" t="shared" si="62"/>
        <v>1</v>
      </c>
      <c r="J1343">
        <f>_xlfn.XLOOKUP($A1343,[1]Sheet1!$B$9:$B$2584,[1]Sheet1!$C$9:$C$2584,"N/A",0)</f>
        <v>109.73</v>
      </c>
      <c r="K1343">
        <f>_xlfn.XLOOKUP($A1343,[1]Sheet1!$E$9:$E$2584,[1]Sheet1!$F$9:$F$2584,"N/A",0)</f>
        <v>126.23</v>
      </c>
      <c r="L1343">
        <f>_xlfn.XLOOKUP($A1343,[1]Sheet1!$H$9:$H$2584,[1]Sheet1!$I$9:$I$2584,"N/A",0)</f>
        <v>69.38</v>
      </c>
      <c r="M1343">
        <f>_xlfn.XLOOKUP($A1343,[1]Sheet1!$K$9:$K$2584,[1]Sheet1!$L$9:$L$2584,"N/A",0)</f>
        <v>134.1</v>
      </c>
      <c r="N1343">
        <f>_xlfn.XLOOKUP($A1343,[1]Sheet1!$N$9:$N$2584,[1]Sheet1!$O$9:$O$2584,"N/A",0)</f>
        <v>95.84</v>
      </c>
      <c r="O1343">
        <v>109.73</v>
      </c>
      <c r="P1343">
        <v>126.23</v>
      </c>
      <c r="Q1343">
        <v>69.38</v>
      </c>
      <c r="R1343">
        <v>95.84</v>
      </c>
      <c r="S1343">
        <v>134.1</v>
      </c>
    </row>
    <row r="1344" spans="1:19">
      <c r="A1344" s="1">
        <v>44316</v>
      </c>
      <c r="B1344" t="s">
        <v>610</v>
      </c>
      <c r="C1344" t="s">
        <v>622</v>
      </c>
      <c r="D1344">
        <v>20.438</v>
      </c>
      <c r="E1344">
        <v>22.2391</v>
      </c>
      <c r="F1344">
        <v>0.0881250611605833</v>
      </c>
      <c r="G1344">
        <f ca="1" t="shared" si="60"/>
        <v>0.997048003309414</v>
      </c>
      <c r="H1344" t="str">
        <f ca="1" t="shared" si="61"/>
        <v>Risk-Off</v>
      </c>
      <c r="I1344">
        <f ca="1" t="shared" si="62"/>
        <v>1</v>
      </c>
      <c r="J1344">
        <f>_xlfn.XLOOKUP($A1344,[1]Sheet1!$B$9:$B$2584,[1]Sheet1!$C$9:$C$2584,"N/A",0)</f>
        <v>109.63</v>
      </c>
      <c r="K1344">
        <f>_xlfn.XLOOKUP($A1344,[1]Sheet1!$E$9:$E$2584,[1]Sheet1!$F$9:$F$2584,"N/A",0)</f>
        <v>126.04</v>
      </c>
      <c r="L1344">
        <f>_xlfn.XLOOKUP($A1344,[1]Sheet1!$H$9:$H$2584,[1]Sheet1!$I$9:$I$2584,"N/A",0)</f>
        <v>69.29</v>
      </c>
      <c r="M1344">
        <f>_xlfn.XLOOKUP($A1344,[1]Sheet1!$K$9:$K$2584,[1]Sheet1!$L$9:$L$2584,"N/A",0)</f>
        <v>134.3</v>
      </c>
      <c r="N1344">
        <f>_xlfn.XLOOKUP($A1344,[1]Sheet1!$N$9:$N$2584,[1]Sheet1!$O$9:$O$2584,"N/A",0)</f>
        <v>96.38</v>
      </c>
      <c r="O1344">
        <v>109.63</v>
      </c>
      <c r="P1344">
        <v>126.04</v>
      </c>
      <c r="Q1344">
        <v>69.29</v>
      </c>
      <c r="R1344">
        <v>96.38</v>
      </c>
      <c r="S1344">
        <v>134.3</v>
      </c>
    </row>
    <row r="1345" spans="1:19">
      <c r="A1345" s="1">
        <v>44319</v>
      </c>
      <c r="B1345" t="s">
        <v>610</v>
      </c>
      <c r="C1345" t="s">
        <v>622</v>
      </c>
      <c r="D1345">
        <v>19.7324</v>
      </c>
      <c r="E1345">
        <v>21.5522</v>
      </c>
      <c r="F1345">
        <v>0.0922239565384849</v>
      </c>
      <c r="G1345">
        <f ca="1" t="shared" si="60"/>
        <v>1.10067363608378</v>
      </c>
      <c r="H1345" t="str">
        <f ca="1" t="shared" si="61"/>
        <v>Risk-Off</v>
      </c>
      <c r="I1345">
        <f ca="1" t="shared" si="62"/>
        <v>1</v>
      </c>
      <c r="J1345">
        <f>_xlfn.XLOOKUP($A1345,[1]Sheet1!$B$9:$B$2584,[1]Sheet1!$C$9:$C$2584,"N/A",0)</f>
        <v>109.13</v>
      </c>
      <c r="K1345">
        <f>_xlfn.XLOOKUP($A1345,[1]Sheet1!$E$9:$E$2584,[1]Sheet1!$F$9:$F$2584,"N/A",0)</f>
        <v>125.35</v>
      </c>
      <c r="L1345">
        <f>_xlfn.XLOOKUP($A1345,[1]Sheet1!$H$9:$H$2584,[1]Sheet1!$I$9:$I$2584,"N/A",0)</f>
        <v>69.83</v>
      </c>
      <c r="M1345">
        <f>_xlfn.XLOOKUP($A1345,[1]Sheet1!$K$9:$K$2584,[1]Sheet1!$L$9:$L$2584,"N/A",0)</f>
        <v>133.98</v>
      </c>
      <c r="N1345">
        <f>_xlfn.XLOOKUP($A1345,[1]Sheet1!$N$9:$N$2584,[1]Sheet1!$O$9:$O$2584,"N/A",0)</f>
        <v>96.32</v>
      </c>
      <c r="O1345">
        <v>109.13</v>
      </c>
      <c r="P1345">
        <v>125.35</v>
      </c>
      <c r="Q1345">
        <v>69.83</v>
      </c>
      <c r="R1345">
        <v>96.32</v>
      </c>
      <c r="S1345">
        <v>133.98</v>
      </c>
    </row>
    <row r="1346" spans="1:19">
      <c r="A1346" s="1">
        <v>44320</v>
      </c>
      <c r="B1346" t="s">
        <v>610</v>
      </c>
      <c r="C1346" t="s">
        <v>622</v>
      </c>
      <c r="D1346">
        <v>20.5493</v>
      </c>
      <c r="E1346">
        <v>22.2357</v>
      </c>
      <c r="F1346">
        <v>0.0820660557780558</v>
      </c>
      <c r="G1346">
        <f ca="1" t="shared" si="60"/>
        <v>0.810664464410931</v>
      </c>
      <c r="H1346" t="str">
        <f ca="1" t="shared" si="61"/>
        <v>Risk-Off</v>
      </c>
      <c r="I1346">
        <f ca="1" t="shared" si="62"/>
        <v>1</v>
      </c>
      <c r="J1346">
        <f>_xlfn.XLOOKUP($A1346,[1]Sheet1!$B$9:$B$2584,[1]Sheet1!$C$9:$C$2584,"N/A",0)</f>
        <v>109.31</v>
      </c>
      <c r="K1346">
        <f>_xlfn.XLOOKUP($A1346,[1]Sheet1!$E$9:$E$2584,[1]Sheet1!$F$9:$F$2584,"N/A",0)</f>
        <v>125.12</v>
      </c>
      <c r="L1346">
        <f>_xlfn.XLOOKUP($A1346,[1]Sheet1!$H$9:$H$2584,[1]Sheet1!$I$9:$I$2584,"N/A",0)</f>
        <v>69.95</v>
      </c>
      <c r="M1346">
        <f>_xlfn.XLOOKUP($A1346,[1]Sheet1!$K$9:$K$2584,[1]Sheet1!$L$9:$L$2584,"N/A",0)</f>
        <v>134.84</v>
      </c>
      <c r="N1346">
        <f>_xlfn.XLOOKUP($A1346,[1]Sheet1!$N$9:$N$2584,[1]Sheet1!$O$9:$O$2584,"N/A",0)</f>
        <v>96.9</v>
      </c>
      <c r="O1346">
        <v>109.31</v>
      </c>
      <c r="P1346">
        <v>125.12</v>
      </c>
      <c r="Q1346">
        <v>69.95</v>
      </c>
      <c r="R1346">
        <v>96.9</v>
      </c>
      <c r="S1346">
        <v>134.84</v>
      </c>
    </row>
    <row r="1347" spans="1:19">
      <c r="A1347" s="1">
        <v>44321</v>
      </c>
      <c r="B1347" t="s">
        <v>610</v>
      </c>
      <c r="C1347" t="s">
        <v>622</v>
      </c>
      <c r="D1347">
        <v>19.9784</v>
      </c>
      <c r="E1347">
        <v>21.6758</v>
      </c>
      <c r="F1347">
        <v>0.0849617586993952</v>
      </c>
      <c r="G1347">
        <f ca="1" t="shared" ref="G1347:G1410" si="63">IF(ROW()-ROW($A$3)+1&gt;252,(F1347-AVERAGE(OFFSET(F1347,-252,0,252,1)))/_xlfn.STDEV.S(OFFSET(F1347,-252,0,252,1)),"N/A")</f>
        <v>0.883676528879016</v>
      </c>
      <c r="H1347" t="str">
        <f ca="1" t="shared" ref="H1347:H1410" si="64">IF(G1347&lt;&gt;"N/A",IF(G1597&gt;-0.5,"Risk-On","Risk-Off"),"N/A")</f>
        <v>Risk-Off</v>
      </c>
      <c r="I1347">
        <f ca="1" t="shared" si="62"/>
        <v>1</v>
      </c>
      <c r="J1347">
        <f>_xlfn.XLOOKUP($A1347,[1]Sheet1!$B$9:$B$2584,[1]Sheet1!$C$9:$C$2584,"N/A",0)</f>
        <v>109.6</v>
      </c>
      <c r="K1347">
        <f>_xlfn.XLOOKUP($A1347,[1]Sheet1!$E$9:$E$2584,[1]Sheet1!$F$9:$F$2584,"N/A",0)</f>
        <v>125.3</v>
      </c>
      <c r="L1347">
        <f>_xlfn.XLOOKUP($A1347,[1]Sheet1!$H$9:$H$2584,[1]Sheet1!$I$9:$I$2584,"N/A",0)</f>
        <v>70.54</v>
      </c>
      <c r="M1347">
        <f>_xlfn.XLOOKUP($A1347,[1]Sheet1!$K$9:$K$2584,[1]Sheet1!$L$9:$L$2584,"N/A",0)</f>
        <v>135.06</v>
      </c>
      <c r="N1347">
        <f>_xlfn.XLOOKUP($A1347,[1]Sheet1!$N$9:$N$2584,[1]Sheet1!$O$9:$O$2584,"N/A",0)</f>
        <v>97.35</v>
      </c>
      <c r="O1347">
        <v>109.6</v>
      </c>
      <c r="P1347">
        <v>125.3</v>
      </c>
      <c r="Q1347">
        <v>70.54</v>
      </c>
      <c r="R1347">
        <v>97.35</v>
      </c>
      <c r="S1347">
        <v>135.06</v>
      </c>
    </row>
    <row r="1348" spans="1:19">
      <c r="A1348" s="1">
        <v>44322</v>
      </c>
      <c r="B1348" t="s">
        <v>610</v>
      </c>
      <c r="C1348" t="s">
        <v>622</v>
      </c>
      <c r="D1348">
        <v>19.6892</v>
      </c>
      <c r="E1348">
        <v>21.6227</v>
      </c>
      <c r="F1348">
        <v>0.098201044227292</v>
      </c>
      <c r="G1348">
        <f ca="1" t="shared" si="63"/>
        <v>1.25139457119715</v>
      </c>
      <c r="H1348" t="str">
        <f ca="1" t="shared" si="64"/>
        <v>Risk-Off</v>
      </c>
      <c r="I1348">
        <f ca="1" t="shared" ref="I1348:I1411" si="65">IF(H1348&lt;&gt;"N/A",IF(H1598&gt;-0.5,1,0),0)</f>
        <v>1</v>
      </c>
      <c r="J1348">
        <f>_xlfn.XLOOKUP($A1348,[1]Sheet1!$B$9:$B$2584,[1]Sheet1!$C$9:$C$2584,"N/A",0)</f>
        <v>108.91</v>
      </c>
      <c r="K1348">
        <f>_xlfn.XLOOKUP($A1348,[1]Sheet1!$E$9:$E$2584,[1]Sheet1!$F$9:$F$2584,"N/A",0)</f>
        <v>124.37</v>
      </c>
      <c r="L1348">
        <f>_xlfn.XLOOKUP($A1348,[1]Sheet1!$H$9:$H$2584,[1]Sheet1!$I$9:$I$2584,"N/A",0)</f>
        <v>71.83</v>
      </c>
      <c r="M1348">
        <f>_xlfn.XLOOKUP($A1348,[1]Sheet1!$K$9:$K$2584,[1]Sheet1!$L$9:$L$2584,"N/A",0)</f>
        <v>134.4</v>
      </c>
      <c r="N1348">
        <f>_xlfn.XLOOKUP($A1348,[1]Sheet1!$N$9:$N$2584,[1]Sheet1!$O$9:$O$2584,"N/A",0)</f>
        <v>97.24</v>
      </c>
      <c r="O1348">
        <v>108.91</v>
      </c>
      <c r="P1348">
        <v>124.37</v>
      </c>
      <c r="Q1348">
        <v>71.83</v>
      </c>
      <c r="R1348">
        <v>97.24</v>
      </c>
      <c r="S1348">
        <v>134.4</v>
      </c>
    </row>
    <row r="1349" spans="1:19">
      <c r="A1349" s="1">
        <v>44323</v>
      </c>
      <c r="B1349" t="s">
        <v>610</v>
      </c>
      <c r="C1349" t="s">
        <v>622</v>
      </c>
      <c r="D1349">
        <v>18.2917</v>
      </c>
      <c r="E1349">
        <v>20.5424</v>
      </c>
      <c r="F1349" s="2" t="s">
        <v>626</v>
      </c>
      <c r="G1349">
        <f ca="1" t="shared" si="63"/>
        <v>1.95099585530023</v>
      </c>
      <c r="H1349" t="str">
        <f ca="1" t="shared" si="64"/>
        <v>Risk-On</v>
      </c>
      <c r="I1349">
        <f ca="1" t="shared" si="65"/>
        <v>1</v>
      </c>
      <c r="J1349">
        <f>_xlfn.XLOOKUP($A1349,[1]Sheet1!$B$9:$B$2584,[1]Sheet1!$C$9:$C$2584,"N/A",0)</f>
        <v>109.31</v>
      </c>
      <c r="K1349">
        <f>_xlfn.XLOOKUP($A1349,[1]Sheet1!$E$9:$E$2584,[1]Sheet1!$F$9:$F$2584,"N/A",0)</f>
        <v>125.27</v>
      </c>
      <c r="L1349">
        <f>_xlfn.XLOOKUP($A1349,[1]Sheet1!$H$9:$H$2584,[1]Sheet1!$I$9:$I$2584,"N/A",0)</f>
        <v>71.8</v>
      </c>
      <c r="M1349">
        <f>_xlfn.XLOOKUP($A1349,[1]Sheet1!$K$9:$K$2584,[1]Sheet1!$L$9:$L$2584,"N/A",0)</f>
        <v>134.48</v>
      </c>
      <c r="N1349">
        <f>_xlfn.XLOOKUP($A1349,[1]Sheet1!$N$9:$N$2584,[1]Sheet1!$O$9:$O$2584,"N/A",0)</f>
        <v>97.07</v>
      </c>
      <c r="O1349">
        <v>109.31</v>
      </c>
      <c r="P1349">
        <v>125.27</v>
      </c>
      <c r="Q1349">
        <v>71.8</v>
      </c>
      <c r="R1349">
        <v>97.07</v>
      </c>
      <c r="S1349">
        <v>134.48</v>
      </c>
    </row>
    <row r="1350" spans="1:19">
      <c r="A1350" s="1">
        <v>44326</v>
      </c>
      <c r="B1350" t="s">
        <v>610</v>
      </c>
      <c r="C1350" t="s">
        <v>622</v>
      </c>
      <c r="D1350">
        <v>19.4819</v>
      </c>
      <c r="E1350">
        <v>21.3487</v>
      </c>
      <c r="F1350">
        <v>0.0958222760613698</v>
      </c>
      <c r="G1350">
        <f ca="1" t="shared" si="63"/>
        <v>1.16353758842704</v>
      </c>
      <c r="H1350" t="str">
        <f ca="1" t="shared" si="64"/>
        <v>Risk-Off</v>
      </c>
      <c r="I1350">
        <f ca="1" t="shared" si="65"/>
        <v>1</v>
      </c>
      <c r="J1350">
        <f>_xlfn.XLOOKUP($A1350,[1]Sheet1!$B$9:$B$2584,[1]Sheet1!$C$9:$C$2584,"N/A",0)</f>
        <v>109.19</v>
      </c>
      <c r="K1350">
        <f>_xlfn.XLOOKUP($A1350,[1]Sheet1!$E$9:$E$2584,[1]Sheet1!$F$9:$F$2584,"N/A",0)</f>
        <v>124.64</v>
      </c>
      <c r="L1350">
        <f>_xlfn.XLOOKUP($A1350,[1]Sheet1!$H$9:$H$2584,[1]Sheet1!$I$9:$I$2584,"N/A",0)</f>
        <v>71.89</v>
      </c>
      <c r="M1350">
        <f>_xlfn.XLOOKUP($A1350,[1]Sheet1!$K$9:$K$2584,[1]Sheet1!$L$9:$L$2584,"N/A",0)</f>
        <v>135.03</v>
      </c>
      <c r="N1350">
        <f>_xlfn.XLOOKUP($A1350,[1]Sheet1!$N$9:$N$2584,[1]Sheet1!$O$9:$O$2584,"N/A",0)</f>
        <v>97.85</v>
      </c>
      <c r="O1350">
        <v>109.19</v>
      </c>
      <c r="P1350">
        <v>124.64</v>
      </c>
      <c r="Q1350">
        <v>71.89</v>
      </c>
      <c r="R1350">
        <v>97.85</v>
      </c>
      <c r="S1350">
        <v>135.03</v>
      </c>
    </row>
    <row r="1351" spans="1:19">
      <c r="A1351" s="1">
        <v>44327</v>
      </c>
      <c r="B1351" t="s">
        <v>610</v>
      </c>
      <c r="C1351" t="s">
        <v>622</v>
      </c>
      <c r="D1351">
        <v>21.2388</v>
      </c>
      <c r="E1351">
        <v>22.8487</v>
      </c>
      <c r="F1351">
        <v>0.075799951033015</v>
      </c>
      <c r="G1351">
        <f ca="1" t="shared" si="63"/>
        <v>0.580245287689126</v>
      </c>
      <c r="H1351" t="str">
        <f ca="1" t="shared" si="64"/>
        <v>Risk-Off</v>
      </c>
      <c r="I1351">
        <f ca="1" t="shared" si="65"/>
        <v>1</v>
      </c>
      <c r="J1351">
        <f>_xlfn.XLOOKUP($A1351,[1]Sheet1!$B$9:$B$2584,[1]Sheet1!$C$9:$C$2584,"N/A",0)</f>
        <v>109.33</v>
      </c>
      <c r="K1351">
        <f>_xlfn.XLOOKUP($A1351,[1]Sheet1!$E$9:$E$2584,[1]Sheet1!$F$9:$F$2584,"N/A",0)</f>
        <v>125.22</v>
      </c>
      <c r="L1351">
        <f>_xlfn.XLOOKUP($A1351,[1]Sheet1!$H$9:$H$2584,[1]Sheet1!$I$9:$I$2584,"N/A",0)</f>
        <v>71.52</v>
      </c>
      <c r="M1351">
        <f>_xlfn.XLOOKUP($A1351,[1]Sheet1!$K$9:$K$2584,[1]Sheet1!$L$9:$L$2584,"N/A",0)</f>
        <v>134.67</v>
      </c>
      <c r="N1351">
        <f>_xlfn.XLOOKUP($A1351,[1]Sheet1!$N$9:$N$2584,[1]Sheet1!$O$9:$O$2584,"N/A",0)</f>
        <v>97.54</v>
      </c>
      <c r="O1351">
        <v>109.33</v>
      </c>
      <c r="P1351">
        <v>125.22</v>
      </c>
      <c r="Q1351">
        <v>71.52</v>
      </c>
      <c r="R1351">
        <v>97.54</v>
      </c>
      <c r="S1351">
        <v>134.67</v>
      </c>
    </row>
    <row r="1352" spans="1:19">
      <c r="A1352" s="1">
        <v>44328</v>
      </c>
      <c r="B1352" t="s">
        <v>610</v>
      </c>
      <c r="C1352" t="s">
        <v>622</v>
      </c>
      <c r="D1352">
        <v>25.9725</v>
      </c>
      <c r="E1352">
        <v>26.4334</v>
      </c>
      <c r="F1352">
        <v>0.0177456925594378</v>
      </c>
      <c r="G1352">
        <f ca="1" t="shared" si="63"/>
        <v>-1.09081045487044</v>
      </c>
      <c r="H1352" t="str">
        <f ca="1" t="shared" si="64"/>
        <v>Risk-Off</v>
      </c>
      <c r="I1352">
        <f ca="1" t="shared" si="65"/>
        <v>1</v>
      </c>
      <c r="J1352">
        <f>_xlfn.XLOOKUP($A1352,[1]Sheet1!$B$9:$B$2584,[1]Sheet1!$C$9:$C$2584,"N/A",0)</f>
        <v>109.49</v>
      </c>
      <c r="K1352">
        <f>_xlfn.XLOOKUP($A1352,[1]Sheet1!$E$9:$E$2584,[1]Sheet1!$F$9:$F$2584,"N/A",0)</f>
        <v>123.77</v>
      </c>
      <c r="L1352">
        <f>_xlfn.XLOOKUP($A1352,[1]Sheet1!$H$9:$H$2584,[1]Sheet1!$I$9:$I$2584,"N/A",0)</f>
        <v>71.36</v>
      </c>
      <c r="M1352">
        <f>_xlfn.XLOOKUP($A1352,[1]Sheet1!$K$9:$K$2584,[1]Sheet1!$L$9:$L$2584,"N/A",0)</f>
        <v>133.89</v>
      </c>
      <c r="N1352">
        <f>_xlfn.XLOOKUP($A1352,[1]Sheet1!$N$9:$N$2584,[1]Sheet1!$O$9:$O$2584,"N/A",0)</f>
        <v>98.15</v>
      </c>
      <c r="O1352">
        <v>109.49</v>
      </c>
      <c r="P1352">
        <v>123.77</v>
      </c>
      <c r="Q1352">
        <v>71.36</v>
      </c>
      <c r="R1352">
        <v>98.15</v>
      </c>
      <c r="S1352">
        <v>133.89</v>
      </c>
    </row>
    <row r="1353" spans="1:19">
      <c r="A1353" s="1">
        <v>44329</v>
      </c>
      <c r="B1353" t="s">
        <v>610</v>
      </c>
      <c r="C1353" t="s">
        <v>622</v>
      </c>
      <c r="D1353">
        <v>22.6932</v>
      </c>
      <c r="E1353">
        <v>24.0809</v>
      </c>
      <c r="F1353" s="2" t="s">
        <v>627</v>
      </c>
      <c r="G1353">
        <f ca="1" t="shared" si="63"/>
        <v>0.150526787588225</v>
      </c>
      <c r="H1353" t="str">
        <f ca="1" t="shared" si="64"/>
        <v>Risk-Off</v>
      </c>
      <c r="I1353">
        <f ca="1" t="shared" si="65"/>
        <v>1</v>
      </c>
      <c r="J1353">
        <f>_xlfn.XLOOKUP($A1353,[1]Sheet1!$B$9:$B$2584,[1]Sheet1!$C$9:$C$2584,"N/A",0)</f>
        <v>109.02</v>
      </c>
      <c r="K1353">
        <f>_xlfn.XLOOKUP($A1353,[1]Sheet1!$E$9:$E$2584,[1]Sheet1!$F$9:$F$2584,"N/A",0)</f>
        <v>123.37</v>
      </c>
      <c r="L1353">
        <f>_xlfn.XLOOKUP($A1353,[1]Sheet1!$H$9:$H$2584,[1]Sheet1!$I$9:$I$2584,"N/A",0)</f>
        <v>71.82</v>
      </c>
      <c r="M1353">
        <f>_xlfn.XLOOKUP($A1353,[1]Sheet1!$K$9:$K$2584,[1]Sheet1!$L$9:$L$2584,"N/A",0)</f>
        <v>134.95</v>
      </c>
      <c r="N1353">
        <f>_xlfn.XLOOKUP($A1353,[1]Sheet1!$N$9:$N$2584,[1]Sheet1!$O$9:$O$2584,"N/A",0)</f>
        <v>97.94</v>
      </c>
      <c r="O1353">
        <v>109.02</v>
      </c>
      <c r="P1353">
        <v>123.37</v>
      </c>
      <c r="Q1353">
        <v>71.82</v>
      </c>
      <c r="R1353">
        <v>97.94</v>
      </c>
      <c r="S1353">
        <v>134.95</v>
      </c>
    </row>
    <row r="1354" spans="1:19">
      <c r="A1354" s="1">
        <v>44330</v>
      </c>
      <c r="B1354" t="s">
        <v>610</v>
      </c>
      <c r="C1354" t="s">
        <v>622</v>
      </c>
      <c r="D1354">
        <v>19.1312</v>
      </c>
      <c r="E1354">
        <v>21.3668</v>
      </c>
      <c r="F1354" s="2" t="s">
        <v>628</v>
      </c>
      <c r="G1354">
        <f ca="1" t="shared" si="63"/>
        <v>1.75771079110071</v>
      </c>
      <c r="H1354" t="str">
        <f ca="1" t="shared" si="64"/>
        <v>Risk-Off</v>
      </c>
      <c r="I1354">
        <f ca="1" t="shared" si="65"/>
        <v>1</v>
      </c>
      <c r="J1354">
        <f>_xlfn.XLOOKUP($A1354,[1]Sheet1!$B$9:$B$2584,[1]Sheet1!$C$9:$C$2584,"N/A",0)</f>
        <v>108.94</v>
      </c>
      <c r="K1354">
        <f>_xlfn.XLOOKUP($A1354,[1]Sheet1!$E$9:$E$2584,[1]Sheet1!$F$9:$F$2584,"N/A",0)</f>
        <v>123.57</v>
      </c>
      <c r="L1354">
        <f>_xlfn.XLOOKUP($A1354,[1]Sheet1!$H$9:$H$2584,[1]Sheet1!$I$9:$I$2584,"N/A",0)</f>
        <v>71.78</v>
      </c>
      <c r="M1354">
        <f>_xlfn.XLOOKUP($A1354,[1]Sheet1!$K$9:$K$2584,[1]Sheet1!$L$9:$L$2584,"N/A",0)</f>
        <v>134.06</v>
      </c>
      <c r="N1354">
        <f>_xlfn.XLOOKUP($A1354,[1]Sheet1!$N$9:$N$2584,[1]Sheet1!$O$9:$O$2584,"N/A",0)</f>
        <v>97.8</v>
      </c>
      <c r="O1354">
        <v>108.94</v>
      </c>
      <c r="P1354">
        <v>123.57</v>
      </c>
      <c r="Q1354">
        <v>71.78</v>
      </c>
      <c r="R1354">
        <v>97.8</v>
      </c>
      <c r="S1354">
        <v>134.06</v>
      </c>
    </row>
    <row r="1355" spans="1:19">
      <c r="A1355" s="1">
        <v>44333</v>
      </c>
      <c r="B1355" t="s">
        <v>610</v>
      </c>
      <c r="C1355" t="s">
        <v>622</v>
      </c>
      <c r="D1355">
        <v>19.9063</v>
      </c>
      <c r="E1355">
        <v>22.1144</v>
      </c>
      <c r="F1355" s="2" t="s">
        <v>629</v>
      </c>
      <c r="G1355">
        <f ca="1" t="shared" si="63"/>
        <v>1.57963897768453</v>
      </c>
      <c r="H1355" t="str">
        <f ca="1" t="shared" si="64"/>
        <v>Risk-Off</v>
      </c>
      <c r="I1355">
        <f ca="1" t="shared" si="65"/>
        <v>1</v>
      </c>
      <c r="J1355">
        <f>_xlfn.XLOOKUP($A1355,[1]Sheet1!$B$9:$B$2584,[1]Sheet1!$C$9:$C$2584,"N/A",0)</f>
        <v>108.53</v>
      </c>
      <c r="K1355">
        <f>_xlfn.XLOOKUP($A1355,[1]Sheet1!$E$9:$E$2584,[1]Sheet1!$F$9:$F$2584,"N/A",0)</f>
        <v>123.59</v>
      </c>
      <c r="L1355">
        <f>_xlfn.XLOOKUP($A1355,[1]Sheet1!$H$9:$H$2584,[1]Sheet1!$I$9:$I$2584,"N/A",0)</f>
        <v>72.33</v>
      </c>
      <c r="M1355">
        <f>_xlfn.XLOOKUP($A1355,[1]Sheet1!$K$9:$K$2584,[1]Sheet1!$L$9:$L$2584,"N/A",0)</f>
        <v>133.65</v>
      </c>
      <c r="N1355">
        <f>_xlfn.XLOOKUP($A1355,[1]Sheet1!$N$9:$N$2584,[1]Sheet1!$O$9:$O$2584,"N/A",0)</f>
        <v>97.69</v>
      </c>
      <c r="O1355">
        <v>108.53</v>
      </c>
      <c r="P1355">
        <v>123.59</v>
      </c>
      <c r="Q1355">
        <v>72.33</v>
      </c>
      <c r="R1355">
        <v>97.69</v>
      </c>
      <c r="S1355">
        <v>133.65</v>
      </c>
    </row>
    <row r="1356" spans="1:19">
      <c r="A1356" s="1">
        <v>44334</v>
      </c>
      <c r="B1356" t="s">
        <v>610</v>
      </c>
      <c r="C1356" t="s">
        <v>622</v>
      </c>
      <c r="D1356">
        <v>21.1438</v>
      </c>
      <c r="E1356">
        <v>22.3794</v>
      </c>
      <c r="F1356">
        <v>0.0584379345245415</v>
      </c>
      <c r="G1356">
        <f ca="1" t="shared" si="63"/>
        <v>0.0540124552520617</v>
      </c>
      <c r="H1356" t="str">
        <f ca="1" t="shared" si="64"/>
        <v>Risk-On</v>
      </c>
      <c r="I1356">
        <f ca="1" t="shared" si="65"/>
        <v>1</v>
      </c>
      <c r="J1356">
        <f>_xlfn.XLOOKUP($A1356,[1]Sheet1!$B$9:$B$2584,[1]Sheet1!$C$9:$C$2584,"N/A",0)</f>
        <v>108.94</v>
      </c>
      <c r="K1356">
        <f>_xlfn.XLOOKUP($A1356,[1]Sheet1!$E$9:$E$2584,[1]Sheet1!$F$9:$F$2584,"N/A",0)</f>
        <v>123.89</v>
      </c>
      <c r="L1356">
        <f>_xlfn.XLOOKUP($A1356,[1]Sheet1!$H$9:$H$2584,[1]Sheet1!$I$9:$I$2584,"N/A",0)</f>
        <v>72.09</v>
      </c>
      <c r="M1356">
        <f>_xlfn.XLOOKUP($A1356,[1]Sheet1!$K$9:$K$2584,[1]Sheet1!$L$9:$L$2584,"N/A",0)</f>
        <v>133.18</v>
      </c>
      <c r="N1356">
        <f>_xlfn.XLOOKUP($A1356,[1]Sheet1!$N$9:$N$2584,[1]Sheet1!$O$9:$O$2584,"N/A",0)</f>
        <v>97.41</v>
      </c>
      <c r="O1356">
        <v>108.94</v>
      </c>
      <c r="P1356">
        <v>123.89</v>
      </c>
      <c r="Q1356">
        <v>72.09</v>
      </c>
      <c r="R1356">
        <v>97.41</v>
      </c>
      <c r="S1356">
        <v>133.18</v>
      </c>
    </row>
    <row r="1357" spans="1:19">
      <c r="A1357" s="1">
        <v>44335</v>
      </c>
      <c r="B1357" t="s">
        <v>610</v>
      </c>
      <c r="C1357" t="s">
        <v>622</v>
      </c>
      <c r="D1357">
        <v>25.21</v>
      </c>
      <c r="E1357">
        <v>23.3861</v>
      </c>
      <c r="F1357">
        <v>-0.0723482744942483</v>
      </c>
      <c r="G1357">
        <f ca="1" t="shared" si="63"/>
        <v>-3.75356345874355</v>
      </c>
      <c r="H1357" t="str">
        <f ca="1" t="shared" si="64"/>
        <v>Risk-Off</v>
      </c>
      <c r="I1357">
        <f ca="1" t="shared" si="65"/>
        <v>1</v>
      </c>
      <c r="J1357">
        <f>_xlfn.XLOOKUP($A1357,[1]Sheet1!$B$9:$B$2584,[1]Sheet1!$C$9:$C$2584,"N/A",0)</f>
        <v>109.01</v>
      </c>
      <c r="K1357">
        <f>_xlfn.XLOOKUP($A1357,[1]Sheet1!$E$9:$E$2584,[1]Sheet1!$F$9:$F$2584,"N/A",0)</f>
        <v>123.64</v>
      </c>
      <c r="L1357">
        <f>_xlfn.XLOOKUP($A1357,[1]Sheet1!$H$9:$H$2584,[1]Sheet1!$I$9:$I$2584,"N/A",0)</f>
        <v>72.01</v>
      </c>
      <c r="M1357">
        <f>_xlfn.XLOOKUP($A1357,[1]Sheet1!$K$9:$K$2584,[1]Sheet1!$L$9:$L$2584,"N/A",0)</f>
        <v>134.49</v>
      </c>
      <c r="N1357">
        <f>_xlfn.XLOOKUP($A1357,[1]Sheet1!$N$9:$N$2584,[1]Sheet1!$O$9:$O$2584,"N/A",0)</f>
        <v>97.4</v>
      </c>
      <c r="O1357">
        <v>109.01</v>
      </c>
      <c r="P1357">
        <v>123.64</v>
      </c>
      <c r="Q1357">
        <v>72.01</v>
      </c>
      <c r="R1357">
        <v>97.4</v>
      </c>
      <c r="S1357">
        <v>134.49</v>
      </c>
    </row>
    <row r="1358" spans="1:19">
      <c r="A1358" s="1">
        <v>44336</v>
      </c>
      <c r="B1358" t="s">
        <v>622</v>
      </c>
      <c r="C1358" t="s">
        <v>630</v>
      </c>
      <c r="D1358">
        <v>22.1031</v>
      </c>
      <c r="E1358">
        <v>23.6346</v>
      </c>
      <c r="F1358">
        <v>0.0692889232732059</v>
      </c>
      <c r="G1358">
        <f ca="1" t="shared" si="63"/>
        <v>0.375057673455328</v>
      </c>
      <c r="H1358" t="str">
        <f ca="1" t="shared" si="64"/>
        <v>Risk-On</v>
      </c>
      <c r="I1358">
        <f ca="1" t="shared" si="65"/>
        <v>1</v>
      </c>
      <c r="J1358">
        <f>_xlfn.XLOOKUP($A1358,[1]Sheet1!$B$9:$B$2584,[1]Sheet1!$C$9:$C$2584,"N/A",0)</f>
        <v>109.18</v>
      </c>
      <c r="K1358">
        <f>_xlfn.XLOOKUP($A1358,[1]Sheet1!$E$9:$E$2584,[1]Sheet1!$F$9:$F$2584,"N/A",0)</f>
        <v>123.7</v>
      </c>
      <c r="L1358">
        <f>_xlfn.XLOOKUP($A1358,[1]Sheet1!$H$9:$H$2584,[1]Sheet1!$I$9:$I$2584,"N/A",0)</f>
        <v>71.72</v>
      </c>
      <c r="M1358">
        <f>_xlfn.XLOOKUP($A1358,[1]Sheet1!$K$9:$K$2584,[1]Sheet1!$L$9:$L$2584,"N/A",0)</f>
        <v>134.48</v>
      </c>
      <c r="N1358">
        <f>_xlfn.XLOOKUP($A1358,[1]Sheet1!$N$9:$N$2584,[1]Sheet1!$O$9:$O$2584,"N/A",0)</f>
        <v>97.59</v>
      </c>
      <c r="O1358">
        <v>109.18</v>
      </c>
      <c r="P1358">
        <v>123.7</v>
      </c>
      <c r="Q1358">
        <v>71.72</v>
      </c>
      <c r="R1358">
        <v>97.59</v>
      </c>
      <c r="S1358">
        <v>134.48</v>
      </c>
    </row>
    <row r="1359" spans="1:19">
      <c r="A1359" s="1">
        <v>44337</v>
      </c>
      <c r="B1359" t="s">
        <v>622</v>
      </c>
      <c r="C1359" t="s">
        <v>630</v>
      </c>
      <c r="D1359">
        <v>21.8453</v>
      </c>
      <c r="E1359">
        <v>23.28</v>
      </c>
      <c r="F1359">
        <v>0.0656754542166964</v>
      </c>
      <c r="G1359">
        <f ca="1" t="shared" si="63"/>
        <v>0.272492585130056</v>
      </c>
      <c r="H1359" t="str">
        <f ca="1" t="shared" si="64"/>
        <v>Risk-On</v>
      </c>
      <c r="I1359">
        <f ca="1" t="shared" si="65"/>
        <v>1</v>
      </c>
      <c r="J1359">
        <f>_xlfn.XLOOKUP($A1359,[1]Sheet1!$B$9:$B$2584,[1]Sheet1!$C$9:$C$2584,"N/A",0)</f>
        <v>109.03</v>
      </c>
      <c r="K1359">
        <f>_xlfn.XLOOKUP($A1359,[1]Sheet1!$E$9:$E$2584,[1]Sheet1!$F$9:$F$2584,"N/A",0)</f>
        <v>124.23</v>
      </c>
      <c r="L1359">
        <f>_xlfn.XLOOKUP($A1359,[1]Sheet1!$H$9:$H$2584,[1]Sheet1!$I$9:$I$2584,"N/A",0)</f>
        <v>71.95</v>
      </c>
      <c r="M1359">
        <f>_xlfn.XLOOKUP($A1359,[1]Sheet1!$K$9:$K$2584,[1]Sheet1!$L$9:$L$2584,"N/A",0)</f>
        <v>134.49</v>
      </c>
      <c r="N1359">
        <f>_xlfn.XLOOKUP($A1359,[1]Sheet1!$N$9:$N$2584,[1]Sheet1!$O$9:$O$2584,"N/A",0)</f>
        <v>97.53</v>
      </c>
      <c r="O1359">
        <v>109.03</v>
      </c>
      <c r="P1359">
        <v>124.23</v>
      </c>
      <c r="Q1359">
        <v>71.95</v>
      </c>
      <c r="R1359">
        <v>97.53</v>
      </c>
      <c r="S1359">
        <v>134.49</v>
      </c>
    </row>
    <row r="1360" spans="1:19">
      <c r="A1360" s="1">
        <v>44340</v>
      </c>
      <c r="B1360" t="s">
        <v>622</v>
      </c>
      <c r="C1360" t="s">
        <v>630</v>
      </c>
      <c r="D1360">
        <v>20.7569</v>
      </c>
      <c r="E1360">
        <v>22.4758</v>
      </c>
      <c r="F1360">
        <v>0.0828110170593873</v>
      </c>
      <c r="G1360">
        <f ca="1" t="shared" si="63"/>
        <v>0.752857822997133</v>
      </c>
      <c r="H1360" t="str">
        <f ca="1" t="shared" si="64"/>
        <v>Risk-Off</v>
      </c>
      <c r="I1360">
        <f ca="1" t="shared" si="65"/>
        <v>1</v>
      </c>
      <c r="J1360">
        <f>_xlfn.XLOOKUP($A1360,[1]Sheet1!$B$9:$B$2584,[1]Sheet1!$C$9:$C$2584,"N/A",0)</f>
        <v>108.81</v>
      </c>
      <c r="K1360">
        <f>_xlfn.XLOOKUP($A1360,[1]Sheet1!$E$9:$E$2584,[1]Sheet1!$F$9:$F$2584,"N/A",0)</f>
        <v>124.76</v>
      </c>
      <c r="L1360">
        <f>_xlfn.XLOOKUP($A1360,[1]Sheet1!$H$9:$H$2584,[1]Sheet1!$I$9:$I$2584,"N/A",0)</f>
        <v>71.57</v>
      </c>
      <c r="M1360">
        <f>_xlfn.XLOOKUP($A1360,[1]Sheet1!$K$9:$K$2584,[1]Sheet1!$L$9:$L$2584,"N/A",0)</f>
        <v>134.42</v>
      </c>
      <c r="N1360">
        <f>_xlfn.XLOOKUP($A1360,[1]Sheet1!$N$9:$N$2584,[1]Sheet1!$O$9:$O$2584,"N/A",0)</f>
        <v>97.91</v>
      </c>
      <c r="O1360">
        <v>108.81</v>
      </c>
      <c r="P1360">
        <v>124.76</v>
      </c>
      <c r="Q1360">
        <v>71.57</v>
      </c>
      <c r="R1360">
        <v>97.91</v>
      </c>
      <c r="S1360">
        <v>134.42</v>
      </c>
    </row>
    <row r="1361" spans="1:19">
      <c r="A1361" s="1">
        <v>44341</v>
      </c>
      <c r="B1361" t="s">
        <v>622</v>
      </c>
      <c r="C1361" t="s">
        <v>630</v>
      </c>
      <c r="D1361">
        <v>20.7012</v>
      </c>
      <c r="E1361">
        <v>22.6499</v>
      </c>
      <c r="F1361">
        <v>0.0941346395378045</v>
      </c>
      <c r="G1361">
        <f ca="1" t="shared" si="63"/>
        <v>1.06120843971286</v>
      </c>
      <c r="H1361" t="str">
        <f ca="1" t="shared" si="64"/>
        <v>Risk-Off</v>
      </c>
      <c r="I1361">
        <f ca="1" t="shared" si="65"/>
        <v>1</v>
      </c>
      <c r="J1361">
        <f>_xlfn.XLOOKUP($A1361,[1]Sheet1!$B$9:$B$2584,[1]Sheet1!$C$9:$C$2584,"N/A",0)</f>
        <v>108.63</v>
      </c>
      <c r="K1361">
        <f>_xlfn.XLOOKUP($A1361,[1]Sheet1!$E$9:$E$2584,[1]Sheet1!$F$9:$F$2584,"N/A",0)</f>
        <v>124.29</v>
      </c>
      <c r="L1361">
        <f>_xlfn.XLOOKUP($A1361,[1]Sheet1!$H$9:$H$2584,[1]Sheet1!$I$9:$I$2584,"N/A",0)</f>
        <v>71.31</v>
      </c>
      <c r="M1361">
        <f>_xlfn.XLOOKUP($A1361,[1]Sheet1!$K$9:$K$2584,[1]Sheet1!$L$9:$L$2584,"N/A",0)</f>
        <v>134.51</v>
      </c>
      <c r="N1361">
        <f>_xlfn.XLOOKUP($A1361,[1]Sheet1!$N$9:$N$2584,[1]Sheet1!$O$9:$O$2584,"N/A",0)</f>
        <v>98.52</v>
      </c>
      <c r="O1361">
        <v>108.63</v>
      </c>
      <c r="P1361">
        <v>124.29</v>
      </c>
      <c r="Q1361">
        <v>71.31</v>
      </c>
      <c r="R1361">
        <v>98.52</v>
      </c>
      <c r="S1361">
        <v>134.51</v>
      </c>
    </row>
    <row r="1362" spans="1:19">
      <c r="A1362" s="1">
        <v>44342</v>
      </c>
      <c r="B1362" t="s">
        <v>622</v>
      </c>
      <c r="C1362" t="s">
        <v>630</v>
      </c>
      <c r="D1362">
        <v>19.6232</v>
      </c>
      <c r="E1362">
        <v>21.6727</v>
      </c>
      <c r="F1362" s="2" t="s">
        <v>631</v>
      </c>
      <c r="G1362">
        <f ca="1" t="shared" si="63"/>
        <v>1.34375549489523</v>
      </c>
      <c r="H1362" t="str">
        <f ca="1" t="shared" si="64"/>
        <v>Risk-On</v>
      </c>
      <c r="I1362">
        <f ca="1" t="shared" si="65"/>
        <v>1</v>
      </c>
      <c r="J1362">
        <f>_xlfn.XLOOKUP($A1362,[1]Sheet1!$B$9:$B$2584,[1]Sheet1!$C$9:$C$2584,"N/A",0)</f>
        <v>108.37</v>
      </c>
      <c r="K1362">
        <f>_xlfn.XLOOKUP($A1362,[1]Sheet1!$E$9:$E$2584,[1]Sheet1!$F$9:$F$2584,"N/A",0)</f>
        <v>125.34</v>
      </c>
      <c r="L1362">
        <f>_xlfn.XLOOKUP($A1362,[1]Sheet1!$H$9:$H$2584,[1]Sheet1!$I$9:$I$2584,"N/A",0)</f>
        <v>71.33</v>
      </c>
      <c r="M1362">
        <f>_xlfn.XLOOKUP($A1362,[1]Sheet1!$K$9:$K$2584,[1]Sheet1!$L$9:$L$2584,"N/A",0)</f>
        <v>133.91</v>
      </c>
      <c r="N1362">
        <f>_xlfn.XLOOKUP($A1362,[1]Sheet1!$N$9:$N$2584,[1]Sheet1!$O$9:$O$2584,"N/A",0)</f>
        <v>97.32</v>
      </c>
      <c r="O1362">
        <v>108.37</v>
      </c>
      <c r="P1362">
        <v>125.34</v>
      </c>
      <c r="Q1362">
        <v>71.33</v>
      </c>
      <c r="R1362">
        <v>97.32</v>
      </c>
      <c r="S1362">
        <v>133.91</v>
      </c>
    </row>
    <row r="1363" spans="1:19">
      <c r="A1363" s="1">
        <v>44343</v>
      </c>
      <c r="B1363" t="s">
        <v>622</v>
      </c>
      <c r="C1363" t="s">
        <v>630</v>
      </c>
      <c r="D1363">
        <v>18.5669</v>
      </c>
      <c r="E1363">
        <v>20.6488</v>
      </c>
      <c r="F1363" s="2" t="s">
        <v>632</v>
      </c>
      <c r="G1363">
        <f ca="1" t="shared" si="63"/>
        <v>1.55979736779671</v>
      </c>
      <c r="H1363" t="str">
        <f ca="1" t="shared" si="64"/>
        <v>Risk-On</v>
      </c>
      <c r="I1363">
        <f ca="1" t="shared" si="65"/>
        <v>1</v>
      </c>
      <c r="J1363">
        <f>_xlfn.XLOOKUP($A1363,[1]Sheet1!$B$9:$B$2584,[1]Sheet1!$C$9:$C$2584,"N/A",0)</f>
        <v>108.08</v>
      </c>
      <c r="K1363">
        <f>_xlfn.XLOOKUP($A1363,[1]Sheet1!$E$9:$E$2584,[1]Sheet1!$F$9:$F$2584,"N/A",0)</f>
        <v>126.42</v>
      </c>
      <c r="L1363">
        <f>_xlfn.XLOOKUP($A1363,[1]Sheet1!$H$9:$H$2584,[1]Sheet1!$I$9:$I$2584,"N/A",0)</f>
        <v>71.39</v>
      </c>
      <c r="M1363">
        <f>_xlfn.XLOOKUP($A1363,[1]Sheet1!$K$9:$K$2584,[1]Sheet1!$L$9:$L$2584,"N/A",0)</f>
        <v>133.18</v>
      </c>
      <c r="N1363">
        <f>_xlfn.XLOOKUP($A1363,[1]Sheet1!$N$9:$N$2584,[1]Sheet1!$O$9:$O$2584,"N/A",0)</f>
        <v>96.91</v>
      </c>
      <c r="O1363">
        <v>108.08</v>
      </c>
      <c r="P1363">
        <v>126.42</v>
      </c>
      <c r="Q1363">
        <v>71.39</v>
      </c>
      <c r="R1363">
        <v>96.91</v>
      </c>
      <c r="S1363">
        <v>133.18</v>
      </c>
    </row>
    <row r="1364" spans="1:19">
      <c r="A1364" s="1">
        <v>44344</v>
      </c>
      <c r="B1364" t="s">
        <v>622</v>
      </c>
      <c r="C1364" t="s">
        <v>630</v>
      </c>
      <c r="D1364">
        <v>19.1343</v>
      </c>
      <c r="E1364">
        <v>20.8509</v>
      </c>
      <c r="F1364">
        <v>0.0897132374845173</v>
      </c>
      <c r="G1364">
        <f ca="1" t="shared" si="63"/>
        <v>0.923522148460812</v>
      </c>
      <c r="H1364" t="str">
        <f ca="1" t="shared" si="64"/>
        <v>Risk-On</v>
      </c>
      <c r="I1364">
        <f ca="1" t="shared" si="65"/>
        <v>1</v>
      </c>
      <c r="J1364">
        <f>_xlfn.XLOOKUP($A1364,[1]Sheet1!$B$9:$B$2584,[1]Sheet1!$C$9:$C$2584,"N/A",0)</f>
        <v>108.49</v>
      </c>
      <c r="K1364">
        <f>_xlfn.XLOOKUP($A1364,[1]Sheet1!$E$9:$E$2584,[1]Sheet1!$F$9:$F$2584,"N/A",0)</f>
        <v>126.24</v>
      </c>
      <c r="L1364">
        <f>_xlfn.XLOOKUP($A1364,[1]Sheet1!$H$9:$H$2584,[1]Sheet1!$I$9:$I$2584,"N/A",0)</f>
        <v>71.07</v>
      </c>
      <c r="M1364">
        <f>_xlfn.XLOOKUP($A1364,[1]Sheet1!$K$9:$K$2584,[1]Sheet1!$L$9:$L$2584,"N/A",0)</f>
        <v>133.19</v>
      </c>
      <c r="N1364">
        <f>_xlfn.XLOOKUP($A1364,[1]Sheet1!$N$9:$N$2584,[1]Sheet1!$O$9:$O$2584,"N/A",0)</f>
        <v>96.99</v>
      </c>
      <c r="O1364">
        <v>108.49</v>
      </c>
      <c r="P1364">
        <v>126.24</v>
      </c>
      <c r="Q1364">
        <v>71.07</v>
      </c>
      <c r="R1364">
        <v>96.99</v>
      </c>
      <c r="S1364">
        <v>133.19</v>
      </c>
    </row>
    <row r="1365" spans="1:19">
      <c r="A1365" s="1">
        <v>44348</v>
      </c>
      <c r="B1365" t="s">
        <v>622</v>
      </c>
      <c r="C1365" t="s">
        <v>630</v>
      </c>
      <c r="D1365">
        <v>19.5551</v>
      </c>
      <c r="E1365">
        <v>21.3709</v>
      </c>
      <c r="F1365">
        <v>0.0928555722036706</v>
      </c>
      <c r="G1365">
        <f ca="1" t="shared" si="63"/>
        <v>1.0015734181946</v>
      </c>
      <c r="H1365" t="str">
        <f ca="1" t="shared" si="64"/>
        <v>Risk-On</v>
      </c>
      <c r="I1365">
        <f ca="1" t="shared" si="65"/>
        <v>1</v>
      </c>
      <c r="J1365">
        <f>_xlfn.XLOOKUP($A1365,[1]Sheet1!$B$9:$B$2584,[1]Sheet1!$C$9:$C$2584,"N/A",0)</f>
        <v>108.35</v>
      </c>
      <c r="K1365">
        <f>_xlfn.XLOOKUP($A1365,[1]Sheet1!$E$9:$E$2584,[1]Sheet1!$F$9:$F$2584,"N/A",0)</f>
        <v>127.03</v>
      </c>
      <c r="L1365">
        <f>_xlfn.XLOOKUP($A1365,[1]Sheet1!$H$9:$H$2584,[1]Sheet1!$I$9:$I$2584,"N/A",0)</f>
        <v>71.14</v>
      </c>
      <c r="M1365">
        <f>_xlfn.XLOOKUP($A1365,[1]Sheet1!$K$9:$K$2584,[1]Sheet1!$L$9:$L$2584,"N/A",0)</f>
        <v>132.13</v>
      </c>
      <c r="N1365">
        <f>_xlfn.XLOOKUP($A1365,[1]Sheet1!$N$9:$N$2584,[1]Sheet1!$O$9:$O$2584,"N/A",0)</f>
        <v>96.46</v>
      </c>
      <c r="O1365">
        <v>108.35</v>
      </c>
      <c r="P1365">
        <v>127.03</v>
      </c>
      <c r="Q1365">
        <v>71.14</v>
      </c>
      <c r="R1365">
        <v>96.46</v>
      </c>
      <c r="S1365">
        <v>132.13</v>
      </c>
    </row>
    <row r="1366" spans="1:19">
      <c r="A1366" s="1">
        <v>44349</v>
      </c>
      <c r="B1366" t="s">
        <v>622</v>
      </c>
      <c r="C1366" t="s">
        <v>630</v>
      </c>
      <c r="D1366">
        <v>18.9248</v>
      </c>
      <c r="E1366">
        <v>21.0457</v>
      </c>
      <c r="F1366" s="2" t="s">
        <v>633</v>
      </c>
      <c r="G1366">
        <f ca="1" t="shared" si="63"/>
        <v>1.52669050433858</v>
      </c>
      <c r="H1366" t="str">
        <f ca="1" t="shared" si="64"/>
        <v>Risk-On</v>
      </c>
      <c r="I1366">
        <f ca="1" t="shared" si="65"/>
        <v>1</v>
      </c>
      <c r="J1366">
        <f>_xlfn.XLOOKUP($A1366,[1]Sheet1!$B$9:$B$2584,[1]Sheet1!$C$9:$C$2584,"N/A",0)</f>
        <v>108.23</v>
      </c>
      <c r="K1366">
        <f>_xlfn.XLOOKUP($A1366,[1]Sheet1!$E$9:$E$2584,[1]Sheet1!$F$9:$F$2584,"N/A",0)</f>
        <v>126.47</v>
      </c>
      <c r="L1366">
        <f>_xlfn.XLOOKUP($A1366,[1]Sheet1!$H$9:$H$2584,[1]Sheet1!$I$9:$I$2584,"N/A",0)</f>
        <v>70.64</v>
      </c>
      <c r="M1366">
        <f>_xlfn.XLOOKUP($A1366,[1]Sheet1!$K$9:$K$2584,[1]Sheet1!$L$9:$L$2584,"N/A",0)</f>
        <v>131.69</v>
      </c>
      <c r="N1366">
        <f>_xlfn.XLOOKUP($A1366,[1]Sheet1!$N$9:$N$2584,[1]Sheet1!$O$9:$O$2584,"N/A",0)</f>
        <v>96.15</v>
      </c>
      <c r="O1366">
        <v>108.23</v>
      </c>
      <c r="P1366">
        <v>126.47</v>
      </c>
      <c r="Q1366">
        <v>70.64</v>
      </c>
      <c r="R1366">
        <v>96.15</v>
      </c>
      <c r="S1366">
        <v>131.69</v>
      </c>
    </row>
    <row r="1367" spans="1:19">
      <c r="A1367" s="1">
        <v>44350</v>
      </c>
      <c r="B1367" t="s">
        <v>622</v>
      </c>
      <c r="C1367" t="s">
        <v>630</v>
      </c>
      <c r="D1367">
        <v>19.2865</v>
      </c>
      <c r="E1367">
        <v>21.3869</v>
      </c>
      <c r="F1367" s="2" t="s">
        <v>634</v>
      </c>
      <c r="G1367">
        <f ca="1" t="shared" si="63"/>
        <v>1.43491725643237</v>
      </c>
      <c r="H1367" t="str">
        <f ca="1" t="shared" si="64"/>
        <v>Risk-On</v>
      </c>
      <c r="I1367">
        <f ca="1" t="shared" si="65"/>
        <v>1</v>
      </c>
      <c r="J1367">
        <f>_xlfn.XLOOKUP($A1367,[1]Sheet1!$B$9:$B$2584,[1]Sheet1!$C$9:$C$2584,"N/A",0)</f>
        <v>108.44</v>
      </c>
      <c r="K1367">
        <f>_xlfn.XLOOKUP($A1367,[1]Sheet1!$E$9:$E$2584,[1]Sheet1!$F$9:$F$2584,"N/A",0)</f>
        <v>126.72</v>
      </c>
      <c r="L1367">
        <f>_xlfn.XLOOKUP($A1367,[1]Sheet1!$H$9:$H$2584,[1]Sheet1!$I$9:$I$2584,"N/A",0)</f>
        <v>70.67</v>
      </c>
      <c r="M1367">
        <f>_xlfn.XLOOKUP($A1367,[1]Sheet1!$K$9:$K$2584,[1]Sheet1!$L$9:$L$2584,"N/A",0)</f>
        <v>132.39</v>
      </c>
      <c r="N1367">
        <f>_xlfn.XLOOKUP($A1367,[1]Sheet1!$N$9:$N$2584,[1]Sheet1!$O$9:$O$2584,"N/A",0)</f>
        <v>96.68</v>
      </c>
      <c r="O1367">
        <v>108.44</v>
      </c>
      <c r="P1367">
        <v>126.72</v>
      </c>
      <c r="Q1367">
        <v>70.67</v>
      </c>
      <c r="R1367">
        <v>96.68</v>
      </c>
      <c r="S1367">
        <v>132.39</v>
      </c>
    </row>
    <row r="1368" spans="1:19">
      <c r="A1368" s="1">
        <v>44351</v>
      </c>
      <c r="B1368" t="s">
        <v>622</v>
      </c>
      <c r="C1368" t="s">
        <v>630</v>
      </c>
      <c r="D1368">
        <v>18.1246</v>
      </c>
      <c r="E1368">
        <v>20.3389</v>
      </c>
      <c r="F1368" s="2" t="s">
        <v>635</v>
      </c>
      <c r="G1368">
        <f ca="1" t="shared" si="63"/>
        <v>1.80374662507957</v>
      </c>
      <c r="H1368" t="str">
        <f ca="1" t="shared" si="64"/>
        <v>Risk-On</v>
      </c>
      <c r="I1368">
        <f ca="1" t="shared" si="65"/>
        <v>1</v>
      </c>
      <c r="J1368">
        <f>_xlfn.XLOOKUP($A1368,[1]Sheet1!$B$9:$B$2584,[1]Sheet1!$C$9:$C$2584,"N/A",0)</f>
        <v>108.41</v>
      </c>
      <c r="K1368">
        <f>_xlfn.XLOOKUP($A1368,[1]Sheet1!$E$9:$E$2584,[1]Sheet1!$F$9:$F$2584,"N/A",0)</f>
        <v>126.1</v>
      </c>
      <c r="L1368">
        <f>_xlfn.XLOOKUP($A1368,[1]Sheet1!$H$9:$H$2584,[1]Sheet1!$I$9:$I$2584,"N/A",0)</f>
        <v>70.87</v>
      </c>
      <c r="M1368">
        <f>_xlfn.XLOOKUP($A1368,[1]Sheet1!$K$9:$K$2584,[1]Sheet1!$L$9:$L$2584,"N/A",0)</f>
        <v>133.22</v>
      </c>
      <c r="N1368">
        <f>_xlfn.XLOOKUP($A1368,[1]Sheet1!$N$9:$N$2584,[1]Sheet1!$O$9:$O$2584,"N/A",0)</f>
        <v>97.06</v>
      </c>
      <c r="O1368">
        <v>108.41</v>
      </c>
      <c r="P1368">
        <v>126.1</v>
      </c>
      <c r="Q1368">
        <v>70.87</v>
      </c>
      <c r="R1368">
        <v>97.06</v>
      </c>
      <c r="S1368">
        <v>133.22</v>
      </c>
    </row>
    <row r="1369" spans="1:19">
      <c r="A1369" s="1">
        <v>44354</v>
      </c>
      <c r="B1369" t="s">
        <v>622</v>
      </c>
      <c r="C1369" t="s">
        <v>630</v>
      </c>
      <c r="D1369">
        <v>17.6359</v>
      </c>
      <c r="E1369">
        <v>20.0021</v>
      </c>
      <c r="F1369" s="2" t="s">
        <v>636</v>
      </c>
      <c r="G1369">
        <f ca="1" t="shared" si="63"/>
        <v>2.13500454536626</v>
      </c>
      <c r="H1369" t="str">
        <f ca="1" t="shared" si="64"/>
        <v>Risk-On</v>
      </c>
      <c r="I1369">
        <f ca="1" t="shared" si="65"/>
        <v>1</v>
      </c>
      <c r="J1369">
        <f>_xlfn.XLOOKUP($A1369,[1]Sheet1!$B$9:$B$2584,[1]Sheet1!$C$9:$C$2584,"N/A",0)</f>
        <v>108.06</v>
      </c>
      <c r="K1369">
        <f>_xlfn.XLOOKUP($A1369,[1]Sheet1!$E$9:$E$2584,[1]Sheet1!$F$9:$F$2584,"N/A",0)</f>
        <v>126.59</v>
      </c>
      <c r="L1369">
        <f>_xlfn.XLOOKUP($A1369,[1]Sheet1!$H$9:$H$2584,[1]Sheet1!$I$9:$I$2584,"N/A",0)</f>
        <v>70.56</v>
      </c>
      <c r="M1369">
        <f>_xlfn.XLOOKUP($A1369,[1]Sheet1!$K$9:$K$2584,[1]Sheet1!$L$9:$L$2584,"N/A",0)</f>
        <v>132.81</v>
      </c>
      <c r="N1369">
        <f>_xlfn.XLOOKUP($A1369,[1]Sheet1!$N$9:$N$2584,[1]Sheet1!$O$9:$O$2584,"N/A",0)</f>
        <v>95.7</v>
      </c>
      <c r="O1369">
        <v>108.06</v>
      </c>
      <c r="P1369">
        <v>126.59</v>
      </c>
      <c r="Q1369">
        <v>70.56</v>
      </c>
      <c r="R1369">
        <v>95.7</v>
      </c>
      <c r="S1369">
        <v>132.81</v>
      </c>
    </row>
    <row r="1370" spans="1:19">
      <c r="A1370" s="1">
        <v>44355</v>
      </c>
      <c r="B1370" t="s">
        <v>622</v>
      </c>
      <c r="C1370" t="s">
        <v>630</v>
      </c>
      <c r="D1370">
        <v>17.9012</v>
      </c>
      <c r="E1370">
        <v>20.2319</v>
      </c>
      <c r="F1370" s="2" t="s">
        <v>637</v>
      </c>
      <c r="G1370">
        <f ca="1" t="shared" si="63"/>
        <v>2.0224473159255</v>
      </c>
      <c r="H1370" t="str">
        <f ca="1" t="shared" si="64"/>
        <v>Risk-On</v>
      </c>
      <c r="I1370">
        <f ca="1" t="shared" si="65"/>
        <v>1</v>
      </c>
      <c r="J1370">
        <f>_xlfn.XLOOKUP($A1370,[1]Sheet1!$B$9:$B$2584,[1]Sheet1!$C$9:$C$2584,"N/A",0)</f>
        <v>108.08</v>
      </c>
      <c r="K1370">
        <f>_xlfn.XLOOKUP($A1370,[1]Sheet1!$E$9:$E$2584,[1]Sheet1!$F$9:$F$2584,"N/A",0)</f>
        <v>126.67</v>
      </c>
      <c r="L1370">
        <f>_xlfn.XLOOKUP($A1370,[1]Sheet1!$H$9:$H$2584,[1]Sheet1!$I$9:$I$2584,"N/A",0)</f>
        <v>70.28</v>
      </c>
      <c r="M1370">
        <f>_xlfn.XLOOKUP($A1370,[1]Sheet1!$K$9:$K$2584,[1]Sheet1!$L$9:$L$2584,"N/A",0)</f>
        <v>133.05</v>
      </c>
      <c r="N1370">
        <f>_xlfn.XLOOKUP($A1370,[1]Sheet1!$N$9:$N$2584,[1]Sheet1!$O$9:$O$2584,"N/A",0)</f>
        <v>94.65</v>
      </c>
      <c r="O1370">
        <v>108.08</v>
      </c>
      <c r="P1370">
        <v>126.67</v>
      </c>
      <c r="Q1370">
        <v>70.28</v>
      </c>
      <c r="R1370">
        <v>94.65</v>
      </c>
      <c r="S1370">
        <v>133.05</v>
      </c>
    </row>
    <row r="1371" spans="1:19">
      <c r="A1371" s="1">
        <v>44356</v>
      </c>
      <c r="B1371" t="s">
        <v>622</v>
      </c>
      <c r="C1371" t="s">
        <v>630</v>
      </c>
      <c r="D1371">
        <v>18.3797</v>
      </c>
      <c r="E1371">
        <v>20.4981</v>
      </c>
      <c r="F1371" s="2" t="s">
        <v>638</v>
      </c>
      <c r="G1371">
        <f ca="1" t="shared" si="63"/>
        <v>1.60806259914155</v>
      </c>
      <c r="H1371" t="str">
        <f ca="1" t="shared" si="64"/>
        <v>Risk-On</v>
      </c>
      <c r="I1371">
        <f ca="1" t="shared" si="65"/>
        <v>1</v>
      </c>
      <c r="J1371">
        <f>_xlfn.XLOOKUP($A1371,[1]Sheet1!$B$9:$B$2584,[1]Sheet1!$C$9:$C$2584,"N/A",0)</f>
        <v>107.81</v>
      </c>
      <c r="K1371">
        <f>_xlfn.XLOOKUP($A1371,[1]Sheet1!$E$9:$E$2584,[1]Sheet1!$F$9:$F$2584,"N/A",0)</f>
        <v>126.01</v>
      </c>
      <c r="L1371">
        <f>_xlfn.XLOOKUP($A1371,[1]Sheet1!$H$9:$H$2584,[1]Sheet1!$I$9:$I$2584,"N/A",0)</f>
        <v>70.21</v>
      </c>
      <c r="M1371">
        <f>_xlfn.XLOOKUP($A1371,[1]Sheet1!$K$9:$K$2584,[1]Sheet1!$L$9:$L$2584,"N/A",0)</f>
        <v>133.18</v>
      </c>
      <c r="N1371">
        <f>_xlfn.XLOOKUP($A1371,[1]Sheet1!$N$9:$N$2584,[1]Sheet1!$O$9:$O$2584,"N/A",0)</f>
        <v>94.59</v>
      </c>
      <c r="O1371">
        <v>107.81</v>
      </c>
      <c r="P1371">
        <v>126.01</v>
      </c>
      <c r="Q1371">
        <v>70.21</v>
      </c>
      <c r="R1371">
        <v>94.59</v>
      </c>
      <c r="S1371">
        <v>133.18</v>
      </c>
    </row>
    <row r="1372" spans="1:19">
      <c r="A1372" s="1">
        <v>44357</v>
      </c>
      <c r="B1372" t="s">
        <v>622</v>
      </c>
      <c r="C1372" t="s">
        <v>630</v>
      </c>
      <c r="D1372">
        <v>16.9031</v>
      </c>
      <c r="E1372">
        <v>19.443</v>
      </c>
      <c r="F1372" s="2" t="s">
        <v>639</v>
      </c>
      <c r="G1372">
        <f ca="1" t="shared" si="63"/>
        <v>2.568270242323</v>
      </c>
      <c r="H1372" t="str">
        <f ca="1" t="shared" si="64"/>
        <v>Risk-On</v>
      </c>
      <c r="I1372">
        <f ca="1" t="shared" si="65"/>
        <v>1</v>
      </c>
      <c r="J1372">
        <f>_xlfn.XLOOKUP($A1372,[1]Sheet1!$B$9:$B$2584,[1]Sheet1!$C$9:$C$2584,"N/A",0)</f>
        <v>107.59</v>
      </c>
      <c r="K1372">
        <f>_xlfn.XLOOKUP($A1372,[1]Sheet1!$E$9:$E$2584,[1]Sheet1!$F$9:$F$2584,"N/A",0)</f>
        <v>124.59</v>
      </c>
      <c r="L1372">
        <f>_xlfn.XLOOKUP($A1372,[1]Sheet1!$H$9:$H$2584,[1]Sheet1!$I$9:$I$2584,"N/A",0)</f>
        <v>70.1</v>
      </c>
      <c r="M1372">
        <f>_xlfn.XLOOKUP($A1372,[1]Sheet1!$K$9:$K$2584,[1]Sheet1!$L$9:$L$2584,"N/A",0)</f>
        <v>133.4</v>
      </c>
      <c r="N1372">
        <f>_xlfn.XLOOKUP($A1372,[1]Sheet1!$N$9:$N$2584,[1]Sheet1!$O$9:$O$2584,"N/A",0)</f>
        <v>95.36</v>
      </c>
      <c r="O1372">
        <v>107.59</v>
      </c>
      <c r="P1372">
        <v>124.59</v>
      </c>
      <c r="Q1372">
        <v>70.1</v>
      </c>
      <c r="R1372">
        <v>95.36</v>
      </c>
      <c r="S1372">
        <v>133.4</v>
      </c>
    </row>
    <row r="1373" spans="1:19">
      <c r="A1373" s="1">
        <v>44358</v>
      </c>
      <c r="B1373" t="s">
        <v>622</v>
      </c>
      <c r="C1373" t="s">
        <v>630</v>
      </c>
      <c r="D1373">
        <v>16.5505</v>
      </c>
      <c r="E1373">
        <v>18.8501</v>
      </c>
      <c r="F1373" s="2" t="s">
        <v>640</v>
      </c>
      <c r="G1373">
        <f ca="1" t="shared" si="63"/>
        <v>2.24946668771694</v>
      </c>
      <c r="H1373" t="str">
        <f ca="1" t="shared" si="64"/>
        <v>Risk-On</v>
      </c>
      <c r="I1373">
        <f ca="1" t="shared" si="65"/>
        <v>1</v>
      </c>
      <c r="J1373">
        <f>_xlfn.XLOOKUP($A1373,[1]Sheet1!$B$9:$B$2584,[1]Sheet1!$C$9:$C$2584,"N/A",0)</f>
        <v>107.82</v>
      </c>
      <c r="K1373">
        <f>_xlfn.XLOOKUP($A1373,[1]Sheet1!$E$9:$E$2584,[1]Sheet1!$F$9:$F$2584,"N/A",0)</f>
        <v>124.98</v>
      </c>
      <c r="L1373">
        <f>_xlfn.XLOOKUP($A1373,[1]Sheet1!$H$9:$H$2584,[1]Sheet1!$I$9:$I$2584,"N/A",0)</f>
        <v>69.7</v>
      </c>
      <c r="M1373">
        <f>_xlfn.XLOOKUP($A1373,[1]Sheet1!$K$9:$K$2584,[1]Sheet1!$L$9:$L$2584,"N/A",0)</f>
        <v>133.68</v>
      </c>
      <c r="N1373">
        <f>_xlfn.XLOOKUP($A1373,[1]Sheet1!$N$9:$N$2584,[1]Sheet1!$O$9:$O$2584,"N/A",0)</f>
        <v>94.74</v>
      </c>
      <c r="O1373">
        <v>107.82</v>
      </c>
      <c r="P1373">
        <v>124.98</v>
      </c>
      <c r="Q1373">
        <v>69.7</v>
      </c>
      <c r="R1373">
        <v>94.74</v>
      </c>
      <c r="S1373">
        <v>133.68</v>
      </c>
    </row>
    <row r="1374" spans="1:19">
      <c r="A1374" s="1">
        <v>44361</v>
      </c>
      <c r="B1374" t="s">
        <v>622</v>
      </c>
      <c r="C1374" t="s">
        <v>630</v>
      </c>
      <c r="D1374">
        <v>16.4514</v>
      </c>
      <c r="E1374">
        <v>19.0759</v>
      </c>
      <c r="F1374" s="2" t="s">
        <v>641</v>
      </c>
      <c r="G1374">
        <f ca="1" t="shared" si="63"/>
        <v>2.83616668359689</v>
      </c>
      <c r="H1374" t="str">
        <f ca="1" t="shared" si="64"/>
        <v>Risk-On</v>
      </c>
      <c r="I1374">
        <f ca="1" t="shared" si="65"/>
        <v>1</v>
      </c>
      <c r="J1374">
        <f>_xlfn.XLOOKUP($A1374,[1]Sheet1!$B$9:$B$2584,[1]Sheet1!$C$9:$C$2584,"N/A",0)</f>
        <v>108.33</v>
      </c>
      <c r="K1374">
        <f>_xlfn.XLOOKUP($A1374,[1]Sheet1!$E$9:$E$2584,[1]Sheet1!$F$9:$F$2584,"N/A",0)</f>
        <v>123.86</v>
      </c>
      <c r="L1374">
        <f>_xlfn.XLOOKUP($A1374,[1]Sheet1!$H$9:$H$2584,[1]Sheet1!$I$9:$I$2584,"N/A",0)</f>
        <v>69.38</v>
      </c>
      <c r="M1374">
        <f>_xlfn.XLOOKUP($A1374,[1]Sheet1!$K$9:$K$2584,[1]Sheet1!$L$9:$L$2584,"N/A",0)</f>
        <v>134.32</v>
      </c>
      <c r="N1374">
        <f>_xlfn.XLOOKUP($A1374,[1]Sheet1!$N$9:$N$2584,[1]Sheet1!$O$9:$O$2584,"N/A",0)</f>
        <v>94.95</v>
      </c>
      <c r="O1374">
        <v>108.33</v>
      </c>
      <c r="P1374">
        <v>123.86</v>
      </c>
      <c r="Q1374">
        <v>69.38</v>
      </c>
      <c r="R1374">
        <v>94.95</v>
      </c>
      <c r="S1374">
        <v>134.32</v>
      </c>
    </row>
    <row r="1375" spans="1:19">
      <c r="A1375" s="1">
        <v>44362</v>
      </c>
      <c r="B1375" t="s">
        <v>622</v>
      </c>
      <c r="C1375" t="s">
        <v>630</v>
      </c>
      <c r="D1375">
        <v>17.1014</v>
      </c>
      <c r="E1375">
        <v>19.5645</v>
      </c>
      <c r="F1375" s="2" t="s">
        <v>642</v>
      </c>
      <c r="G1375">
        <f ca="1" t="shared" si="63"/>
        <v>2.41206831086029</v>
      </c>
      <c r="H1375" t="str">
        <f ca="1" t="shared" si="64"/>
        <v>Risk-On</v>
      </c>
      <c r="I1375">
        <f ca="1" t="shared" si="65"/>
        <v>1</v>
      </c>
      <c r="J1375">
        <f>_xlfn.XLOOKUP($A1375,[1]Sheet1!$B$9:$B$2584,[1]Sheet1!$C$9:$C$2584,"N/A",0)</f>
        <v>108.36</v>
      </c>
      <c r="K1375">
        <f>_xlfn.XLOOKUP($A1375,[1]Sheet1!$E$9:$E$2584,[1]Sheet1!$F$9:$F$2584,"N/A",0)</f>
        <v>123.71</v>
      </c>
      <c r="L1375">
        <f>_xlfn.XLOOKUP($A1375,[1]Sheet1!$H$9:$H$2584,[1]Sheet1!$I$9:$I$2584,"N/A",0)</f>
        <v>69.21</v>
      </c>
      <c r="M1375">
        <f>_xlfn.XLOOKUP($A1375,[1]Sheet1!$K$9:$K$2584,[1]Sheet1!$L$9:$L$2584,"N/A",0)</f>
        <v>134.9</v>
      </c>
      <c r="N1375">
        <f>_xlfn.XLOOKUP($A1375,[1]Sheet1!$N$9:$N$2584,[1]Sheet1!$O$9:$O$2584,"N/A",0)</f>
        <v>95.21</v>
      </c>
      <c r="O1375">
        <v>108.36</v>
      </c>
      <c r="P1375">
        <v>123.71</v>
      </c>
      <c r="Q1375">
        <v>69.21</v>
      </c>
      <c r="R1375">
        <v>95.21</v>
      </c>
      <c r="S1375">
        <v>134.9</v>
      </c>
    </row>
    <row r="1376" spans="1:19">
      <c r="A1376" s="1">
        <v>44363</v>
      </c>
      <c r="B1376" t="s">
        <v>622</v>
      </c>
      <c r="C1376" t="s">
        <v>630</v>
      </c>
      <c r="D1376">
        <v>16.38</v>
      </c>
      <c r="E1376">
        <v>19.623</v>
      </c>
      <c r="F1376" s="2" t="s">
        <v>643</v>
      </c>
      <c r="G1376">
        <f ca="1" t="shared" si="63"/>
        <v>3.92778637730286</v>
      </c>
      <c r="H1376" t="str">
        <f ca="1" t="shared" si="64"/>
        <v>Risk-Off</v>
      </c>
      <c r="I1376">
        <f ca="1" t="shared" si="65"/>
        <v>1</v>
      </c>
      <c r="J1376">
        <f>_xlfn.XLOOKUP($A1376,[1]Sheet1!$B$9:$B$2584,[1]Sheet1!$C$9:$C$2584,"N/A",0)</f>
        <v>108.04</v>
      </c>
      <c r="K1376">
        <f>_xlfn.XLOOKUP($A1376,[1]Sheet1!$E$9:$E$2584,[1]Sheet1!$F$9:$F$2584,"N/A",0)</f>
        <v>124.06</v>
      </c>
      <c r="L1376">
        <f>_xlfn.XLOOKUP($A1376,[1]Sheet1!$H$9:$H$2584,[1]Sheet1!$I$9:$I$2584,"N/A",0)</f>
        <v>69.19</v>
      </c>
      <c r="M1376">
        <f>_xlfn.XLOOKUP($A1376,[1]Sheet1!$K$9:$K$2584,[1]Sheet1!$L$9:$L$2584,"N/A",0)</f>
        <v>134.76</v>
      </c>
      <c r="N1376">
        <f>_xlfn.XLOOKUP($A1376,[1]Sheet1!$N$9:$N$2584,[1]Sheet1!$O$9:$O$2584,"N/A",0)</f>
        <v>94.72</v>
      </c>
      <c r="O1376">
        <v>108.04</v>
      </c>
      <c r="P1376">
        <v>124.06</v>
      </c>
      <c r="Q1376">
        <v>69.19</v>
      </c>
      <c r="R1376">
        <v>94.72</v>
      </c>
      <c r="S1376">
        <v>134.76</v>
      </c>
    </row>
    <row r="1377" spans="1:19">
      <c r="A1377" s="1">
        <v>44364</v>
      </c>
      <c r="B1377" t="s">
        <v>630</v>
      </c>
      <c r="C1377" t="s">
        <v>644</v>
      </c>
      <c r="D1377">
        <v>19.5146</v>
      </c>
      <c r="E1377">
        <v>20.9062</v>
      </c>
      <c r="F1377">
        <v>0.0713107109548746</v>
      </c>
      <c r="G1377">
        <f ca="1" t="shared" si="63"/>
        <v>0.361130499389492</v>
      </c>
      <c r="H1377" t="str">
        <f ca="1" t="shared" si="64"/>
        <v>Risk-Off</v>
      </c>
      <c r="I1377">
        <f ca="1" t="shared" si="65"/>
        <v>1</v>
      </c>
      <c r="J1377">
        <f>_xlfn.XLOOKUP($A1377,[1]Sheet1!$B$9:$B$2584,[1]Sheet1!$C$9:$C$2584,"N/A",0)</f>
        <v>107.7</v>
      </c>
      <c r="K1377">
        <f>_xlfn.XLOOKUP($A1377,[1]Sheet1!$E$9:$E$2584,[1]Sheet1!$F$9:$F$2584,"N/A",0)</f>
        <v>122.94</v>
      </c>
      <c r="L1377">
        <f>_xlfn.XLOOKUP($A1377,[1]Sheet1!$H$9:$H$2584,[1]Sheet1!$I$9:$I$2584,"N/A",0)</f>
        <v>68.16</v>
      </c>
      <c r="M1377">
        <f>_xlfn.XLOOKUP($A1377,[1]Sheet1!$K$9:$K$2584,[1]Sheet1!$L$9:$L$2584,"N/A",0)</f>
        <v>135.97</v>
      </c>
      <c r="N1377">
        <f>_xlfn.XLOOKUP($A1377,[1]Sheet1!$N$9:$N$2584,[1]Sheet1!$O$9:$O$2584,"N/A",0)</f>
        <v>95.11</v>
      </c>
      <c r="O1377">
        <v>107.7</v>
      </c>
      <c r="P1377">
        <v>122.94</v>
      </c>
      <c r="Q1377">
        <v>68.16</v>
      </c>
      <c r="R1377">
        <v>95.11</v>
      </c>
      <c r="S1377">
        <v>135.97</v>
      </c>
    </row>
    <row r="1378" spans="1:19">
      <c r="A1378" s="1">
        <v>44365</v>
      </c>
      <c r="B1378" t="s">
        <v>630</v>
      </c>
      <c r="C1378" t="s">
        <v>644</v>
      </c>
      <c r="D1378">
        <v>21.339</v>
      </c>
      <c r="E1378">
        <v>22.2601</v>
      </c>
      <c r="F1378">
        <v>0.0431650967711702</v>
      </c>
      <c r="G1378">
        <f ca="1" t="shared" si="63"/>
        <v>-0.446854105724842</v>
      </c>
      <c r="H1378" t="str">
        <f ca="1" t="shared" si="64"/>
        <v>Risk-Off</v>
      </c>
      <c r="I1378">
        <f ca="1" t="shared" si="65"/>
        <v>1</v>
      </c>
      <c r="J1378">
        <f>_xlfn.XLOOKUP($A1378,[1]Sheet1!$B$9:$B$2584,[1]Sheet1!$C$9:$C$2584,"N/A",0)</f>
        <v>107.82</v>
      </c>
      <c r="K1378">
        <f>_xlfn.XLOOKUP($A1378,[1]Sheet1!$E$9:$E$2584,[1]Sheet1!$F$9:$F$2584,"N/A",0)</f>
        <v>122.52</v>
      </c>
      <c r="L1378">
        <f>_xlfn.XLOOKUP($A1378,[1]Sheet1!$H$9:$H$2584,[1]Sheet1!$I$9:$I$2584,"N/A",0)</f>
        <v>67.86</v>
      </c>
      <c r="M1378">
        <f>_xlfn.XLOOKUP($A1378,[1]Sheet1!$K$9:$K$2584,[1]Sheet1!$L$9:$L$2584,"N/A",0)</f>
        <v>136.43</v>
      </c>
      <c r="N1378">
        <f>_xlfn.XLOOKUP($A1378,[1]Sheet1!$N$9:$N$2584,[1]Sheet1!$O$9:$O$2584,"N/A",0)</f>
        <v>95.4</v>
      </c>
      <c r="O1378">
        <v>107.82</v>
      </c>
      <c r="P1378">
        <v>122.52</v>
      </c>
      <c r="Q1378">
        <v>67.86</v>
      </c>
      <c r="R1378">
        <v>95.4</v>
      </c>
      <c r="S1378">
        <v>136.43</v>
      </c>
    </row>
    <row r="1379" spans="1:19">
      <c r="A1379" s="1">
        <v>44368</v>
      </c>
      <c r="B1379" t="s">
        <v>630</v>
      </c>
      <c r="C1379" t="s">
        <v>644</v>
      </c>
      <c r="D1379">
        <v>19.9159</v>
      </c>
      <c r="E1379">
        <v>21.1897</v>
      </c>
      <c r="F1379">
        <v>0.0639589473737063</v>
      </c>
      <c r="G1379">
        <f ca="1" t="shared" si="63"/>
        <v>0.134457862052101</v>
      </c>
      <c r="H1379" t="str">
        <f ca="1" t="shared" si="64"/>
        <v>Risk-Off</v>
      </c>
      <c r="I1379">
        <f ca="1" t="shared" si="65"/>
        <v>1</v>
      </c>
      <c r="J1379">
        <f>_xlfn.XLOOKUP($A1379,[1]Sheet1!$B$9:$B$2584,[1]Sheet1!$C$9:$C$2584,"N/A",0)</f>
        <v>107.79</v>
      </c>
      <c r="K1379">
        <f>_xlfn.XLOOKUP($A1379,[1]Sheet1!$E$9:$E$2584,[1]Sheet1!$F$9:$F$2584,"N/A",0)</f>
        <v>123.26</v>
      </c>
      <c r="L1379">
        <f>_xlfn.XLOOKUP($A1379,[1]Sheet1!$H$9:$H$2584,[1]Sheet1!$I$9:$I$2584,"N/A",0)</f>
        <v>67.63</v>
      </c>
      <c r="M1379">
        <f>_xlfn.XLOOKUP($A1379,[1]Sheet1!$K$9:$K$2584,[1]Sheet1!$L$9:$L$2584,"N/A",0)</f>
        <v>136.6</v>
      </c>
      <c r="N1379">
        <f>_xlfn.XLOOKUP($A1379,[1]Sheet1!$N$9:$N$2584,[1]Sheet1!$O$9:$O$2584,"N/A",0)</f>
        <v>95.15</v>
      </c>
      <c r="O1379">
        <v>107.79</v>
      </c>
      <c r="P1379">
        <v>123.26</v>
      </c>
      <c r="Q1379">
        <v>67.63</v>
      </c>
      <c r="R1379">
        <v>95.15</v>
      </c>
      <c r="S1379">
        <v>136.6</v>
      </c>
    </row>
    <row r="1380" spans="1:19">
      <c r="A1380" s="1">
        <v>44369</v>
      </c>
      <c r="B1380" t="s">
        <v>630</v>
      </c>
      <c r="C1380" t="s">
        <v>644</v>
      </c>
      <c r="D1380">
        <v>18.8265</v>
      </c>
      <c r="E1380">
        <v>20.5299</v>
      </c>
      <c r="F1380">
        <v>0.0904788463070672</v>
      </c>
      <c r="G1380">
        <f ca="1" t="shared" si="63"/>
        <v>0.893395118208029</v>
      </c>
      <c r="H1380" t="str">
        <f ca="1" t="shared" si="64"/>
        <v>Risk-Off</v>
      </c>
      <c r="I1380">
        <f ca="1" t="shared" si="65"/>
        <v>1</v>
      </c>
      <c r="J1380">
        <f>_xlfn.XLOOKUP($A1380,[1]Sheet1!$B$9:$B$2584,[1]Sheet1!$C$9:$C$2584,"N/A",0)</f>
        <v>107.59</v>
      </c>
      <c r="K1380">
        <f>_xlfn.XLOOKUP($A1380,[1]Sheet1!$E$9:$E$2584,[1]Sheet1!$F$9:$F$2584,"N/A",0)</f>
        <v>123.63</v>
      </c>
      <c r="L1380">
        <f>_xlfn.XLOOKUP($A1380,[1]Sheet1!$H$9:$H$2584,[1]Sheet1!$I$9:$I$2584,"N/A",0)</f>
        <v>67.28</v>
      </c>
      <c r="M1380">
        <f>_xlfn.XLOOKUP($A1380,[1]Sheet1!$K$9:$K$2584,[1]Sheet1!$L$9:$L$2584,"N/A",0)</f>
        <v>136.96</v>
      </c>
      <c r="N1380">
        <f>_xlfn.XLOOKUP($A1380,[1]Sheet1!$N$9:$N$2584,[1]Sheet1!$O$9:$O$2584,"N/A",0)</f>
        <v>95.25</v>
      </c>
      <c r="O1380">
        <v>107.59</v>
      </c>
      <c r="P1380">
        <v>123.63</v>
      </c>
      <c r="Q1380">
        <v>67.28</v>
      </c>
      <c r="R1380">
        <v>95.25</v>
      </c>
      <c r="S1380">
        <v>136.96</v>
      </c>
    </row>
    <row r="1381" spans="1:19">
      <c r="A1381" s="1">
        <v>44370</v>
      </c>
      <c r="B1381" t="s">
        <v>630</v>
      </c>
      <c r="C1381" t="s">
        <v>644</v>
      </c>
      <c r="D1381">
        <v>18.4413</v>
      </c>
      <c r="E1381">
        <v>20.1918</v>
      </c>
      <c r="F1381">
        <v>0.0949228091295083</v>
      </c>
      <c r="G1381">
        <f ca="1" t="shared" si="63"/>
        <v>1.01252227355156</v>
      </c>
      <c r="H1381" t="str">
        <f ca="1" t="shared" si="64"/>
        <v>Risk-Off</v>
      </c>
      <c r="I1381">
        <f ca="1" t="shared" si="65"/>
        <v>1</v>
      </c>
      <c r="J1381">
        <f>_xlfn.XLOOKUP($A1381,[1]Sheet1!$B$9:$B$2584,[1]Sheet1!$C$9:$C$2584,"N/A",0)</f>
        <v>107.96</v>
      </c>
      <c r="K1381">
        <f>_xlfn.XLOOKUP($A1381,[1]Sheet1!$E$9:$E$2584,[1]Sheet1!$F$9:$F$2584,"N/A",0)</f>
        <v>124.67</v>
      </c>
      <c r="L1381">
        <f>_xlfn.XLOOKUP($A1381,[1]Sheet1!$H$9:$H$2584,[1]Sheet1!$I$9:$I$2584,"N/A",0)</f>
        <v>67.46</v>
      </c>
      <c r="M1381">
        <f>_xlfn.XLOOKUP($A1381,[1]Sheet1!$K$9:$K$2584,[1]Sheet1!$L$9:$L$2584,"N/A",0)</f>
        <v>136.56</v>
      </c>
      <c r="N1381">
        <f>_xlfn.XLOOKUP($A1381,[1]Sheet1!$N$9:$N$2584,[1]Sheet1!$O$9:$O$2584,"N/A",0)</f>
        <v>94.94</v>
      </c>
      <c r="O1381">
        <v>107.96</v>
      </c>
      <c r="P1381">
        <v>124.67</v>
      </c>
      <c r="Q1381">
        <v>67.46</v>
      </c>
      <c r="R1381">
        <v>94.94</v>
      </c>
      <c r="S1381">
        <v>136.56</v>
      </c>
    </row>
    <row r="1382" spans="1:19">
      <c r="A1382" s="1">
        <v>44371</v>
      </c>
      <c r="B1382" t="s">
        <v>630</v>
      </c>
      <c r="C1382" t="s">
        <v>644</v>
      </c>
      <c r="D1382">
        <v>18.167</v>
      </c>
      <c r="E1382">
        <v>19.853</v>
      </c>
      <c r="F1382">
        <v>0.0928056365938239</v>
      </c>
      <c r="G1382">
        <f ca="1" t="shared" si="63"/>
        <v>0.93826977360612</v>
      </c>
      <c r="H1382" t="str">
        <f ca="1" t="shared" si="64"/>
        <v>Risk-Off</v>
      </c>
      <c r="I1382">
        <f ca="1" t="shared" si="65"/>
        <v>1</v>
      </c>
      <c r="J1382">
        <f>_xlfn.XLOOKUP($A1382,[1]Sheet1!$B$9:$B$2584,[1]Sheet1!$C$9:$C$2584,"N/A",0)</f>
        <v>107.92</v>
      </c>
      <c r="K1382">
        <f>_xlfn.XLOOKUP($A1382,[1]Sheet1!$E$9:$E$2584,[1]Sheet1!$F$9:$F$2584,"N/A",0)</f>
        <v>124.47</v>
      </c>
      <c r="L1382">
        <f>_xlfn.XLOOKUP($A1382,[1]Sheet1!$H$9:$H$2584,[1]Sheet1!$I$9:$I$2584,"N/A",0)</f>
        <v>67.36</v>
      </c>
      <c r="M1382">
        <f>_xlfn.XLOOKUP($A1382,[1]Sheet1!$K$9:$K$2584,[1]Sheet1!$L$9:$L$2584,"N/A",0)</f>
        <v>136.46</v>
      </c>
      <c r="N1382">
        <f>_xlfn.XLOOKUP($A1382,[1]Sheet1!$N$9:$N$2584,[1]Sheet1!$O$9:$O$2584,"N/A",0)</f>
        <v>94.46</v>
      </c>
      <c r="O1382">
        <v>107.92</v>
      </c>
      <c r="P1382">
        <v>124.47</v>
      </c>
      <c r="Q1382">
        <v>67.36</v>
      </c>
      <c r="R1382">
        <v>94.46</v>
      </c>
      <c r="S1382">
        <v>136.46</v>
      </c>
    </row>
    <row r="1383" spans="1:19">
      <c r="A1383" s="1">
        <v>44372</v>
      </c>
      <c r="B1383" t="s">
        <v>630</v>
      </c>
      <c r="C1383" t="s">
        <v>644</v>
      </c>
      <c r="D1383">
        <v>17.7017</v>
      </c>
      <c r="E1383">
        <v>19.6252</v>
      </c>
      <c r="F1383" s="2" t="s">
        <v>645</v>
      </c>
      <c r="G1383">
        <f ca="1" t="shared" si="63"/>
        <v>1.40126268185959</v>
      </c>
      <c r="H1383" t="str">
        <f ca="1" t="shared" si="64"/>
        <v>Risk-Off</v>
      </c>
      <c r="I1383">
        <f ca="1" t="shared" si="65"/>
        <v>1</v>
      </c>
      <c r="J1383">
        <f>_xlfn.XLOOKUP($A1383,[1]Sheet1!$B$9:$B$2584,[1]Sheet1!$C$9:$C$2584,"N/A",0)</f>
        <v>108.14</v>
      </c>
      <c r="K1383">
        <f>_xlfn.XLOOKUP($A1383,[1]Sheet1!$E$9:$E$2584,[1]Sheet1!$F$9:$F$2584,"N/A",0)</f>
        <v>124.04</v>
      </c>
      <c r="L1383">
        <f>_xlfn.XLOOKUP($A1383,[1]Sheet1!$H$9:$H$2584,[1]Sheet1!$I$9:$I$2584,"N/A",0)</f>
        <v>67.45</v>
      </c>
      <c r="M1383">
        <f>_xlfn.XLOOKUP($A1383,[1]Sheet1!$K$9:$K$2584,[1]Sheet1!$L$9:$L$2584,"N/A",0)</f>
        <v>136.23</v>
      </c>
      <c r="N1383">
        <f>_xlfn.XLOOKUP($A1383,[1]Sheet1!$N$9:$N$2584,[1]Sheet1!$O$9:$O$2584,"N/A",0)</f>
        <v>94.66</v>
      </c>
      <c r="O1383">
        <v>108.14</v>
      </c>
      <c r="P1383">
        <v>124.04</v>
      </c>
      <c r="Q1383">
        <v>67.45</v>
      </c>
      <c r="R1383">
        <v>94.66</v>
      </c>
      <c r="S1383">
        <v>136.23</v>
      </c>
    </row>
    <row r="1384" spans="1:19">
      <c r="A1384" s="1">
        <v>44375</v>
      </c>
      <c r="B1384" t="s">
        <v>630</v>
      </c>
      <c r="C1384" t="s">
        <v>644</v>
      </c>
      <c r="D1384">
        <v>17.7213</v>
      </c>
      <c r="E1384">
        <v>19.516</v>
      </c>
      <c r="F1384" s="2" t="s">
        <v>646</v>
      </c>
      <c r="G1384">
        <f ca="1" t="shared" si="63"/>
        <v>1.17671160851367</v>
      </c>
      <c r="H1384" t="str">
        <f ca="1" t="shared" si="64"/>
        <v>Risk-Off</v>
      </c>
      <c r="I1384">
        <f ca="1" t="shared" si="65"/>
        <v>1</v>
      </c>
      <c r="J1384">
        <f>_xlfn.XLOOKUP($A1384,[1]Sheet1!$B$9:$B$2584,[1]Sheet1!$C$9:$C$2584,"N/A",0)</f>
        <v>108.17</v>
      </c>
      <c r="K1384">
        <f>_xlfn.XLOOKUP($A1384,[1]Sheet1!$E$9:$E$2584,[1]Sheet1!$F$9:$F$2584,"N/A",0)</f>
        <v>124.72</v>
      </c>
      <c r="L1384">
        <f>_xlfn.XLOOKUP($A1384,[1]Sheet1!$H$9:$H$2584,[1]Sheet1!$I$9:$I$2584,"N/A",0)</f>
        <v>67.53</v>
      </c>
      <c r="M1384">
        <f>_xlfn.XLOOKUP($A1384,[1]Sheet1!$K$9:$K$2584,[1]Sheet1!$L$9:$L$2584,"N/A",0)</f>
        <v>137.54</v>
      </c>
      <c r="N1384">
        <f>_xlfn.XLOOKUP($A1384,[1]Sheet1!$N$9:$N$2584,[1]Sheet1!$O$9:$O$2584,"N/A",0)</f>
        <v>95</v>
      </c>
      <c r="O1384">
        <v>108.17</v>
      </c>
      <c r="P1384">
        <v>124.72</v>
      </c>
      <c r="Q1384">
        <v>67.53</v>
      </c>
      <c r="R1384">
        <v>95</v>
      </c>
      <c r="S1384">
        <v>137.54</v>
      </c>
    </row>
    <row r="1385" spans="1:19">
      <c r="A1385" s="1">
        <v>44376</v>
      </c>
      <c r="B1385" t="s">
        <v>630</v>
      </c>
      <c r="C1385" t="s">
        <v>644</v>
      </c>
      <c r="D1385">
        <v>18.1278</v>
      </c>
      <c r="E1385">
        <v>19.953</v>
      </c>
      <c r="F1385" s="2" t="s">
        <v>647</v>
      </c>
      <c r="G1385">
        <f ca="1" t="shared" si="63"/>
        <v>1.15661884910369</v>
      </c>
      <c r="H1385" t="str">
        <f ca="1" t="shared" si="64"/>
        <v>Risk-On</v>
      </c>
      <c r="I1385">
        <f ca="1" t="shared" si="65"/>
        <v>1</v>
      </c>
      <c r="J1385">
        <f>_xlfn.XLOOKUP($A1385,[1]Sheet1!$B$9:$B$2584,[1]Sheet1!$C$9:$C$2584,"N/A",0)</f>
        <v>108.46</v>
      </c>
      <c r="K1385">
        <f>_xlfn.XLOOKUP($A1385,[1]Sheet1!$E$9:$E$2584,[1]Sheet1!$F$9:$F$2584,"N/A",0)</f>
        <v>124.92</v>
      </c>
      <c r="L1385">
        <f>_xlfn.XLOOKUP($A1385,[1]Sheet1!$H$9:$H$2584,[1]Sheet1!$I$9:$I$2584,"N/A",0)</f>
        <v>67.41</v>
      </c>
      <c r="M1385">
        <f>_xlfn.XLOOKUP($A1385,[1]Sheet1!$K$9:$K$2584,[1]Sheet1!$L$9:$L$2584,"N/A",0)</f>
        <v>138.12</v>
      </c>
      <c r="N1385">
        <f>_xlfn.XLOOKUP($A1385,[1]Sheet1!$N$9:$N$2584,[1]Sheet1!$O$9:$O$2584,"N/A",0)</f>
        <v>95.54</v>
      </c>
      <c r="O1385">
        <v>108.46</v>
      </c>
      <c r="P1385">
        <v>124.92</v>
      </c>
      <c r="Q1385">
        <v>67.41</v>
      </c>
      <c r="R1385">
        <v>95.54</v>
      </c>
      <c r="S1385">
        <v>138.12</v>
      </c>
    </row>
    <row r="1386" spans="1:19">
      <c r="A1386" s="1">
        <v>44377</v>
      </c>
      <c r="B1386" t="s">
        <v>630</v>
      </c>
      <c r="C1386" t="s">
        <v>644</v>
      </c>
      <c r="D1386">
        <v>17.9033</v>
      </c>
      <c r="E1386">
        <v>19.7487</v>
      </c>
      <c r="F1386" s="2" t="s">
        <v>648</v>
      </c>
      <c r="G1386">
        <f ca="1" t="shared" si="63"/>
        <v>1.22920087594625</v>
      </c>
      <c r="H1386" t="str">
        <f ca="1" t="shared" si="64"/>
        <v>Risk-Off</v>
      </c>
      <c r="I1386">
        <f ca="1" t="shared" si="65"/>
        <v>1</v>
      </c>
      <c r="J1386">
        <f>_xlfn.XLOOKUP($A1386,[1]Sheet1!$B$9:$B$2584,[1]Sheet1!$C$9:$C$2584,"N/A",0)</f>
        <v>108.62</v>
      </c>
      <c r="K1386">
        <f>_xlfn.XLOOKUP($A1386,[1]Sheet1!$E$9:$E$2584,[1]Sheet1!$F$9:$F$2584,"N/A",0)</f>
        <v>125.53</v>
      </c>
      <c r="L1386">
        <f>_xlfn.XLOOKUP($A1386,[1]Sheet1!$H$9:$H$2584,[1]Sheet1!$I$9:$I$2584,"N/A",0)</f>
        <v>67.62</v>
      </c>
      <c r="M1386">
        <f>_xlfn.XLOOKUP($A1386,[1]Sheet1!$K$9:$K$2584,[1]Sheet1!$L$9:$L$2584,"N/A",0)</f>
        <v>137.6</v>
      </c>
      <c r="N1386">
        <f>_xlfn.XLOOKUP($A1386,[1]Sheet1!$N$9:$N$2584,[1]Sheet1!$O$9:$O$2584,"N/A",0)</f>
        <v>95.73</v>
      </c>
      <c r="O1386">
        <v>108.62</v>
      </c>
      <c r="P1386">
        <v>125.53</v>
      </c>
      <c r="Q1386">
        <v>67.62</v>
      </c>
      <c r="R1386">
        <v>95.73</v>
      </c>
      <c r="S1386">
        <v>137.6</v>
      </c>
    </row>
    <row r="1387" spans="1:19">
      <c r="A1387" s="1">
        <v>44378</v>
      </c>
      <c r="B1387" t="s">
        <v>630</v>
      </c>
      <c r="C1387" t="s">
        <v>644</v>
      </c>
      <c r="D1387">
        <v>17.4735</v>
      </c>
      <c r="E1387">
        <v>19.5447</v>
      </c>
      <c r="F1387" s="2" t="s">
        <v>649</v>
      </c>
      <c r="G1387">
        <f ca="1" t="shared" si="63"/>
        <v>1.69847618238814</v>
      </c>
      <c r="H1387" t="str">
        <f ca="1" t="shared" si="64"/>
        <v>Risk-On</v>
      </c>
      <c r="I1387">
        <f ca="1" t="shared" si="65"/>
        <v>1</v>
      </c>
      <c r="J1387">
        <f>_xlfn.XLOOKUP($A1387,[1]Sheet1!$B$9:$B$2584,[1]Sheet1!$C$9:$C$2584,"N/A",0)</f>
        <v>108.4</v>
      </c>
      <c r="K1387">
        <f>_xlfn.XLOOKUP($A1387,[1]Sheet1!$E$9:$E$2584,[1]Sheet1!$F$9:$F$2584,"N/A",0)</f>
        <v>125.29</v>
      </c>
      <c r="L1387">
        <f>_xlfn.XLOOKUP($A1387,[1]Sheet1!$H$9:$H$2584,[1]Sheet1!$I$9:$I$2584,"N/A",0)</f>
        <v>67.42</v>
      </c>
      <c r="M1387">
        <f>_xlfn.XLOOKUP($A1387,[1]Sheet1!$K$9:$K$2584,[1]Sheet1!$L$9:$L$2584,"N/A",0)</f>
        <v>137.52</v>
      </c>
      <c r="N1387">
        <f>_xlfn.XLOOKUP($A1387,[1]Sheet1!$N$9:$N$2584,[1]Sheet1!$O$9:$O$2584,"N/A",0)</f>
        <v>95.59</v>
      </c>
      <c r="O1387">
        <v>108.4</v>
      </c>
      <c r="P1387">
        <v>125.29</v>
      </c>
      <c r="Q1387">
        <v>67.42</v>
      </c>
      <c r="R1387">
        <v>95.59</v>
      </c>
      <c r="S1387">
        <v>137.52</v>
      </c>
    </row>
    <row r="1388" spans="1:19">
      <c r="A1388" s="1">
        <v>44379</v>
      </c>
      <c r="B1388" t="s">
        <v>630</v>
      </c>
      <c r="C1388" t="s">
        <v>644</v>
      </c>
      <c r="D1388">
        <v>17.4706</v>
      </c>
      <c r="E1388">
        <v>19.4999</v>
      </c>
      <c r="F1388" s="2" t="s">
        <v>650</v>
      </c>
      <c r="G1388">
        <f ca="1" t="shared" si="63"/>
        <v>1.61881064574828</v>
      </c>
      <c r="H1388" t="str">
        <f ca="1" t="shared" si="64"/>
        <v>Risk-On</v>
      </c>
      <c r="I1388">
        <f ca="1" t="shared" si="65"/>
        <v>1</v>
      </c>
      <c r="J1388">
        <f>_xlfn.XLOOKUP($A1388,[1]Sheet1!$B$9:$B$2584,[1]Sheet1!$C$9:$C$2584,"N/A",0)</f>
        <v>108.33</v>
      </c>
      <c r="K1388">
        <f>_xlfn.XLOOKUP($A1388,[1]Sheet1!$E$9:$E$2584,[1]Sheet1!$F$9:$F$2584,"N/A",0)</f>
        <v>124.45</v>
      </c>
      <c r="L1388">
        <f>_xlfn.XLOOKUP($A1388,[1]Sheet1!$H$9:$H$2584,[1]Sheet1!$I$9:$I$2584,"N/A",0)</f>
        <v>67.34</v>
      </c>
      <c r="M1388">
        <f>_xlfn.XLOOKUP($A1388,[1]Sheet1!$K$9:$K$2584,[1]Sheet1!$L$9:$L$2584,"N/A",0)</f>
        <v>137.87</v>
      </c>
      <c r="N1388">
        <f>_xlfn.XLOOKUP($A1388,[1]Sheet1!$N$9:$N$2584,[1]Sheet1!$O$9:$O$2584,"N/A",0)</f>
        <v>96.73</v>
      </c>
      <c r="O1388">
        <v>108.33</v>
      </c>
      <c r="P1388">
        <v>124.45</v>
      </c>
      <c r="Q1388">
        <v>67.34</v>
      </c>
      <c r="R1388">
        <v>96.73</v>
      </c>
      <c r="S1388">
        <v>137.87</v>
      </c>
    </row>
    <row r="1389" spans="1:19">
      <c r="A1389" s="1">
        <v>44383</v>
      </c>
      <c r="B1389" t="s">
        <v>630</v>
      </c>
      <c r="C1389" t="s">
        <v>644</v>
      </c>
      <c r="D1389">
        <v>17.9987</v>
      </c>
      <c r="E1389">
        <v>19.8513</v>
      </c>
      <c r="F1389" s="2" t="s">
        <v>651</v>
      </c>
      <c r="G1389">
        <f ca="1" t="shared" si="63"/>
        <v>1.21761299093573</v>
      </c>
      <c r="H1389" t="str">
        <f ca="1" t="shared" si="64"/>
        <v>Risk-On</v>
      </c>
      <c r="I1389">
        <f ca="1" t="shared" si="65"/>
        <v>1</v>
      </c>
      <c r="J1389">
        <f>_xlfn.XLOOKUP($A1389,[1]Sheet1!$B$9:$B$2584,[1]Sheet1!$C$9:$C$2584,"N/A",0)</f>
        <v>108.91</v>
      </c>
      <c r="K1389">
        <f>_xlfn.XLOOKUP($A1389,[1]Sheet1!$E$9:$E$2584,[1]Sheet1!$F$9:$F$2584,"N/A",0)</f>
        <v>123.46</v>
      </c>
      <c r="L1389">
        <f>_xlfn.XLOOKUP($A1389,[1]Sheet1!$H$9:$H$2584,[1]Sheet1!$I$9:$I$2584,"N/A",0)</f>
        <v>66.9</v>
      </c>
      <c r="M1389">
        <f>_xlfn.XLOOKUP($A1389,[1]Sheet1!$K$9:$K$2584,[1]Sheet1!$L$9:$L$2584,"N/A",0)</f>
        <v>138.28</v>
      </c>
      <c r="N1389">
        <f>_xlfn.XLOOKUP($A1389,[1]Sheet1!$N$9:$N$2584,[1]Sheet1!$O$9:$O$2584,"N/A",0)</f>
        <v>96.71</v>
      </c>
      <c r="O1389">
        <v>108.91</v>
      </c>
      <c r="P1389">
        <v>123.46</v>
      </c>
      <c r="Q1389">
        <v>66.9</v>
      </c>
      <c r="R1389">
        <v>96.71</v>
      </c>
      <c r="S1389">
        <v>138.28</v>
      </c>
    </row>
    <row r="1390" spans="1:19">
      <c r="A1390" s="1">
        <v>44384</v>
      </c>
      <c r="B1390" t="s">
        <v>630</v>
      </c>
      <c r="C1390" t="s">
        <v>644</v>
      </c>
      <c r="D1390">
        <v>18.0485</v>
      </c>
      <c r="E1390">
        <v>19.9455</v>
      </c>
      <c r="F1390" s="2" t="s">
        <v>652</v>
      </c>
      <c r="G1390">
        <f ca="1" t="shared" si="63"/>
        <v>1.27642520715732</v>
      </c>
      <c r="H1390" t="str">
        <f ca="1" t="shared" si="64"/>
        <v>Risk-On</v>
      </c>
      <c r="I1390">
        <f ca="1" t="shared" si="65"/>
        <v>1</v>
      </c>
      <c r="J1390">
        <f>_xlfn.XLOOKUP($A1390,[1]Sheet1!$B$9:$B$2584,[1]Sheet1!$C$9:$C$2584,"N/A",0)</f>
        <v>108.64</v>
      </c>
      <c r="K1390">
        <f>_xlfn.XLOOKUP($A1390,[1]Sheet1!$E$9:$E$2584,[1]Sheet1!$F$9:$F$2584,"N/A",0)</f>
        <v>123.66</v>
      </c>
      <c r="L1390">
        <f>_xlfn.XLOOKUP($A1390,[1]Sheet1!$H$9:$H$2584,[1]Sheet1!$I$9:$I$2584,"N/A",0)</f>
        <v>66.85</v>
      </c>
      <c r="M1390">
        <f>_xlfn.XLOOKUP($A1390,[1]Sheet1!$K$9:$K$2584,[1]Sheet1!$L$9:$L$2584,"N/A",0)</f>
        <v>139.21</v>
      </c>
      <c r="N1390">
        <f>_xlfn.XLOOKUP($A1390,[1]Sheet1!$N$9:$N$2584,[1]Sheet1!$O$9:$O$2584,"N/A",0)</f>
        <v>97.25</v>
      </c>
      <c r="O1390">
        <v>108.64</v>
      </c>
      <c r="P1390">
        <v>123.66</v>
      </c>
      <c r="Q1390">
        <v>66.85</v>
      </c>
      <c r="R1390">
        <v>97.25</v>
      </c>
      <c r="S1390">
        <v>139.21</v>
      </c>
    </row>
    <row r="1391" spans="1:19">
      <c r="A1391" s="1">
        <v>44385</v>
      </c>
      <c r="B1391" t="s">
        <v>630</v>
      </c>
      <c r="C1391" t="s">
        <v>644</v>
      </c>
      <c r="D1391">
        <v>19.545</v>
      </c>
      <c r="E1391">
        <v>20.9988</v>
      </c>
      <c r="F1391">
        <v>0.0743821949347657</v>
      </c>
      <c r="G1391">
        <f ca="1" t="shared" si="63"/>
        <v>0.344915848943775</v>
      </c>
      <c r="H1391" t="str">
        <f ca="1" t="shared" si="64"/>
        <v>Risk-On</v>
      </c>
      <c r="I1391">
        <f ca="1" t="shared" si="65"/>
        <v>1</v>
      </c>
      <c r="J1391">
        <f>_xlfn.XLOOKUP($A1391,[1]Sheet1!$B$9:$B$2584,[1]Sheet1!$C$9:$C$2584,"N/A",0)</f>
        <v>108.43</v>
      </c>
      <c r="K1391">
        <f>_xlfn.XLOOKUP($A1391,[1]Sheet1!$E$9:$E$2584,[1]Sheet1!$F$9:$F$2584,"N/A",0)</f>
        <v>123.89</v>
      </c>
      <c r="L1391">
        <f>_xlfn.XLOOKUP($A1391,[1]Sheet1!$H$9:$H$2584,[1]Sheet1!$I$9:$I$2584,"N/A",0)</f>
        <v>66.7</v>
      </c>
      <c r="M1391">
        <f>_xlfn.XLOOKUP($A1391,[1]Sheet1!$K$9:$K$2584,[1]Sheet1!$L$9:$L$2584,"N/A",0)</f>
        <v>139.22</v>
      </c>
      <c r="N1391">
        <f>_xlfn.XLOOKUP($A1391,[1]Sheet1!$N$9:$N$2584,[1]Sheet1!$O$9:$O$2584,"N/A",0)</f>
        <v>97.49</v>
      </c>
      <c r="O1391">
        <v>108.43</v>
      </c>
      <c r="P1391">
        <v>123.89</v>
      </c>
      <c r="Q1391">
        <v>66.7</v>
      </c>
      <c r="R1391">
        <v>97.49</v>
      </c>
      <c r="S1391">
        <v>139.22</v>
      </c>
    </row>
    <row r="1392" spans="1:19">
      <c r="A1392" s="1">
        <v>44386</v>
      </c>
      <c r="B1392" t="s">
        <v>630</v>
      </c>
      <c r="C1392" t="s">
        <v>644</v>
      </c>
      <c r="D1392">
        <v>17.7962</v>
      </c>
      <c r="E1392">
        <v>19.8444</v>
      </c>
      <c r="F1392" s="2" t="s">
        <v>653</v>
      </c>
      <c r="G1392">
        <f ca="1" t="shared" si="63"/>
        <v>1.58172617229409</v>
      </c>
      <c r="H1392" t="str">
        <f ca="1" t="shared" si="64"/>
        <v>Risk-On</v>
      </c>
      <c r="I1392">
        <f ca="1" t="shared" si="65"/>
        <v>1</v>
      </c>
      <c r="J1392">
        <f>_xlfn.XLOOKUP($A1392,[1]Sheet1!$B$9:$B$2584,[1]Sheet1!$C$9:$C$2584,"N/A",0)</f>
        <v>107.79</v>
      </c>
      <c r="K1392">
        <f>_xlfn.XLOOKUP($A1392,[1]Sheet1!$E$9:$E$2584,[1]Sheet1!$F$9:$F$2584,"N/A",0)</f>
        <v>124.83</v>
      </c>
      <c r="L1392">
        <f>_xlfn.XLOOKUP($A1392,[1]Sheet1!$H$9:$H$2584,[1]Sheet1!$I$9:$I$2584,"N/A",0)</f>
        <v>66.88</v>
      </c>
      <c r="M1392">
        <f>_xlfn.XLOOKUP($A1392,[1]Sheet1!$K$9:$K$2584,[1]Sheet1!$L$9:$L$2584,"N/A",0)</f>
        <v>138.66</v>
      </c>
      <c r="N1392">
        <f>_xlfn.XLOOKUP($A1392,[1]Sheet1!$N$9:$N$2584,[1]Sheet1!$O$9:$O$2584,"N/A",0)</f>
        <v>97.09</v>
      </c>
      <c r="O1392">
        <v>107.79</v>
      </c>
      <c r="P1392">
        <v>124.83</v>
      </c>
      <c r="Q1392">
        <v>66.88</v>
      </c>
      <c r="R1392">
        <v>97.09</v>
      </c>
      <c r="S1392">
        <v>138.66</v>
      </c>
    </row>
    <row r="1393" spans="1:19">
      <c r="A1393" s="1">
        <v>44389</v>
      </c>
      <c r="B1393" t="s">
        <v>630</v>
      </c>
      <c r="C1393" t="s">
        <v>644</v>
      </c>
      <c r="D1393">
        <v>17.3713</v>
      </c>
      <c r="E1393">
        <v>19.8395</v>
      </c>
      <c r="F1393" s="2" t="s">
        <v>654</v>
      </c>
      <c r="G1393">
        <f ca="1" t="shared" si="63"/>
        <v>2.40270004667659</v>
      </c>
      <c r="H1393" t="str">
        <f ca="1" t="shared" si="64"/>
        <v>Risk-On</v>
      </c>
      <c r="I1393">
        <f ca="1" t="shared" si="65"/>
        <v>1</v>
      </c>
      <c r="J1393">
        <f>_xlfn.XLOOKUP($A1393,[1]Sheet1!$B$9:$B$2584,[1]Sheet1!$C$9:$C$2584,"N/A",0)</f>
        <v>108.19</v>
      </c>
      <c r="K1393">
        <f>_xlfn.XLOOKUP($A1393,[1]Sheet1!$E$9:$E$2584,[1]Sheet1!$F$9:$F$2584,"N/A",0)</f>
        <v>126.32</v>
      </c>
      <c r="L1393">
        <f>_xlfn.XLOOKUP($A1393,[1]Sheet1!$H$9:$H$2584,[1]Sheet1!$I$9:$I$2584,"N/A",0)</f>
        <v>66.88</v>
      </c>
      <c r="M1393">
        <f>_xlfn.XLOOKUP($A1393,[1]Sheet1!$K$9:$K$2584,[1]Sheet1!$L$9:$L$2584,"N/A",0)</f>
        <v>138.82</v>
      </c>
      <c r="N1393">
        <f>_xlfn.XLOOKUP($A1393,[1]Sheet1!$N$9:$N$2584,[1]Sheet1!$O$9:$O$2584,"N/A",0)</f>
        <v>97.09</v>
      </c>
      <c r="O1393">
        <v>108.19</v>
      </c>
      <c r="P1393">
        <v>126.32</v>
      </c>
      <c r="Q1393">
        <v>66.88</v>
      </c>
      <c r="R1393">
        <v>97.09</v>
      </c>
      <c r="S1393">
        <v>138.82</v>
      </c>
    </row>
    <row r="1394" spans="1:19">
      <c r="A1394" s="1">
        <v>44390</v>
      </c>
      <c r="B1394" t="s">
        <v>630</v>
      </c>
      <c r="C1394" t="s">
        <v>644</v>
      </c>
      <c r="D1394">
        <v>17.7342</v>
      </c>
      <c r="E1394">
        <v>20.0157</v>
      </c>
      <c r="F1394" s="2" t="s">
        <v>655</v>
      </c>
      <c r="G1394">
        <f ca="1" t="shared" si="63"/>
        <v>1.9940765405104</v>
      </c>
      <c r="H1394" t="str">
        <f ca="1" t="shared" si="64"/>
        <v>Risk-On</v>
      </c>
      <c r="I1394">
        <f ca="1" t="shared" si="65"/>
        <v>1</v>
      </c>
      <c r="J1394">
        <f>_xlfn.XLOOKUP($A1394,[1]Sheet1!$B$9:$B$2584,[1]Sheet1!$C$9:$C$2584,"N/A",0)</f>
        <v>108.48</v>
      </c>
      <c r="K1394">
        <f>_xlfn.XLOOKUP($A1394,[1]Sheet1!$E$9:$E$2584,[1]Sheet1!$F$9:$F$2584,"N/A",0)</f>
        <v>125.18</v>
      </c>
      <c r="L1394">
        <f>_xlfn.XLOOKUP($A1394,[1]Sheet1!$H$9:$H$2584,[1]Sheet1!$I$9:$I$2584,"N/A",0)</f>
        <v>66.75</v>
      </c>
      <c r="M1394">
        <f>_xlfn.XLOOKUP($A1394,[1]Sheet1!$K$9:$K$2584,[1]Sheet1!$L$9:$L$2584,"N/A",0)</f>
        <v>139.43</v>
      </c>
      <c r="N1394">
        <f>_xlfn.XLOOKUP($A1394,[1]Sheet1!$N$9:$N$2584,[1]Sheet1!$O$9:$O$2584,"N/A",0)</f>
        <v>98.13</v>
      </c>
      <c r="O1394">
        <v>108.48</v>
      </c>
      <c r="P1394">
        <v>125.18</v>
      </c>
      <c r="Q1394">
        <v>66.75</v>
      </c>
      <c r="R1394">
        <v>98.13</v>
      </c>
      <c r="S1394">
        <v>139.43</v>
      </c>
    </row>
    <row r="1395" spans="1:19">
      <c r="A1395" s="1">
        <v>44391</v>
      </c>
      <c r="B1395" t="s">
        <v>630</v>
      </c>
      <c r="C1395" t="s">
        <v>644</v>
      </c>
      <c r="D1395">
        <v>17.047</v>
      </c>
      <c r="E1395">
        <v>19.6029</v>
      </c>
      <c r="F1395" s="2" t="s">
        <v>656</v>
      </c>
      <c r="G1395">
        <f ca="1" t="shared" si="63"/>
        <v>2.63252854477387</v>
      </c>
      <c r="H1395" t="str">
        <f ca="1" t="shared" si="64"/>
        <v>Risk-On</v>
      </c>
      <c r="I1395">
        <f ca="1" t="shared" si="65"/>
        <v>1</v>
      </c>
      <c r="J1395">
        <f>_xlfn.XLOOKUP($A1395,[1]Sheet1!$B$9:$B$2584,[1]Sheet1!$C$9:$C$2584,"N/A",0)</f>
        <v>108.64</v>
      </c>
      <c r="K1395">
        <f>_xlfn.XLOOKUP($A1395,[1]Sheet1!$E$9:$E$2584,[1]Sheet1!$F$9:$F$2584,"N/A",0)</f>
        <v>124.78</v>
      </c>
      <c r="L1395">
        <f>_xlfn.XLOOKUP($A1395,[1]Sheet1!$H$9:$H$2584,[1]Sheet1!$I$9:$I$2584,"N/A",0)</f>
        <v>67.12</v>
      </c>
      <c r="M1395">
        <f>_xlfn.XLOOKUP($A1395,[1]Sheet1!$K$9:$K$2584,[1]Sheet1!$L$9:$L$2584,"N/A",0)</f>
        <v>140.09</v>
      </c>
      <c r="N1395">
        <f>_xlfn.XLOOKUP($A1395,[1]Sheet1!$N$9:$N$2584,[1]Sheet1!$O$9:$O$2584,"N/A",0)</f>
        <v>99</v>
      </c>
      <c r="O1395">
        <v>108.64</v>
      </c>
      <c r="P1395">
        <v>124.78</v>
      </c>
      <c r="Q1395">
        <v>67.12</v>
      </c>
      <c r="R1395">
        <v>99</v>
      </c>
      <c r="S1395">
        <v>140.09</v>
      </c>
    </row>
    <row r="1396" spans="1:19">
      <c r="A1396" s="1">
        <v>44392</v>
      </c>
      <c r="B1396" t="s">
        <v>630</v>
      </c>
      <c r="C1396" t="s">
        <v>644</v>
      </c>
      <c r="D1396">
        <v>17.51</v>
      </c>
      <c r="E1396">
        <v>19.8149</v>
      </c>
      <c r="F1396" s="2" t="s">
        <v>657</v>
      </c>
      <c r="G1396">
        <f ca="1" t="shared" si="63"/>
        <v>2.06793725149742</v>
      </c>
      <c r="H1396" t="str">
        <f ca="1" t="shared" si="64"/>
        <v>Risk-On</v>
      </c>
      <c r="I1396">
        <f ca="1" t="shared" si="65"/>
        <v>1</v>
      </c>
      <c r="J1396">
        <f>_xlfn.XLOOKUP($A1396,[1]Sheet1!$B$9:$B$2584,[1]Sheet1!$C$9:$C$2584,"N/A",0)</f>
        <v>108.46</v>
      </c>
      <c r="K1396">
        <f>_xlfn.XLOOKUP($A1396,[1]Sheet1!$E$9:$E$2584,[1]Sheet1!$F$9:$F$2584,"N/A",0)</f>
        <v>124.8</v>
      </c>
      <c r="L1396">
        <f>_xlfn.XLOOKUP($A1396,[1]Sheet1!$H$9:$H$2584,[1]Sheet1!$I$9:$I$2584,"N/A",0)</f>
        <v>67.15</v>
      </c>
      <c r="M1396">
        <f>_xlfn.XLOOKUP($A1396,[1]Sheet1!$K$9:$K$2584,[1]Sheet1!$L$9:$L$2584,"N/A",0)</f>
        <v>140.14</v>
      </c>
      <c r="N1396">
        <f>_xlfn.XLOOKUP($A1396,[1]Sheet1!$N$9:$N$2584,[1]Sheet1!$O$9:$O$2584,"N/A",0)</f>
        <v>99.44</v>
      </c>
      <c r="O1396">
        <v>108.46</v>
      </c>
      <c r="P1396">
        <v>124.8</v>
      </c>
      <c r="Q1396">
        <v>67.15</v>
      </c>
      <c r="R1396">
        <v>99.44</v>
      </c>
      <c r="S1396">
        <v>140.14</v>
      </c>
    </row>
    <row r="1397" spans="1:19">
      <c r="A1397" s="1">
        <v>44393</v>
      </c>
      <c r="B1397" t="s">
        <v>630</v>
      </c>
      <c r="C1397" t="s">
        <v>644</v>
      </c>
      <c r="D1397">
        <v>18.6228</v>
      </c>
      <c r="E1397">
        <v>20.6339</v>
      </c>
      <c r="F1397" s="2" t="s">
        <v>658</v>
      </c>
      <c r="G1397">
        <f ca="1" t="shared" si="63"/>
        <v>1.34959671935493</v>
      </c>
      <c r="H1397" t="str">
        <f ca="1" t="shared" si="64"/>
        <v>Risk-On</v>
      </c>
      <c r="I1397">
        <f ca="1" t="shared" si="65"/>
        <v>1</v>
      </c>
      <c r="J1397">
        <f>_xlfn.XLOOKUP($A1397,[1]Sheet1!$B$9:$B$2584,[1]Sheet1!$C$9:$C$2584,"N/A",0)</f>
        <v>108.56</v>
      </c>
      <c r="K1397">
        <f>_xlfn.XLOOKUP($A1397,[1]Sheet1!$E$9:$E$2584,[1]Sheet1!$F$9:$F$2584,"N/A",0)</f>
        <v>123.9</v>
      </c>
      <c r="L1397">
        <f>_xlfn.XLOOKUP($A1397,[1]Sheet1!$H$9:$H$2584,[1]Sheet1!$I$9:$I$2584,"N/A",0)</f>
        <v>66.72</v>
      </c>
      <c r="M1397">
        <f>_xlfn.XLOOKUP($A1397,[1]Sheet1!$K$9:$K$2584,[1]Sheet1!$L$9:$L$2584,"N/A",0)</f>
        <v>140.82</v>
      </c>
      <c r="N1397">
        <f>_xlfn.XLOOKUP($A1397,[1]Sheet1!$N$9:$N$2584,[1]Sheet1!$O$9:$O$2584,"N/A",0)</f>
        <v>99.44</v>
      </c>
      <c r="O1397">
        <v>108.56</v>
      </c>
      <c r="P1397">
        <v>123.9</v>
      </c>
      <c r="Q1397">
        <v>66.72</v>
      </c>
      <c r="R1397">
        <v>99.44</v>
      </c>
      <c r="S1397">
        <v>140.82</v>
      </c>
    </row>
    <row r="1398" spans="1:19">
      <c r="A1398" s="1">
        <v>44396</v>
      </c>
      <c r="B1398" t="s">
        <v>630</v>
      </c>
      <c r="C1398" t="s">
        <v>644</v>
      </c>
      <c r="D1398">
        <v>22.738</v>
      </c>
      <c r="E1398">
        <v>23.6675</v>
      </c>
      <c r="F1398">
        <v>0.0408787052511215</v>
      </c>
      <c r="G1398">
        <f ca="1" t="shared" si="63"/>
        <v>-0.670622688037762</v>
      </c>
      <c r="H1398" t="str">
        <f ca="1" t="shared" si="64"/>
        <v>Risk-On</v>
      </c>
      <c r="I1398">
        <f ca="1" t="shared" si="65"/>
        <v>1</v>
      </c>
      <c r="J1398">
        <f>_xlfn.XLOOKUP($A1398,[1]Sheet1!$B$9:$B$2584,[1]Sheet1!$C$9:$C$2584,"N/A",0)</f>
        <v>108.15</v>
      </c>
      <c r="K1398">
        <f>_xlfn.XLOOKUP($A1398,[1]Sheet1!$E$9:$E$2584,[1]Sheet1!$F$9:$F$2584,"N/A",0)</f>
        <v>123.98</v>
      </c>
      <c r="L1398">
        <f>_xlfn.XLOOKUP($A1398,[1]Sheet1!$H$9:$H$2584,[1]Sheet1!$I$9:$I$2584,"N/A",0)</f>
        <v>66.57</v>
      </c>
      <c r="M1398">
        <f>_xlfn.XLOOKUP($A1398,[1]Sheet1!$K$9:$K$2584,[1]Sheet1!$L$9:$L$2584,"N/A",0)</f>
        <v>141.03</v>
      </c>
      <c r="N1398">
        <f>_xlfn.XLOOKUP($A1398,[1]Sheet1!$N$9:$N$2584,[1]Sheet1!$O$9:$O$2584,"N/A",0)</f>
        <v>99.24</v>
      </c>
      <c r="O1398">
        <v>108.15</v>
      </c>
      <c r="P1398">
        <v>123.98</v>
      </c>
      <c r="Q1398">
        <v>66.57</v>
      </c>
      <c r="R1398">
        <v>99.24</v>
      </c>
      <c r="S1398">
        <v>141.03</v>
      </c>
    </row>
    <row r="1399" spans="1:19">
      <c r="A1399" s="1">
        <v>44397</v>
      </c>
      <c r="B1399" t="s">
        <v>630</v>
      </c>
      <c r="C1399" t="s">
        <v>644</v>
      </c>
      <c r="D1399">
        <v>19.9561</v>
      </c>
      <c r="E1399">
        <v>21.4852</v>
      </c>
      <c r="F1399">
        <v>0.0766231878974348</v>
      </c>
      <c r="G1399">
        <f ca="1" t="shared" si="63"/>
        <v>0.417694404314241</v>
      </c>
      <c r="H1399" t="str">
        <f ca="1" t="shared" si="64"/>
        <v>Risk-On</v>
      </c>
      <c r="I1399">
        <f ca="1" t="shared" si="65"/>
        <v>1</v>
      </c>
      <c r="J1399">
        <f>_xlfn.XLOOKUP($A1399,[1]Sheet1!$B$9:$B$2584,[1]Sheet1!$C$9:$C$2584,"N/A",0)</f>
        <v>107.7</v>
      </c>
      <c r="K1399">
        <f>_xlfn.XLOOKUP($A1399,[1]Sheet1!$E$9:$E$2584,[1]Sheet1!$F$9:$F$2584,"N/A",0)</f>
        <v>124.65</v>
      </c>
      <c r="L1399">
        <f>_xlfn.XLOOKUP($A1399,[1]Sheet1!$H$9:$H$2584,[1]Sheet1!$I$9:$I$2584,"N/A",0)</f>
        <v>66.6</v>
      </c>
      <c r="M1399">
        <f>_xlfn.XLOOKUP($A1399,[1]Sheet1!$K$9:$K$2584,[1]Sheet1!$L$9:$L$2584,"N/A",0)</f>
        <v>140.27</v>
      </c>
      <c r="N1399">
        <f>_xlfn.XLOOKUP($A1399,[1]Sheet1!$N$9:$N$2584,[1]Sheet1!$O$9:$O$2584,"N/A",0)</f>
        <v>98.47</v>
      </c>
      <c r="O1399">
        <v>107.7</v>
      </c>
      <c r="P1399">
        <v>124.65</v>
      </c>
      <c r="Q1399">
        <v>66.6</v>
      </c>
      <c r="R1399">
        <v>98.47</v>
      </c>
      <c r="S1399">
        <v>140.27</v>
      </c>
    </row>
    <row r="1400" spans="1:19">
      <c r="A1400" s="1">
        <v>44398</v>
      </c>
      <c r="B1400" t="s">
        <v>630</v>
      </c>
      <c r="C1400" t="s">
        <v>644</v>
      </c>
      <c r="D1400">
        <v>18.9</v>
      </c>
      <c r="E1400">
        <v>20.1082</v>
      </c>
      <c r="F1400">
        <v>0.063925925925926</v>
      </c>
      <c r="G1400">
        <f ca="1" t="shared" si="63"/>
        <v>0.0320041330105285</v>
      </c>
      <c r="H1400" t="str">
        <f ca="1" t="shared" si="64"/>
        <v>Risk-On</v>
      </c>
      <c r="I1400">
        <f ca="1" t="shared" si="65"/>
        <v>1</v>
      </c>
      <c r="J1400">
        <f>_xlfn.XLOOKUP($A1400,[1]Sheet1!$B$9:$B$2584,[1]Sheet1!$C$9:$C$2584,"N/A",0)</f>
        <v>107.72</v>
      </c>
      <c r="K1400">
        <f>_xlfn.XLOOKUP($A1400,[1]Sheet1!$E$9:$E$2584,[1]Sheet1!$F$9:$F$2584,"N/A",0)</f>
        <v>125.11</v>
      </c>
      <c r="L1400">
        <f>_xlfn.XLOOKUP($A1400,[1]Sheet1!$H$9:$H$2584,[1]Sheet1!$I$9:$I$2584,"N/A",0)</f>
        <v>66.84</v>
      </c>
      <c r="M1400">
        <f>_xlfn.XLOOKUP($A1400,[1]Sheet1!$K$9:$K$2584,[1]Sheet1!$L$9:$L$2584,"N/A",0)</f>
        <v>139.7</v>
      </c>
      <c r="N1400">
        <f>_xlfn.XLOOKUP($A1400,[1]Sheet1!$N$9:$N$2584,[1]Sheet1!$O$9:$O$2584,"N/A",0)</f>
        <v>98.42</v>
      </c>
      <c r="O1400">
        <v>107.72</v>
      </c>
      <c r="P1400">
        <v>125.11</v>
      </c>
      <c r="Q1400">
        <v>66.84</v>
      </c>
      <c r="R1400">
        <v>98.42</v>
      </c>
      <c r="S1400">
        <v>139.7</v>
      </c>
    </row>
    <row r="1401" spans="1:19">
      <c r="A1401" s="1">
        <v>44399</v>
      </c>
      <c r="B1401" t="s">
        <v>644</v>
      </c>
      <c r="C1401" t="s">
        <v>659</v>
      </c>
      <c r="D1401">
        <v>20.5665</v>
      </c>
      <c r="E1401">
        <v>21.85</v>
      </c>
      <c r="F1401" s="2" t="s">
        <v>660</v>
      </c>
      <c r="G1401">
        <f ca="1" t="shared" si="63"/>
        <v>-0.0141945908898527</v>
      </c>
      <c r="H1401" t="str">
        <f ca="1" t="shared" si="64"/>
        <v>Risk-On</v>
      </c>
      <c r="I1401">
        <f ca="1" t="shared" si="65"/>
        <v>1</v>
      </c>
      <c r="J1401">
        <f>_xlfn.XLOOKUP($A1401,[1]Sheet1!$B$9:$B$2584,[1]Sheet1!$C$9:$C$2584,"N/A",0)</f>
        <v>108.27</v>
      </c>
      <c r="K1401">
        <f>_xlfn.XLOOKUP($A1401,[1]Sheet1!$E$9:$E$2584,[1]Sheet1!$F$9:$F$2584,"N/A",0)</f>
        <v>124.45</v>
      </c>
      <c r="L1401">
        <f>_xlfn.XLOOKUP($A1401,[1]Sheet1!$H$9:$H$2584,[1]Sheet1!$I$9:$I$2584,"N/A",0)</f>
        <v>66.4</v>
      </c>
      <c r="M1401">
        <f>_xlfn.XLOOKUP($A1401,[1]Sheet1!$K$9:$K$2584,[1]Sheet1!$L$9:$L$2584,"N/A",0)</f>
        <v>140.71</v>
      </c>
      <c r="N1401">
        <f>_xlfn.XLOOKUP($A1401,[1]Sheet1!$N$9:$N$2584,[1]Sheet1!$O$9:$O$2584,"N/A",0)</f>
        <v>99.54</v>
      </c>
      <c r="O1401">
        <v>108.27</v>
      </c>
      <c r="P1401">
        <v>124.45</v>
      </c>
      <c r="Q1401">
        <v>66.4</v>
      </c>
      <c r="R1401">
        <v>99.54</v>
      </c>
      <c r="S1401">
        <v>140.71</v>
      </c>
    </row>
    <row r="1402" spans="1:19">
      <c r="A1402" s="1">
        <v>44400</v>
      </c>
      <c r="B1402" t="s">
        <v>644</v>
      </c>
      <c r="C1402" t="s">
        <v>659</v>
      </c>
      <c r="D1402">
        <v>20.3675</v>
      </c>
      <c r="E1402">
        <v>21.6506</v>
      </c>
      <c r="F1402">
        <v>0.0629974223640604</v>
      </c>
      <c r="G1402">
        <f ca="1" t="shared" si="63"/>
        <v>0.00540908202151864</v>
      </c>
      <c r="H1402" t="str">
        <f ca="1" t="shared" si="64"/>
        <v>Risk-On</v>
      </c>
      <c r="I1402">
        <f ca="1" t="shared" si="65"/>
        <v>1</v>
      </c>
      <c r="J1402">
        <f>_xlfn.XLOOKUP($A1402,[1]Sheet1!$B$9:$B$2584,[1]Sheet1!$C$9:$C$2584,"N/A",0)</f>
        <v>108.52</v>
      </c>
      <c r="K1402">
        <f>_xlfn.XLOOKUP($A1402,[1]Sheet1!$E$9:$E$2584,[1]Sheet1!$F$9:$F$2584,"N/A",0)</f>
        <v>124.56</v>
      </c>
      <c r="L1402">
        <f>_xlfn.XLOOKUP($A1402,[1]Sheet1!$H$9:$H$2584,[1]Sheet1!$I$9:$I$2584,"N/A",0)</f>
        <v>66.29</v>
      </c>
      <c r="M1402">
        <f>_xlfn.XLOOKUP($A1402,[1]Sheet1!$K$9:$K$2584,[1]Sheet1!$L$9:$L$2584,"N/A",0)</f>
        <v>141.65</v>
      </c>
      <c r="N1402">
        <f>_xlfn.XLOOKUP($A1402,[1]Sheet1!$N$9:$N$2584,[1]Sheet1!$O$9:$O$2584,"N/A",0)</f>
        <v>99.54</v>
      </c>
      <c r="O1402">
        <v>108.52</v>
      </c>
      <c r="P1402">
        <v>124.56</v>
      </c>
      <c r="Q1402">
        <v>66.29</v>
      </c>
      <c r="R1402">
        <v>99.54</v>
      </c>
      <c r="S1402">
        <v>141.65</v>
      </c>
    </row>
    <row r="1403" spans="1:19">
      <c r="A1403" s="1">
        <v>44403</v>
      </c>
      <c r="B1403" t="s">
        <v>644</v>
      </c>
      <c r="C1403" t="s">
        <v>659</v>
      </c>
      <c r="D1403">
        <v>20.1497</v>
      </c>
      <c r="E1403">
        <v>21.6947</v>
      </c>
      <c r="F1403">
        <v>0.0766760795446086</v>
      </c>
      <c r="G1403">
        <f ca="1" t="shared" si="63"/>
        <v>0.416894911760677</v>
      </c>
      <c r="H1403" t="str">
        <f ca="1" t="shared" si="64"/>
        <v>Risk-On</v>
      </c>
      <c r="I1403">
        <f ca="1" t="shared" si="65"/>
        <v>1</v>
      </c>
      <c r="J1403">
        <f>_xlfn.XLOOKUP($A1403,[1]Sheet1!$B$9:$B$2584,[1]Sheet1!$C$9:$C$2584,"N/A",0)</f>
        <v>107.71</v>
      </c>
      <c r="K1403">
        <f>_xlfn.XLOOKUP($A1403,[1]Sheet1!$E$9:$E$2584,[1]Sheet1!$F$9:$F$2584,"N/A",0)</f>
        <v>125.38</v>
      </c>
      <c r="L1403">
        <f>_xlfn.XLOOKUP($A1403,[1]Sheet1!$H$9:$H$2584,[1]Sheet1!$I$9:$I$2584,"N/A",0)</f>
        <v>66.49</v>
      </c>
      <c r="M1403">
        <f>_xlfn.XLOOKUP($A1403,[1]Sheet1!$K$9:$K$2584,[1]Sheet1!$L$9:$L$2584,"N/A",0)</f>
        <v>141.54</v>
      </c>
      <c r="N1403">
        <f>_xlfn.XLOOKUP($A1403,[1]Sheet1!$N$9:$N$2584,[1]Sheet1!$O$9:$O$2584,"N/A",0)</f>
        <v>99.65</v>
      </c>
      <c r="O1403">
        <v>107.71</v>
      </c>
      <c r="P1403">
        <v>125.38</v>
      </c>
      <c r="Q1403">
        <v>66.49</v>
      </c>
      <c r="R1403">
        <v>99.65</v>
      </c>
      <c r="S1403">
        <v>141.54</v>
      </c>
    </row>
    <row r="1404" spans="1:19">
      <c r="A1404" s="1">
        <v>44404</v>
      </c>
      <c r="B1404" t="s">
        <v>644</v>
      </c>
      <c r="C1404" t="s">
        <v>659</v>
      </c>
      <c r="D1404">
        <v>20.7147</v>
      </c>
      <c r="E1404">
        <v>22.2005</v>
      </c>
      <c r="F1404">
        <v>0.0717268413252425</v>
      </c>
      <c r="G1404">
        <f ca="1" t="shared" si="63"/>
        <v>0.263940125273973</v>
      </c>
      <c r="H1404" t="str">
        <f ca="1" t="shared" si="64"/>
        <v>Risk-On</v>
      </c>
      <c r="I1404">
        <f ca="1" t="shared" si="65"/>
        <v>1</v>
      </c>
      <c r="J1404">
        <f>_xlfn.XLOOKUP($A1404,[1]Sheet1!$B$9:$B$2584,[1]Sheet1!$C$9:$C$2584,"N/A",0)</f>
        <v>107.88</v>
      </c>
      <c r="K1404">
        <f>_xlfn.XLOOKUP($A1404,[1]Sheet1!$E$9:$E$2584,[1]Sheet1!$F$9:$F$2584,"N/A",0)</f>
        <v>125.36</v>
      </c>
      <c r="L1404">
        <f>_xlfn.XLOOKUP($A1404,[1]Sheet1!$H$9:$H$2584,[1]Sheet1!$I$9:$I$2584,"N/A",0)</f>
        <v>66.56</v>
      </c>
      <c r="M1404">
        <f>_xlfn.XLOOKUP($A1404,[1]Sheet1!$K$9:$K$2584,[1]Sheet1!$L$9:$L$2584,"N/A",0)</f>
        <v>141.29</v>
      </c>
      <c r="N1404">
        <f>_xlfn.XLOOKUP($A1404,[1]Sheet1!$N$9:$N$2584,[1]Sheet1!$O$9:$O$2584,"N/A",0)</f>
        <v>100.34</v>
      </c>
      <c r="O1404">
        <v>107.88</v>
      </c>
      <c r="P1404">
        <v>125.36</v>
      </c>
      <c r="Q1404">
        <v>66.56</v>
      </c>
      <c r="R1404">
        <v>100.34</v>
      </c>
      <c r="S1404">
        <v>141.29</v>
      </c>
    </row>
    <row r="1405" spans="1:19">
      <c r="A1405" s="1">
        <v>44405</v>
      </c>
      <c r="B1405" t="s">
        <v>644</v>
      </c>
      <c r="C1405" t="s">
        <v>659</v>
      </c>
      <c r="D1405">
        <v>20.1089</v>
      </c>
      <c r="E1405">
        <v>21.7999</v>
      </c>
      <c r="F1405">
        <v>0.0840921184152292</v>
      </c>
      <c r="G1405">
        <f ca="1" t="shared" si="63"/>
        <v>0.6422719939247</v>
      </c>
      <c r="H1405" t="str">
        <f ca="1" t="shared" si="64"/>
        <v>Risk-On</v>
      </c>
      <c r="I1405">
        <f ca="1" t="shared" si="65"/>
        <v>1</v>
      </c>
      <c r="J1405">
        <f>_xlfn.XLOOKUP($A1405,[1]Sheet1!$B$9:$B$2584,[1]Sheet1!$C$9:$C$2584,"N/A",0)</f>
        <v>108.15</v>
      </c>
      <c r="K1405">
        <f>_xlfn.XLOOKUP($A1405,[1]Sheet1!$E$9:$E$2584,[1]Sheet1!$F$9:$F$2584,"N/A",0)</f>
        <v>125.3</v>
      </c>
      <c r="L1405">
        <f>_xlfn.XLOOKUP($A1405,[1]Sheet1!$H$9:$H$2584,[1]Sheet1!$I$9:$I$2584,"N/A",0)</f>
        <v>66.14</v>
      </c>
      <c r="M1405">
        <f>_xlfn.XLOOKUP($A1405,[1]Sheet1!$K$9:$K$2584,[1]Sheet1!$L$9:$L$2584,"N/A",0)</f>
        <v>140.67</v>
      </c>
      <c r="N1405">
        <f>_xlfn.XLOOKUP($A1405,[1]Sheet1!$N$9:$N$2584,[1]Sheet1!$O$9:$O$2584,"N/A",0)</f>
        <v>99.29</v>
      </c>
      <c r="O1405">
        <v>108.15</v>
      </c>
      <c r="P1405">
        <v>125.3</v>
      </c>
      <c r="Q1405">
        <v>66.14</v>
      </c>
      <c r="R1405">
        <v>99.29</v>
      </c>
      <c r="S1405">
        <v>140.67</v>
      </c>
    </row>
    <row r="1406" spans="1:19">
      <c r="A1406" s="1">
        <v>44406</v>
      </c>
      <c r="B1406" t="s">
        <v>644</v>
      </c>
      <c r="C1406" t="s">
        <v>659</v>
      </c>
      <c r="D1406">
        <v>19.7092</v>
      </c>
      <c r="E1406">
        <v>21.5483</v>
      </c>
      <c r="F1406">
        <v>0.0933117528869767</v>
      </c>
      <c r="G1406">
        <f ca="1" t="shared" si="63"/>
        <v>0.921964135389459</v>
      </c>
      <c r="H1406" t="str">
        <f ca="1" t="shared" si="64"/>
        <v>Risk-On</v>
      </c>
      <c r="I1406">
        <f ca="1" t="shared" si="65"/>
        <v>1</v>
      </c>
      <c r="J1406">
        <f>_xlfn.XLOOKUP($A1406,[1]Sheet1!$B$9:$B$2584,[1]Sheet1!$C$9:$C$2584,"N/A",0)</f>
        <v>107.38</v>
      </c>
      <c r="K1406">
        <f>_xlfn.XLOOKUP($A1406,[1]Sheet1!$E$9:$E$2584,[1]Sheet1!$F$9:$F$2584,"N/A",0)</f>
        <v>125.51</v>
      </c>
      <c r="L1406">
        <f>_xlfn.XLOOKUP($A1406,[1]Sheet1!$H$9:$H$2584,[1]Sheet1!$I$9:$I$2584,"N/A",0)</f>
        <v>66.83</v>
      </c>
      <c r="M1406">
        <f>_xlfn.XLOOKUP($A1406,[1]Sheet1!$K$9:$K$2584,[1]Sheet1!$L$9:$L$2584,"N/A",0)</f>
        <v>141.45</v>
      </c>
      <c r="N1406">
        <f>_xlfn.XLOOKUP($A1406,[1]Sheet1!$N$9:$N$2584,[1]Sheet1!$O$9:$O$2584,"N/A",0)</f>
        <v>99.38</v>
      </c>
      <c r="O1406">
        <v>107.38</v>
      </c>
      <c r="P1406">
        <v>125.51</v>
      </c>
      <c r="Q1406">
        <v>66.83</v>
      </c>
      <c r="R1406">
        <v>99.38</v>
      </c>
      <c r="S1406">
        <v>141.45</v>
      </c>
    </row>
    <row r="1407" spans="1:19">
      <c r="A1407" s="1">
        <v>44407</v>
      </c>
      <c r="B1407" t="s">
        <v>644</v>
      </c>
      <c r="C1407" t="s">
        <v>659</v>
      </c>
      <c r="D1407">
        <v>20.274</v>
      </c>
      <c r="E1407">
        <v>22.0749</v>
      </c>
      <c r="F1407">
        <v>0.0888280556377625</v>
      </c>
      <c r="G1407">
        <f ca="1" t="shared" si="63"/>
        <v>0.77999110720525</v>
      </c>
      <c r="H1407" t="str">
        <f ca="1" t="shared" si="64"/>
        <v>Risk-On</v>
      </c>
      <c r="I1407">
        <f ca="1" t="shared" si="65"/>
        <v>1</v>
      </c>
      <c r="J1407">
        <f>_xlfn.XLOOKUP($A1407,[1]Sheet1!$B$9:$B$2584,[1]Sheet1!$C$9:$C$2584,"N/A",0)</f>
        <v>107.16</v>
      </c>
      <c r="K1407">
        <f>_xlfn.XLOOKUP($A1407,[1]Sheet1!$E$9:$E$2584,[1]Sheet1!$F$9:$F$2584,"N/A",0)</f>
        <v>124.92</v>
      </c>
      <c r="L1407">
        <f>_xlfn.XLOOKUP($A1407,[1]Sheet1!$H$9:$H$2584,[1]Sheet1!$I$9:$I$2584,"N/A",0)</f>
        <v>66.81</v>
      </c>
      <c r="M1407">
        <f>_xlfn.XLOOKUP($A1407,[1]Sheet1!$K$9:$K$2584,[1]Sheet1!$L$9:$L$2584,"N/A",0)</f>
        <v>141.63</v>
      </c>
      <c r="N1407">
        <f>_xlfn.XLOOKUP($A1407,[1]Sheet1!$N$9:$N$2584,[1]Sheet1!$O$9:$O$2584,"N/A",0)</f>
        <v>99.43</v>
      </c>
      <c r="O1407">
        <v>107.16</v>
      </c>
      <c r="P1407">
        <v>124.92</v>
      </c>
      <c r="Q1407">
        <v>66.81</v>
      </c>
      <c r="R1407">
        <v>99.43</v>
      </c>
      <c r="S1407">
        <v>141.63</v>
      </c>
    </row>
    <row r="1408" spans="1:19">
      <c r="A1408" s="1">
        <v>44410</v>
      </c>
      <c r="B1408" t="s">
        <v>644</v>
      </c>
      <c r="C1408" t="s">
        <v>659</v>
      </c>
      <c r="D1408">
        <v>21.1496</v>
      </c>
      <c r="E1408">
        <v>22.7197</v>
      </c>
      <c r="F1408">
        <v>0.0742378106441729</v>
      </c>
      <c r="G1408">
        <f ca="1" t="shared" si="63"/>
        <v>0.340227298452055</v>
      </c>
      <c r="H1408" t="str">
        <f ca="1" t="shared" si="64"/>
        <v>Risk-On</v>
      </c>
      <c r="I1408">
        <f ca="1" t="shared" si="65"/>
        <v>1</v>
      </c>
      <c r="J1408">
        <f>_xlfn.XLOOKUP($A1408,[1]Sheet1!$B$9:$B$2584,[1]Sheet1!$C$9:$C$2584,"N/A",0)</f>
        <v>107.31</v>
      </c>
      <c r="K1408">
        <f>_xlfn.XLOOKUP($A1408,[1]Sheet1!$E$9:$E$2584,[1]Sheet1!$F$9:$F$2584,"N/A",0)</f>
        <v>124.41</v>
      </c>
      <c r="L1408">
        <f>_xlfn.XLOOKUP($A1408,[1]Sheet1!$H$9:$H$2584,[1]Sheet1!$I$9:$I$2584,"N/A",0)</f>
        <v>66.77</v>
      </c>
      <c r="M1408">
        <f>_xlfn.XLOOKUP($A1408,[1]Sheet1!$K$9:$K$2584,[1]Sheet1!$L$9:$L$2584,"N/A",0)</f>
        <v>142.17</v>
      </c>
      <c r="N1408">
        <f>_xlfn.XLOOKUP($A1408,[1]Sheet1!$N$9:$N$2584,[1]Sheet1!$O$9:$O$2584,"N/A",0)</f>
        <v>99.41</v>
      </c>
      <c r="O1408">
        <v>107.31</v>
      </c>
      <c r="P1408">
        <v>124.41</v>
      </c>
      <c r="Q1408">
        <v>66.77</v>
      </c>
      <c r="R1408">
        <v>99.41</v>
      </c>
      <c r="S1408">
        <v>142.17</v>
      </c>
    </row>
    <row r="1409" spans="1:19">
      <c r="A1409" s="1">
        <v>44411</v>
      </c>
      <c r="B1409" t="s">
        <v>644</v>
      </c>
      <c r="C1409" t="s">
        <v>659</v>
      </c>
      <c r="D1409">
        <v>19.8525</v>
      </c>
      <c r="E1409">
        <v>21.8428</v>
      </c>
      <c r="F1409" s="2" t="s">
        <v>661</v>
      </c>
      <c r="G1409">
        <f ca="1" t="shared" si="63"/>
        <v>1.13133080727046</v>
      </c>
      <c r="H1409" t="str">
        <f ca="1" t="shared" si="64"/>
        <v>Risk-On</v>
      </c>
      <c r="I1409">
        <f ca="1" t="shared" si="65"/>
        <v>1</v>
      </c>
      <c r="J1409">
        <f>_xlfn.XLOOKUP($A1409,[1]Sheet1!$B$9:$B$2584,[1]Sheet1!$C$9:$C$2584,"N/A",0)</f>
        <v>107.43</v>
      </c>
      <c r="K1409">
        <f>_xlfn.XLOOKUP($A1409,[1]Sheet1!$E$9:$E$2584,[1]Sheet1!$F$9:$F$2584,"N/A",0)</f>
        <v>125.89</v>
      </c>
      <c r="L1409">
        <f>_xlfn.XLOOKUP($A1409,[1]Sheet1!$H$9:$H$2584,[1]Sheet1!$I$9:$I$2584,"N/A",0)</f>
        <v>67.09</v>
      </c>
      <c r="M1409">
        <f>_xlfn.XLOOKUP($A1409,[1]Sheet1!$K$9:$K$2584,[1]Sheet1!$L$9:$L$2584,"N/A",0)</f>
        <v>142.92</v>
      </c>
      <c r="N1409">
        <f>_xlfn.XLOOKUP($A1409,[1]Sheet1!$N$9:$N$2584,[1]Sheet1!$O$9:$O$2584,"N/A",0)</f>
        <v>100.18</v>
      </c>
      <c r="O1409">
        <v>107.43</v>
      </c>
      <c r="P1409">
        <v>125.89</v>
      </c>
      <c r="Q1409">
        <v>67.09</v>
      </c>
      <c r="R1409">
        <v>100.18</v>
      </c>
      <c r="S1409">
        <v>142.92</v>
      </c>
    </row>
    <row r="1410" spans="1:19">
      <c r="A1410" s="1">
        <v>44412</v>
      </c>
      <c r="B1410" t="s">
        <v>644</v>
      </c>
      <c r="C1410" t="s">
        <v>659</v>
      </c>
      <c r="D1410">
        <v>19.8494</v>
      </c>
      <c r="E1410">
        <v>21.7559</v>
      </c>
      <c r="F1410">
        <v>0.096048243271837</v>
      </c>
      <c r="G1410">
        <f ca="1" t="shared" si="63"/>
        <v>1.01090128998823</v>
      </c>
      <c r="H1410" t="str">
        <f ca="1" t="shared" si="64"/>
        <v>Risk-On</v>
      </c>
      <c r="I1410">
        <f ca="1" t="shared" si="65"/>
        <v>1</v>
      </c>
      <c r="J1410">
        <f>_xlfn.XLOOKUP($A1410,[1]Sheet1!$B$9:$B$2584,[1]Sheet1!$C$9:$C$2584,"N/A",0)</f>
        <v>108.04</v>
      </c>
      <c r="K1410">
        <f>_xlfn.XLOOKUP($A1410,[1]Sheet1!$E$9:$E$2584,[1]Sheet1!$F$9:$F$2584,"N/A",0)</f>
        <v>125.25</v>
      </c>
      <c r="L1410">
        <f>_xlfn.XLOOKUP($A1410,[1]Sheet1!$H$9:$H$2584,[1]Sheet1!$I$9:$I$2584,"N/A",0)</f>
        <v>66.6</v>
      </c>
      <c r="M1410">
        <f>_xlfn.XLOOKUP($A1410,[1]Sheet1!$K$9:$K$2584,[1]Sheet1!$L$9:$L$2584,"N/A",0)</f>
        <v>143.39</v>
      </c>
      <c r="N1410">
        <f>_xlfn.XLOOKUP($A1410,[1]Sheet1!$N$9:$N$2584,[1]Sheet1!$O$9:$O$2584,"N/A",0)</f>
        <v>100.86</v>
      </c>
      <c r="O1410">
        <v>108.04</v>
      </c>
      <c r="P1410">
        <v>125.25</v>
      </c>
      <c r="Q1410">
        <v>66.6</v>
      </c>
      <c r="R1410">
        <v>100.86</v>
      </c>
      <c r="S1410">
        <v>143.39</v>
      </c>
    </row>
    <row r="1411" spans="1:19">
      <c r="A1411" s="1">
        <v>44413</v>
      </c>
      <c r="B1411" t="s">
        <v>644</v>
      </c>
      <c r="C1411" t="s">
        <v>659</v>
      </c>
      <c r="D1411">
        <v>19.3129</v>
      </c>
      <c r="E1411">
        <v>21.2892</v>
      </c>
      <c r="F1411" s="2" t="s">
        <v>662</v>
      </c>
      <c r="G1411">
        <f ca="1" t="shared" ref="G1411:G1474" si="66">IF(ROW()-ROW($A$3)+1&gt;252,(F1411-AVERAGE(OFFSET(F1411,-252,0,252,1)))/_xlfn.STDEV.S(OFFSET(F1411,-252,0,252,1)),"N/A")</f>
        <v>1.20354823595487</v>
      </c>
      <c r="H1411" t="str">
        <f ca="1" t="shared" ref="H1411:H1474" si="67">IF(G1411&lt;&gt;"N/A",IF(G1661&gt;-0.5,"Risk-On","Risk-Off"),"N/A")</f>
        <v>Risk-On</v>
      </c>
      <c r="I1411">
        <f ca="1" t="shared" si="65"/>
        <v>1</v>
      </c>
      <c r="J1411">
        <f>_xlfn.XLOOKUP($A1411,[1]Sheet1!$B$9:$B$2584,[1]Sheet1!$C$9:$C$2584,"N/A",0)</f>
        <v>107.23</v>
      </c>
      <c r="K1411">
        <f>_xlfn.XLOOKUP($A1411,[1]Sheet1!$E$9:$E$2584,[1]Sheet1!$F$9:$F$2584,"N/A",0)</f>
        <v>125.78</v>
      </c>
      <c r="L1411">
        <f>_xlfn.XLOOKUP($A1411,[1]Sheet1!$H$9:$H$2584,[1]Sheet1!$I$9:$I$2584,"N/A",0)</f>
        <v>66.03</v>
      </c>
      <c r="M1411">
        <f>_xlfn.XLOOKUP($A1411,[1]Sheet1!$K$9:$K$2584,[1]Sheet1!$L$9:$L$2584,"N/A",0)</f>
        <v>141.98</v>
      </c>
      <c r="N1411">
        <f>_xlfn.XLOOKUP($A1411,[1]Sheet1!$N$9:$N$2584,[1]Sheet1!$O$9:$O$2584,"N/A",0)</f>
        <v>99.86</v>
      </c>
      <c r="O1411">
        <v>107.23</v>
      </c>
      <c r="P1411">
        <v>125.78</v>
      </c>
      <c r="Q1411">
        <v>66.03</v>
      </c>
      <c r="R1411">
        <v>99.86</v>
      </c>
      <c r="S1411">
        <v>141.98</v>
      </c>
    </row>
    <row r="1412" spans="1:19">
      <c r="A1412" s="1">
        <v>44414</v>
      </c>
      <c r="B1412" t="s">
        <v>644</v>
      </c>
      <c r="C1412" t="s">
        <v>659</v>
      </c>
      <c r="D1412">
        <v>18.7024</v>
      </c>
      <c r="E1412">
        <v>20.751</v>
      </c>
      <c r="F1412" s="2" t="s">
        <v>663</v>
      </c>
      <c r="G1412">
        <f ca="1" t="shared" si="66"/>
        <v>1.42323204906485</v>
      </c>
      <c r="H1412" t="str">
        <f ca="1" t="shared" si="67"/>
        <v>Risk-On</v>
      </c>
      <c r="I1412">
        <f ca="1" t="shared" ref="I1412:I1475" si="68">IF(H1412&lt;&gt;"N/A",IF(H1662&gt;-0.5,1,0),0)</f>
        <v>1</v>
      </c>
      <c r="J1412">
        <f>_xlfn.XLOOKUP($A1412,[1]Sheet1!$B$9:$B$2584,[1]Sheet1!$C$9:$C$2584,"N/A",0)</f>
        <v>107.13</v>
      </c>
      <c r="K1412">
        <f>_xlfn.XLOOKUP($A1412,[1]Sheet1!$E$9:$E$2584,[1]Sheet1!$F$9:$F$2584,"N/A",0)</f>
        <v>126.74</v>
      </c>
      <c r="L1412">
        <f>_xlfn.XLOOKUP($A1412,[1]Sheet1!$H$9:$H$2584,[1]Sheet1!$I$9:$I$2584,"N/A",0)</f>
        <v>66.23</v>
      </c>
      <c r="M1412">
        <f>_xlfn.XLOOKUP($A1412,[1]Sheet1!$K$9:$K$2584,[1]Sheet1!$L$9:$L$2584,"N/A",0)</f>
        <v>141.53</v>
      </c>
      <c r="N1412">
        <f>_xlfn.XLOOKUP($A1412,[1]Sheet1!$N$9:$N$2584,[1]Sheet1!$O$9:$O$2584,"N/A",0)</f>
        <v>99.63</v>
      </c>
      <c r="O1412">
        <v>107.13</v>
      </c>
      <c r="P1412">
        <v>126.74</v>
      </c>
      <c r="Q1412">
        <v>66.23</v>
      </c>
      <c r="R1412">
        <v>99.63</v>
      </c>
      <c r="S1412">
        <v>141.53</v>
      </c>
    </row>
    <row r="1413" spans="1:19">
      <c r="A1413" s="1">
        <v>44417</v>
      </c>
      <c r="B1413" t="s">
        <v>644</v>
      </c>
      <c r="C1413" t="s">
        <v>659</v>
      </c>
      <c r="D1413">
        <v>18.4231</v>
      </c>
      <c r="E1413">
        <v>20.6867</v>
      </c>
      <c r="F1413" s="2" t="s">
        <v>664</v>
      </c>
      <c r="G1413">
        <f ca="1" t="shared" si="66"/>
        <v>1.82962622086937</v>
      </c>
      <c r="H1413" t="str">
        <f ca="1" t="shared" si="67"/>
        <v>Risk-On</v>
      </c>
      <c r="I1413">
        <f ca="1" t="shared" si="68"/>
        <v>1</v>
      </c>
      <c r="J1413">
        <f>_xlfn.XLOOKUP($A1413,[1]Sheet1!$B$9:$B$2584,[1]Sheet1!$C$9:$C$2584,"N/A",0)</f>
        <v>107.61</v>
      </c>
      <c r="K1413">
        <f>_xlfn.XLOOKUP($A1413,[1]Sheet1!$E$9:$E$2584,[1]Sheet1!$F$9:$F$2584,"N/A",0)</f>
        <v>127.56</v>
      </c>
      <c r="L1413">
        <f>_xlfn.XLOOKUP($A1413,[1]Sheet1!$H$9:$H$2584,[1]Sheet1!$I$9:$I$2584,"N/A",0)</f>
        <v>66.38</v>
      </c>
      <c r="M1413">
        <f>_xlfn.XLOOKUP($A1413,[1]Sheet1!$K$9:$K$2584,[1]Sheet1!$L$9:$L$2584,"N/A",0)</f>
        <v>140.98</v>
      </c>
      <c r="N1413">
        <f>_xlfn.XLOOKUP($A1413,[1]Sheet1!$N$9:$N$2584,[1]Sheet1!$O$9:$O$2584,"N/A",0)</f>
        <v>99.99</v>
      </c>
      <c r="O1413">
        <v>107.61</v>
      </c>
      <c r="P1413">
        <v>127.56</v>
      </c>
      <c r="Q1413">
        <v>66.38</v>
      </c>
      <c r="R1413">
        <v>99.99</v>
      </c>
      <c r="S1413">
        <v>140.98</v>
      </c>
    </row>
    <row r="1414" spans="1:19">
      <c r="A1414" s="1">
        <v>44418</v>
      </c>
      <c r="B1414" t="s">
        <v>644</v>
      </c>
      <c r="C1414" t="s">
        <v>659</v>
      </c>
      <c r="D1414">
        <v>17.9776</v>
      </c>
      <c r="E1414">
        <v>20.3456</v>
      </c>
      <c r="F1414" s="2" t="s">
        <v>665</v>
      </c>
      <c r="G1414">
        <f ca="1" t="shared" si="66"/>
        <v>2.09948331326923</v>
      </c>
      <c r="H1414" t="str">
        <f ca="1" t="shared" si="67"/>
        <v>Risk-On</v>
      </c>
      <c r="I1414">
        <f ca="1" t="shared" si="68"/>
        <v>1</v>
      </c>
      <c r="J1414">
        <f>_xlfn.XLOOKUP($A1414,[1]Sheet1!$B$9:$B$2584,[1]Sheet1!$C$9:$C$2584,"N/A",0)</f>
        <v>107.2</v>
      </c>
      <c r="K1414">
        <f>_xlfn.XLOOKUP($A1414,[1]Sheet1!$E$9:$E$2584,[1]Sheet1!$F$9:$F$2584,"N/A",0)</f>
        <v>129.04</v>
      </c>
      <c r="L1414">
        <f>_xlfn.XLOOKUP($A1414,[1]Sheet1!$H$9:$H$2584,[1]Sheet1!$I$9:$I$2584,"N/A",0)</f>
        <v>66.84</v>
      </c>
      <c r="M1414">
        <f>_xlfn.XLOOKUP($A1414,[1]Sheet1!$K$9:$K$2584,[1]Sheet1!$L$9:$L$2584,"N/A",0)</f>
        <v>140.11</v>
      </c>
      <c r="N1414">
        <f>_xlfn.XLOOKUP($A1414,[1]Sheet1!$N$9:$N$2584,[1]Sheet1!$O$9:$O$2584,"N/A",0)</f>
        <v>100.2</v>
      </c>
      <c r="O1414">
        <v>107.2</v>
      </c>
      <c r="P1414">
        <v>129.04</v>
      </c>
      <c r="Q1414">
        <v>66.84</v>
      </c>
      <c r="R1414">
        <v>100.2</v>
      </c>
      <c r="S1414">
        <v>140.11</v>
      </c>
    </row>
    <row r="1415" spans="1:19">
      <c r="A1415" s="1">
        <v>44419</v>
      </c>
      <c r="B1415" t="s">
        <v>644</v>
      </c>
      <c r="C1415" t="s">
        <v>659</v>
      </c>
      <c r="D1415">
        <v>17.4443</v>
      </c>
      <c r="E1415">
        <v>19.7318</v>
      </c>
      <c r="F1415" s="2" t="s">
        <v>666</v>
      </c>
      <c r="G1415">
        <f ca="1" t="shared" si="66"/>
        <v>2.0815635160736</v>
      </c>
      <c r="H1415" t="str">
        <f ca="1" t="shared" si="67"/>
        <v>Risk-On</v>
      </c>
      <c r="I1415">
        <f ca="1" t="shared" si="68"/>
        <v>1</v>
      </c>
      <c r="J1415">
        <f>_xlfn.XLOOKUP($A1415,[1]Sheet1!$B$9:$B$2584,[1]Sheet1!$C$9:$C$2584,"N/A",0)</f>
        <v>106.99</v>
      </c>
      <c r="K1415">
        <f>_xlfn.XLOOKUP($A1415,[1]Sheet1!$E$9:$E$2584,[1]Sheet1!$F$9:$F$2584,"N/A",0)</f>
        <v>128.85</v>
      </c>
      <c r="L1415">
        <f>_xlfn.XLOOKUP($A1415,[1]Sheet1!$H$9:$H$2584,[1]Sheet1!$I$9:$I$2584,"N/A",0)</f>
        <v>67.15</v>
      </c>
      <c r="M1415">
        <f>_xlfn.XLOOKUP($A1415,[1]Sheet1!$K$9:$K$2584,[1]Sheet1!$L$9:$L$2584,"N/A",0)</f>
        <v>140.05</v>
      </c>
      <c r="N1415">
        <f>_xlfn.XLOOKUP($A1415,[1]Sheet1!$N$9:$N$2584,[1]Sheet1!$O$9:$O$2584,"N/A",0)</f>
        <v>100.61</v>
      </c>
      <c r="O1415">
        <v>106.99</v>
      </c>
      <c r="P1415">
        <v>128.85</v>
      </c>
      <c r="Q1415">
        <v>67.15</v>
      </c>
      <c r="R1415">
        <v>100.61</v>
      </c>
      <c r="S1415">
        <v>140.05</v>
      </c>
    </row>
    <row r="1416" spans="1:19">
      <c r="A1416" s="1">
        <v>44420</v>
      </c>
      <c r="B1416" t="s">
        <v>644</v>
      </c>
      <c r="C1416" t="s">
        <v>659</v>
      </c>
      <c r="D1416">
        <v>17.0028</v>
      </c>
      <c r="E1416">
        <v>19.3979</v>
      </c>
      <c r="F1416" s="2" t="s">
        <v>667</v>
      </c>
      <c r="G1416">
        <f ca="1" t="shared" si="66"/>
        <v>2.37829017481493</v>
      </c>
      <c r="H1416" t="str">
        <f ca="1" t="shared" si="67"/>
        <v>Risk-On</v>
      </c>
      <c r="I1416">
        <f ca="1" t="shared" si="68"/>
        <v>1</v>
      </c>
      <c r="J1416">
        <f>_xlfn.XLOOKUP($A1416,[1]Sheet1!$B$9:$B$2584,[1]Sheet1!$C$9:$C$2584,"N/A",0)</f>
        <v>106.91</v>
      </c>
      <c r="K1416">
        <f>_xlfn.XLOOKUP($A1416,[1]Sheet1!$E$9:$E$2584,[1]Sheet1!$F$9:$F$2584,"N/A",0)</f>
        <v>129.14</v>
      </c>
      <c r="L1416">
        <f>_xlfn.XLOOKUP($A1416,[1]Sheet1!$H$9:$H$2584,[1]Sheet1!$I$9:$I$2584,"N/A",0)</f>
        <v>66.85</v>
      </c>
      <c r="M1416">
        <f>_xlfn.XLOOKUP($A1416,[1]Sheet1!$K$9:$K$2584,[1]Sheet1!$L$9:$L$2584,"N/A",0)</f>
        <v>139.9</v>
      </c>
      <c r="N1416">
        <f>_xlfn.XLOOKUP($A1416,[1]Sheet1!$N$9:$N$2584,[1]Sheet1!$O$9:$O$2584,"N/A",0)</f>
        <v>100.66</v>
      </c>
      <c r="O1416">
        <v>106.91</v>
      </c>
      <c r="P1416">
        <v>129.14</v>
      </c>
      <c r="Q1416">
        <v>66.85</v>
      </c>
      <c r="R1416">
        <v>100.66</v>
      </c>
      <c r="S1416">
        <v>139.9</v>
      </c>
    </row>
    <row r="1417" spans="1:19">
      <c r="A1417" s="1">
        <v>44421</v>
      </c>
      <c r="B1417" t="s">
        <v>644</v>
      </c>
      <c r="C1417" t="s">
        <v>659</v>
      </c>
      <c r="D1417">
        <v>16.631</v>
      </c>
      <c r="E1417">
        <v>19.486</v>
      </c>
      <c r="F1417" s="2" t="s">
        <v>668</v>
      </c>
      <c r="G1417">
        <f ca="1" t="shared" si="66"/>
        <v>3.31731428051052</v>
      </c>
      <c r="H1417" t="str">
        <f ca="1" t="shared" si="67"/>
        <v>Risk-On</v>
      </c>
      <c r="I1417">
        <f ca="1" t="shared" si="68"/>
        <v>1</v>
      </c>
      <c r="J1417">
        <f>_xlfn.XLOOKUP($A1417,[1]Sheet1!$B$9:$B$2584,[1]Sheet1!$C$9:$C$2584,"N/A",0)</f>
        <v>107.38</v>
      </c>
      <c r="K1417">
        <f>_xlfn.XLOOKUP($A1417,[1]Sheet1!$E$9:$E$2584,[1]Sheet1!$F$9:$F$2584,"N/A",0)</f>
        <v>128.22</v>
      </c>
      <c r="L1417">
        <f>_xlfn.XLOOKUP($A1417,[1]Sheet1!$H$9:$H$2584,[1]Sheet1!$I$9:$I$2584,"N/A",0)</f>
        <v>66.83</v>
      </c>
      <c r="M1417">
        <f>_xlfn.XLOOKUP($A1417,[1]Sheet1!$K$9:$K$2584,[1]Sheet1!$L$9:$L$2584,"N/A",0)</f>
        <v>140.07</v>
      </c>
      <c r="N1417">
        <f>_xlfn.XLOOKUP($A1417,[1]Sheet1!$N$9:$N$2584,[1]Sheet1!$O$9:$O$2584,"N/A",0)</f>
        <v>101.4</v>
      </c>
      <c r="O1417">
        <v>107.38</v>
      </c>
      <c r="P1417">
        <v>128.22</v>
      </c>
      <c r="Q1417">
        <v>66.83</v>
      </c>
      <c r="R1417">
        <v>101.4</v>
      </c>
      <c r="S1417">
        <v>140.07</v>
      </c>
    </row>
    <row r="1418" spans="1:19">
      <c r="A1418" s="1">
        <v>44424</v>
      </c>
      <c r="B1418" t="s">
        <v>644</v>
      </c>
      <c r="C1418" t="s">
        <v>659</v>
      </c>
      <c r="D1418">
        <v>16.504</v>
      </c>
      <c r="E1418">
        <v>19.6237</v>
      </c>
      <c r="F1418" s="2" t="s">
        <v>669</v>
      </c>
      <c r="G1418">
        <f ca="1" t="shared" si="66"/>
        <v>3.84652811133797</v>
      </c>
      <c r="H1418" t="str">
        <f ca="1" t="shared" si="67"/>
        <v>Risk-On</v>
      </c>
      <c r="I1418">
        <f ca="1" t="shared" si="68"/>
        <v>1</v>
      </c>
      <c r="J1418">
        <f>_xlfn.XLOOKUP($A1418,[1]Sheet1!$B$9:$B$2584,[1]Sheet1!$C$9:$C$2584,"N/A",0)</f>
        <v>106.9</v>
      </c>
      <c r="K1418">
        <f>_xlfn.XLOOKUP($A1418,[1]Sheet1!$E$9:$E$2584,[1]Sheet1!$F$9:$F$2584,"N/A",0)</f>
        <v>128.35</v>
      </c>
      <c r="L1418">
        <f>_xlfn.XLOOKUP($A1418,[1]Sheet1!$H$9:$H$2584,[1]Sheet1!$I$9:$I$2584,"N/A",0)</f>
        <v>67.02</v>
      </c>
      <c r="M1418">
        <f>_xlfn.XLOOKUP($A1418,[1]Sheet1!$K$9:$K$2584,[1]Sheet1!$L$9:$L$2584,"N/A",0)</f>
        <v>141.73</v>
      </c>
      <c r="N1418">
        <f>_xlfn.XLOOKUP($A1418,[1]Sheet1!$N$9:$N$2584,[1]Sheet1!$O$9:$O$2584,"N/A",0)</f>
        <v>102.14</v>
      </c>
      <c r="O1418">
        <v>106.9</v>
      </c>
      <c r="P1418">
        <v>128.35</v>
      </c>
      <c r="Q1418">
        <v>67.02</v>
      </c>
      <c r="R1418">
        <v>102.14</v>
      </c>
      <c r="S1418">
        <v>141.73</v>
      </c>
    </row>
    <row r="1419" spans="1:19">
      <c r="A1419" s="1">
        <v>44425</v>
      </c>
      <c r="B1419" t="s">
        <v>644</v>
      </c>
      <c r="C1419" t="s">
        <v>659</v>
      </c>
      <c r="D1419">
        <v>17.5787</v>
      </c>
      <c r="E1419">
        <v>20.1697</v>
      </c>
      <c r="F1419" s="2" t="s">
        <v>670</v>
      </c>
      <c r="G1419">
        <f ca="1" t="shared" si="66"/>
        <v>2.5773377030514</v>
      </c>
      <c r="H1419" t="str">
        <f ca="1" t="shared" si="67"/>
        <v>Risk-On</v>
      </c>
      <c r="I1419">
        <f ca="1" t="shared" si="68"/>
        <v>1</v>
      </c>
      <c r="J1419">
        <f>_xlfn.XLOOKUP($A1419,[1]Sheet1!$B$9:$B$2584,[1]Sheet1!$C$9:$C$2584,"N/A",0)</f>
        <v>106.79</v>
      </c>
      <c r="K1419">
        <f>_xlfn.XLOOKUP($A1419,[1]Sheet1!$E$9:$E$2584,[1]Sheet1!$F$9:$F$2584,"N/A",0)</f>
        <v>127.53</v>
      </c>
      <c r="L1419">
        <f>_xlfn.XLOOKUP($A1419,[1]Sheet1!$H$9:$H$2584,[1]Sheet1!$I$9:$I$2584,"N/A",0)</f>
        <v>66.67</v>
      </c>
      <c r="M1419">
        <f>_xlfn.XLOOKUP($A1419,[1]Sheet1!$K$9:$K$2584,[1]Sheet1!$L$9:$L$2584,"N/A",0)</f>
        <v>141.67</v>
      </c>
      <c r="N1419">
        <f>_xlfn.XLOOKUP($A1419,[1]Sheet1!$N$9:$N$2584,[1]Sheet1!$O$9:$O$2584,"N/A",0)</f>
        <v>102.2</v>
      </c>
      <c r="O1419">
        <v>106.79</v>
      </c>
      <c r="P1419">
        <v>127.53</v>
      </c>
      <c r="Q1419">
        <v>66.67</v>
      </c>
      <c r="R1419">
        <v>102.2</v>
      </c>
      <c r="S1419">
        <v>141.67</v>
      </c>
    </row>
    <row r="1420" spans="1:19">
      <c r="A1420" s="1">
        <v>44426</v>
      </c>
      <c r="B1420" t="s">
        <v>644</v>
      </c>
      <c r="C1420" t="s">
        <v>659</v>
      </c>
      <c r="D1420">
        <v>18.58</v>
      </c>
      <c r="E1420">
        <v>21.7058</v>
      </c>
      <c r="F1420" s="2" t="s">
        <v>671</v>
      </c>
      <c r="G1420">
        <f ca="1" t="shared" si="66"/>
        <v>3.21266653433572</v>
      </c>
      <c r="H1420" t="str">
        <f ca="1" t="shared" si="67"/>
        <v>Risk-On</v>
      </c>
      <c r="I1420">
        <f ca="1" t="shared" si="68"/>
        <v>1</v>
      </c>
      <c r="J1420">
        <f>_xlfn.XLOOKUP($A1420,[1]Sheet1!$B$9:$B$2584,[1]Sheet1!$C$9:$C$2584,"N/A",0)</f>
        <v>107.17</v>
      </c>
      <c r="K1420">
        <f>_xlfn.XLOOKUP($A1420,[1]Sheet1!$E$9:$E$2584,[1]Sheet1!$F$9:$F$2584,"N/A",0)</f>
        <v>127.5</v>
      </c>
      <c r="L1420">
        <f>_xlfn.XLOOKUP($A1420,[1]Sheet1!$H$9:$H$2584,[1]Sheet1!$I$9:$I$2584,"N/A",0)</f>
        <v>66.48</v>
      </c>
      <c r="M1420">
        <f>_xlfn.XLOOKUP($A1420,[1]Sheet1!$K$9:$K$2584,[1]Sheet1!$L$9:$L$2584,"N/A",0)</f>
        <v>141.43</v>
      </c>
      <c r="N1420">
        <f>_xlfn.XLOOKUP($A1420,[1]Sheet1!$N$9:$N$2584,[1]Sheet1!$O$9:$O$2584,"N/A",0)</f>
        <v>102.07</v>
      </c>
      <c r="O1420">
        <v>107.17</v>
      </c>
      <c r="P1420">
        <v>127.5</v>
      </c>
      <c r="Q1420">
        <v>66.48</v>
      </c>
      <c r="R1420">
        <v>102.07</v>
      </c>
      <c r="S1420">
        <v>141.43</v>
      </c>
    </row>
    <row r="1421" spans="1:19">
      <c r="A1421" s="1">
        <v>44427</v>
      </c>
      <c r="B1421" t="s">
        <v>659</v>
      </c>
      <c r="C1421" t="s">
        <v>672</v>
      </c>
      <c r="D1421">
        <v>22.346</v>
      </c>
      <c r="E1421">
        <v>23.1773</v>
      </c>
      <c r="F1421">
        <v>0.0372012888212655</v>
      </c>
      <c r="G1421">
        <f ca="1" t="shared" si="66"/>
        <v>-0.781949404952743</v>
      </c>
      <c r="H1421" t="str">
        <f ca="1" t="shared" si="67"/>
        <v>Risk-On</v>
      </c>
      <c r="I1421">
        <f ca="1" t="shared" si="68"/>
        <v>1</v>
      </c>
      <c r="J1421">
        <f>_xlfn.XLOOKUP($A1421,[1]Sheet1!$B$9:$B$2584,[1]Sheet1!$C$9:$C$2584,"N/A",0)</f>
        <v>106.58</v>
      </c>
      <c r="K1421">
        <f>_xlfn.XLOOKUP($A1421,[1]Sheet1!$E$9:$E$2584,[1]Sheet1!$F$9:$F$2584,"N/A",0)</f>
        <v>126.61</v>
      </c>
      <c r="L1421">
        <f>_xlfn.XLOOKUP($A1421,[1]Sheet1!$H$9:$H$2584,[1]Sheet1!$I$9:$I$2584,"N/A",0)</f>
        <v>65.66</v>
      </c>
      <c r="M1421">
        <f>_xlfn.XLOOKUP($A1421,[1]Sheet1!$K$9:$K$2584,[1]Sheet1!$L$9:$L$2584,"N/A",0)</f>
        <v>143.31</v>
      </c>
      <c r="N1421">
        <f>_xlfn.XLOOKUP($A1421,[1]Sheet1!$N$9:$N$2584,[1]Sheet1!$O$9:$O$2584,"N/A",0)</f>
        <v>102.79</v>
      </c>
      <c r="O1421">
        <v>106.58</v>
      </c>
      <c r="P1421">
        <v>126.61</v>
      </c>
      <c r="Q1421">
        <v>65.66</v>
      </c>
      <c r="R1421">
        <v>102.79</v>
      </c>
      <c r="S1421">
        <v>143.31</v>
      </c>
    </row>
    <row r="1422" spans="1:19">
      <c r="A1422" s="1">
        <v>44428</v>
      </c>
      <c r="B1422" t="s">
        <v>659</v>
      </c>
      <c r="C1422" t="s">
        <v>672</v>
      </c>
      <c r="D1422">
        <v>20.5273</v>
      </c>
      <c r="E1422">
        <v>22.1551</v>
      </c>
      <c r="F1422">
        <v>0.0792992746245244</v>
      </c>
      <c r="G1422">
        <f ca="1" t="shared" si="66"/>
        <v>0.50768674152254</v>
      </c>
      <c r="H1422" t="str">
        <f ca="1" t="shared" si="67"/>
        <v>Risk-On</v>
      </c>
      <c r="I1422">
        <f ca="1" t="shared" si="68"/>
        <v>1</v>
      </c>
      <c r="J1422">
        <f>_xlfn.XLOOKUP($A1422,[1]Sheet1!$B$9:$B$2584,[1]Sheet1!$C$9:$C$2584,"N/A",0)</f>
        <v>106.82</v>
      </c>
      <c r="K1422">
        <f>_xlfn.XLOOKUP($A1422,[1]Sheet1!$E$9:$E$2584,[1]Sheet1!$F$9:$F$2584,"N/A",0)</f>
        <v>126.82</v>
      </c>
      <c r="L1422">
        <f>_xlfn.XLOOKUP($A1422,[1]Sheet1!$H$9:$H$2584,[1]Sheet1!$I$9:$I$2584,"N/A",0)</f>
        <v>65.41</v>
      </c>
      <c r="M1422">
        <f>_xlfn.XLOOKUP($A1422,[1]Sheet1!$K$9:$K$2584,[1]Sheet1!$L$9:$L$2584,"N/A",0)</f>
        <v>143.2</v>
      </c>
      <c r="N1422">
        <f>_xlfn.XLOOKUP($A1422,[1]Sheet1!$N$9:$N$2584,[1]Sheet1!$O$9:$O$2584,"N/A",0)</f>
        <v>102.18</v>
      </c>
      <c r="O1422">
        <v>106.82</v>
      </c>
      <c r="P1422">
        <v>126.82</v>
      </c>
      <c r="Q1422">
        <v>65.41</v>
      </c>
      <c r="R1422">
        <v>102.18</v>
      </c>
      <c r="S1422">
        <v>143.2</v>
      </c>
    </row>
    <row r="1423" spans="1:19">
      <c r="A1423" s="1">
        <v>44431</v>
      </c>
      <c r="B1423" t="s">
        <v>659</v>
      </c>
      <c r="C1423" t="s">
        <v>672</v>
      </c>
      <c r="D1423">
        <v>19.8468</v>
      </c>
      <c r="E1423">
        <v>21.6622</v>
      </c>
      <c r="F1423">
        <v>0.0914706652961684</v>
      </c>
      <c r="G1423">
        <f ca="1" t="shared" si="66"/>
        <v>0.878003700623084</v>
      </c>
      <c r="H1423" t="str">
        <f ca="1" t="shared" si="67"/>
        <v>Risk-On</v>
      </c>
      <c r="I1423">
        <f ca="1" t="shared" si="68"/>
        <v>1</v>
      </c>
      <c r="J1423">
        <f>_xlfn.XLOOKUP($A1423,[1]Sheet1!$B$9:$B$2584,[1]Sheet1!$C$9:$C$2584,"N/A",0)</f>
        <v>107.41</v>
      </c>
      <c r="K1423">
        <f>_xlfn.XLOOKUP($A1423,[1]Sheet1!$E$9:$E$2584,[1]Sheet1!$F$9:$F$2584,"N/A",0)</f>
        <v>126.34</v>
      </c>
      <c r="L1423">
        <f>_xlfn.XLOOKUP($A1423,[1]Sheet1!$H$9:$H$2584,[1]Sheet1!$I$9:$I$2584,"N/A",0)</f>
        <v>65.46</v>
      </c>
      <c r="M1423">
        <f>_xlfn.XLOOKUP($A1423,[1]Sheet1!$K$9:$K$2584,[1]Sheet1!$L$9:$L$2584,"N/A",0)</f>
        <v>141.86</v>
      </c>
      <c r="N1423">
        <f>_xlfn.XLOOKUP($A1423,[1]Sheet1!$N$9:$N$2584,[1]Sheet1!$O$9:$O$2584,"N/A",0)</f>
        <v>101.64</v>
      </c>
      <c r="O1423">
        <v>107.41</v>
      </c>
      <c r="P1423">
        <v>126.34</v>
      </c>
      <c r="Q1423">
        <v>65.46</v>
      </c>
      <c r="R1423">
        <v>101.64</v>
      </c>
      <c r="S1423">
        <v>141.86</v>
      </c>
    </row>
    <row r="1424" spans="1:19">
      <c r="A1424" s="1">
        <v>44432</v>
      </c>
      <c r="B1424" t="s">
        <v>659</v>
      </c>
      <c r="C1424" t="s">
        <v>672</v>
      </c>
      <c r="D1424">
        <v>19.7306</v>
      </c>
      <c r="E1424">
        <v>21.6582</v>
      </c>
      <c r="F1424">
        <v>0.0976959646437514</v>
      </c>
      <c r="G1424">
        <f ca="1" t="shared" si="66"/>
        <v>1.06329372015125</v>
      </c>
      <c r="H1424" t="str">
        <f ca="1" t="shared" si="67"/>
        <v>Risk-On</v>
      </c>
      <c r="I1424">
        <f ca="1" t="shared" si="68"/>
        <v>1</v>
      </c>
      <c r="J1424">
        <f>_xlfn.XLOOKUP($A1424,[1]Sheet1!$B$9:$B$2584,[1]Sheet1!$C$9:$C$2584,"N/A",0)</f>
        <v>107.62</v>
      </c>
      <c r="K1424">
        <f>_xlfn.XLOOKUP($A1424,[1]Sheet1!$E$9:$E$2584,[1]Sheet1!$F$9:$F$2584,"N/A",0)</f>
        <v>126.17</v>
      </c>
      <c r="L1424">
        <f>_xlfn.XLOOKUP($A1424,[1]Sheet1!$H$9:$H$2584,[1]Sheet1!$I$9:$I$2584,"N/A",0)</f>
        <v>65.15</v>
      </c>
      <c r="M1424">
        <f>_xlfn.XLOOKUP($A1424,[1]Sheet1!$K$9:$K$2584,[1]Sheet1!$L$9:$L$2584,"N/A",0)</f>
        <v>140.95</v>
      </c>
      <c r="N1424">
        <f>_xlfn.XLOOKUP($A1424,[1]Sheet1!$N$9:$N$2584,[1]Sheet1!$O$9:$O$2584,"N/A",0)</f>
        <v>101.36</v>
      </c>
      <c r="O1424">
        <v>107.62</v>
      </c>
      <c r="P1424">
        <v>126.17</v>
      </c>
      <c r="Q1424">
        <v>65.15</v>
      </c>
      <c r="R1424">
        <v>101.36</v>
      </c>
      <c r="S1424">
        <v>140.95</v>
      </c>
    </row>
    <row r="1425" spans="1:19">
      <c r="A1425" s="1">
        <v>44433</v>
      </c>
      <c r="B1425" t="s">
        <v>659</v>
      </c>
      <c r="C1425" t="s">
        <v>672</v>
      </c>
      <c r="D1425">
        <v>19.2328</v>
      </c>
      <c r="E1425">
        <v>21.2899</v>
      </c>
      <c r="F1425" s="2" t="s">
        <v>673</v>
      </c>
      <c r="G1425">
        <f ca="1" t="shared" si="66"/>
        <v>1.33907035530489</v>
      </c>
      <c r="H1425" t="str">
        <f ca="1" t="shared" si="67"/>
        <v>Risk-On</v>
      </c>
      <c r="I1425">
        <f ca="1" t="shared" si="68"/>
        <v>1</v>
      </c>
      <c r="J1425">
        <f>_xlfn.XLOOKUP($A1425,[1]Sheet1!$B$9:$B$2584,[1]Sheet1!$C$9:$C$2584,"N/A",0)</f>
        <v>107.47</v>
      </c>
      <c r="K1425">
        <f>_xlfn.XLOOKUP($A1425,[1]Sheet1!$E$9:$E$2584,[1]Sheet1!$F$9:$F$2584,"N/A",0)</f>
        <v>126.85</v>
      </c>
      <c r="L1425">
        <f>_xlfn.XLOOKUP($A1425,[1]Sheet1!$H$9:$H$2584,[1]Sheet1!$I$9:$I$2584,"N/A",0)</f>
        <v>65.07</v>
      </c>
      <c r="M1425">
        <f>_xlfn.XLOOKUP($A1425,[1]Sheet1!$K$9:$K$2584,[1]Sheet1!$L$9:$L$2584,"N/A",0)</f>
        <v>141.33</v>
      </c>
      <c r="N1425">
        <f>_xlfn.XLOOKUP($A1425,[1]Sheet1!$N$9:$N$2584,[1]Sheet1!$O$9:$O$2584,"N/A",0)</f>
        <v>101.31</v>
      </c>
      <c r="O1425">
        <v>107.47</v>
      </c>
      <c r="P1425">
        <v>126.85</v>
      </c>
      <c r="Q1425">
        <v>65.07</v>
      </c>
      <c r="R1425">
        <v>101.31</v>
      </c>
      <c r="S1425">
        <v>141.33</v>
      </c>
    </row>
    <row r="1426" spans="1:19">
      <c r="A1426" s="1">
        <v>44434</v>
      </c>
      <c r="B1426" t="s">
        <v>659</v>
      </c>
      <c r="C1426" t="s">
        <v>672</v>
      </c>
      <c r="D1426">
        <v>20.1229</v>
      </c>
      <c r="E1426">
        <v>21.9501</v>
      </c>
      <c r="F1426">
        <v>0.0908020215774067</v>
      </c>
      <c r="G1426">
        <f ca="1" t="shared" si="66"/>
        <v>0.844354748237464</v>
      </c>
      <c r="H1426" t="str">
        <f ca="1" t="shared" si="67"/>
        <v>Risk-On</v>
      </c>
      <c r="I1426">
        <f ca="1" t="shared" si="68"/>
        <v>1</v>
      </c>
      <c r="J1426">
        <f>_xlfn.XLOOKUP($A1426,[1]Sheet1!$B$9:$B$2584,[1]Sheet1!$C$9:$C$2584,"N/A",0)</f>
        <v>107.53</v>
      </c>
      <c r="K1426">
        <f>_xlfn.XLOOKUP($A1426,[1]Sheet1!$E$9:$E$2584,[1]Sheet1!$F$9:$F$2584,"N/A",0)</f>
        <v>127.24</v>
      </c>
      <c r="L1426">
        <f>_xlfn.XLOOKUP($A1426,[1]Sheet1!$H$9:$H$2584,[1]Sheet1!$I$9:$I$2584,"N/A",0)</f>
        <v>64.97</v>
      </c>
      <c r="M1426">
        <f>_xlfn.XLOOKUP($A1426,[1]Sheet1!$K$9:$K$2584,[1]Sheet1!$L$9:$L$2584,"N/A",0)</f>
        <v>141.76</v>
      </c>
      <c r="N1426">
        <f>_xlfn.XLOOKUP($A1426,[1]Sheet1!$N$9:$N$2584,[1]Sheet1!$O$9:$O$2584,"N/A",0)</f>
        <v>101.51</v>
      </c>
      <c r="O1426">
        <v>107.53</v>
      </c>
      <c r="P1426">
        <v>127.24</v>
      </c>
      <c r="Q1426">
        <v>64.97</v>
      </c>
      <c r="R1426">
        <v>101.51</v>
      </c>
      <c r="S1426">
        <v>141.76</v>
      </c>
    </row>
    <row r="1427" spans="1:19">
      <c r="A1427" s="1">
        <v>44435</v>
      </c>
      <c r="B1427" t="s">
        <v>659</v>
      </c>
      <c r="C1427" t="s">
        <v>672</v>
      </c>
      <c r="D1427">
        <v>18.9529</v>
      </c>
      <c r="E1427">
        <v>21.1309</v>
      </c>
      <c r="F1427" s="2" t="s">
        <v>674</v>
      </c>
      <c r="G1427">
        <f ca="1" t="shared" si="66"/>
        <v>1.57855012911811</v>
      </c>
      <c r="H1427" t="str">
        <f ca="1" t="shared" si="67"/>
        <v>Risk-On</v>
      </c>
      <c r="I1427">
        <f ca="1" t="shared" si="68"/>
        <v>1</v>
      </c>
      <c r="J1427">
        <f>_xlfn.XLOOKUP($A1427,[1]Sheet1!$B$9:$B$2584,[1]Sheet1!$C$9:$C$2584,"N/A",0)</f>
        <v>107.36</v>
      </c>
      <c r="K1427">
        <f>_xlfn.XLOOKUP($A1427,[1]Sheet1!$E$9:$E$2584,[1]Sheet1!$F$9:$F$2584,"N/A",0)</f>
        <v>127.02</v>
      </c>
      <c r="L1427">
        <f>_xlfn.XLOOKUP($A1427,[1]Sheet1!$H$9:$H$2584,[1]Sheet1!$I$9:$I$2584,"N/A",0)</f>
        <v>64.88</v>
      </c>
      <c r="M1427">
        <f>_xlfn.XLOOKUP($A1427,[1]Sheet1!$K$9:$K$2584,[1]Sheet1!$L$9:$L$2584,"N/A",0)</f>
        <v>141.49</v>
      </c>
      <c r="N1427">
        <f>_xlfn.XLOOKUP($A1427,[1]Sheet1!$N$9:$N$2584,[1]Sheet1!$O$9:$O$2584,"N/A",0)</f>
        <v>100.3</v>
      </c>
      <c r="O1427">
        <v>107.36</v>
      </c>
      <c r="P1427">
        <v>127.02</v>
      </c>
      <c r="Q1427">
        <v>64.88</v>
      </c>
      <c r="R1427">
        <v>100.3</v>
      </c>
      <c r="S1427">
        <v>141.49</v>
      </c>
    </row>
    <row r="1428" spans="1:19">
      <c r="A1428" s="1">
        <v>44438</v>
      </c>
      <c r="B1428" t="s">
        <v>659</v>
      </c>
      <c r="C1428" t="s">
        <v>672</v>
      </c>
      <c r="D1428">
        <v>18.746</v>
      </c>
      <c r="E1428">
        <v>20.9491</v>
      </c>
      <c r="F1428" s="2" t="s">
        <v>675</v>
      </c>
      <c r="G1428">
        <f ca="1" t="shared" si="66"/>
        <v>1.65846996477559</v>
      </c>
      <c r="H1428" t="str">
        <f ca="1" t="shared" si="67"/>
        <v>Risk-On</v>
      </c>
      <c r="I1428">
        <f ca="1" t="shared" si="68"/>
        <v>1</v>
      </c>
      <c r="J1428">
        <f>_xlfn.XLOOKUP($A1428,[1]Sheet1!$B$9:$B$2584,[1]Sheet1!$C$9:$C$2584,"N/A",0)</f>
        <v>107.4</v>
      </c>
      <c r="K1428">
        <f>_xlfn.XLOOKUP($A1428,[1]Sheet1!$E$9:$E$2584,[1]Sheet1!$F$9:$F$2584,"N/A",0)</f>
        <v>127.08</v>
      </c>
      <c r="L1428">
        <f>_xlfn.XLOOKUP($A1428,[1]Sheet1!$H$9:$H$2584,[1]Sheet1!$I$9:$I$2584,"N/A",0)</f>
        <v>64.57</v>
      </c>
      <c r="M1428">
        <f>_xlfn.XLOOKUP($A1428,[1]Sheet1!$K$9:$K$2584,[1]Sheet1!$L$9:$L$2584,"N/A",0)</f>
        <v>142.31</v>
      </c>
      <c r="N1428">
        <f>_xlfn.XLOOKUP($A1428,[1]Sheet1!$N$9:$N$2584,[1]Sheet1!$O$9:$O$2584,"N/A",0)</f>
        <v>100.48</v>
      </c>
      <c r="O1428">
        <v>107.4</v>
      </c>
      <c r="P1428">
        <v>127.08</v>
      </c>
      <c r="Q1428">
        <v>64.57</v>
      </c>
      <c r="R1428">
        <v>100.48</v>
      </c>
      <c r="S1428">
        <v>142.31</v>
      </c>
    </row>
    <row r="1429" spans="1:19">
      <c r="A1429" s="1">
        <v>44439</v>
      </c>
      <c r="B1429" t="s">
        <v>659</v>
      </c>
      <c r="C1429" t="s">
        <v>672</v>
      </c>
      <c r="D1429">
        <v>18.6212</v>
      </c>
      <c r="E1429">
        <v>20.9074</v>
      </c>
      <c r="F1429" s="2" t="s">
        <v>676</v>
      </c>
      <c r="G1429">
        <f ca="1" t="shared" si="66"/>
        <v>1.81940481424839</v>
      </c>
      <c r="H1429" t="str">
        <f ca="1" t="shared" si="67"/>
        <v>Risk-On</v>
      </c>
      <c r="I1429">
        <f ca="1" t="shared" si="68"/>
        <v>1</v>
      </c>
      <c r="J1429">
        <f>_xlfn.XLOOKUP($A1429,[1]Sheet1!$B$9:$B$2584,[1]Sheet1!$C$9:$C$2584,"N/A",0)</f>
        <v>107.29</v>
      </c>
      <c r="K1429">
        <f>_xlfn.XLOOKUP($A1429,[1]Sheet1!$E$9:$E$2584,[1]Sheet1!$F$9:$F$2584,"N/A",0)</f>
        <v>126.69</v>
      </c>
      <c r="L1429">
        <f>_xlfn.XLOOKUP($A1429,[1]Sheet1!$H$9:$H$2584,[1]Sheet1!$I$9:$I$2584,"N/A",0)</f>
        <v>64.67</v>
      </c>
      <c r="M1429">
        <f>_xlfn.XLOOKUP($A1429,[1]Sheet1!$K$9:$K$2584,[1]Sheet1!$L$9:$L$2584,"N/A",0)</f>
        <v>141.58</v>
      </c>
      <c r="N1429">
        <f>_xlfn.XLOOKUP($A1429,[1]Sheet1!$N$9:$N$2584,[1]Sheet1!$O$9:$O$2584,"N/A",0)</f>
        <v>100.23</v>
      </c>
      <c r="O1429">
        <v>107.29</v>
      </c>
      <c r="P1429">
        <v>126.69</v>
      </c>
      <c r="Q1429">
        <v>64.67</v>
      </c>
      <c r="R1429">
        <v>100.23</v>
      </c>
      <c r="S1429">
        <v>141.58</v>
      </c>
    </row>
    <row r="1430" spans="1:19">
      <c r="A1430" s="1">
        <v>44440</v>
      </c>
      <c r="B1430" t="s">
        <v>659</v>
      </c>
      <c r="C1430" t="s">
        <v>672</v>
      </c>
      <c r="D1430">
        <v>18.0805</v>
      </c>
      <c r="E1430">
        <v>20.446</v>
      </c>
      <c r="F1430" s="2" t="s">
        <v>677</v>
      </c>
      <c r="G1430">
        <f ca="1" t="shared" si="66"/>
        <v>2.06638768645877</v>
      </c>
      <c r="H1430" t="str">
        <f ca="1" t="shared" si="67"/>
        <v>Risk-On</v>
      </c>
      <c r="I1430">
        <f ca="1" t="shared" si="68"/>
        <v>1</v>
      </c>
      <c r="J1430">
        <f>_xlfn.XLOOKUP($A1430,[1]Sheet1!$B$9:$B$2584,[1]Sheet1!$C$9:$C$2584,"N/A",0)</f>
        <v>107.04</v>
      </c>
      <c r="K1430">
        <f>_xlfn.XLOOKUP($A1430,[1]Sheet1!$E$9:$E$2584,[1]Sheet1!$F$9:$F$2584,"N/A",0)</f>
        <v>126.83</v>
      </c>
      <c r="L1430">
        <f>_xlfn.XLOOKUP($A1430,[1]Sheet1!$H$9:$H$2584,[1]Sheet1!$I$9:$I$2584,"N/A",0)</f>
        <v>63.96</v>
      </c>
      <c r="M1430">
        <f>_xlfn.XLOOKUP($A1430,[1]Sheet1!$K$9:$K$2584,[1]Sheet1!$L$9:$L$2584,"N/A",0)</f>
        <v>141.2</v>
      </c>
      <c r="N1430">
        <f>_xlfn.XLOOKUP($A1430,[1]Sheet1!$N$9:$N$2584,[1]Sheet1!$O$9:$O$2584,"N/A",0)</f>
        <v>99.32</v>
      </c>
      <c r="O1430">
        <v>107.04</v>
      </c>
      <c r="P1430">
        <v>126.83</v>
      </c>
      <c r="Q1430">
        <v>63.96</v>
      </c>
      <c r="R1430">
        <v>99.32</v>
      </c>
      <c r="S1430">
        <v>141.2</v>
      </c>
    </row>
    <row r="1431" spans="1:19">
      <c r="A1431" s="1">
        <v>44441</v>
      </c>
      <c r="B1431" t="s">
        <v>659</v>
      </c>
      <c r="C1431" t="s">
        <v>672</v>
      </c>
      <c r="D1431">
        <v>17.9632</v>
      </c>
      <c r="E1431">
        <v>20.4432</v>
      </c>
      <c r="F1431" s="2" t="s">
        <v>678</v>
      </c>
      <c r="G1431">
        <f ca="1" t="shared" si="66"/>
        <v>2.2879583828128</v>
      </c>
      <c r="H1431" t="str">
        <f ca="1" t="shared" si="67"/>
        <v>Risk-On</v>
      </c>
      <c r="I1431">
        <f ca="1" t="shared" si="68"/>
        <v>1</v>
      </c>
      <c r="J1431">
        <f>_xlfn.XLOOKUP($A1431,[1]Sheet1!$B$9:$B$2584,[1]Sheet1!$C$9:$C$2584,"N/A",0)</f>
        <v>106.96</v>
      </c>
      <c r="K1431">
        <f>_xlfn.XLOOKUP($A1431,[1]Sheet1!$E$9:$E$2584,[1]Sheet1!$F$9:$F$2584,"N/A",0)</f>
        <v>127.19</v>
      </c>
      <c r="L1431">
        <f>_xlfn.XLOOKUP($A1431,[1]Sheet1!$H$9:$H$2584,[1]Sheet1!$I$9:$I$2584,"N/A",0)</f>
        <v>64.19</v>
      </c>
      <c r="M1431">
        <f>_xlfn.XLOOKUP($A1431,[1]Sheet1!$K$9:$K$2584,[1]Sheet1!$L$9:$L$2584,"N/A",0)</f>
        <v>141.27</v>
      </c>
      <c r="N1431">
        <f>_xlfn.XLOOKUP($A1431,[1]Sheet1!$N$9:$N$2584,[1]Sheet1!$O$9:$O$2584,"N/A",0)</f>
        <v>99.13</v>
      </c>
      <c r="O1431">
        <v>106.96</v>
      </c>
      <c r="P1431">
        <v>127.19</v>
      </c>
      <c r="Q1431">
        <v>64.19</v>
      </c>
      <c r="R1431">
        <v>99.13</v>
      </c>
      <c r="S1431">
        <v>141.27</v>
      </c>
    </row>
    <row r="1432" spans="1:19">
      <c r="A1432" s="1">
        <v>44442</v>
      </c>
      <c r="B1432" t="s">
        <v>659</v>
      </c>
      <c r="C1432" t="s">
        <v>672</v>
      </c>
      <c r="D1432">
        <v>18.3528</v>
      </c>
      <c r="E1432">
        <v>20.5624</v>
      </c>
      <c r="F1432" s="2" t="s">
        <v>679</v>
      </c>
      <c r="G1432">
        <f ca="1" t="shared" si="66"/>
        <v>1.74650571628161</v>
      </c>
      <c r="H1432" t="str">
        <f ca="1" t="shared" si="67"/>
        <v>Risk-On</v>
      </c>
      <c r="I1432">
        <f ca="1" t="shared" si="68"/>
        <v>1</v>
      </c>
      <c r="J1432">
        <f>_xlfn.XLOOKUP($A1432,[1]Sheet1!$B$9:$B$2584,[1]Sheet1!$C$9:$C$2584,"N/A",0)</f>
        <v>107.27</v>
      </c>
      <c r="K1432">
        <f>_xlfn.XLOOKUP($A1432,[1]Sheet1!$E$9:$E$2584,[1]Sheet1!$F$9:$F$2584,"N/A",0)</f>
        <v>127.05</v>
      </c>
      <c r="L1432">
        <f>_xlfn.XLOOKUP($A1432,[1]Sheet1!$H$9:$H$2584,[1]Sheet1!$I$9:$I$2584,"N/A",0)</f>
        <v>64.03</v>
      </c>
      <c r="M1432">
        <f>_xlfn.XLOOKUP($A1432,[1]Sheet1!$K$9:$K$2584,[1]Sheet1!$L$9:$L$2584,"N/A",0)</f>
        <v>141.92</v>
      </c>
      <c r="N1432">
        <f>_xlfn.XLOOKUP($A1432,[1]Sheet1!$N$9:$N$2584,[1]Sheet1!$O$9:$O$2584,"N/A",0)</f>
        <v>99.11</v>
      </c>
      <c r="O1432">
        <v>107.27</v>
      </c>
      <c r="P1432">
        <v>127.05</v>
      </c>
      <c r="Q1432">
        <v>64.03</v>
      </c>
      <c r="R1432">
        <v>99.11</v>
      </c>
      <c r="S1432">
        <v>141.92</v>
      </c>
    </row>
    <row r="1433" spans="1:19">
      <c r="A1433" s="1">
        <v>44446</v>
      </c>
      <c r="B1433" t="s">
        <v>659</v>
      </c>
      <c r="C1433" t="s">
        <v>672</v>
      </c>
      <c r="D1433">
        <v>18.8314</v>
      </c>
      <c r="E1433">
        <v>20.9005</v>
      </c>
      <c r="F1433" s="2" t="s">
        <v>680</v>
      </c>
      <c r="G1433">
        <f ca="1" t="shared" si="66"/>
        <v>1.42401702983614</v>
      </c>
      <c r="H1433" t="str">
        <f ca="1" t="shared" si="67"/>
        <v>Risk-On</v>
      </c>
      <c r="I1433">
        <f ca="1" t="shared" si="68"/>
        <v>1</v>
      </c>
      <c r="J1433">
        <f>_xlfn.XLOOKUP($A1433,[1]Sheet1!$B$9:$B$2584,[1]Sheet1!$C$9:$C$2584,"N/A",0)</f>
        <v>106.77</v>
      </c>
      <c r="K1433">
        <f>_xlfn.XLOOKUP($A1433,[1]Sheet1!$E$9:$E$2584,[1]Sheet1!$F$9:$F$2584,"N/A",0)</f>
        <v>127.46</v>
      </c>
      <c r="L1433">
        <f>_xlfn.XLOOKUP($A1433,[1]Sheet1!$H$9:$H$2584,[1]Sheet1!$I$9:$I$2584,"N/A",0)</f>
        <v>63.78</v>
      </c>
      <c r="M1433">
        <f>_xlfn.XLOOKUP($A1433,[1]Sheet1!$K$9:$K$2584,[1]Sheet1!$L$9:$L$2584,"N/A",0)</f>
        <v>140.69</v>
      </c>
      <c r="N1433">
        <f>_xlfn.XLOOKUP($A1433,[1]Sheet1!$N$9:$N$2584,[1]Sheet1!$O$9:$O$2584,"N/A",0)</f>
        <v>99.44</v>
      </c>
      <c r="O1433">
        <v>106.77</v>
      </c>
      <c r="P1433">
        <v>127.46</v>
      </c>
      <c r="Q1433">
        <v>63.78</v>
      </c>
      <c r="R1433">
        <v>99.44</v>
      </c>
      <c r="S1433">
        <v>140.69</v>
      </c>
    </row>
    <row r="1434" spans="1:19">
      <c r="A1434" s="1">
        <v>44447</v>
      </c>
      <c r="B1434" t="s">
        <v>659</v>
      </c>
      <c r="C1434" t="s">
        <v>672</v>
      </c>
      <c r="D1434">
        <v>18.7658</v>
      </c>
      <c r="E1434">
        <v>20.9315</v>
      </c>
      <c r="F1434" s="2" t="s">
        <v>681</v>
      </c>
      <c r="G1434">
        <f ca="1" t="shared" si="66"/>
        <v>1.59357903463273</v>
      </c>
      <c r="H1434" t="str">
        <f ca="1" t="shared" si="67"/>
        <v>Risk-On</v>
      </c>
      <c r="I1434">
        <f ca="1" t="shared" si="68"/>
        <v>1</v>
      </c>
      <c r="J1434">
        <f>_xlfn.XLOOKUP($A1434,[1]Sheet1!$B$9:$B$2584,[1]Sheet1!$C$9:$C$2584,"N/A",0)</f>
        <v>106.64</v>
      </c>
      <c r="K1434">
        <f>_xlfn.XLOOKUP($A1434,[1]Sheet1!$E$9:$E$2584,[1]Sheet1!$F$9:$F$2584,"N/A",0)</f>
        <v>127.18</v>
      </c>
      <c r="L1434">
        <f>_xlfn.XLOOKUP($A1434,[1]Sheet1!$H$9:$H$2584,[1]Sheet1!$I$9:$I$2584,"N/A",0)</f>
        <v>63.58</v>
      </c>
      <c r="M1434">
        <f>_xlfn.XLOOKUP($A1434,[1]Sheet1!$K$9:$K$2584,[1]Sheet1!$L$9:$L$2584,"N/A",0)</f>
        <v>141.04</v>
      </c>
      <c r="N1434">
        <f>_xlfn.XLOOKUP($A1434,[1]Sheet1!$N$9:$N$2584,[1]Sheet1!$O$9:$O$2584,"N/A",0)</f>
        <v>100</v>
      </c>
      <c r="O1434">
        <v>106.64</v>
      </c>
      <c r="P1434">
        <v>127.18</v>
      </c>
      <c r="Q1434">
        <v>63.58</v>
      </c>
      <c r="R1434">
        <v>100</v>
      </c>
      <c r="S1434">
        <v>141.04</v>
      </c>
    </row>
    <row r="1435" spans="1:19">
      <c r="A1435" s="1">
        <v>44448</v>
      </c>
      <c r="B1435" t="s">
        <v>659</v>
      </c>
      <c r="C1435" t="s">
        <v>672</v>
      </c>
      <c r="D1435">
        <v>19.3716</v>
      </c>
      <c r="E1435">
        <v>21.353</v>
      </c>
      <c r="F1435" s="2" t="s">
        <v>682</v>
      </c>
      <c r="G1435">
        <f ca="1" t="shared" si="66"/>
        <v>1.19132667278689</v>
      </c>
      <c r="H1435" t="str">
        <f ca="1" t="shared" si="67"/>
        <v>Risk-On</v>
      </c>
      <c r="I1435">
        <f ca="1" t="shared" si="68"/>
        <v>1</v>
      </c>
      <c r="J1435">
        <f>_xlfn.XLOOKUP($A1435,[1]Sheet1!$B$9:$B$2584,[1]Sheet1!$C$9:$C$2584,"N/A",0)</f>
        <v>106.78</v>
      </c>
      <c r="K1435">
        <f>_xlfn.XLOOKUP($A1435,[1]Sheet1!$E$9:$E$2584,[1]Sheet1!$F$9:$F$2584,"N/A",0)</f>
        <v>127.84</v>
      </c>
      <c r="L1435">
        <f>_xlfn.XLOOKUP($A1435,[1]Sheet1!$H$9:$H$2584,[1]Sheet1!$I$9:$I$2584,"N/A",0)</f>
        <v>63.57</v>
      </c>
      <c r="M1435">
        <f>_xlfn.XLOOKUP($A1435,[1]Sheet1!$K$9:$K$2584,[1]Sheet1!$L$9:$L$2584,"N/A",0)</f>
        <v>140.79</v>
      </c>
      <c r="N1435">
        <f>_xlfn.XLOOKUP($A1435,[1]Sheet1!$N$9:$N$2584,[1]Sheet1!$O$9:$O$2584,"N/A",0)</f>
        <v>100.34</v>
      </c>
      <c r="O1435">
        <v>106.78</v>
      </c>
      <c r="P1435">
        <v>127.84</v>
      </c>
      <c r="Q1435">
        <v>63.57</v>
      </c>
      <c r="R1435">
        <v>100.34</v>
      </c>
      <c r="S1435">
        <v>140.79</v>
      </c>
    </row>
    <row r="1436" spans="1:19">
      <c r="A1436" s="1">
        <v>44449</v>
      </c>
      <c r="B1436" t="s">
        <v>659</v>
      </c>
      <c r="C1436" t="s">
        <v>672</v>
      </c>
      <c r="D1436">
        <v>20.6249</v>
      </c>
      <c r="E1436">
        <v>22.1543</v>
      </c>
      <c r="F1436">
        <v>0.074153086802845</v>
      </c>
      <c r="G1436">
        <f ca="1" t="shared" si="66"/>
        <v>0.329051865548448</v>
      </c>
      <c r="H1436" t="str">
        <f ca="1" t="shared" si="67"/>
        <v>Risk-On</v>
      </c>
      <c r="I1436">
        <f ca="1" t="shared" si="68"/>
        <v>1</v>
      </c>
      <c r="J1436">
        <f>_xlfn.XLOOKUP($A1436,[1]Sheet1!$B$9:$B$2584,[1]Sheet1!$C$9:$C$2584,"N/A",0)</f>
        <v>106.79</v>
      </c>
      <c r="K1436">
        <f>_xlfn.XLOOKUP($A1436,[1]Sheet1!$E$9:$E$2584,[1]Sheet1!$F$9:$F$2584,"N/A",0)</f>
        <v>128.3</v>
      </c>
      <c r="L1436">
        <f>_xlfn.XLOOKUP($A1436,[1]Sheet1!$H$9:$H$2584,[1]Sheet1!$I$9:$I$2584,"N/A",0)</f>
        <v>63.59</v>
      </c>
      <c r="M1436">
        <f>_xlfn.XLOOKUP($A1436,[1]Sheet1!$K$9:$K$2584,[1]Sheet1!$L$9:$L$2584,"N/A",0)</f>
        <v>141.58</v>
      </c>
      <c r="N1436">
        <f>_xlfn.XLOOKUP($A1436,[1]Sheet1!$N$9:$N$2584,[1]Sheet1!$O$9:$O$2584,"N/A",0)</f>
        <v>100.71</v>
      </c>
      <c r="O1436">
        <v>106.79</v>
      </c>
      <c r="P1436">
        <v>128.3</v>
      </c>
      <c r="Q1436">
        <v>63.59</v>
      </c>
      <c r="R1436">
        <v>100.71</v>
      </c>
      <c r="S1436">
        <v>141.58</v>
      </c>
    </row>
    <row r="1437" spans="1:19">
      <c r="A1437" s="1">
        <v>44452</v>
      </c>
      <c r="B1437" t="s">
        <v>659</v>
      </c>
      <c r="C1437" t="s">
        <v>672</v>
      </c>
      <c r="D1437">
        <v>19.298</v>
      </c>
      <c r="E1437">
        <v>21.3321</v>
      </c>
      <c r="F1437" s="2" t="s">
        <v>683</v>
      </c>
      <c r="G1437">
        <f ca="1" t="shared" si="66"/>
        <v>1.28870982954749</v>
      </c>
      <c r="H1437" t="str">
        <f ca="1" t="shared" si="67"/>
        <v>Risk-On</v>
      </c>
      <c r="I1437">
        <f ca="1" t="shared" si="68"/>
        <v>1</v>
      </c>
      <c r="J1437">
        <f>_xlfn.XLOOKUP($A1437,[1]Sheet1!$B$9:$B$2584,[1]Sheet1!$C$9:$C$2584,"N/A",0)</f>
        <v>106.5</v>
      </c>
      <c r="K1437">
        <f>_xlfn.XLOOKUP($A1437,[1]Sheet1!$E$9:$E$2584,[1]Sheet1!$F$9:$F$2584,"N/A",0)</f>
        <v>127.15</v>
      </c>
      <c r="L1437">
        <f>_xlfn.XLOOKUP($A1437,[1]Sheet1!$H$9:$H$2584,[1]Sheet1!$I$9:$I$2584,"N/A",0)</f>
        <v>64.28</v>
      </c>
      <c r="M1437">
        <f>_xlfn.XLOOKUP($A1437,[1]Sheet1!$K$9:$K$2584,[1]Sheet1!$L$9:$L$2584,"N/A",0)</f>
        <v>141.14</v>
      </c>
      <c r="N1437">
        <f>_xlfn.XLOOKUP($A1437,[1]Sheet1!$N$9:$N$2584,[1]Sheet1!$O$9:$O$2584,"N/A",0)</f>
        <v>101.04</v>
      </c>
      <c r="O1437">
        <v>106.5</v>
      </c>
      <c r="P1437">
        <v>127.15</v>
      </c>
      <c r="Q1437">
        <v>64.28</v>
      </c>
      <c r="R1437">
        <v>101.04</v>
      </c>
      <c r="S1437">
        <v>141.14</v>
      </c>
    </row>
    <row r="1438" spans="1:19">
      <c r="A1438" s="1">
        <v>44453</v>
      </c>
      <c r="B1438" t="s">
        <v>659</v>
      </c>
      <c r="C1438" t="s">
        <v>672</v>
      </c>
      <c r="D1438">
        <v>19.715</v>
      </c>
      <c r="E1438">
        <v>21.5605</v>
      </c>
      <c r="F1438">
        <v>0.0936089272127822</v>
      </c>
      <c r="G1438">
        <f ca="1" t="shared" si="66"/>
        <v>0.926022079874816</v>
      </c>
      <c r="H1438" t="str">
        <f ca="1" t="shared" si="67"/>
        <v>Risk-On</v>
      </c>
      <c r="I1438">
        <f ca="1" t="shared" si="68"/>
        <v>1</v>
      </c>
      <c r="J1438">
        <f>_xlfn.XLOOKUP($A1438,[1]Sheet1!$B$9:$B$2584,[1]Sheet1!$C$9:$C$2584,"N/A",0)</f>
        <v>106.25</v>
      </c>
      <c r="K1438">
        <f>_xlfn.XLOOKUP($A1438,[1]Sheet1!$E$9:$E$2584,[1]Sheet1!$F$9:$F$2584,"N/A",0)</f>
        <v>127.34</v>
      </c>
      <c r="L1438">
        <f>_xlfn.XLOOKUP($A1438,[1]Sheet1!$H$9:$H$2584,[1]Sheet1!$I$9:$I$2584,"N/A",0)</f>
        <v>63.84</v>
      </c>
      <c r="M1438">
        <f>_xlfn.XLOOKUP($A1438,[1]Sheet1!$K$9:$K$2584,[1]Sheet1!$L$9:$L$2584,"N/A",0)</f>
        <v>141.8</v>
      </c>
      <c r="N1438">
        <f>_xlfn.XLOOKUP($A1438,[1]Sheet1!$N$9:$N$2584,[1]Sheet1!$O$9:$O$2584,"N/A",0)</f>
        <v>101.55</v>
      </c>
      <c r="O1438">
        <v>106.25</v>
      </c>
      <c r="P1438">
        <v>127.34</v>
      </c>
      <c r="Q1438">
        <v>63.84</v>
      </c>
      <c r="R1438">
        <v>101.55</v>
      </c>
      <c r="S1438">
        <v>141.8</v>
      </c>
    </row>
    <row r="1439" spans="1:19">
      <c r="A1439" s="1">
        <v>44454</v>
      </c>
      <c r="B1439" t="s">
        <v>659</v>
      </c>
      <c r="C1439" t="s">
        <v>672</v>
      </c>
      <c r="D1439">
        <v>19.79</v>
      </c>
      <c r="E1439">
        <v>20.8379</v>
      </c>
      <c r="F1439" s="2" t="s">
        <v>684</v>
      </c>
      <c r="G1439">
        <f ca="1" t="shared" si="66"/>
        <v>-0.330565297701555</v>
      </c>
      <c r="H1439" t="str">
        <f ca="1" t="shared" si="67"/>
        <v>Risk-On</v>
      </c>
      <c r="I1439">
        <f ca="1" t="shared" si="68"/>
        <v>1</v>
      </c>
      <c r="J1439">
        <f>_xlfn.XLOOKUP($A1439,[1]Sheet1!$B$9:$B$2584,[1]Sheet1!$C$9:$C$2584,"N/A",0)</f>
        <v>106.9</v>
      </c>
      <c r="K1439">
        <f>_xlfn.XLOOKUP($A1439,[1]Sheet1!$E$9:$E$2584,[1]Sheet1!$F$9:$F$2584,"N/A",0)</f>
        <v>128.29</v>
      </c>
      <c r="L1439">
        <f>_xlfn.XLOOKUP($A1439,[1]Sheet1!$H$9:$H$2584,[1]Sheet1!$I$9:$I$2584,"N/A",0)</f>
        <v>64.43</v>
      </c>
      <c r="M1439">
        <f>_xlfn.XLOOKUP($A1439,[1]Sheet1!$K$9:$K$2584,[1]Sheet1!$L$9:$L$2584,"N/A",0)</f>
        <v>142.31</v>
      </c>
      <c r="N1439">
        <f>_xlfn.XLOOKUP($A1439,[1]Sheet1!$N$9:$N$2584,[1]Sheet1!$O$9:$O$2584,"N/A",0)</f>
        <v>101.82</v>
      </c>
      <c r="O1439">
        <v>106.9</v>
      </c>
      <c r="P1439">
        <v>128.29</v>
      </c>
      <c r="Q1439">
        <v>64.43</v>
      </c>
      <c r="R1439">
        <v>101.82</v>
      </c>
      <c r="S1439">
        <v>142.31</v>
      </c>
    </row>
    <row r="1440" spans="1:19">
      <c r="A1440" s="1">
        <v>44455</v>
      </c>
      <c r="B1440" t="s">
        <v>672</v>
      </c>
      <c r="C1440" t="s">
        <v>685</v>
      </c>
      <c r="D1440">
        <v>20.5556</v>
      </c>
      <c r="E1440">
        <v>22.0021</v>
      </c>
      <c r="F1440">
        <v>0.0703701181186635</v>
      </c>
      <c r="G1440">
        <f ca="1" t="shared" si="66"/>
        <v>0.20529740848991</v>
      </c>
      <c r="H1440" t="str">
        <f ca="1" t="shared" si="67"/>
        <v>Risk-On</v>
      </c>
      <c r="I1440">
        <f ca="1" t="shared" si="68"/>
        <v>1</v>
      </c>
      <c r="J1440">
        <f>_xlfn.XLOOKUP($A1440,[1]Sheet1!$B$9:$B$2584,[1]Sheet1!$C$9:$C$2584,"N/A",0)</f>
        <v>107.19</v>
      </c>
      <c r="K1440">
        <f>_xlfn.XLOOKUP($A1440,[1]Sheet1!$E$9:$E$2584,[1]Sheet1!$F$9:$F$2584,"N/A",0)</f>
        <v>128.77</v>
      </c>
      <c r="L1440">
        <f>_xlfn.XLOOKUP($A1440,[1]Sheet1!$H$9:$H$2584,[1]Sheet1!$I$9:$I$2584,"N/A",0)</f>
        <v>64.02</v>
      </c>
      <c r="M1440">
        <f>_xlfn.XLOOKUP($A1440,[1]Sheet1!$K$9:$K$2584,[1]Sheet1!$L$9:$L$2584,"N/A",0)</f>
        <v>142.32</v>
      </c>
      <c r="N1440">
        <f>_xlfn.XLOOKUP($A1440,[1]Sheet1!$N$9:$N$2584,[1]Sheet1!$O$9:$O$2584,"N/A",0)</f>
        <v>101.6</v>
      </c>
      <c r="O1440">
        <v>107.19</v>
      </c>
      <c r="P1440">
        <v>128.77</v>
      </c>
      <c r="Q1440">
        <v>64.02</v>
      </c>
      <c r="R1440">
        <v>101.6</v>
      </c>
      <c r="S1440">
        <v>142.32</v>
      </c>
    </row>
    <row r="1441" spans="1:19">
      <c r="A1441" s="1">
        <v>44456</v>
      </c>
      <c r="B1441" t="s">
        <v>672</v>
      </c>
      <c r="C1441" t="s">
        <v>685</v>
      </c>
      <c r="D1441">
        <v>21.9377</v>
      </c>
      <c r="E1441">
        <v>22.9489</v>
      </c>
      <c r="F1441" s="2" t="s">
        <v>686</v>
      </c>
      <c r="G1441">
        <f ca="1" t="shared" si="66"/>
        <v>-0.544665891339157</v>
      </c>
      <c r="H1441" t="str">
        <f ca="1" t="shared" si="67"/>
        <v>Risk-On</v>
      </c>
      <c r="I1441">
        <f ca="1" t="shared" si="68"/>
        <v>1</v>
      </c>
      <c r="J1441">
        <f>_xlfn.XLOOKUP($A1441,[1]Sheet1!$B$9:$B$2584,[1]Sheet1!$C$9:$C$2584,"N/A",0)</f>
        <v>107.19</v>
      </c>
      <c r="K1441">
        <f>_xlfn.XLOOKUP($A1441,[1]Sheet1!$E$9:$E$2584,[1]Sheet1!$F$9:$F$2584,"N/A",0)</f>
        <v>128.07</v>
      </c>
      <c r="L1441">
        <f>_xlfn.XLOOKUP($A1441,[1]Sheet1!$H$9:$H$2584,[1]Sheet1!$I$9:$I$2584,"N/A",0)</f>
        <v>64.1</v>
      </c>
      <c r="M1441">
        <f>_xlfn.XLOOKUP($A1441,[1]Sheet1!$K$9:$K$2584,[1]Sheet1!$L$9:$L$2584,"N/A",0)</f>
        <v>141.81</v>
      </c>
      <c r="N1441">
        <f>_xlfn.XLOOKUP($A1441,[1]Sheet1!$N$9:$N$2584,[1]Sheet1!$O$9:$O$2584,"N/A",0)</f>
        <v>101.12</v>
      </c>
      <c r="O1441">
        <v>107.19</v>
      </c>
      <c r="P1441">
        <v>128.07</v>
      </c>
      <c r="Q1441">
        <v>64.1</v>
      </c>
      <c r="R1441">
        <v>101.12</v>
      </c>
      <c r="S1441">
        <v>141.81</v>
      </c>
    </row>
    <row r="1442" spans="1:19">
      <c r="A1442" s="1">
        <v>44459</v>
      </c>
      <c r="B1442" t="s">
        <v>672</v>
      </c>
      <c r="C1442" t="s">
        <v>685</v>
      </c>
      <c r="D1442">
        <v>24.4629</v>
      </c>
      <c r="E1442">
        <v>24.6975</v>
      </c>
      <c r="F1442">
        <v>0.00959003225292178</v>
      </c>
      <c r="G1442">
        <f ca="1" t="shared" si="66"/>
        <v>-1.68188952797008</v>
      </c>
      <c r="H1442" t="str">
        <f ca="1" t="shared" si="67"/>
        <v>Risk-On</v>
      </c>
      <c r="I1442">
        <f ca="1" t="shared" si="68"/>
        <v>1</v>
      </c>
      <c r="J1442">
        <f>_xlfn.XLOOKUP($A1442,[1]Sheet1!$B$9:$B$2584,[1]Sheet1!$C$9:$C$2584,"N/A",0)</f>
        <v>107.03</v>
      </c>
      <c r="K1442">
        <f>_xlfn.XLOOKUP($A1442,[1]Sheet1!$E$9:$E$2584,[1]Sheet1!$F$9:$F$2584,"N/A",0)</f>
        <v>127.43</v>
      </c>
      <c r="L1442">
        <f>_xlfn.XLOOKUP($A1442,[1]Sheet1!$H$9:$H$2584,[1]Sheet1!$I$9:$I$2584,"N/A",0)</f>
        <v>63.75</v>
      </c>
      <c r="M1442">
        <f>_xlfn.XLOOKUP($A1442,[1]Sheet1!$K$9:$K$2584,[1]Sheet1!$L$9:$L$2584,"N/A",0)</f>
        <v>141.78</v>
      </c>
      <c r="N1442">
        <f>_xlfn.XLOOKUP($A1442,[1]Sheet1!$N$9:$N$2584,[1]Sheet1!$O$9:$O$2584,"N/A",0)</f>
        <v>101.65</v>
      </c>
      <c r="O1442">
        <v>107.03</v>
      </c>
      <c r="P1442">
        <v>127.43</v>
      </c>
      <c r="Q1442">
        <v>63.75</v>
      </c>
      <c r="R1442">
        <v>101.65</v>
      </c>
      <c r="S1442">
        <v>141.78</v>
      </c>
    </row>
    <row r="1443" spans="1:19">
      <c r="A1443" s="1">
        <v>44460</v>
      </c>
      <c r="B1443" t="s">
        <v>672</v>
      </c>
      <c r="C1443" t="s">
        <v>685</v>
      </c>
      <c r="D1443">
        <v>23.4294</v>
      </c>
      <c r="E1443">
        <v>24.1154</v>
      </c>
      <c r="F1443" s="2" t="s">
        <v>687</v>
      </c>
      <c r="G1443">
        <f ca="1" t="shared" si="66"/>
        <v>-1.06757555677285</v>
      </c>
      <c r="H1443" t="str">
        <f ca="1" t="shared" si="67"/>
        <v>Risk-On</v>
      </c>
      <c r="I1443">
        <f ca="1" t="shared" si="68"/>
        <v>1</v>
      </c>
      <c r="J1443">
        <f>_xlfn.XLOOKUP($A1443,[1]Sheet1!$B$9:$B$2584,[1]Sheet1!$C$9:$C$2584,"N/A",0)</f>
        <v>107.39</v>
      </c>
      <c r="K1443">
        <f>_xlfn.XLOOKUP($A1443,[1]Sheet1!$E$9:$E$2584,[1]Sheet1!$F$9:$F$2584,"N/A",0)</f>
        <v>128.05</v>
      </c>
      <c r="L1443">
        <f>_xlfn.XLOOKUP($A1443,[1]Sheet1!$H$9:$H$2584,[1]Sheet1!$I$9:$I$2584,"N/A",0)</f>
        <v>63.5</v>
      </c>
      <c r="M1443">
        <f>_xlfn.XLOOKUP($A1443,[1]Sheet1!$K$9:$K$2584,[1]Sheet1!$L$9:$L$2584,"N/A",0)</f>
        <v>141.98</v>
      </c>
      <c r="N1443">
        <f>_xlfn.XLOOKUP($A1443,[1]Sheet1!$N$9:$N$2584,[1]Sheet1!$O$9:$O$2584,"N/A",0)</f>
        <v>101.27</v>
      </c>
      <c r="O1443">
        <v>107.39</v>
      </c>
      <c r="P1443">
        <v>128.05</v>
      </c>
      <c r="Q1443">
        <v>63.5</v>
      </c>
      <c r="R1443">
        <v>101.27</v>
      </c>
      <c r="S1443">
        <v>141.98</v>
      </c>
    </row>
    <row r="1444" spans="1:19">
      <c r="A1444" s="1">
        <v>44461</v>
      </c>
      <c r="B1444" t="s">
        <v>672</v>
      </c>
      <c r="C1444" t="s">
        <v>685</v>
      </c>
      <c r="D1444">
        <v>22.0994</v>
      </c>
      <c r="E1444">
        <v>23.1347</v>
      </c>
      <c r="F1444">
        <v>0.0468474257219652</v>
      </c>
      <c r="G1444">
        <f ca="1" t="shared" si="66"/>
        <v>-0.539322215129722</v>
      </c>
      <c r="H1444" t="str">
        <f ca="1" t="shared" si="67"/>
        <v>Risk-Off</v>
      </c>
      <c r="I1444">
        <f ca="1" t="shared" si="68"/>
        <v>1</v>
      </c>
      <c r="J1444">
        <f>_xlfn.XLOOKUP($A1444,[1]Sheet1!$B$9:$B$2584,[1]Sheet1!$C$9:$C$2584,"N/A",0)</f>
        <v>107.3</v>
      </c>
      <c r="K1444">
        <f>_xlfn.XLOOKUP($A1444,[1]Sheet1!$E$9:$E$2584,[1]Sheet1!$F$9:$F$2584,"N/A",0)</f>
        <v>128.66</v>
      </c>
      <c r="L1444">
        <f>_xlfn.XLOOKUP($A1444,[1]Sheet1!$H$9:$H$2584,[1]Sheet1!$I$9:$I$2584,"N/A",0)</f>
        <v>63.4</v>
      </c>
      <c r="M1444">
        <f>_xlfn.XLOOKUP($A1444,[1]Sheet1!$K$9:$K$2584,[1]Sheet1!$L$9:$L$2584,"N/A",0)</f>
        <v>141.4</v>
      </c>
      <c r="N1444">
        <f>_xlfn.XLOOKUP($A1444,[1]Sheet1!$N$9:$N$2584,[1]Sheet1!$O$9:$O$2584,"N/A",0)</f>
        <v>101.31</v>
      </c>
      <c r="O1444">
        <v>107.3</v>
      </c>
      <c r="P1444">
        <v>128.66</v>
      </c>
      <c r="Q1444">
        <v>63.4</v>
      </c>
      <c r="R1444">
        <v>101.31</v>
      </c>
      <c r="S1444">
        <v>141.4</v>
      </c>
    </row>
    <row r="1445" spans="1:19">
      <c r="A1445" s="1">
        <v>44462</v>
      </c>
      <c r="B1445" t="s">
        <v>672</v>
      </c>
      <c r="C1445" t="s">
        <v>685</v>
      </c>
      <c r="D1445">
        <v>20.5996</v>
      </c>
      <c r="E1445">
        <v>22.2012</v>
      </c>
      <c r="F1445">
        <v>0.0777490825064565</v>
      </c>
      <c r="G1445">
        <f ca="1" t="shared" si="66"/>
        <v>0.414212298070761</v>
      </c>
      <c r="H1445" t="str">
        <f ca="1" t="shared" si="67"/>
        <v>Risk-On</v>
      </c>
      <c r="I1445">
        <f ca="1" t="shared" si="68"/>
        <v>1</v>
      </c>
      <c r="J1445">
        <f>_xlfn.XLOOKUP($A1445,[1]Sheet1!$B$9:$B$2584,[1]Sheet1!$C$9:$C$2584,"N/A",0)</f>
        <v>107.06</v>
      </c>
      <c r="K1445">
        <f>_xlfn.XLOOKUP($A1445,[1]Sheet1!$E$9:$E$2584,[1]Sheet1!$F$9:$F$2584,"N/A",0)</f>
        <v>129.71</v>
      </c>
      <c r="L1445">
        <f>_xlfn.XLOOKUP($A1445,[1]Sheet1!$H$9:$H$2584,[1]Sheet1!$I$9:$I$2584,"N/A",0)</f>
        <v>63.4</v>
      </c>
      <c r="M1445">
        <f>_xlfn.XLOOKUP($A1445,[1]Sheet1!$K$9:$K$2584,[1]Sheet1!$L$9:$L$2584,"N/A",0)</f>
        <v>141.89</v>
      </c>
      <c r="N1445">
        <f>_xlfn.XLOOKUP($A1445,[1]Sheet1!$N$9:$N$2584,[1]Sheet1!$O$9:$O$2584,"N/A",0)</f>
        <v>101.3</v>
      </c>
      <c r="O1445">
        <v>107.06</v>
      </c>
      <c r="P1445">
        <v>129.71</v>
      </c>
      <c r="Q1445">
        <v>63.4</v>
      </c>
      <c r="R1445">
        <v>101.3</v>
      </c>
      <c r="S1445">
        <v>141.89</v>
      </c>
    </row>
    <row r="1446" spans="1:19">
      <c r="A1446" s="1">
        <v>44463</v>
      </c>
      <c r="B1446" t="s">
        <v>672</v>
      </c>
      <c r="C1446" t="s">
        <v>685</v>
      </c>
      <c r="D1446">
        <v>19.8182</v>
      </c>
      <c r="E1446">
        <v>21.6471</v>
      </c>
      <c r="F1446">
        <v>0.0922838602900363</v>
      </c>
      <c r="G1446">
        <f ca="1" t="shared" si="66"/>
        <v>0.865508920716598</v>
      </c>
      <c r="H1446" t="str">
        <f ca="1" t="shared" si="67"/>
        <v>Risk-Off</v>
      </c>
      <c r="I1446">
        <f ca="1" t="shared" si="68"/>
        <v>1</v>
      </c>
      <c r="J1446">
        <f>_xlfn.XLOOKUP($A1446,[1]Sheet1!$B$9:$B$2584,[1]Sheet1!$C$9:$C$2584,"N/A",0)</f>
        <v>107.45</v>
      </c>
      <c r="K1446">
        <f>_xlfn.XLOOKUP($A1446,[1]Sheet1!$E$9:$E$2584,[1]Sheet1!$F$9:$F$2584,"N/A",0)</f>
        <v>129.75</v>
      </c>
      <c r="L1446">
        <f>_xlfn.XLOOKUP($A1446,[1]Sheet1!$H$9:$H$2584,[1]Sheet1!$I$9:$I$2584,"N/A",0)</f>
        <v>63.63</v>
      </c>
      <c r="M1446">
        <f>_xlfn.XLOOKUP($A1446,[1]Sheet1!$K$9:$K$2584,[1]Sheet1!$L$9:$L$2584,"N/A",0)</f>
        <v>142.5</v>
      </c>
      <c r="N1446">
        <f>_xlfn.XLOOKUP($A1446,[1]Sheet1!$N$9:$N$2584,[1]Sheet1!$O$9:$O$2584,"N/A",0)</f>
        <v>101.71</v>
      </c>
      <c r="O1446">
        <v>107.45</v>
      </c>
      <c r="P1446">
        <v>129.75</v>
      </c>
      <c r="Q1446">
        <v>63.63</v>
      </c>
      <c r="R1446">
        <v>101.71</v>
      </c>
      <c r="S1446">
        <v>142.5</v>
      </c>
    </row>
    <row r="1447" spans="1:19">
      <c r="A1447" s="1">
        <v>44466</v>
      </c>
      <c r="B1447" t="s">
        <v>672</v>
      </c>
      <c r="C1447" t="s">
        <v>685</v>
      </c>
      <c r="D1447">
        <v>20.1083</v>
      </c>
      <c r="E1447">
        <v>21.6778</v>
      </c>
      <c r="F1447">
        <v>0.0780523465434672</v>
      </c>
      <c r="G1447">
        <f ca="1" t="shared" si="66"/>
        <v>0.411480884746225</v>
      </c>
      <c r="H1447" t="str">
        <f ca="1" t="shared" si="67"/>
        <v>Risk-Off</v>
      </c>
      <c r="I1447">
        <f ca="1" t="shared" si="68"/>
        <v>1</v>
      </c>
      <c r="J1447">
        <f>_xlfn.XLOOKUP($A1447,[1]Sheet1!$B$9:$B$2584,[1]Sheet1!$C$9:$C$2584,"N/A",0)</f>
        <v>107</v>
      </c>
      <c r="K1447">
        <f>_xlfn.XLOOKUP($A1447,[1]Sheet1!$E$9:$E$2584,[1]Sheet1!$F$9:$F$2584,"N/A",0)</f>
        <v>128.26</v>
      </c>
      <c r="L1447">
        <f>_xlfn.XLOOKUP($A1447,[1]Sheet1!$H$9:$H$2584,[1]Sheet1!$I$9:$I$2584,"N/A",0)</f>
        <v>64.83</v>
      </c>
      <c r="M1447">
        <f>_xlfn.XLOOKUP($A1447,[1]Sheet1!$K$9:$K$2584,[1]Sheet1!$L$9:$L$2584,"N/A",0)</f>
        <v>141.6</v>
      </c>
      <c r="N1447">
        <f>_xlfn.XLOOKUP($A1447,[1]Sheet1!$N$9:$N$2584,[1]Sheet1!$O$9:$O$2584,"N/A",0)</f>
        <v>101.07</v>
      </c>
      <c r="O1447">
        <v>107</v>
      </c>
      <c r="P1447">
        <v>128.26</v>
      </c>
      <c r="Q1447">
        <v>64.83</v>
      </c>
      <c r="R1447">
        <v>101.07</v>
      </c>
      <c r="S1447">
        <v>141.6</v>
      </c>
    </row>
    <row r="1448" spans="1:19">
      <c r="A1448" s="1">
        <v>44467</v>
      </c>
      <c r="B1448" t="s">
        <v>672</v>
      </c>
      <c r="C1448" t="s">
        <v>685</v>
      </c>
      <c r="D1448">
        <v>22.5173</v>
      </c>
      <c r="E1448">
        <v>23.4435</v>
      </c>
      <c r="F1448">
        <v>0.0411328178778095</v>
      </c>
      <c r="G1448">
        <f ca="1" t="shared" si="66"/>
        <v>-0.742434921777768</v>
      </c>
      <c r="H1448" t="str">
        <f ca="1" t="shared" si="67"/>
        <v>Risk-Off</v>
      </c>
      <c r="I1448">
        <f ca="1" t="shared" si="68"/>
        <v>1</v>
      </c>
      <c r="J1448">
        <f>_xlfn.XLOOKUP($A1448,[1]Sheet1!$B$9:$B$2584,[1]Sheet1!$C$9:$C$2584,"N/A",0)</f>
        <v>106.67</v>
      </c>
      <c r="K1448">
        <f>_xlfn.XLOOKUP($A1448,[1]Sheet1!$E$9:$E$2584,[1]Sheet1!$F$9:$F$2584,"N/A",0)</f>
        <v>127.33</v>
      </c>
      <c r="L1448">
        <f>_xlfn.XLOOKUP($A1448,[1]Sheet1!$H$9:$H$2584,[1]Sheet1!$I$9:$I$2584,"N/A",0)</f>
        <v>65.52</v>
      </c>
      <c r="M1448">
        <f>_xlfn.XLOOKUP($A1448,[1]Sheet1!$K$9:$K$2584,[1]Sheet1!$L$9:$L$2584,"N/A",0)</f>
        <v>140.92</v>
      </c>
      <c r="N1448">
        <f>_xlfn.XLOOKUP($A1448,[1]Sheet1!$N$9:$N$2584,[1]Sheet1!$O$9:$O$2584,"N/A",0)</f>
        <v>101.07</v>
      </c>
      <c r="O1448">
        <v>106.67</v>
      </c>
      <c r="P1448">
        <v>127.33</v>
      </c>
      <c r="Q1448">
        <v>65.52</v>
      </c>
      <c r="R1448">
        <v>101.07</v>
      </c>
      <c r="S1448">
        <v>140.92</v>
      </c>
    </row>
    <row r="1449" spans="1:19">
      <c r="A1449" s="1">
        <v>44468</v>
      </c>
      <c r="B1449" t="s">
        <v>672</v>
      </c>
      <c r="C1449" t="s">
        <v>685</v>
      </c>
      <c r="D1449">
        <v>22.9912</v>
      </c>
      <c r="E1449">
        <v>23.7823</v>
      </c>
      <c r="F1449">
        <v>0.034408817286614</v>
      </c>
      <c r="G1449">
        <f ca="1" t="shared" si="66"/>
        <v>-0.943917457461788</v>
      </c>
      <c r="H1449" t="str">
        <f ca="1" t="shared" si="67"/>
        <v>Risk-Off</v>
      </c>
      <c r="I1449">
        <f ca="1" t="shared" si="68"/>
        <v>1</v>
      </c>
      <c r="J1449">
        <f>_xlfn.XLOOKUP($A1449,[1]Sheet1!$B$9:$B$2584,[1]Sheet1!$C$9:$C$2584,"N/A",0)</f>
        <v>106.66</v>
      </c>
      <c r="K1449">
        <f>_xlfn.XLOOKUP($A1449,[1]Sheet1!$E$9:$E$2584,[1]Sheet1!$F$9:$F$2584,"N/A",0)</f>
        <v>127.65</v>
      </c>
      <c r="L1449">
        <f>_xlfn.XLOOKUP($A1449,[1]Sheet1!$H$9:$H$2584,[1]Sheet1!$I$9:$I$2584,"N/A",0)</f>
        <v>65.49</v>
      </c>
      <c r="M1449">
        <f>_xlfn.XLOOKUP($A1449,[1]Sheet1!$K$9:$K$2584,[1]Sheet1!$L$9:$L$2584,"N/A",0)</f>
        <v>141.25</v>
      </c>
      <c r="N1449">
        <f>_xlfn.XLOOKUP($A1449,[1]Sheet1!$N$9:$N$2584,[1]Sheet1!$O$9:$O$2584,"N/A",0)</f>
        <v>100.98</v>
      </c>
      <c r="O1449">
        <v>106.66</v>
      </c>
      <c r="P1449">
        <v>127.65</v>
      </c>
      <c r="Q1449">
        <v>65.49</v>
      </c>
      <c r="R1449">
        <v>100.98</v>
      </c>
      <c r="S1449">
        <v>141.25</v>
      </c>
    </row>
    <row r="1450" spans="1:19">
      <c r="A1450" s="1">
        <v>44469</v>
      </c>
      <c r="B1450" t="s">
        <v>672</v>
      </c>
      <c r="C1450" t="s">
        <v>685</v>
      </c>
      <c r="D1450">
        <v>22.8678</v>
      </c>
      <c r="E1450">
        <v>23.6859</v>
      </c>
      <c r="F1450">
        <v>0.0357751948154173</v>
      </c>
      <c r="G1450">
        <f ca="1" t="shared" si="66"/>
        <v>-0.890203108043913</v>
      </c>
      <c r="H1450" t="str">
        <f ca="1" t="shared" si="67"/>
        <v>Risk-Off</v>
      </c>
      <c r="I1450">
        <f ca="1" t="shared" si="68"/>
        <v>1</v>
      </c>
      <c r="J1450">
        <f>_xlfn.XLOOKUP($A1450,[1]Sheet1!$B$9:$B$2584,[1]Sheet1!$C$9:$C$2584,"N/A",0)</f>
        <v>106.8</v>
      </c>
      <c r="K1450">
        <f>_xlfn.XLOOKUP($A1450,[1]Sheet1!$E$9:$E$2584,[1]Sheet1!$F$9:$F$2584,"N/A",0)</f>
        <v>126.29</v>
      </c>
      <c r="L1450">
        <f>_xlfn.XLOOKUP($A1450,[1]Sheet1!$H$9:$H$2584,[1]Sheet1!$I$9:$I$2584,"N/A",0)</f>
        <v>64.97</v>
      </c>
      <c r="M1450">
        <f>_xlfn.XLOOKUP($A1450,[1]Sheet1!$K$9:$K$2584,[1]Sheet1!$L$9:$L$2584,"N/A",0)</f>
        <v>140.49</v>
      </c>
      <c r="N1450">
        <f>_xlfn.XLOOKUP($A1450,[1]Sheet1!$N$9:$N$2584,[1]Sheet1!$O$9:$O$2584,"N/A",0)</f>
        <v>100.78</v>
      </c>
      <c r="O1450">
        <v>106.8</v>
      </c>
      <c r="P1450">
        <v>126.29</v>
      </c>
      <c r="Q1450">
        <v>64.97</v>
      </c>
      <c r="R1450">
        <v>100.78</v>
      </c>
      <c r="S1450">
        <v>140.49</v>
      </c>
    </row>
    <row r="1451" spans="1:19">
      <c r="A1451" s="1">
        <v>44470</v>
      </c>
      <c r="B1451" t="s">
        <v>672</v>
      </c>
      <c r="C1451" t="s">
        <v>685</v>
      </c>
      <c r="D1451">
        <v>21.994</v>
      </c>
      <c r="E1451">
        <v>23.2158</v>
      </c>
      <c r="F1451">
        <v>0.0555515140492862</v>
      </c>
      <c r="G1451">
        <f ca="1" t="shared" si="66"/>
        <v>-0.267208558521195</v>
      </c>
      <c r="H1451" t="str">
        <f ca="1" t="shared" si="67"/>
        <v>Risk-Off</v>
      </c>
      <c r="I1451">
        <f ca="1" t="shared" si="68"/>
        <v>1</v>
      </c>
      <c r="J1451">
        <f>_xlfn.XLOOKUP($A1451,[1]Sheet1!$B$9:$B$2584,[1]Sheet1!$C$9:$C$2584,"N/A",0)</f>
        <v>106.65</v>
      </c>
      <c r="K1451">
        <f>_xlfn.XLOOKUP($A1451,[1]Sheet1!$E$9:$E$2584,[1]Sheet1!$F$9:$F$2584,"N/A",0)</f>
        <v>126</v>
      </c>
      <c r="L1451">
        <f>_xlfn.XLOOKUP($A1451,[1]Sheet1!$H$9:$H$2584,[1]Sheet1!$I$9:$I$2584,"N/A",0)</f>
        <v>64.43</v>
      </c>
      <c r="M1451">
        <f>_xlfn.XLOOKUP($A1451,[1]Sheet1!$K$9:$K$2584,[1]Sheet1!$L$9:$L$2584,"N/A",0)</f>
        <v>140.07</v>
      </c>
      <c r="N1451">
        <f>_xlfn.XLOOKUP($A1451,[1]Sheet1!$N$9:$N$2584,[1]Sheet1!$O$9:$O$2584,"N/A",0)</f>
        <v>100.68</v>
      </c>
      <c r="O1451">
        <v>106.65</v>
      </c>
      <c r="P1451">
        <v>126</v>
      </c>
      <c r="Q1451">
        <v>64.43</v>
      </c>
      <c r="R1451">
        <v>100.68</v>
      </c>
      <c r="S1451">
        <v>140.07</v>
      </c>
    </row>
    <row r="1452" spans="1:19">
      <c r="A1452" s="1">
        <v>44473</v>
      </c>
      <c r="B1452" t="s">
        <v>672</v>
      </c>
      <c r="C1452" t="s">
        <v>685</v>
      </c>
      <c r="D1452">
        <v>22.681</v>
      </c>
      <c r="E1452">
        <v>23.6992</v>
      </c>
      <c r="F1452">
        <v>0.0448922005202592</v>
      </c>
      <c r="G1452">
        <f ca="1" t="shared" si="66"/>
        <v>-0.596199313644737</v>
      </c>
      <c r="H1452" t="str">
        <f ca="1" t="shared" si="67"/>
        <v>Risk-Off</v>
      </c>
      <c r="I1452">
        <f ca="1" t="shared" si="68"/>
        <v>1</v>
      </c>
      <c r="J1452">
        <f>_xlfn.XLOOKUP($A1452,[1]Sheet1!$B$9:$B$2584,[1]Sheet1!$C$9:$C$2584,"N/A",0)</f>
        <v>106.3</v>
      </c>
      <c r="K1452">
        <f>_xlfn.XLOOKUP($A1452,[1]Sheet1!$E$9:$E$2584,[1]Sheet1!$F$9:$F$2584,"N/A",0)</f>
        <v>126.08</v>
      </c>
      <c r="L1452">
        <f>_xlfn.XLOOKUP($A1452,[1]Sheet1!$H$9:$H$2584,[1]Sheet1!$I$9:$I$2584,"N/A",0)</f>
        <v>65.31</v>
      </c>
      <c r="M1452">
        <f>_xlfn.XLOOKUP($A1452,[1]Sheet1!$K$9:$K$2584,[1]Sheet1!$L$9:$L$2584,"N/A",0)</f>
        <v>139.42</v>
      </c>
      <c r="N1452">
        <f>_xlfn.XLOOKUP($A1452,[1]Sheet1!$N$9:$N$2584,[1]Sheet1!$O$9:$O$2584,"N/A",0)</f>
        <v>100.62</v>
      </c>
      <c r="O1452">
        <v>106.3</v>
      </c>
      <c r="P1452">
        <v>126.08</v>
      </c>
      <c r="Q1452">
        <v>65.31</v>
      </c>
      <c r="R1452">
        <v>100.62</v>
      </c>
      <c r="S1452">
        <v>139.42</v>
      </c>
    </row>
    <row r="1453" spans="1:19">
      <c r="A1453" s="1">
        <v>44474</v>
      </c>
      <c r="B1453" t="s">
        <v>672</v>
      </c>
      <c r="C1453" t="s">
        <v>685</v>
      </c>
      <c r="D1453">
        <v>21.7541</v>
      </c>
      <c r="E1453">
        <v>23.0271</v>
      </c>
      <c r="F1453" s="2" t="s">
        <v>688</v>
      </c>
      <c r="G1453">
        <f ca="1" t="shared" si="66"/>
        <v>-0.177301821815458</v>
      </c>
      <c r="H1453" t="str">
        <f ca="1" t="shared" si="67"/>
        <v>Risk-Off</v>
      </c>
      <c r="I1453">
        <f ca="1" t="shared" si="68"/>
        <v>1</v>
      </c>
      <c r="J1453">
        <f>_xlfn.XLOOKUP($A1453,[1]Sheet1!$B$9:$B$2584,[1]Sheet1!$C$9:$C$2584,"N/A",0)</f>
        <v>107.1</v>
      </c>
      <c r="K1453">
        <f>_xlfn.XLOOKUP($A1453,[1]Sheet1!$E$9:$E$2584,[1]Sheet1!$F$9:$F$2584,"N/A",0)</f>
        <v>126.78</v>
      </c>
      <c r="L1453">
        <f>_xlfn.XLOOKUP($A1453,[1]Sheet1!$H$9:$H$2584,[1]Sheet1!$I$9:$I$2584,"N/A",0)</f>
        <v>65.31</v>
      </c>
      <c r="M1453">
        <f>_xlfn.XLOOKUP($A1453,[1]Sheet1!$K$9:$K$2584,[1]Sheet1!$L$9:$L$2584,"N/A",0)</f>
        <v>140.58</v>
      </c>
      <c r="N1453">
        <f>_xlfn.XLOOKUP($A1453,[1]Sheet1!$N$9:$N$2584,[1]Sheet1!$O$9:$O$2584,"N/A",0)</f>
        <v>100.93</v>
      </c>
      <c r="O1453">
        <v>107.1</v>
      </c>
      <c r="P1453">
        <v>126.78</v>
      </c>
      <c r="Q1453">
        <v>65.31</v>
      </c>
      <c r="R1453">
        <v>100.93</v>
      </c>
      <c r="S1453">
        <v>140.58</v>
      </c>
    </row>
    <row r="1454" spans="1:19">
      <c r="A1454" s="1">
        <v>44475</v>
      </c>
      <c r="B1454" t="s">
        <v>672</v>
      </c>
      <c r="C1454" t="s">
        <v>685</v>
      </c>
      <c r="D1454">
        <v>21.2171</v>
      </c>
      <c r="E1454">
        <v>22.6587</v>
      </c>
      <c r="F1454">
        <v>0.0679451951491957</v>
      </c>
      <c r="G1454">
        <f ca="1" t="shared" si="66"/>
        <v>0.110540969407467</v>
      </c>
      <c r="H1454" t="str">
        <f ca="1" t="shared" si="67"/>
        <v>Risk-Off</v>
      </c>
      <c r="I1454">
        <f ca="1" t="shared" si="68"/>
        <v>1</v>
      </c>
      <c r="J1454">
        <f>_xlfn.XLOOKUP($A1454,[1]Sheet1!$B$9:$B$2584,[1]Sheet1!$C$9:$C$2584,"N/A",0)</f>
        <v>107.67</v>
      </c>
      <c r="K1454">
        <f>_xlfn.XLOOKUP($A1454,[1]Sheet1!$E$9:$E$2584,[1]Sheet1!$F$9:$F$2584,"N/A",0)</f>
        <v>125.85</v>
      </c>
      <c r="L1454">
        <f>_xlfn.XLOOKUP($A1454,[1]Sheet1!$H$9:$H$2584,[1]Sheet1!$I$9:$I$2584,"N/A",0)</f>
        <v>64.94</v>
      </c>
      <c r="M1454">
        <f>_xlfn.XLOOKUP($A1454,[1]Sheet1!$K$9:$K$2584,[1]Sheet1!$L$9:$L$2584,"N/A",0)</f>
        <v>140.41</v>
      </c>
      <c r="N1454">
        <f>_xlfn.XLOOKUP($A1454,[1]Sheet1!$N$9:$N$2584,[1]Sheet1!$O$9:$O$2584,"N/A",0)</f>
        <v>101.35</v>
      </c>
      <c r="O1454">
        <v>107.67</v>
      </c>
      <c r="P1454">
        <v>125.85</v>
      </c>
      <c r="Q1454">
        <v>64.94</v>
      </c>
      <c r="R1454">
        <v>101.35</v>
      </c>
      <c r="S1454">
        <v>140.41</v>
      </c>
    </row>
    <row r="1455" spans="1:19">
      <c r="A1455" s="1">
        <v>44476</v>
      </c>
      <c r="B1455" t="s">
        <v>672</v>
      </c>
      <c r="C1455" t="s">
        <v>685</v>
      </c>
      <c r="D1455">
        <v>20.1013</v>
      </c>
      <c r="E1455">
        <v>22.0851</v>
      </c>
      <c r="F1455">
        <v>0.098690134468915</v>
      </c>
      <c r="G1455">
        <f ca="1" t="shared" si="66"/>
        <v>1.06379740296479</v>
      </c>
      <c r="H1455" t="str">
        <f ca="1" t="shared" si="67"/>
        <v>Risk-Off</v>
      </c>
      <c r="I1455">
        <f ca="1" t="shared" si="68"/>
        <v>1</v>
      </c>
      <c r="J1455">
        <f>_xlfn.XLOOKUP($A1455,[1]Sheet1!$B$9:$B$2584,[1]Sheet1!$C$9:$C$2584,"N/A",0)</f>
        <v>107.8</v>
      </c>
      <c r="K1455">
        <f>_xlfn.XLOOKUP($A1455,[1]Sheet1!$E$9:$E$2584,[1]Sheet1!$F$9:$F$2584,"N/A",0)</f>
        <v>125.77</v>
      </c>
      <c r="L1455">
        <f>_xlfn.XLOOKUP($A1455,[1]Sheet1!$H$9:$H$2584,[1]Sheet1!$I$9:$I$2584,"N/A",0)</f>
        <v>65.23</v>
      </c>
      <c r="M1455">
        <f>_xlfn.XLOOKUP($A1455,[1]Sheet1!$K$9:$K$2584,[1]Sheet1!$L$9:$L$2584,"N/A",0)</f>
        <v>140.37</v>
      </c>
      <c r="N1455">
        <f>_xlfn.XLOOKUP($A1455,[1]Sheet1!$N$9:$N$2584,[1]Sheet1!$O$9:$O$2584,"N/A",0)</f>
        <v>101.03</v>
      </c>
      <c r="O1455">
        <v>107.8</v>
      </c>
      <c r="P1455">
        <v>125.77</v>
      </c>
      <c r="Q1455">
        <v>65.23</v>
      </c>
      <c r="R1455">
        <v>101.03</v>
      </c>
      <c r="S1455">
        <v>140.37</v>
      </c>
    </row>
    <row r="1456" spans="1:19">
      <c r="A1456" s="1">
        <v>44477</v>
      </c>
      <c r="B1456" t="s">
        <v>672</v>
      </c>
      <c r="C1456" t="s">
        <v>685</v>
      </c>
      <c r="D1456">
        <v>19.7169</v>
      </c>
      <c r="E1456">
        <v>21.6097</v>
      </c>
      <c r="F1456">
        <v>0.0959988639187702</v>
      </c>
      <c r="G1456">
        <f ca="1" t="shared" si="66"/>
        <v>0.967929732791253</v>
      </c>
      <c r="H1456" t="str">
        <f ca="1" t="shared" si="67"/>
        <v>Risk-Off</v>
      </c>
      <c r="I1456">
        <f ca="1" t="shared" si="68"/>
        <v>1</v>
      </c>
      <c r="J1456">
        <f>_xlfn.XLOOKUP($A1456,[1]Sheet1!$B$9:$B$2584,[1]Sheet1!$C$9:$C$2584,"N/A",0)</f>
        <v>107.87</v>
      </c>
      <c r="K1456">
        <f>_xlfn.XLOOKUP($A1456,[1]Sheet1!$E$9:$E$2584,[1]Sheet1!$F$9:$F$2584,"N/A",0)</f>
        <v>125</v>
      </c>
      <c r="L1456">
        <f>_xlfn.XLOOKUP($A1456,[1]Sheet1!$H$9:$H$2584,[1]Sheet1!$I$9:$I$2584,"N/A",0)</f>
        <v>65.74</v>
      </c>
      <c r="M1456">
        <f>_xlfn.XLOOKUP($A1456,[1]Sheet1!$K$9:$K$2584,[1]Sheet1!$L$9:$L$2584,"N/A",0)</f>
        <v>140.59</v>
      </c>
      <c r="N1456">
        <f>_xlfn.XLOOKUP($A1456,[1]Sheet1!$N$9:$N$2584,[1]Sheet1!$O$9:$O$2584,"N/A",0)</f>
        <v>102.03</v>
      </c>
      <c r="O1456">
        <v>107.87</v>
      </c>
      <c r="P1456">
        <v>125</v>
      </c>
      <c r="Q1456">
        <v>65.74</v>
      </c>
      <c r="R1456">
        <v>102.03</v>
      </c>
      <c r="S1456">
        <v>140.59</v>
      </c>
    </row>
    <row r="1457" spans="1:19">
      <c r="A1457" s="1">
        <v>44480</v>
      </c>
      <c r="B1457" t="s">
        <v>672</v>
      </c>
      <c r="C1457" t="s">
        <v>685</v>
      </c>
      <c r="D1457">
        <v>20.1505</v>
      </c>
      <c r="E1457">
        <v>21.8565</v>
      </c>
      <c r="F1457">
        <v>0.0846629115902831</v>
      </c>
      <c r="G1457">
        <f ca="1" t="shared" si="66"/>
        <v>0.613220503419816</v>
      </c>
      <c r="H1457" t="str">
        <f ca="1" t="shared" si="67"/>
        <v>Risk-Off</v>
      </c>
      <c r="I1457">
        <f ca="1" t="shared" si="68"/>
        <v>1</v>
      </c>
      <c r="J1457">
        <f>_xlfn.XLOOKUP($A1457,[1]Sheet1!$B$9:$B$2584,[1]Sheet1!$C$9:$C$2584,"N/A",0)</f>
        <v>108.2</v>
      </c>
      <c r="K1457">
        <f>_xlfn.XLOOKUP($A1457,[1]Sheet1!$E$9:$E$2584,[1]Sheet1!$F$9:$F$2584,"N/A",0)</f>
        <v>125.16</v>
      </c>
      <c r="L1457">
        <f>_xlfn.XLOOKUP($A1457,[1]Sheet1!$H$9:$H$2584,[1]Sheet1!$I$9:$I$2584,"N/A",0)</f>
        <v>65.82</v>
      </c>
      <c r="M1457">
        <f>_xlfn.XLOOKUP($A1457,[1]Sheet1!$K$9:$K$2584,[1]Sheet1!$L$9:$L$2584,"N/A",0)</f>
        <v>140.49</v>
      </c>
      <c r="N1457">
        <f>_xlfn.XLOOKUP($A1457,[1]Sheet1!$N$9:$N$2584,[1]Sheet1!$O$9:$O$2584,"N/A",0)</f>
        <v>102.07</v>
      </c>
      <c r="O1457">
        <v>108.2</v>
      </c>
      <c r="P1457">
        <v>125.16</v>
      </c>
      <c r="Q1457">
        <v>65.82</v>
      </c>
      <c r="R1457">
        <v>102.07</v>
      </c>
      <c r="S1457">
        <v>140.49</v>
      </c>
    </row>
    <row r="1458" spans="1:19">
      <c r="A1458" s="1">
        <v>44481</v>
      </c>
      <c r="B1458" t="s">
        <v>672</v>
      </c>
      <c r="C1458" t="s">
        <v>685</v>
      </c>
      <c r="D1458">
        <v>19.7169</v>
      </c>
      <c r="E1458">
        <v>21.4506</v>
      </c>
      <c r="F1458">
        <v>0.0879296441124113</v>
      </c>
      <c r="G1458">
        <f ca="1" t="shared" si="66"/>
        <v>0.712596530336639</v>
      </c>
      <c r="H1458" t="str">
        <f ca="1" t="shared" si="67"/>
        <v>Risk-Off</v>
      </c>
      <c r="I1458">
        <f ca="1" t="shared" si="68"/>
        <v>1</v>
      </c>
      <c r="J1458">
        <f>_xlfn.XLOOKUP($A1458,[1]Sheet1!$B$9:$B$2584,[1]Sheet1!$C$9:$C$2584,"N/A",0)</f>
        <v>108.06</v>
      </c>
      <c r="K1458">
        <f>_xlfn.XLOOKUP($A1458,[1]Sheet1!$E$9:$E$2584,[1]Sheet1!$F$9:$F$2584,"N/A",0)</f>
        <v>124.63</v>
      </c>
      <c r="L1458">
        <f>_xlfn.XLOOKUP($A1458,[1]Sheet1!$H$9:$H$2584,[1]Sheet1!$I$9:$I$2584,"N/A",0)</f>
        <v>65.23</v>
      </c>
      <c r="M1458">
        <f>_xlfn.XLOOKUP($A1458,[1]Sheet1!$K$9:$K$2584,[1]Sheet1!$L$9:$L$2584,"N/A",0)</f>
        <v>139.36</v>
      </c>
      <c r="N1458">
        <f>_xlfn.XLOOKUP($A1458,[1]Sheet1!$N$9:$N$2584,[1]Sheet1!$O$9:$O$2584,"N/A",0)</f>
        <v>101.66</v>
      </c>
      <c r="O1458">
        <v>108.06</v>
      </c>
      <c r="P1458">
        <v>124.63</v>
      </c>
      <c r="Q1458">
        <v>65.23</v>
      </c>
      <c r="R1458">
        <v>101.66</v>
      </c>
      <c r="S1458">
        <v>139.36</v>
      </c>
    </row>
    <row r="1459" spans="1:19">
      <c r="A1459" s="1">
        <v>44482</v>
      </c>
      <c r="B1459" t="s">
        <v>672</v>
      </c>
      <c r="C1459" t="s">
        <v>685</v>
      </c>
      <c r="D1459">
        <v>19.1506</v>
      </c>
      <c r="E1459">
        <v>21.107</v>
      </c>
      <c r="F1459">
        <v>0.102158679101438</v>
      </c>
      <c r="G1459">
        <f ca="1" t="shared" si="66"/>
        <v>1.15021403427736</v>
      </c>
      <c r="H1459" t="str">
        <f ca="1" t="shared" si="67"/>
        <v>Risk-Off</v>
      </c>
      <c r="I1459">
        <f ca="1" t="shared" si="68"/>
        <v>1</v>
      </c>
      <c r="J1459">
        <f>_xlfn.XLOOKUP($A1459,[1]Sheet1!$B$9:$B$2584,[1]Sheet1!$C$9:$C$2584,"N/A",0)</f>
        <v>108.08</v>
      </c>
      <c r="K1459">
        <f>_xlfn.XLOOKUP($A1459,[1]Sheet1!$E$9:$E$2584,[1]Sheet1!$F$9:$F$2584,"N/A",0)</f>
        <v>123.68</v>
      </c>
      <c r="L1459">
        <f>_xlfn.XLOOKUP($A1459,[1]Sheet1!$H$9:$H$2584,[1]Sheet1!$I$9:$I$2584,"N/A",0)</f>
        <v>64.85</v>
      </c>
      <c r="M1459">
        <f>_xlfn.XLOOKUP($A1459,[1]Sheet1!$K$9:$K$2584,[1]Sheet1!$L$9:$L$2584,"N/A",0)</f>
        <v>139.43</v>
      </c>
      <c r="N1459">
        <f>_xlfn.XLOOKUP($A1459,[1]Sheet1!$N$9:$N$2584,[1]Sheet1!$O$9:$O$2584,"N/A",0)</f>
        <v>101.35</v>
      </c>
      <c r="O1459">
        <v>108.08</v>
      </c>
      <c r="P1459">
        <v>123.68</v>
      </c>
      <c r="Q1459">
        <v>64.85</v>
      </c>
      <c r="R1459">
        <v>101.35</v>
      </c>
      <c r="S1459">
        <v>139.43</v>
      </c>
    </row>
    <row r="1460" spans="1:19">
      <c r="A1460" s="1">
        <v>44483</v>
      </c>
      <c r="B1460" t="s">
        <v>672</v>
      </c>
      <c r="C1460" t="s">
        <v>685</v>
      </c>
      <c r="D1460">
        <v>17.6014</v>
      </c>
      <c r="E1460">
        <v>20.0046</v>
      </c>
      <c r="F1460" s="2" t="s">
        <v>689</v>
      </c>
      <c r="G1460">
        <f ca="1" t="shared" si="66"/>
        <v>2.19217046542092</v>
      </c>
      <c r="H1460" t="str">
        <f ca="1" t="shared" si="67"/>
        <v>Risk-Off</v>
      </c>
      <c r="I1460">
        <f ca="1" t="shared" si="68"/>
        <v>1</v>
      </c>
      <c r="J1460">
        <f>_xlfn.XLOOKUP($A1460,[1]Sheet1!$B$9:$B$2584,[1]Sheet1!$C$9:$C$2584,"N/A",0)</f>
        <v>107.95</v>
      </c>
      <c r="K1460">
        <f>_xlfn.XLOOKUP($A1460,[1]Sheet1!$E$9:$E$2584,[1]Sheet1!$F$9:$F$2584,"N/A",0)</f>
        <v>123.92</v>
      </c>
      <c r="L1460">
        <f>_xlfn.XLOOKUP($A1460,[1]Sheet1!$H$9:$H$2584,[1]Sheet1!$I$9:$I$2584,"N/A",0)</f>
        <v>65.09</v>
      </c>
      <c r="M1460">
        <f>_xlfn.XLOOKUP($A1460,[1]Sheet1!$K$9:$K$2584,[1]Sheet1!$L$9:$L$2584,"N/A",0)</f>
        <v>140.31</v>
      </c>
      <c r="N1460">
        <f>_xlfn.XLOOKUP($A1460,[1]Sheet1!$N$9:$N$2584,[1]Sheet1!$O$9:$O$2584,"N/A",0)</f>
        <v>101.69</v>
      </c>
      <c r="O1460">
        <v>107.95</v>
      </c>
      <c r="P1460">
        <v>123.92</v>
      </c>
      <c r="Q1460">
        <v>65.09</v>
      </c>
      <c r="R1460">
        <v>101.69</v>
      </c>
      <c r="S1460">
        <v>140.31</v>
      </c>
    </row>
    <row r="1461" spans="1:19">
      <c r="A1461" s="1">
        <v>44484</v>
      </c>
      <c r="B1461" t="s">
        <v>672</v>
      </c>
      <c r="C1461" t="s">
        <v>685</v>
      </c>
      <c r="D1461">
        <v>17.1727</v>
      </c>
      <c r="E1461">
        <v>20.0983</v>
      </c>
      <c r="F1461" s="2" t="s">
        <v>690</v>
      </c>
      <c r="G1461">
        <f ca="1" t="shared" si="66"/>
        <v>3.21953590707787</v>
      </c>
      <c r="H1461" t="str">
        <f ca="1" t="shared" si="67"/>
        <v>Risk-Off</v>
      </c>
      <c r="I1461">
        <f ca="1" t="shared" si="68"/>
        <v>1</v>
      </c>
      <c r="J1461">
        <f>_xlfn.XLOOKUP($A1461,[1]Sheet1!$B$9:$B$2584,[1]Sheet1!$C$9:$C$2584,"N/A",0)</f>
        <v>108.43</v>
      </c>
      <c r="K1461">
        <f>_xlfn.XLOOKUP($A1461,[1]Sheet1!$E$9:$E$2584,[1]Sheet1!$F$9:$F$2584,"N/A",0)</f>
        <v>123.82</v>
      </c>
      <c r="L1461">
        <f>_xlfn.XLOOKUP($A1461,[1]Sheet1!$H$9:$H$2584,[1]Sheet1!$I$9:$I$2584,"N/A",0)</f>
        <v>65.07</v>
      </c>
      <c r="M1461">
        <f>_xlfn.XLOOKUP($A1461,[1]Sheet1!$K$9:$K$2584,[1]Sheet1!$L$9:$L$2584,"N/A",0)</f>
        <v>140.96</v>
      </c>
      <c r="N1461">
        <f>_xlfn.XLOOKUP($A1461,[1]Sheet1!$N$9:$N$2584,[1]Sheet1!$O$9:$O$2584,"N/A",0)</f>
        <v>102.51</v>
      </c>
      <c r="O1461">
        <v>108.43</v>
      </c>
      <c r="P1461">
        <v>123.82</v>
      </c>
      <c r="Q1461">
        <v>65.07</v>
      </c>
      <c r="R1461">
        <v>102.51</v>
      </c>
      <c r="S1461">
        <v>140.96</v>
      </c>
    </row>
    <row r="1462" spans="1:19">
      <c r="A1462" s="1">
        <v>44487</v>
      </c>
      <c r="B1462" t="s">
        <v>672</v>
      </c>
      <c r="C1462" t="s">
        <v>685</v>
      </c>
      <c r="D1462">
        <v>16.618</v>
      </c>
      <c r="E1462">
        <v>19.6962</v>
      </c>
      <c r="F1462" s="2" t="s">
        <v>691</v>
      </c>
      <c r="G1462">
        <f ca="1" t="shared" si="66"/>
        <v>3.66226126185478</v>
      </c>
      <c r="H1462" t="str">
        <f ca="1" t="shared" si="67"/>
        <v>Risk-Off</v>
      </c>
      <c r="I1462">
        <f ca="1" t="shared" si="68"/>
        <v>1</v>
      </c>
      <c r="J1462">
        <f>_xlfn.XLOOKUP($A1462,[1]Sheet1!$B$9:$B$2584,[1]Sheet1!$C$9:$C$2584,"N/A",0)</f>
        <v>108.23</v>
      </c>
      <c r="K1462">
        <f>_xlfn.XLOOKUP($A1462,[1]Sheet1!$E$9:$E$2584,[1]Sheet1!$F$9:$F$2584,"N/A",0)</f>
        <v>125.26</v>
      </c>
      <c r="L1462">
        <f>_xlfn.XLOOKUP($A1462,[1]Sheet1!$H$9:$H$2584,[1]Sheet1!$I$9:$I$2584,"N/A",0)</f>
        <v>64.66</v>
      </c>
      <c r="M1462">
        <f>_xlfn.XLOOKUP($A1462,[1]Sheet1!$K$9:$K$2584,[1]Sheet1!$L$9:$L$2584,"N/A",0)</f>
        <v>141.65</v>
      </c>
      <c r="N1462">
        <f>_xlfn.XLOOKUP($A1462,[1]Sheet1!$N$9:$N$2584,[1]Sheet1!$O$9:$O$2584,"N/A",0)</f>
        <v>102.52</v>
      </c>
      <c r="O1462">
        <v>108.23</v>
      </c>
      <c r="P1462">
        <v>125.26</v>
      </c>
      <c r="Q1462">
        <v>64.66</v>
      </c>
      <c r="R1462">
        <v>102.52</v>
      </c>
      <c r="S1462">
        <v>141.65</v>
      </c>
    </row>
    <row r="1463" spans="1:19">
      <c r="A1463" s="1">
        <v>44488</v>
      </c>
      <c r="B1463" t="s">
        <v>672</v>
      </c>
      <c r="C1463" t="s">
        <v>685</v>
      </c>
      <c r="D1463">
        <v>15.9647</v>
      </c>
      <c r="E1463">
        <v>19.5287</v>
      </c>
      <c r="F1463" s="2" t="s">
        <v>692</v>
      </c>
      <c r="G1463">
        <f ca="1" t="shared" si="66"/>
        <v>4.81063814376454</v>
      </c>
      <c r="H1463" t="str">
        <f ca="1" t="shared" si="67"/>
        <v>Risk-Off</v>
      </c>
      <c r="I1463">
        <f ca="1" t="shared" si="68"/>
        <v>1</v>
      </c>
      <c r="J1463">
        <f>_xlfn.XLOOKUP($A1463,[1]Sheet1!$B$9:$B$2584,[1]Sheet1!$C$9:$C$2584,"N/A",0)</f>
        <v>108.85</v>
      </c>
      <c r="K1463">
        <f>_xlfn.XLOOKUP($A1463,[1]Sheet1!$E$9:$E$2584,[1]Sheet1!$F$9:$F$2584,"N/A",0)</f>
        <v>123.84</v>
      </c>
      <c r="L1463">
        <f>_xlfn.XLOOKUP($A1463,[1]Sheet1!$H$9:$H$2584,[1]Sheet1!$I$9:$I$2584,"N/A",0)</f>
        <v>64.63</v>
      </c>
      <c r="M1463">
        <f>_xlfn.XLOOKUP($A1463,[1]Sheet1!$K$9:$K$2584,[1]Sheet1!$L$9:$L$2584,"N/A",0)</f>
        <v>141.49</v>
      </c>
      <c r="N1463">
        <f>_xlfn.XLOOKUP($A1463,[1]Sheet1!$N$9:$N$2584,[1]Sheet1!$O$9:$O$2584,"N/A",0)</f>
        <v>102.87</v>
      </c>
      <c r="O1463">
        <v>108.85</v>
      </c>
      <c r="P1463">
        <v>123.84</v>
      </c>
      <c r="Q1463">
        <v>64.63</v>
      </c>
      <c r="R1463">
        <v>102.87</v>
      </c>
      <c r="S1463">
        <v>141.49</v>
      </c>
    </row>
    <row r="1464" spans="1:19">
      <c r="A1464" s="1">
        <v>44489</v>
      </c>
      <c r="B1464" t="s">
        <v>672</v>
      </c>
      <c r="C1464" t="s">
        <v>685</v>
      </c>
      <c r="D1464">
        <v>15.35</v>
      </c>
      <c r="E1464">
        <v>19.3155</v>
      </c>
      <c r="F1464" s="2" t="s">
        <v>693</v>
      </c>
      <c r="G1464">
        <f ca="1" t="shared" si="66"/>
        <v>5.87097934005092</v>
      </c>
      <c r="H1464" t="str">
        <f ca="1" t="shared" si="67"/>
        <v>Risk-Off</v>
      </c>
      <c r="I1464">
        <f ca="1" t="shared" si="68"/>
        <v>1</v>
      </c>
      <c r="J1464">
        <f>_xlfn.XLOOKUP($A1464,[1]Sheet1!$B$9:$B$2584,[1]Sheet1!$C$9:$C$2584,"N/A",0)</f>
        <v>108.94</v>
      </c>
      <c r="K1464">
        <f>_xlfn.XLOOKUP($A1464,[1]Sheet1!$E$9:$E$2584,[1]Sheet1!$F$9:$F$2584,"N/A",0)</f>
        <v>124.12</v>
      </c>
      <c r="L1464">
        <f>_xlfn.XLOOKUP($A1464,[1]Sheet1!$H$9:$H$2584,[1]Sheet1!$I$9:$I$2584,"N/A",0)</f>
        <v>65.43</v>
      </c>
      <c r="M1464">
        <f>_xlfn.XLOOKUP($A1464,[1]Sheet1!$K$9:$K$2584,[1]Sheet1!$L$9:$L$2584,"N/A",0)</f>
        <v>141.73</v>
      </c>
      <c r="N1464">
        <f>_xlfn.XLOOKUP($A1464,[1]Sheet1!$N$9:$N$2584,[1]Sheet1!$O$9:$O$2584,"N/A",0)</f>
        <v>103.01</v>
      </c>
      <c r="O1464">
        <v>108.94</v>
      </c>
      <c r="P1464">
        <v>124.12</v>
      </c>
      <c r="Q1464">
        <v>65.43</v>
      </c>
      <c r="R1464">
        <v>103.01</v>
      </c>
      <c r="S1464">
        <v>141.73</v>
      </c>
    </row>
    <row r="1465" spans="1:19">
      <c r="A1465" s="1">
        <v>44490</v>
      </c>
      <c r="B1465" t="s">
        <v>685</v>
      </c>
      <c r="C1465" t="s">
        <v>694</v>
      </c>
      <c r="D1465">
        <v>18.6977</v>
      </c>
      <c r="E1465">
        <v>20.6504</v>
      </c>
      <c r="F1465" s="2" t="s">
        <v>695</v>
      </c>
      <c r="G1465">
        <f ca="1" t="shared" si="66"/>
        <v>1.17365607035373</v>
      </c>
      <c r="H1465" t="str">
        <f ca="1" t="shared" si="67"/>
        <v>Risk-Off</v>
      </c>
      <c r="I1465">
        <f ca="1" t="shared" si="68"/>
        <v>1</v>
      </c>
      <c r="J1465">
        <f>_xlfn.XLOOKUP($A1465,[1]Sheet1!$B$9:$B$2584,[1]Sheet1!$C$9:$C$2584,"N/A",0)</f>
        <v>109.07</v>
      </c>
      <c r="K1465">
        <f>_xlfn.XLOOKUP($A1465,[1]Sheet1!$E$9:$E$2584,[1]Sheet1!$F$9:$F$2584,"N/A",0)</f>
        <v>123.49</v>
      </c>
      <c r="L1465">
        <f>_xlfn.XLOOKUP($A1465,[1]Sheet1!$H$9:$H$2584,[1]Sheet1!$I$9:$I$2584,"N/A",0)</f>
        <v>64.74</v>
      </c>
      <c r="M1465">
        <f>_xlfn.XLOOKUP($A1465,[1]Sheet1!$K$9:$K$2584,[1]Sheet1!$L$9:$L$2584,"N/A",0)</f>
        <v>142.53</v>
      </c>
      <c r="N1465">
        <f>_xlfn.XLOOKUP($A1465,[1]Sheet1!$N$9:$N$2584,[1]Sheet1!$O$9:$O$2584,"N/A",0)</f>
        <v>103.08</v>
      </c>
      <c r="O1465">
        <v>109.07</v>
      </c>
      <c r="P1465">
        <v>123.49</v>
      </c>
      <c r="Q1465">
        <v>64.74</v>
      </c>
      <c r="R1465">
        <v>103.08</v>
      </c>
      <c r="S1465">
        <v>142.53</v>
      </c>
    </row>
    <row r="1466" spans="1:19">
      <c r="A1466" s="1">
        <v>44491</v>
      </c>
      <c r="B1466" t="s">
        <v>685</v>
      </c>
      <c r="C1466" t="s">
        <v>694</v>
      </c>
      <c r="D1466">
        <v>19.1016</v>
      </c>
      <c r="E1466">
        <v>21.1001</v>
      </c>
      <c r="F1466" s="2" t="s">
        <v>696</v>
      </c>
      <c r="G1466">
        <f ca="1" t="shared" si="66"/>
        <v>1.17668406461814</v>
      </c>
      <c r="H1466" t="str">
        <f ca="1" t="shared" si="67"/>
        <v>Risk-Off</v>
      </c>
      <c r="I1466">
        <f ca="1" t="shared" si="68"/>
        <v>1</v>
      </c>
      <c r="J1466">
        <f>_xlfn.XLOOKUP($A1466,[1]Sheet1!$B$9:$B$2584,[1]Sheet1!$C$9:$C$2584,"N/A",0)</f>
        <v>108.72</v>
      </c>
      <c r="K1466">
        <f>_xlfn.XLOOKUP($A1466,[1]Sheet1!$E$9:$E$2584,[1]Sheet1!$F$9:$F$2584,"N/A",0)</f>
        <v>124.21</v>
      </c>
      <c r="L1466">
        <f>_xlfn.XLOOKUP($A1466,[1]Sheet1!$H$9:$H$2584,[1]Sheet1!$I$9:$I$2584,"N/A",0)</f>
        <v>64.62</v>
      </c>
      <c r="M1466">
        <f>_xlfn.XLOOKUP($A1466,[1]Sheet1!$K$9:$K$2584,[1]Sheet1!$L$9:$L$2584,"N/A",0)</f>
        <v>143.45</v>
      </c>
      <c r="N1466">
        <f>_xlfn.XLOOKUP($A1466,[1]Sheet1!$N$9:$N$2584,[1]Sheet1!$O$9:$O$2584,"N/A",0)</f>
        <v>103.36</v>
      </c>
      <c r="O1466">
        <v>108.72</v>
      </c>
      <c r="P1466">
        <v>124.21</v>
      </c>
      <c r="Q1466">
        <v>64.62</v>
      </c>
      <c r="R1466">
        <v>103.36</v>
      </c>
      <c r="S1466">
        <v>143.45</v>
      </c>
    </row>
    <row r="1467" spans="1:19">
      <c r="A1467" s="1">
        <v>44494</v>
      </c>
      <c r="B1467" t="s">
        <v>685</v>
      </c>
      <c r="C1467" t="s">
        <v>694</v>
      </c>
      <c r="D1467">
        <v>18.5505</v>
      </c>
      <c r="E1467">
        <v>20.4983</v>
      </c>
      <c r="F1467" s="2" t="s">
        <v>697</v>
      </c>
      <c r="G1467">
        <f ca="1" t="shared" si="66"/>
        <v>1.19142877233024</v>
      </c>
      <c r="H1467" t="str">
        <f ca="1" t="shared" si="67"/>
        <v>Risk-Off</v>
      </c>
      <c r="I1467">
        <f ca="1" t="shared" si="68"/>
        <v>1</v>
      </c>
      <c r="J1467">
        <f>_xlfn.XLOOKUP($A1467,[1]Sheet1!$B$9:$B$2584,[1]Sheet1!$C$9:$C$2584,"N/A",0)</f>
        <v>109.2</v>
      </c>
      <c r="K1467">
        <f>_xlfn.XLOOKUP($A1467,[1]Sheet1!$E$9:$E$2584,[1]Sheet1!$F$9:$F$2584,"N/A",0)</f>
        <v>123.9</v>
      </c>
      <c r="L1467">
        <f>_xlfn.XLOOKUP($A1467,[1]Sheet1!$H$9:$H$2584,[1]Sheet1!$I$9:$I$2584,"N/A",0)</f>
        <v>64.58</v>
      </c>
      <c r="M1467">
        <f>_xlfn.XLOOKUP($A1467,[1]Sheet1!$K$9:$K$2584,[1]Sheet1!$L$9:$L$2584,"N/A",0)</f>
        <v>143.23</v>
      </c>
      <c r="N1467">
        <f>_xlfn.XLOOKUP($A1467,[1]Sheet1!$N$9:$N$2584,[1]Sheet1!$O$9:$O$2584,"N/A",0)</f>
        <v>103.21</v>
      </c>
      <c r="O1467">
        <v>109.2</v>
      </c>
      <c r="P1467">
        <v>123.9</v>
      </c>
      <c r="Q1467">
        <v>64.58</v>
      </c>
      <c r="R1467">
        <v>103.21</v>
      </c>
      <c r="S1467">
        <v>143.23</v>
      </c>
    </row>
    <row r="1468" spans="1:19">
      <c r="A1468" s="1">
        <v>44495</v>
      </c>
      <c r="B1468" t="s">
        <v>685</v>
      </c>
      <c r="C1468" t="s">
        <v>694</v>
      </c>
      <c r="D1468">
        <v>18.9246</v>
      </c>
      <c r="E1468">
        <v>20.8037</v>
      </c>
      <c r="F1468">
        <v>0.0992940405609628</v>
      </c>
      <c r="G1468">
        <f ca="1" t="shared" si="66"/>
        <v>1.01163433566978</v>
      </c>
      <c r="H1468" t="str">
        <f ca="1" t="shared" si="67"/>
        <v>Risk-Off</v>
      </c>
      <c r="I1468">
        <f ca="1" t="shared" si="68"/>
        <v>1</v>
      </c>
      <c r="J1468">
        <f>_xlfn.XLOOKUP($A1468,[1]Sheet1!$B$9:$B$2584,[1]Sheet1!$C$9:$C$2584,"N/A",0)</f>
        <v>109.22</v>
      </c>
      <c r="K1468">
        <f>_xlfn.XLOOKUP($A1468,[1]Sheet1!$E$9:$E$2584,[1]Sheet1!$F$9:$F$2584,"N/A",0)</f>
        <v>124.48</v>
      </c>
      <c r="L1468">
        <f>_xlfn.XLOOKUP($A1468,[1]Sheet1!$H$9:$H$2584,[1]Sheet1!$I$9:$I$2584,"N/A",0)</f>
        <v>63.88</v>
      </c>
      <c r="M1468">
        <f>_xlfn.XLOOKUP($A1468,[1]Sheet1!$K$9:$K$2584,[1]Sheet1!$L$9:$L$2584,"N/A",0)</f>
        <v>143.14</v>
      </c>
      <c r="N1468">
        <f>_xlfn.XLOOKUP($A1468,[1]Sheet1!$N$9:$N$2584,[1]Sheet1!$O$9:$O$2584,"N/A",0)</f>
        <v>103.69</v>
      </c>
      <c r="O1468">
        <v>109.22</v>
      </c>
      <c r="P1468">
        <v>124.48</v>
      </c>
      <c r="Q1468">
        <v>63.88</v>
      </c>
      <c r="R1468">
        <v>103.69</v>
      </c>
      <c r="S1468">
        <v>143.14</v>
      </c>
    </row>
    <row r="1469" spans="1:19">
      <c r="A1469" s="1">
        <v>44496</v>
      </c>
      <c r="B1469" t="s">
        <v>685</v>
      </c>
      <c r="C1469" t="s">
        <v>694</v>
      </c>
      <c r="D1469">
        <v>19.3496</v>
      </c>
      <c r="E1469">
        <v>21.2962</v>
      </c>
      <c r="F1469" s="2" t="s">
        <v>698</v>
      </c>
      <c r="G1469">
        <f ca="1" t="shared" si="66"/>
        <v>1.05785800336286</v>
      </c>
      <c r="H1469" t="str">
        <f ca="1" t="shared" si="67"/>
        <v>Risk-On</v>
      </c>
      <c r="I1469">
        <f ca="1" t="shared" si="68"/>
        <v>1</v>
      </c>
      <c r="J1469">
        <f>_xlfn.XLOOKUP($A1469,[1]Sheet1!$B$9:$B$2584,[1]Sheet1!$C$9:$C$2584,"N/A",0)</f>
        <v>109.5</v>
      </c>
      <c r="K1469">
        <f>_xlfn.XLOOKUP($A1469,[1]Sheet1!$E$9:$E$2584,[1]Sheet1!$F$9:$F$2584,"N/A",0)</f>
        <v>124.59</v>
      </c>
      <c r="L1469">
        <f>_xlfn.XLOOKUP($A1469,[1]Sheet1!$H$9:$H$2584,[1]Sheet1!$I$9:$I$2584,"N/A",0)</f>
        <v>63.48</v>
      </c>
      <c r="M1469">
        <f>_xlfn.XLOOKUP($A1469,[1]Sheet1!$K$9:$K$2584,[1]Sheet1!$L$9:$L$2584,"N/A",0)</f>
        <v>142.49</v>
      </c>
      <c r="N1469">
        <f>_xlfn.XLOOKUP($A1469,[1]Sheet1!$N$9:$N$2584,[1]Sheet1!$O$9:$O$2584,"N/A",0)</f>
        <v>104.37</v>
      </c>
      <c r="O1469">
        <v>109.5</v>
      </c>
      <c r="P1469">
        <v>124.59</v>
      </c>
      <c r="Q1469">
        <v>63.48</v>
      </c>
      <c r="R1469">
        <v>104.37</v>
      </c>
      <c r="S1469">
        <v>142.49</v>
      </c>
    </row>
    <row r="1470" spans="1:19">
      <c r="A1470" s="1">
        <v>44497</v>
      </c>
      <c r="B1470" t="s">
        <v>685</v>
      </c>
      <c r="C1470" t="s">
        <v>694</v>
      </c>
      <c r="D1470">
        <v>18.6503</v>
      </c>
      <c r="E1470">
        <v>20.8493</v>
      </c>
      <c r="F1470" s="2" t="s">
        <v>699</v>
      </c>
      <c r="G1470">
        <f ca="1" t="shared" si="66"/>
        <v>1.64545691985963</v>
      </c>
      <c r="H1470" t="str">
        <f ca="1" t="shared" si="67"/>
        <v>Risk-On</v>
      </c>
      <c r="I1470">
        <f ca="1" t="shared" si="68"/>
        <v>1</v>
      </c>
      <c r="J1470">
        <f>_xlfn.XLOOKUP($A1470,[1]Sheet1!$B$9:$B$2584,[1]Sheet1!$C$9:$C$2584,"N/A",0)</f>
        <v>109.88</v>
      </c>
      <c r="K1470">
        <f>_xlfn.XLOOKUP($A1470,[1]Sheet1!$E$9:$E$2584,[1]Sheet1!$F$9:$F$2584,"N/A",0)</f>
        <v>125.56</v>
      </c>
      <c r="L1470">
        <f>_xlfn.XLOOKUP($A1470,[1]Sheet1!$H$9:$H$2584,[1]Sheet1!$I$9:$I$2584,"N/A",0)</f>
        <v>63.64</v>
      </c>
      <c r="M1470">
        <f>_xlfn.XLOOKUP($A1470,[1]Sheet1!$K$9:$K$2584,[1]Sheet1!$L$9:$L$2584,"N/A",0)</f>
        <v>142.77</v>
      </c>
      <c r="N1470">
        <f>_xlfn.XLOOKUP($A1470,[1]Sheet1!$N$9:$N$2584,[1]Sheet1!$O$9:$O$2584,"N/A",0)</f>
        <v>103.47</v>
      </c>
      <c r="O1470">
        <v>109.88</v>
      </c>
      <c r="P1470">
        <v>125.56</v>
      </c>
      <c r="Q1470">
        <v>63.64</v>
      </c>
      <c r="R1470">
        <v>103.47</v>
      </c>
      <c r="S1470">
        <v>142.77</v>
      </c>
    </row>
    <row r="1471" spans="1:19">
      <c r="A1471" s="1">
        <v>44498</v>
      </c>
      <c r="B1471" t="s">
        <v>685</v>
      </c>
      <c r="C1471" t="s">
        <v>694</v>
      </c>
      <c r="D1471">
        <v>18.7793</v>
      </c>
      <c r="E1471">
        <v>21.0533</v>
      </c>
      <c r="F1471" s="2" t="s">
        <v>700</v>
      </c>
      <c r="G1471">
        <f ca="1" t="shared" si="66"/>
        <v>1.8046859537945</v>
      </c>
      <c r="H1471" t="str">
        <f ca="1" t="shared" si="67"/>
        <v>Risk-On</v>
      </c>
      <c r="I1471">
        <f ca="1" t="shared" si="68"/>
        <v>1</v>
      </c>
      <c r="J1471">
        <f>_xlfn.XLOOKUP($A1471,[1]Sheet1!$B$9:$B$2584,[1]Sheet1!$C$9:$C$2584,"N/A",0)</f>
        <v>109.78</v>
      </c>
      <c r="K1471">
        <f>_xlfn.XLOOKUP($A1471,[1]Sheet1!$E$9:$E$2584,[1]Sheet1!$F$9:$F$2584,"N/A",0)</f>
        <v>125.95</v>
      </c>
      <c r="L1471">
        <f>_xlfn.XLOOKUP($A1471,[1]Sheet1!$H$9:$H$2584,[1]Sheet1!$I$9:$I$2584,"N/A",0)</f>
        <v>63.27</v>
      </c>
      <c r="M1471">
        <f>_xlfn.XLOOKUP($A1471,[1]Sheet1!$K$9:$K$2584,[1]Sheet1!$L$9:$L$2584,"N/A",0)</f>
        <v>144.37</v>
      </c>
      <c r="N1471">
        <f>_xlfn.XLOOKUP($A1471,[1]Sheet1!$N$9:$N$2584,[1]Sheet1!$O$9:$O$2584,"N/A",0)</f>
        <v>103.38</v>
      </c>
      <c r="O1471">
        <v>109.78</v>
      </c>
      <c r="P1471">
        <v>125.95</v>
      </c>
      <c r="Q1471">
        <v>63.27</v>
      </c>
      <c r="R1471">
        <v>103.38</v>
      </c>
      <c r="S1471">
        <v>144.37</v>
      </c>
    </row>
    <row r="1472" spans="1:19">
      <c r="A1472" s="1">
        <v>44501</v>
      </c>
      <c r="B1472" t="s">
        <v>685</v>
      </c>
      <c r="C1472" t="s">
        <v>694</v>
      </c>
      <c r="D1472">
        <v>18.3999</v>
      </c>
      <c r="E1472">
        <v>20.8006</v>
      </c>
      <c r="F1472" s="2" t="s">
        <v>701</v>
      </c>
      <c r="G1472">
        <f ca="1" t="shared" si="66"/>
        <v>2.1806413874535</v>
      </c>
      <c r="H1472" t="str">
        <f ca="1" t="shared" si="67"/>
        <v>Risk-On</v>
      </c>
      <c r="I1472">
        <f ca="1" t="shared" si="68"/>
        <v>1</v>
      </c>
      <c r="J1472">
        <f>_xlfn.XLOOKUP($A1472,[1]Sheet1!$B$9:$B$2584,[1]Sheet1!$C$9:$C$2584,"N/A",0)</f>
        <v>110.03</v>
      </c>
      <c r="K1472">
        <f>_xlfn.XLOOKUP($A1472,[1]Sheet1!$E$9:$E$2584,[1]Sheet1!$F$9:$F$2584,"N/A",0)</f>
        <v>125.59</v>
      </c>
      <c r="L1472">
        <f>_xlfn.XLOOKUP($A1472,[1]Sheet1!$H$9:$H$2584,[1]Sheet1!$I$9:$I$2584,"N/A",0)</f>
        <v>63.65</v>
      </c>
      <c r="M1472">
        <f>_xlfn.XLOOKUP($A1472,[1]Sheet1!$K$9:$K$2584,[1]Sheet1!$L$9:$L$2584,"N/A",0)</f>
        <v>142.51</v>
      </c>
      <c r="N1472">
        <f>_xlfn.XLOOKUP($A1472,[1]Sheet1!$N$9:$N$2584,[1]Sheet1!$O$9:$O$2584,"N/A",0)</f>
        <v>101.81</v>
      </c>
      <c r="O1472">
        <v>110.03</v>
      </c>
      <c r="P1472">
        <v>125.59</v>
      </c>
      <c r="Q1472">
        <v>63.65</v>
      </c>
      <c r="R1472">
        <v>101.81</v>
      </c>
      <c r="S1472">
        <v>142.51</v>
      </c>
    </row>
    <row r="1473" spans="1:19">
      <c r="A1473" s="1">
        <v>44502</v>
      </c>
      <c r="B1473" t="s">
        <v>685</v>
      </c>
      <c r="C1473" t="s">
        <v>694</v>
      </c>
      <c r="D1473">
        <v>17.8505</v>
      </c>
      <c r="E1473">
        <v>20.3509</v>
      </c>
      <c r="F1473" s="2" t="s">
        <v>702</v>
      </c>
      <c r="G1473">
        <f ca="1" t="shared" si="66"/>
        <v>2.5656661134942</v>
      </c>
      <c r="H1473" t="str">
        <f ca="1" t="shared" si="67"/>
        <v>Risk-On</v>
      </c>
      <c r="I1473">
        <f ca="1" t="shared" si="68"/>
        <v>1</v>
      </c>
      <c r="J1473">
        <f>_xlfn.XLOOKUP($A1473,[1]Sheet1!$B$9:$B$2584,[1]Sheet1!$C$9:$C$2584,"N/A",0)</f>
        <v>109.86</v>
      </c>
      <c r="K1473">
        <f>_xlfn.XLOOKUP($A1473,[1]Sheet1!$E$9:$E$2584,[1]Sheet1!$F$9:$F$2584,"N/A",0)</f>
        <v>126.98</v>
      </c>
      <c r="L1473">
        <f>_xlfn.XLOOKUP($A1473,[1]Sheet1!$H$9:$H$2584,[1]Sheet1!$I$9:$I$2584,"N/A",0)</f>
        <v>62.96</v>
      </c>
      <c r="M1473">
        <f>_xlfn.XLOOKUP($A1473,[1]Sheet1!$K$9:$K$2584,[1]Sheet1!$L$9:$L$2584,"N/A",0)</f>
        <v>143.46</v>
      </c>
      <c r="N1473">
        <f>_xlfn.XLOOKUP($A1473,[1]Sheet1!$N$9:$N$2584,[1]Sheet1!$O$9:$O$2584,"N/A",0)</f>
        <v>102.01</v>
      </c>
      <c r="O1473">
        <v>109.86</v>
      </c>
      <c r="P1473">
        <v>126.98</v>
      </c>
      <c r="Q1473">
        <v>62.96</v>
      </c>
      <c r="R1473">
        <v>102.01</v>
      </c>
      <c r="S1473">
        <v>143.46</v>
      </c>
    </row>
    <row r="1474" spans="1:19">
      <c r="A1474" s="1">
        <v>44503</v>
      </c>
      <c r="B1474" t="s">
        <v>685</v>
      </c>
      <c r="C1474" t="s">
        <v>694</v>
      </c>
      <c r="D1474">
        <v>17.1078</v>
      </c>
      <c r="E1474">
        <v>19.7495</v>
      </c>
      <c r="F1474" s="2" t="s">
        <v>703</v>
      </c>
      <c r="G1474">
        <f ca="1" t="shared" si="66"/>
        <v>3.16379812616187</v>
      </c>
      <c r="H1474" t="str">
        <f ca="1" t="shared" si="67"/>
        <v>Risk-On</v>
      </c>
      <c r="I1474">
        <f ca="1" t="shared" si="68"/>
        <v>1</v>
      </c>
      <c r="J1474">
        <f>_xlfn.XLOOKUP($A1474,[1]Sheet1!$B$9:$B$2584,[1]Sheet1!$C$9:$C$2584,"N/A",0)</f>
        <v>108.22</v>
      </c>
      <c r="K1474">
        <f>_xlfn.XLOOKUP($A1474,[1]Sheet1!$E$9:$E$2584,[1]Sheet1!$F$9:$F$2584,"N/A",0)</f>
        <v>127.12</v>
      </c>
      <c r="L1474">
        <f>_xlfn.XLOOKUP($A1474,[1]Sheet1!$H$9:$H$2584,[1]Sheet1!$I$9:$I$2584,"N/A",0)</f>
        <v>63.59</v>
      </c>
      <c r="M1474">
        <f>_xlfn.XLOOKUP($A1474,[1]Sheet1!$K$9:$K$2584,[1]Sheet1!$L$9:$L$2584,"N/A",0)</f>
        <v>143.33</v>
      </c>
      <c r="N1474">
        <f>_xlfn.XLOOKUP($A1474,[1]Sheet1!$N$9:$N$2584,[1]Sheet1!$O$9:$O$2584,"N/A",0)</f>
        <v>100.84</v>
      </c>
      <c r="O1474">
        <v>108.22</v>
      </c>
      <c r="P1474">
        <v>127.12</v>
      </c>
      <c r="Q1474">
        <v>63.59</v>
      </c>
      <c r="R1474">
        <v>100.84</v>
      </c>
      <c r="S1474">
        <v>143.33</v>
      </c>
    </row>
    <row r="1475" spans="1:19">
      <c r="A1475" s="1">
        <v>44504</v>
      </c>
      <c r="B1475" t="s">
        <v>685</v>
      </c>
      <c r="C1475" t="s">
        <v>694</v>
      </c>
      <c r="D1475">
        <v>17.4041</v>
      </c>
      <c r="E1475">
        <v>20.084</v>
      </c>
      <c r="F1475" s="2" t="s">
        <v>704</v>
      </c>
      <c r="G1475">
        <f ca="1" t="shared" ref="G1475:G1538" si="69">IF(ROW()-ROW($A$3)+1&gt;252,(F1475-AVERAGE(OFFSET(F1475,-252,0,252,1)))/_xlfn.STDEV.S(OFFSET(F1475,-252,0,252,1)),"N/A")</f>
        <v>3.1959028762168</v>
      </c>
      <c r="H1475" t="str">
        <f ca="1" t="shared" ref="H1475:H1538" si="70">IF(G1475&lt;&gt;"N/A",IF(G1725&gt;-0.5,"Risk-On","Risk-Off"),"N/A")</f>
        <v>Risk-On</v>
      </c>
      <c r="I1475">
        <f ca="1" t="shared" si="68"/>
        <v>1</v>
      </c>
      <c r="J1475">
        <f>_xlfn.XLOOKUP($A1475,[1]Sheet1!$B$9:$B$2584,[1]Sheet1!$C$9:$C$2584,"N/A",0)</f>
        <v>108.27</v>
      </c>
      <c r="K1475">
        <f>_xlfn.XLOOKUP($A1475,[1]Sheet1!$E$9:$E$2584,[1]Sheet1!$F$9:$F$2584,"N/A",0)</f>
        <v>126.26</v>
      </c>
      <c r="L1475">
        <f>_xlfn.XLOOKUP($A1475,[1]Sheet1!$H$9:$H$2584,[1]Sheet1!$I$9:$I$2584,"N/A",0)</f>
        <v>63.38</v>
      </c>
      <c r="M1475">
        <f>_xlfn.XLOOKUP($A1475,[1]Sheet1!$K$9:$K$2584,[1]Sheet1!$L$9:$L$2584,"N/A",0)</f>
        <v>145.89</v>
      </c>
      <c r="N1475">
        <f>_xlfn.XLOOKUP($A1475,[1]Sheet1!$N$9:$N$2584,[1]Sheet1!$O$9:$O$2584,"N/A",0)</f>
        <v>101.09</v>
      </c>
      <c r="O1475">
        <v>108.27</v>
      </c>
      <c r="P1475">
        <v>126.26</v>
      </c>
      <c r="Q1475">
        <v>63.38</v>
      </c>
      <c r="R1475">
        <v>101.09</v>
      </c>
      <c r="S1475">
        <v>145.89</v>
      </c>
    </row>
    <row r="1476" spans="1:19">
      <c r="A1476" s="1">
        <v>44505</v>
      </c>
      <c r="B1476" t="s">
        <v>685</v>
      </c>
      <c r="C1476" t="s">
        <v>694</v>
      </c>
      <c r="D1476">
        <v>18.4401</v>
      </c>
      <c r="E1476">
        <v>20.5057</v>
      </c>
      <c r="F1476" s="2" t="s">
        <v>705</v>
      </c>
      <c r="G1476">
        <f ca="1" t="shared" si="69"/>
        <v>1.55924080398139</v>
      </c>
      <c r="H1476" t="str">
        <f ca="1" t="shared" si="70"/>
        <v>Risk-On</v>
      </c>
      <c r="I1476">
        <f ca="1" t="shared" ref="I1476:I1539" si="71">IF(H1476&lt;&gt;"N/A",IF(H1726&gt;-0.5,1,0),0)</f>
        <v>1</v>
      </c>
      <c r="J1476">
        <f>_xlfn.XLOOKUP($A1476,[1]Sheet1!$B$9:$B$2584,[1]Sheet1!$C$9:$C$2584,"N/A",0)</f>
        <v>107.13</v>
      </c>
      <c r="K1476">
        <f>_xlfn.XLOOKUP($A1476,[1]Sheet1!$E$9:$E$2584,[1]Sheet1!$F$9:$F$2584,"N/A",0)</f>
        <v>127.24</v>
      </c>
      <c r="L1476">
        <f>_xlfn.XLOOKUP($A1476,[1]Sheet1!$H$9:$H$2584,[1]Sheet1!$I$9:$I$2584,"N/A",0)</f>
        <v>63.28</v>
      </c>
      <c r="M1476">
        <f>_xlfn.XLOOKUP($A1476,[1]Sheet1!$K$9:$K$2584,[1]Sheet1!$L$9:$L$2584,"N/A",0)</f>
        <v>144.36</v>
      </c>
      <c r="N1476">
        <f>_xlfn.XLOOKUP($A1476,[1]Sheet1!$N$9:$N$2584,[1]Sheet1!$O$9:$O$2584,"N/A",0)</f>
        <v>100.87</v>
      </c>
      <c r="O1476">
        <v>107.13</v>
      </c>
      <c r="P1476">
        <v>127.24</v>
      </c>
      <c r="Q1476">
        <v>63.28</v>
      </c>
      <c r="R1476">
        <v>100.87</v>
      </c>
      <c r="S1476">
        <v>144.36</v>
      </c>
    </row>
    <row r="1477" spans="1:19">
      <c r="A1477" s="1">
        <v>44508</v>
      </c>
      <c r="B1477" t="s">
        <v>685</v>
      </c>
      <c r="C1477" t="s">
        <v>694</v>
      </c>
      <c r="D1477">
        <v>18.4945</v>
      </c>
      <c r="E1477">
        <v>20.5003</v>
      </c>
      <c r="F1477" s="2" t="s">
        <v>706</v>
      </c>
      <c r="G1477">
        <f ca="1" t="shared" si="69"/>
        <v>1.42028352097597</v>
      </c>
      <c r="H1477" t="str">
        <f ca="1" t="shared" si="70"/>
        <v>Risk-On</v>
      </c>
      <c r="I1477">
        <f ca="1" t="shared" si="71"/>
        <v>1</v>
      </c>
      <c r="J1477">
        <f>_xlfn.XLOOKUP($A1477,[1]Sheet1!$B$9:$B$2584,[1]Sheet1!$C$9:$C$2584,"N/A",0)</f>
        <v>107.38</v>
      </c>
      <c r="K1477">
        <f>_xlfn.XLOOKUP($A1477,[1]Sheet1!$E$9:$E$2584,[1]Sheet1!$F$9:$F$2584,"N/A",0)</f>
        <v>126.9</v>
      </c>
      <c r="L1477">
        <f>_xlfn.XLOOKUP($A1477,[1]Sheet1!$H$9:$H$2584,[1]Sheet1!$I$9:$I$2584,"N/A",0)</f>
        <v>63.21</v>
      </c>
      <c r="M1477">
        <f>_xlfn.XLOOKUP($A1477,[1]Sheet1!$K$9:$K$2584,[1]Sheet1!$L$9:$L$2584,"N/A",0)</f>
        <v>143.79</v>
      </c>
      <c r="N1477">
        <f>_xlfn.XLOOKUP($A1477,[1]Sheet1!$N$9:$N$2584,[1]Sheet1!$O$9:$O$2584,"N/A",0)</f>
        <v>100.9</v>
      </c>
      <c r="O1477">
        <v>107.38</v>
      </c>
      <c r="P1477">
        <v>126.9</v>
      </c>
      <c r="Q1477">
        <v>63.21</v>
      </c>
      <c r="R1477">
        <v>100.9</v>
      </c>
      <c r="S1477">
        <v>143.79</v>
      </c>
    </row>
    <row r="1478" spans="1:19">
      <c r="A1478" s="1">
        <v>44509</v>
      </c>
      <c r="B1478" t="s">
        <v>685</v>
      </c>
      <c r="C1478" t="s">
        <v>694</v>
      </c>
      <c r="D1478">
        <v>18.9001</v>
      </c>
      <c r="E1478">
        <v>20.827</v>
      </c>
      <c r="F1478" s="2" t="s">
        <v>707</v>
      </c>
      <c r="G1478">
        <f ca="1" t="shared" si="69"/>
        <v>1.16089603415636</v>
      </c>
      <c r="H1478" t="str">
        <f ca="1" t="shared" si="70"/>
        <v>Risk-On</v>
      </c>
      <c r="I1478">
        <f ca="1" t="shared" si="71"/>
        <v>1</v>
      </c>
      <c r="J1478">
        <f>_xlfn.XLOOKUP($A1478,[1]Sheet1!$B$9:$B$2584,[1]Sheet1!$C$9:$C$2584,"N/A",0)</f>
        <v>107.51</v>
      </c>
      <c r="K1478">
        <f>_xlfn.XLOOKUP($A1478,[1]Sheet1!$E$9:$E$2584,[1]Sheet1!$F$9:$F$2584,"N/A",0)</f>
        <v>126.42</v>
      </c>
      <c r="L1478">
        <f>_xlfn.XLOOKUP($A1478,[1]Sheet1!$H$9:$H$2584,[1]Sheet1!$I$9:$I$2584,"N/A",0)</f>
        <v>63.03</v>
      </c>
      <c r="M1478">
        <f>_xlfn.XLOOKUP($A1478,[1]Sheet1!$K$9:$K$2584,[1]Sheet1!$L$9:$L$2584,"N/A",0)</f>
        <v>144.42</v>
      </c>
      <c r="N1478">
        <f>_xlfn.XLOOKUP($A1478,[1]Sheet1!$N$9:$N$2584,[1]Sheet1!$O$9:$O$2584,"N/A",0)</f>
        <v>101.22</v>
      </c>
      <c r="O1478">
        <v>107.51</v>
      </c>
      <c r="P1478">
        <v>126.42</v>
      </c>
      <c r="Q1478">
        <v>63.03</v>
      </c>
      <c r="R1478">
        <v>101.22</v>
      </c>
      <c r="S1478">
        <v>144.42</v>
      </c>
    </row>
    <row r="1479" spans="1:19">
      <c r="A1479" s="1">
        <v>44510</v>
      </c>
      <c r="B1479" t="s">
        <v>685</v>
      </c>
      <c r="C1479" t="s">
        <v>694</v>
      </c>
      <c r="D1479">
        <v>19.5268</v>
      </c>
      <c r="E1479">
        <v>21.0045</v>
      </c>
      <c r="F1479">
        <v>0.0756754819017964</v>
      </c>
      <c r="G1479">
        <f ca="1" t="shared" si="69"/>
        <v>0.127547617269361</v>
      </c>
      <c r="H1479" t="str">
        <f ca="1" t="shared" si="70"/>
        <v>Risk-Off</v>
      </c>
      <c r="I1479">
        <f ca="1" t="shared" si="71"/>
        <v>1</v>
      </c>
      <c r="J1479">
        <f>_xlfn.XLOOKUP($A1479,[1]Sheet1!$B$9:$B$2584,[1]Sheet1!$C$9:$C$2584,"N/A",0)</f>
        <v>107.31</v>
      </c>
      <c r="K1479">
        <f>_xlfn.XLOOKUP($A1479,[1]Sheet1!$E$9:$E$2584,[1]Sheet1!$F$9:$F$2584,"N/A",0)</f>
        <v>126.37</v>
      </c>
      <c r="L1479">
        <f>_xlfn.XLOOKUP($A1479,[1]Sheet1!$H$9:$H$2584,[1]Sheet1!$I$9:$I$2584,"N/A",0)</f>
        <v>63.74</v>
      </c>
      <c r="M1479">
        <f>_xlfn.XLOOKUP($A1479,[1]Sheet1!$K$9:$K$2584,[1]Sheet1!$L$9:$L$2584,"N/A",0)</f>
        <v>144.01</v>
      </c>
      <c r="N1479">
        <f>_xlfn.XLOOKUP($A1479,[1]Sheet1!$N$9:$N$2584,[1]Sheet1!$O$9:$O$2584,"N/A",0)</f>
        <v>101.4</v>
      </c>
      <c r="O1479">
        <v>107.31</v>
      </c>
      <c r="P1479">
        <v>126.37</v>
      </c>
      <c r="Q1479">
        <v>63.74</v>
      </c>
      <c r="R1479">
        <v>101.4</v>
      </c>
      <c r="S1479">
        <v>144.01</v>
      </c>
    </row>
    <row r="1480" spans="1:19">
      <c r="A1480" s="1">
        <v>44511</v>
      </c>
      <c r="B1480" t="s">
        <v>685</v>
      </c>
      <c r="C1480" t="s">
        <v>694</v>
      </c>
      <c r="D1480">
        <v>18.7588</v>
      </c>
      <c r="E1480">
        <v>20.7957</v>
      </c>
      <c r="F1480" s="2" t="s">
        <v>708</v>
      </c>
      <c r="G1480">
        <f ca="1" t="shared" si="69"/>
        <v>1.42089114108743</v>
      </c>
      <c r="H1480" t="str">
        <f ca="1" t="shared" si="70"/>
        <v>Risk-Off</v>
      </c>
      <c r="I1480">
        <f ca="1" t="shared" si="71"/>
        <v>1</v>
      </c>
      <c r="J1480">
        <f>_xlfn.XLOOKUP($A1480,[1]Sheet1!$B$9:$B$2584,[1]Sheet1!$C$9:$C$2584,"N/A",0)</f>
        <v>107.75</v>
      </c>
      <c r="K1480">
        <f>_xlfn.XLOOKUP($A1480,[1]Sheet1!$E$9:$E$2584,[1]Sheet1!$F$9:$F$2584,"N/A",0)</f>
        <v>126.41</v>
      </c>
      <c r="L1480">
        <f>_xlfn.XLOOKUP($A1480,[1]Sheet1!$H$9:$H$2584,[1]Sheet1!$I$9:$I$2584,"N/A",0)</f>
        <v>64.31</v>
      </c>
      <c r="M1480">
        <f>_xlfn.XLOOKUP($A1480,[1]Sheet1!$K$9:$K$2584,[1]Sheet1!$L$9:$L$2584,"N/A",0)</f>
        <v>144.8</v>
      </c>
      <c r="N1480">
        <f>_xlfn.XLOOKUP($A1480,[1]Sheet1!$N$9:$N$2584,[1]Sheet1!$O$9:$O$2584,"N/A",0)</f>
        <v>100.89</v>
      </c>
      <c r="O1480">
        <v>107.75</v>
      </c>
      <c r="P1480">
        <v>126.41</v>
      </c>
      <c r="Q1480">
        <v>64.31</v>
      </c>
      <c r="R1480">
        <v>100.89</v>
      </c>
      <c r="S1480">
        <v>144.8</v>
      </c>
    </row>
    <row r="1481" spans="1:19">
      <c r="A1481" s="1">
        <v>44512</v>
      </c>
      <c r="B1481" t="s">
        <v>685</v>
      </c>
      <c r="C1481" t="s">
        <v>694</v>
      </c>
      <c r="D1481">
        <v>17.4182</v>
      </c>
      <c r="E1481">
        <v>20.108</v>
      </c>
      <c r="F1481" s="2" t="s">
        <v>709</v>
      </c>
      <c r="G1481">
        <f ca="1" t="shared" si="69"/>
        <v>3.21482742247489</v>
      </c>
      <c r="H1481" t="str">
        <f ca="1" t="shared" si="70"/>
        <v>Risk-On</v>
      </c>
      <c r="I1481">
        <f ca="1" t="shared" si="71"/>
        <v>1</v>
      </c>
      <c r="J1481">
        <f>_xlfn.XLOOKUP($A1481,[1]Sheet1!$B$9:$B$2584,[1]Sheet1!$C$9:$C$2584,"N/A",0)</f>
        <v>108.16</v>
      </c>
      <c r="K1481">
        <f>_xlfn.XLOOKUP($A1481,[1]Sheet1!$E$9:$E$2584,[1]Sheet1!$F$9:$F$2584,"N/A",0)</f>
        <v>124.87</v>
      </c>
      <c r="L1481">
        <f>_xlfn.XLOOKUP($A1481,[1]Sheet1!$H$9:$H$2584,[1]Sheet1!$I$9:$I$2584,"N/A",0)</f>
        <v>64.05</v>
      </c>
      <c r="M1481">
        <f>_xlfn.XLOOKUP($A1481,[1]Sheet1!$K$9:$K$2584,[1]Sheet1!$L$9:$L$2584,"N/A",0)</f>
        <v>145.6</v>
      </c>
      <c r="N1481">
        <f>_xlfn.XLOOKUP($A1481,[1]Sheet1!$N$9:$N$2584,[1]Sheet1!$O$9:$O$2584,"N/A",0)</f>
        <v>101.16</v>
      </c>
      <c r="O1481">
        <v>108.16</v>
      </c>
      <c r="P1481">
        <v>124.87</v>
      </c>
      <c r="Q1481">
        <v>64.05</v>
      </c>
      <c r="R1481">
        <v>101.16</v>
      </c>
      <c r="S1481">
        <v>145.6</v>
      </c>
    </row>
    <row r="1482" spans="1:19">
      <c r="A1482" s="1">
        <v>44515</v>
      </c>
      <c r="B1482" t="s">
        <v>685</v>
      </c>
      <c r="C1482" t="s">
        <v>694</v>
      </c>
      <c r="D1482">
        <v>17.0011</v>
      </c>
      <c r="E1482">
        <v>19.891</v>
      </c>
      <c r="F1482" s="2" t="s">
        <v>710</v>
      </c>
      <c r="G1482">
        <f ca="1" t="shared" si="69"/>
        <v>3.84597427792723</v>
      </c>
      <c r="H1482" t="str">
        <f ca="1" t="shared" si="70"/>
        <v>Risk-On</v>
      </c>
      <c r="I1482">
        <f ca="1" t="shared" si="71"/>
        <v>1</v>
      </c>
      <c r="J1482">
        <f>_xlfn.XLOOKUP($A1482,[1]Sheet1!$B$9:$B$2584,[1]Sheet1!$C$9:$C$2584,"N/A",0)</f>
        <v>107.63</v>
      </c>
      <c r="K1482">
        <f>_xlfn.XLOOKUP($A1482,[1]Sheet1!$E$9:$E$2584,[1]Sheet1!$F$9:$F$2584,"N/A",0)</f>
        <v>125.21</v>
      </c>
      <c r="L1482">
        <f>_xlfn.XLOOKUP($A1482,[1]Sheet1!$H$9:$H$2584,[1]Sheet1!$I$9:$I$2584,"N/A",0)</f>
        <v>63.89</v>
      </c>
      <c r="M1482">
        <f>_xlfn.XLOOKUP($A1482,[1]Sheet1!$K$9:$K$2584,[1]Sheet1!$L$9:$L$2584,"N/A",0)</f>
        <v>145.29</v>
      </c>
      <c r="N1482">
        <f>_xlfn.XLOOKUP($A1482,[1]Sheet1!$N$9:$N$2584,[1]Sheet1!$O$9:$O$2584,"N/A",0)</f>
        <v>101.52</v>
      </c>
      <c r="O1482">
        <v>107.63</v>
      </c>
      <c r="P1482">
        <v>125.21</v>
      </c>
      <c r="Q1482">
        <v>63.89</v>
      </c>
      <c r="R1482">
        <v>101.52</v>
      </c>
      <c r="S1482">
        <v>145.29</v>
      </c>
    </row>
    <row r="1483" spans="1:19">
      <c r="A1483" s="1">
        <v>44516</v>
      </c>
      <c r="B1483" t="s">
        <v>685</v>
      </c>
      <c r="C1483" t="s">
        <v>694</v>
      </c>
      <c r="D1483">
        <v>16.7991</v>
      </c>
      <c r="E1483">
        <v>20.0017</v>
      </c>
      <c r="F1483" s="2" t="s">
        <v>711</v>
      </c>
      <c r="G1483">
        <f ca="1" t="shared" si="69"/>
        <v>4.64764398147988</v>
      </c>
      <c r="H1483" t="str">
        <f ca="1" t="shared" si="70"/>
        <v>Risk-On</v>
      </c>
      <c r="I1483">
        <f ca="1" t="shared" si="71"/>
        <v>1</v>
      </c>
      <c r="J1483">
        <f>_xlfn.XLOOKUP($A1483,[1]Sheet1!$B$9:$B$2584,[1]Sheet1!$C$9:$C$2584,"N/A",0)</f>
        <v>107.86</v>
      </c>
      <c r="K1483">
        <f>_xlfn.XLOOKUP($A1483,[1]Sheet1!$E$9:$E$2584,[1]Sheet1!$F$9:$F$2584,"N/A",0)</f>
        <v>124.26</v>
      </c>
      <c r="L1483">
        <f>_xlfn.XLOOKUP($A1483,[1]Sheet1!$H$9:$H$2584,[1]Sheet1!$I$9:$I$2584,"N/A",0)</f>
        <v>63.58</v>
      </c>
      <c r="M1483">
        <f>_xlfn.XLOOKUP($A1483,[1]Sheet1!$K$9:$K$2584,[1]Sheet1!$L$9:$L$2584,"N/A",0)</f>
        <v>146.61</v>
      </c>
      <c r="N1483">
        <f>_xlfn.XLOOKUP($A1483,[1]Sheet1!$N$9:$N$2584,[1]Sheet1!$O$9:$O$2584,"N/A",0)</f>
        <v>101.9</v>
      </c>
      <c r="O1483">
        <v>107.86</v>
      </c>
      <c r="P1483">
        <v>124.26</v>
      </c>
      <c r="Q1483">
        <v>63.58</v>
      </c>
      <c r="R1483">
        <v>101.9</v>
      </c>
      <c r="S1483">
        <v>146.61</v>
      </c>
    </row>
    <row r="1484" spans="1:19">
      <c r="A1484" s="1">
        <v>44517</v>
      </c>
      <c r="B1484" t="s">
        <v>685</v>
      </c>
      <c r="C1484" t="s">
        <v>694</v>
      </c>
      <c r="D1484">
        <v>16.34</v>
      </c>
      <c r="E1484">
        <v>20.2745</v>
      </c>
      <c r="F1484" s="2" t="s">
        <v>712</v>
      </c>
      <c r="G1484">
        <f ca="1" t="shared" si="69"/>
        <v>6.60171890725229</v>
      </c>
      <c r="H1484" t="str">
        <f ca="1" t="shared" si="70"/>
        <v>Risk-On</v>
      </c>
      <c r="I1484">
        <f ca="1" t="shared" si="71"/>
        <v>1</v>
      </c>
      <c r="J1484">
        <f>_xlfn.XLOOKUP($A1484,[1]Sheet1!$B$9:$B$2584,[1]Sheet1!$C$9:$C$2584,"N/A",0)</f>
        <v>107.44</v>
      </c>
      <c r="K1484">
        <f>_xlfn.XLOOKUP($A1484,[1]Sheet1!$E$9:$E$2584,[1]Sheet1!$F$9:$F$2584,"N/A",0)</f>
        <v>124.79</v>
      </c>
      <c r="L1484">
        <f>_xlfn.XLOOKUP($A1484,[1]Sheet1!$H$9:$H$2584,[1]Sheet1!$I$9:$I$2584,"N/A",0)</f>
        <v>63.54</v>
      </c>
      <c r="M1484">
        <f>_xlfn.XLOOKUP($A1484,[1]Sheet1!$K$9:$K$2584,[1]Sheet1!$L$9:$L$2584,"N/A",0)</f>
        <v>146.58</v>
      </c>
      <c r="N1484">
        <f>_xlfn.XLOOKUP($A1484,[1]Sheet1!$N$9:$N$2584,[1]Sheet1!$O$9:$O$2584,"N/A",0)</f>
        <v>102.47</v>
      </c>
      <c r="O1484">
        <v>107.44</v>
      </c>
      <c r="P1484">
        <v>124.79</v>
      </c>
      <c r="Q1484">
        <v>63.54</v>
      </c>
      <c r="R1484">
        <v>102.47</v>
      </c>
      <c r="S1484">
        <v>146.58</v>
      </c>
    </row>
    <row r="1485" spans="1:19">
      <c r="A1485" s="1">
        <v>44518</v>
      </c>
      <c r="B1485" t="s">
        <v>694</v>
      </c>
      <c r="C1485" t="s">
        <v>713</v>
      </c>
      <c r="D1485">
        <v>20.4995</v>
      </c>
      <c r="E1485">
        <v>22.6455</v>
      </c>
      <c r="F1485" s="2" t="s">
        <v>714</v>
      </c>
      <c r="G1485">
        <f ca="1" t="shared" si="69"/>
        <v>1.23940486372773</v>
      </c>
      <c r="H1485" t="str">
        <f ca="1" t="shared" si="70"/>
        <v>Risk-Off</v>
      </c>
      <c r="I1485">
        <f ca="1" t="shared" si="71"/>
        <v>1</v>
      </c>
      <c r="J1485">
        <f>_xlfn.XLOOKUP($A1485,[1]Sheet1!$B$9:$B$2584,[1]Sheet1!$C$9:$C$2584,"N/A",0)</f>
        <v>107.28</v>
      </c>
      <c r="K1485">
        <f>_xlfn.XLOOKUP($A1485,[1]Sheet1!$E$9:$E$2584,[1]Sheet1!$F$9:$F$2584,"N/A",0)</f>
        <v>126.86</v>
      </c>
      <c r="L1485">
        <f>_xlfn.XLOOKUP($A1485,[1]Sheet1!$H$9:$H$2584,[1]Sheet1!$I$9:$I$2584,"N/A",0)</f>
        <v>63.68</v>
      </c>
      <c r="M1485">
        <f>_xlfn.XLOOKUP($A1485,[1]Sheet1!$K$9:$K$2584,[1]Sheet1!$L$9:$L$2584,"N/A",0)</f>
        <v>147.58</v>
      </c>
      <c r="N1485">
        <f>_xlfn.XLOOKUP($A1485,[1]Sheet1!$N$9:$N$2584,[1]Sheet1!$O$9:$O$2584,"N/A",0)</f>
        <v>103.29</v>
      </c>
      <c r="O1485">
        <v>107.28</v>
      </c>
      <c r="P1485">
        <v>126.86</v>
      </c>
      <c r="Q1485">
        <v>63.68</v>
      </c>
      <c r="R1485">
        <v>103.29</v>
      </c>
      <c r="S1485">
        <v>147.58</v>
      </c>
    </row>
    <row r="1486" spans="1:19">
      <c r="A1486" s="1">
        <v>44519</v>
      </c>
      <c r="B1486" t="s">
        <v>694</v>
      </c>
      <c r="C1486" t="s">
        <v>713</v>
      </c>
      <c r="D1486">
        <v>20.7994</v>
      </c>
      <c r="E1486">
        <v>22.7497</v>
      </c>
      <c r="F1486">
        <v>0.0937671278979202</v>
      </c>
      <c r="G1486">
        <f ca="1" t="shared" si="69"/>
        <v>0.809575357017432</v>
      </c>
      <c r="H1486" t="str">
        <f ca="1" t="shared" si="70"/>
        <v>Risk-On</v>
      </c>
      <c r="I1486">
        <f ca="1" t="shared" si="71"/>
        <v>1</v>
      </c>
      <c r="J1486">
        <f>_xlfn.XLOOKUP($A1486,[1]Sheet1!$B$9:$B$2584,[1]Sheet1!$C$9:$C$2584,"N/A",0)</f>
        <v>106.94</v>
      </c>
      <c r="K1486">
        <f>_xlfn.XLOOKUP($A1486,[1]Sheet1!$E$9:$E$2584,[1]Sheet1!$F$9:$F$2584,"N/A",0)</f>
        <v>126.93</v>
      </c>
      <c r="L1486">
        <f>_xlfn.XLOOKUP($A1486,[1]Sheet1!$H$9:$H$2584,[1]Sheet1!$I$9:$I$2584,"N/A",0)</f>
        <v>63.32</v>
      </c>
      <c r="M1486">
        <f>_xlfn.XLOOKUP($A1486,[1]Sheet1!$K$9:$K$2584,[1]Sheet1!$L$9:$L$2584,"N/A",0)</f>
        <v>149</v>
      </c>
      <c r="N1486">
        <f>_xlfn.XLOOKUP($A1486,[1]Sheet1!$N$9:$N$2584,[1]Sheet1!$O$9:$O$2584,"N/A",0)</f>
        <v>103.35</v>
      </c>
      <c r="O1486">
        <v>106.94</v>
      </c>
      <c r="P1486">
        <v>126.93</v>
      </c>
      <c r="Q1486">
        <v>63.32</v>
      </c>
      <c r="R1486">
        <v>103.35</v>
      </c>
      <c r="S1486">
        <v>149</v>
      </c>
    </row>
    <row r="1487" spans="1:19">
      <c r="A1487" s="1">
        <v>44522</v>
      </c>
      <c r="B1487" t="s">
        <v>694</v>
      </c>
      <c r="C1487" t="s">
        <v>713</v>
      </c>
      <c r="D1487">
        <v>21.1529</v>
      </c>
      <c r="E1487">
        <v>23.0998</v>
      </c>
      <c r="F1487">
        <v>0.0920393893981439</v>
      </c>
      <c r="G1487">
        <f ca="1" t="shared" si="69"/>
        <v>0.729876008827972</v>
      </c>
      <c r="H1487" t="str">
        <f ca="1" t="shared" si="70"/>
        <v>Risk-On</v>
      </c>
      <c r="I1487">
        <f ca="1" t="shared" si="71"/>
        <v>1</v>
      </c>
      <c r="J1487">
        <f>_xlfn.XLOOKUP($A1487,[1]Sheet1!$B$9:$B$2584,[1]Sheet1!$C$9:$C$2584,"N/A",0)</f>
        <v>106.32</v>
      </c>
      <c r="K1487">
        <f>_xlfn.XLOOKUP($A1487,[1]Sheet1!$E$9:$E$2584,[1]Sheet1!$F$9:$F$2584,"N/A",0)</f>
        <v>128.6</v>
      </c>
      <c r="L1487">
        <f>_xlfn.XLOOKUP($A1487,[1]Sheet1!$H$9:$H$2584,[1]Sheet1!$I$9:$I$2584,"N/A",0)</f>
        <v>64.53</v>
      </c>
      <c r="M1487">
        <f>_xlfn.XLOOKUP($A1487,[1]Sheet1!$K$9:$K$2584,[1]Sheet1!$L$9:$L$2584,"N/A",0)</f>
        <v>148.89</v>
      </c>
      <c r="N1487">
        <f>_xlfn.XLOOKUP($A1487,[1]Sheet1!$N$9:$N$2584,[1]Sheet1!$O$9:$O$2584,"N/A",0)</f>
        <v>103.64</v>
      </c>
      <c r="O1487">
        <v>106.32</v>
      </c>
      <c r="P1487">
        <v>128.6</v>
      </c>
      <c r="Q1487">
        <v>64.53</v>
      </c>
      <c r="R1487">
        <v>103.64</v>
      </c>
      <c r="S1487">
        <v>148.89</v>
      </c>
    </row>
    <row r="1488" spans="1:19">
      <c r="A1488" s="1">
        <v>44523</v>
      </c>
      <c r="B1488" t="s">
        <v>694</v>
      </c>
      <c r="C1488" t="s">
        <v>713</v>
      </c>
      <c r="D1488">
        <v>20.563</v>
      </c>
      <c r="E1488">
        <v>22.6656</v>
      </c>
      <c r="F1488">
        <v>0.102251616981958</v>
      </c>
      <c r="G1488">
        <f ca="1" t="shared" si="69"/>
        <v>1.12032425818789</v>
      </c>
      <c r="H1488" t="str">
        <f ca="1" t="shared" si="70"/>
        <v>Risk-On</v>
      </c>
      <c r="I1488">
        <f ca="1" t="shared" si="71"/>
        <v>1</v>
      </c>
      <c r="J1488">
        <f>_xlfn.XLOOKUP($A1488,[1]Sheet1!$B$9:$B$2584,[1]Sheet1!$C$9:$C$2584,"N/A",0)</f>
        <v>106.31</v>
      </c>
      <c r="K1488">
        <f>_xlfn.XLOOKUP($A1488,[1]Sheet1!$E$9:$E$2584,[1]Sheet1!$F$9:$F$2584,"N/A",0)</f>
        <v>129.57</v>
      </c>
      <c r="L1488">
        <f>_xlfn.XLOOKUP($A1488,[1]Sheet1!$H$9:$H$2584,[1]Sheet1!$I$9:$I$2584,"N/A",0)</f>
        <v>64.74</v>
      </c>
      <c r="M1488">
        <f>_xlfn.XLOOKUP($A1488,[1]Sheet1!$K$9:$K$2584,[1]Sheet1!$L$9:$L$2584,"N/A",0)</f>
        <v>148.72</v>
      </c>
      <c r="N1488">
        <f>_xlfn.XLOOKUP($A1488,[1]Sheet1!$N$9:$N$2584,[1]Sheet1!$O$9:$O$2584,"N/A",0)</f>
        <v>104.2</v>
      </c>
      <c r="O1488">
        <v>106.31</v>
      </c>
      <c r="P1488">
        <v>129.57</v>
      </c>
      <c r="Q1488">
        <v>64.74</v>
      </c>
      <c r="R1488">
        <v>104.2</v>
      </c>
      <c r="S1488">
        <v>148.72</v>
      </c>
    </row>
    <row r="1489" spans="1:19">
      <c r="A1489" s="1">
        <v>44524</v>
      </c>
      <c r="B1489" t="s">
        <v>694</v>
      </c>
      <c r="C1489" t="s">
        <v>713</v>
      </c>
      <c r="D1489">
        <v>20.348</v>
      </c>
      <c r="E1489">
        <v>22.4538</v>
      </c>
      <c r="F1489" s="2" t="s">
        <v>715</v>
      </c>
      <c r="G1489">
        <f ca="1" t="shared" si="69"/>
        <v>1.15278871622665</v>
      </c>
      <c r="H1489" t="str">
        <f ca="1" t="shared" si="70"/>
        <v>Risk-On</v>
      </c>
      <c r="I1489">
        <f ca="1" t="shared" si="71"/>
        <v>1</v>
      </c>
      <c r="J1489">
        <f>_xlfn.XLOOKUP($A1489,[1]Sheet1!$B$9:$B$2584,[1]Sheet1!$C$9:$C$2584,"N/A",0)</f>
        <v>106.48</v>
      </c>
      <c r="K1489">
        <f>_xlfn.XLOOKUP($A1489,[1]Sheet1!$E$9:$E$2584,[1]Sheet1!$F$9:$F$2584,"N/A",0)</f>
        <v>129.42</v>
      </c>
      <c r="L1489">
        <f>_xlfn.XLOOKUP($A1489,[1]Sheet1!$H$9:$H$2584,[1]Sheet1!$I$9:$I$2584,"N/A",0)</f>
        <v>64.43</v>
      </c>
      <c r="M1489">
        <f>_xlfn.XLOOKUP($A1489,[1]Sheet1!$K$9:$K$2584,[1]Sheet1!$L$9:$L$2584,"N/A",0)</f>
        <v>148.47</v>
      </c>
      <c r="N1489">
        <f>_xlfn.XLOOKUP($A1489,[1]Sheet1!$N$9:$N$2584,[1]Sheet1!$O$9:$O$2584,"N/A",0)</f>
        <v>104.13</v>
      </c>
      <c r="O1489">
        <v>106.48</v>
      </c>
      <c r="P1489">
        <v>129.42</v>
      </c>
      <c r="Q1489">
        <v>64.43</v>
      </c>
      <c r="R1489">
        <v>104.13</v>
      </c>
      <c r="S1489">
        <v>148.47</v>
      </c>
    </row>
    <row r="1490" spans="1:19">
      <c r="A1490" s="1">
        <v>44526</v>
      </c>
      <c r="B1490" t="s">
        <v>694</v>
      </c>
      <c r="C1490" t="s">
        <v>713</v>
      </c>
      <c r="D1490">
        <v>26.5412</v>
      </c>
      <c r="E1490">
        <v>27.0096</v>
      </c>
      <c r="F1490" s="2" t="s">
        <v>716</v>
      </c>
      <c r="G1490">
        <f ca="1" t="shared" si="69"/>
        <v>-2.19292552913662</v>
      </c>
      <c r="H1490" t="str">
        <f ca="1" t="shared" si="70"/>
        <v>Risk-On</v>
      </c>
      <c r="I1490">
        <f ca="1" t="shared" si="71"/>
        <v>1</v>
      </c>
      <c r="J1490">
        <f>_xlfn.XLOOKUP($A1490,[1]Sheet1!$B$9:$B$2584,[1]Sheet1!$C$9:$C$2584,"N/A",0)</f>
        <v>106.54</v>
      </c>
      <c r="K1490">
        <f>_xlfn.XLOOKUP($A1490,[1]Sheet1!$E$9:$E$2584,[1]Sheet1!$F$9:$F$2584,"N/A",0)</f>
        <v>128.83</v>
      </c>
      <c r="L1490">
        <f>_xlfn.XLOOKUP($A1490,[1]Sheet1!$H$9:$H$2584,[1]Sheet1!$I$9:$I$2584,"N/A",0)</f>
        <v>64.57</v>
      </c>
      <c r="M1490">
        <f>_xlfn.XLOOKUP($A1490,[1]Sheet1!$K$9:$K$2584,[1]Sheet1!$L$9:$L$2584,"N/A",0)</f>
        <v>149.42</v>
      </c>
      <c r="N1490">
        <f>_xlfn.XLOOKUP($A1490,[1]Sheet1!$N$9:$N$2584,[1]Sheet1!$O$9:$O$2584,"N/A",0)</f>
        <v>104.68</v>
      </c>
      <c r="O1490">
        <v>106.54</v>
      </c>
      <c r="P1490">
        <v>128.83</v>
      </c>
      <c r="Q1490">
        <v>64.57</v>
      </c>
      <c r="R1490">
        <v>104.68</v>
      </c>
      <c r="S1490">
        <v>149.42</v>
      </c>
    </row>
    <row r="1491" spans="1:19">
      <c r="A1491" s="1">
        <v>44529</v>
      </c>
      <c r="B1491" t="s">
        <v>694</v>
      </c>
      <c r="C1491" t="s">
        <v>713</v>
      </c>
      <c r="D1491">
        <v>22.2041</v>
      </c>
      <c r="E1491">
        <v>23.7474</v>
      </c>
      <c r="F1491">
        <v>0.0695051814754932</v>
      </c>
      <c r="G1491">
        <f ca="1" t="shared" si="69"/>
        <v>-0.164350928641158</v>
      </c>
      <c r="H1491" t="str">
        <f ca="1" t="shared" si="70"/>
        <v>Risk-On</v>
      </c>
      <c r="I1491">
        <f ca="1" t="shared" si="71"/>
        <v>1</v>
      </c>
      <c r="J1491">
        <f>_xlfn.XLOOKUP($A1491,[1]Sheet1!$B$9:$B$2584,[1]Sheet1!$C$9:$C$2584,"N/A",0)</f>
        <v>106.32</v>
      </c>
      <c r="K1491">
        <f>_xlfn.XLOOKUP($A1491,[1]Sheet1!$E$9:$E$2584,[1]Sheet1!$F$9:$F$2584,"N/A",0)</f>
        <v>129.63</v>
      </c>
      <c r="L1491">
        <f>_xlfn.XLOOKUP($A1491,[1]Sheet1!$H$9:$H$2584,[1]Sheet1!$I$9:$I$2584,"N/A",0)</f>
        <v>64.11</v>
      </c>
      <c r="M1491">
        <f>_xlfn.XLOOKUP($A1491,[1]Sheet1!$K$9:$K$2584,[1]Sheet1!$L$9:$L$2584,"N/A",0)</f>
        <v>150.43</v>
      </c>
      <c r="N1491">
        <f>_xlfn.XLOOKUP($A1491,[1]Sheet1!$N$9:$N$2584,[1]Sheet1!$O$9:$O$2584,"N/A",0)</f>
        <v>106.02</v>
      </c>
      <c r="O1491">
        <v>106.32</v>
      </c>
      <c r="P1491">
        <v>129.63</v>
      </c>
      <c r="Q1491">
        <v>64.11</v>
      </c>
      <c r="R1491">
        <v>106.02</v>
      </c>
      <c r="S1491">
        <v>150.43</v>
      </c>
    </row>
    <row r="1492" spans="1:19">
      <c r="A1492" s="1">
        <v>44530</v>
      </c>
      <c r="B1492" t="s">
        <v>694</v>
      </c>
      <c r="C1492" t="s">
        <v>713</v>
      </c>
      <c r="D1492">
        <v>25.6865</v>
      </c>
      <c r="E1492">
        <v>26.4777</v>
      </c>
      <c r="F1492" s="2" t="s">
        <v>717</v>
      </c>
      <c r="G1492">
        <f ca="1" t="shared" si="69"/>
        <v>-1.6685815364871</v>
      </c>
      <c r="H1492" t="str">
        <f ca="1" t="shared" si="70"/>
        <v>Risk-On</v>
      </c>
      <c r="I1492">
        <f ca="1" t="shared" si="71"/>
        <v>1</v>
      </c>
      <c r="J1492">
        <f>_xlfn.XLOOKUP($A1492,[1]Sheet1!$B$9:$B$2584,[1]Sheet1!$C$9:$C$2584,"N/A",0)</f>
        <v>106.75</v>
      </c>
      <c r="K1492">
        <f>_xlfn.XLOOKUP($A1492,[1]Sheet1!$E$9:$E$2584,[1]Sheet1!$F$9:$F$2584,"N/A",0)</f>
        <v>128.65</v>
      </c>
      <c r="L1492">
        <f>_xlfn.XLOOKUP($A1492,[1]Sheet1!$H$9:$H$2584,[1]Sheet1!$I$9:$I$2584,"N/A",0)</f>
        <v>63.77</v>
      </c>
      <c r="M1492">
        <f>_xlfn.XLOOKUP($A1492,[1]Sheet1!$K$9:$K$2584,[1]Sheet1!$L$9:$L$2584,"N/A",0)</f>
        <v>150.11</v>
      </c>
      <c r="N1492">
        <f>_xlfn.XLOOKUP($A1492,[1]Sheet1!$N$9:$N$2584,[1]Sheet1!$O$9:$O$2584,"N/A",0)</f>
        <v>105.49</v>
      </c>
      <c r="O1492">
        <v>106.75</v>
      </c>
      <c r="P1492">
        <v>128.65</v>
      </c>
      <c r="Q1492">
        <v>63.77</v>
      </c>
      <c r="R1492">
        <v>105.49</v>
      </c>
      <c r="S1492">
        <v>150.11</v>
      </c>
    </row>
    <row r="1493" spans="1:19">
      <c r="A1493" s="1">
        <v>44531</v>
      </c>
      <c r="B1493" t="s">
        <v>694</v>
      </c>
      <c r="C1493" t="s">
        <v>713</v>
      </c>
      <c r="D1493">
        <v>27.8304</v>
      </c>
      <c r="E1493">
        <v>27.964</v>
      </c>
      <c r="F1493">
        <v>0.00480050592158207</v>
      </c>
      <c r="G1493">
        <f ca="1" t="shared" si="69"/>
        <v>-2.67607658864351</v>
      </c>
      <c r="H1493" t="str">
        <f ca="1" t="shared" si="70"/>
        <v>Risk-On</v>
      </c>
      <c r="I1493">
        <f ca="1" t="shared" si="71"/>
        <v>1</v>
      </c>
      <c r="J1493">
        <f>_xlfn.XLOOKUP($A1493,[1]Sheet1!$B$9:$B$2584,[1]Sheet1!$C$9:$C$2584,"N/A",0)</f>
        <v>106.75</v>
      </c>
      <c r="K1493">
        <f>_xlfn.XLOOKUP($A1493,[1]Sheet1!$E$9:$E$2584,[1]Sheet1!$F$9:$F$2584,"N/A",0)</f>
        <v>128.64</v>
      </c>
      <c r="L1493">
        <f>_xlfn.XLOOKUP($A1493,[1]Sheet1!$H$9:$H$2584,[1]Sheet1!$I$9:$I$2584,"N/A",0)</f>
        <v>64.88</v>
      </c>
      <c r="M1493">
        <f>_xlfn.XLOOKUP($A1493,[1]Sheet1!$K$9:$K$2584,[1]Sheet1!$L$9:$L$2584,"N/A",0)</f>
        <v>151.26</v>
      </c>
      <c r="N1493">
        <f>_xlfn.XLOOKUP($A1493,[1]Sheet1!$N$9:$N$2584,[1]Sheet1!$O$9:$O$2584,"N/A",0)</f>
        <v>106.02</v>
      </c>
      <c r="O1493">
        <v>106.75</v>
      </c>
      <c r="P1493">
        <v>128.64</v>
      </c>
      <c r="Q1493">
        <v>64.88</v>
      </c>
      <c r="R1493">
        <v>106.02</v>
      </c>
      <c r="S1493">
        <v>151.26</v>
      </c>
    </row>
    <row r="1494" spans="1:19">
      <c r="A1494" s="1">
        <v>44532</v>
      </c>
      <c r="B1494" t="s">
        <v>694</v>
      </c>
      <c r="C1494" t="s">
        <v>713</v>
      </c>
      <c r="D1494">
        <v>25.9392</v>
      </c>
      <c r="E1494">
        <v>26.905</v>
      </c>
      <c r="F1494" s="2" t="s">
        <v>718</v>
      </c>
      <c r="G1494">
        <f ca="1" t="shared" si="69"/>
        <v>-1.35024417295913</v>
      </c>
      <c r="H1494" t="str">
        <f ca="1" t="shared" si="70"/>
        <v>Risk-On</v>
      </c>
      <c r="I1494">
        <f ca="1" t="shared" si="71"/>
        <v>1</v>
      </c>
      <c r="J1494">
        <f>_xlfn.XLOOKUP($A1494,[1]Sheet1!$B$9:$B$2584,[1]Sheet1!$C$9:$C$2584,"N/A",0)</f>
        <v>106.36</v>
      </c>
      <c r="K1494">
        <f>_xlfn.XLOOKUP($A1494,[1]Sheet1!$E$9:$E$2584,[1]Sheet1!$F$9:$F$2584,"N/A",0)</f>
        <v>129.09</v>
      </c>
      <c r="L1494">
        <f>_xlfn.XLOOKUP($A1494,[1]Sheet1!$H$9:$H$2584,[1]Sheet1!$I$9:$I$2584,"N/A",0)</f>
        <v>64.56</v>
      </c>
      <c r="M1494">
        <f>_xlfn.XLOOKUP($A1494,[1]Sheet1!$K$9:$K$2584,[1]Sheet1!$L$9:$L$2584,"N/A",0)</f>
        <v>151.11</v>
      </c>
      <c r="N1494">
        <f>_xlfn.XLOOKUP($A1494,[1]Sheet1!$N$9:$N$2584,[1]Sheet1!$O$9:$O$2584,"N/A",0)</f>
        <v>105.69</v>
      </c>
      <c r="O1494">
        <v>106.36</v>
      </c>
      <c r="P1494">
        <v>129.09</v>
      </c>
      <c r="Q1494">
        <v>64.56</v>
      </c>
      <c r="R1494">
        <v>105.69</v>
      </c>
      <c r="S1494">
        <v>151.11</v>
      </c>
    </row>
    <row r="1495" spans="1:19">
      <c r="A1495" s="1">
        <v>44533</v>
      </c>
      <c r="B1495" t="s">
        <v>694</v>
      </c>
      <c r="C1495" t="s">
        <v>713</v>
      </c>
      <c r="D1495">
        <v>28.7301</v>
      </c>
      <c r="E1495">
        <v>28.6173</v>
      </c>
      <c r="F1495">
        <v>-0.00392619587122912</v>
      </c>
      <c r="G1495">
        <f ca="1" t="shared" si="69"/>
        <v>-2.90169083924831</v>
      </c>
      <c r="H1495" t="str">
        <f ca="1" t="shared" si="70"/>
        <v>Risk-On</v>
      </c>
      <c r="I1495">
        <f ca="1" t="shared" si="71"/>
        <v>1</v>
      </c>
      <c r="J1495">
        <f>_xlfn.XLOOKUP($A1495,[1]Sheet1!$B$9:$B$2584,[1]Sheet1!$C$9:$C$2584,"N/A",0)</f>
        <v>106.25</v>
      </c>
      <c r="K1495">
        <f>_xlfn.XLOOKUP($A1495,[1]Sheet1!$E$9:$E$2584,[1]Sheet1!$F$9:$F$2584,"N/A",0)</f>
        <v>128.42</v>
      </c>
      <c r="L1495">
        <f>_xlfn.XLOOKUP($A1495,[1]Sheet1!$H$9:$H$2584,[1]Sheet1!$I$9:$I$2584,"N/A",0)</f>
        <v>65.77</v>
      </c>
      <c r="M1495">
        <f>_xlfn.XLOOKUP($A1495,[1]Sheet1!$K$9:$K$2584,[1]Sheet1!$L$9:$L$2584,"N/A",0)</f>
        <v>151.38</v>
      </c>
      <c r="N1495">
        <f>_xlfn.XLOOKUP($A1495,[1]Sheet1!$N$9:$N$2584,[1]Sheet1!$O$9:$O$2584,"N/A",0)</f>
        <v>106.81</v>
      </c>
      <c r="O1495">
        <v>106.25</v>
      </c>
      <c r="P1495">
        <v>128.42</v>
      </c>
      <c r="Q1495">
        <v>65.77</v>
      </c>
      <c r="R1495">
        <v>106.81</v>
      </c>
      <c r="S1495">
        <v>151.38</v>
      </c>
    </row>
    <row r="1496" spans="1:19">
      <c r="A1496" s="1">
        <v>44536</v>
      </c>
      <c r="B1496" t="s">
        <v>694</v>
      </c>
      <c r="C1496" t="s">
        <v>713</v>
      </c>
      <c r="D1496">
        <v>25.8521</v>
      </c>
      <c r="E1496">
        <v>26.6506</v>
      </c>
      <c r="F1496">
        <v>0.0308872393345221</v>
      </c>
      <c r="G1496">
        <f ca="1" t="shared" si="69"/>
        <v>-1.51299116571434</v>
      </c>
      <c r="H1496" t="str">
        <f ca="1" t="shared" si="70"/>
        <v>Risk-On</v>
      </c>
      <c r="I1496">
        <f ca="1" t="shared" si="71"/>
        <v>1</v>
      </c>
      <c r="J1496">
        <f>_xlfn.XLOOKUP($A1496,[1]Sheet1!$B$9:$B$2584,[1]Sheet1!$C$9:$C$2584,"N/A",0)</f>
        <v>106.28</v>
      </c>
      <c r="K1496">
        <f>_xlfn.XLOOKUP($A1496,[1]Sheet1!$E$9:$E$2584,[1]Sheet1!$F$9:$F$2584,"N/A",0)</f>
        <v>127.11</v>
      </c>
      <c r="L1496">
        <f>_xlfn.XLOOKUP($A1496,[1]Sheet1!$H$9:$H$2584,[1]Sheet1!$I$9:$I$2584,"N/A",0)</f>
        <v>65.61</v>
      </c>
      <c r="M1496">
        <f>_xlfn.XLOOKUP($A1496,[1]Sheet1!$K$9:$K$2584,[1]Sheet1!$L$9:$L$2584,"N/A",0)</f>
        <v>150.71</v>
      </c>
      <c r="N1496">
        <f>_xlfn.XLOOKUP($A1496,[1]Sheet1!$N$9:$N$2584,[1]Sheet1!$O$9:$O$2584,"N/A",0)</f>
        <v>106.14</v>
      </c>
      <c r="O1496">
        <v>106.28</v>
      </c>
      <c r="P1496">
        <v>127.11</v>
      </c>
      <c r="Q1496">
        <v>65.61</v>
      </c>
      <c r="R1496">
        <v>106.14</v>
      </c>
      <c r="S1496">
        <v>150.71</v>
      </c>
    </row>
    <row r="1497" spans="1:19">
      <c r="A1497" s="1">
        <v>44537</v>
      </c>
      <c r="B1497" t="s">
        <v>694</v>
      </c>
      <c r="C1497" t="s">
        <v>713</v>
      </c>
      <c r="D1497">
        <v>22.5437</v>
      </c>
      <c r="E1497">
        <v>24.2002</v>
      </c>
      <c r="F1497">
        <v>0.0734795086875711</v>
      </c>
      <c r="G1497">
        <f ca="1" t="shared" si="69"/>
        <v>0.0595309217066764</v>
      </c>
      <c r="H1497" t="str">
        <f ca="1" t="shared" si="70"/>
        <v>Risk-On</v>
      </c>
      <c r="I1497">
        <f ca="1" t="shared" si="71"/>
        <v>1</v>
      </c>
      <c r="J1497">
        <f>_xlfn.XLOOKUP($A1497,[1]Sheet1!$B$9:$B$2584,[1]Sheet1!$C$9:$C$2584,"N/A",0)</f>
        <v>106.25</v>
      </c>
      <c r="K1497">
        <f>_xlfn.XLOOKUP($A1497,[1]Sheet1!$E$9:$E$2584,[1]Sheet1!$F$9:$F$2584,"N/A",0)</f>
        <v>128.21</v>
      </c>
      <c r="L1497">
        <f>_xlfn.XLOOKUP($A1497,[1]Sheet1!$H$9:$H$2584,[1]Sheet1!$I$9:$I$2584,"N/A",0)</f>
        <v>65.27</v>
      </c>
      <c r="M1497">
        <f>_xlfn.XLOOKUP($A1497,[1]Sheet1!$K$9:$K$2584,[1]Sheet1!$L$9:$L$2584,"N/A",0)</f>
        <v>150.66</v>
      </c>
      <c r="N1497">
        <f>_xlfn.XLOOKUP($A1497,[1]Sheet1!$N$9:$N$2584,[1]Sheet1!$O$9:$O$2584,"N/A",0)</f>
        <v>106.47</v>
      </c>
      <c r="O1497">
        <v>106.25</v>
      </c>
      <c r="P1497">
        <v>128.21</v>
      </c>
      <c r="Q1497">
        <v>65.27</v>
      </c>
      <c r="R1497">
        <v>106.47</v>
      </c>
      <c r="S1497">
        <v>150.66</v>
      </c>
    </row>
    <row r="1498" spans="1:19">
      <c r="A1498" s="1">
        <v>44538</v>
      </c>
      <c r="B1498" t="s">
        <v>694</v>
      </c>
      <c r="C1498" t="s">
        <v>713</v>
      </c>
      <c r="D1498">
        <v>20.8267</v>
      </c>
      <c r="E1498">
        <v>23.0192</v>
      </c>
      <c r="F1498" s="2" t="s">
        <v>719</v>
      </c>
      <c r="G1498">
        <f ca="1" t="shared" si="69"/>
        <v>1.21619850331022</v>
      </c>
      <c r="H1498" t="str">
        <f ca="1" t="shared" si="70"/>
        <v>Risk-On</v>
      </c>
      <c r="I1498">
        <f ca="1" t="shared" si="71"/>
        <v>1</v>
      </c>
      <c r="J1498">
        <f>_xlfn.XLOOKUP($A1498,[1]Sheet1!$B$9:$B$2584,[1]Sheet1!$C$9:$C$2584,"N/A",0)</f>
        <v>105.99</v>
      </c>
      <c r="K1498">
        <f>_xlfn.XLOOKUP($A1498,[1]Sheet1!$E$9:$E$2584,[1]Sheet1!$F$9:$F$2584,"N/A",0)</f>
        <v>126.59</v>
      </c>
      <c r="L1498">
        <f>_xlfn.XLOOKUP($A1498,[1]Sheet1!$H$9:$H$2584,[1]Sheet1!$I$9:$I$2584,"N/A",0)</f>
        <v>64.72</v>
      </c>
      <c r="M1498">
        <f>_xlfn.XLOOKUP($A1498,[1]Sheet1!$K$9:$K$2584,[1]Sheet1!$L$9:$L$2584,"N/A",0)</f>
        <v>150.25</v>
      </c>
      <c r="N1498">
        <f>_xlfn.XLOOKUP($A1498,[1]Sheet1!$N$9:$N$2584,[1]Sheet1!$O$9:$O$2584,"N/A",0)</f>
        <v>105.93</v>
      </c>
      <c r="O1498">
        <v>105.99</v>
      </c>
      <c r="P1498">
        <v>126.59</v>
      </c>
      <c r="Q1498">
        <v>64.72</v>
      </c>
      <c r="R1498">
        <v>105.93</v>
      </c>
      <c r="S1498">
        <v>150.25</v>
      </c>
    </row>
    <row r="1499" spans="1:19">
      <c r="A1499" s="1">
        <v>44539</v>
      </c>
      <c r="B1499" t="s">
        <v>694</v>
      </c>
      <c r="C1499" t="s">
        <v>713</v>
      </c>
      <c r="D1499">
        <v>21.5672</v>
      </c>
      <c r="E1499">
        <v>23.5593</v>
      </c>
      <c r="F1499">
        <v>0.0923671130234801</v>
      </c>
      <c r="G1499">
        <f ca="1" t="shared" si="69"/>
        <v>0.7477351507253</v>
      </c>
      <c r="H1499" t="str">
        <f ca="1" t="shared" si="70"/>
        <v>Risk-On</v>
      </c>
      <c r="I1499">
        <f ca="1" t="shared" si="71"/>
        <v>1</v>
      </c>
      <c r="J1499">
        <f>_xlfn.XLOOKUP($A1499,[1]Sheet1!$B$9:$B$2584,[1]Sheet1!$C$9:$C$2584,"N/A",0)</f>
        <v>106.14</v>
      </c>
      <c r="K1499">
        <f>_xlfn.XLOOKUP($A1499,[1]Sheet1!$E$9:$E$2584,[1]Sheet1!$F$9:$F$2584,"N/A",0)</f>
        <v>128.09</v>
      </c>
      <c r="L1499">
        <f>_xlfn.XLOOKUP($A1499,[1]Sheet1!$H$9:$H$2584,[1]Sheet1!$I$9:$I$2584,"N/A",0)</f>
        <v>65.37</v>
      </c>
      <c r="M1499">
        <f>_xlfn.XLOOKUP($A1499,[1]Sheet1!$K$9:$K$2584,[1]Sheet1!$L$9:$L$2584,"N/A",0)</f>
        <v>150.94</v>
      </c>
      <c r="N1499">
        <f>_xlfn.XLOOKUP($A1499,[1]Sheet1!$N$9:$N$2584,[1]Sheet1!$O$9:$O$2584,"N/A",0)</f>
        <v>106.99</v>
      </c>
      <c r="O1499">
        <v>106.14</v>
      </c>
      <c r="P1499">
        <v>128.09</v>
      </c>
      <c r="Q1499">
        <v>65.37</v>
      </c>
      <c r="R1499">
        <v>106.99</v>
      </c>
      <c r="S1499">
        <v>150.94</v>
      </c>
    </row>
    <row r="1500" spans="1:19">
      <c r="A1500" s="1">
        <v>44540</v>
      </c>
      <c r="B1500" t="s">
        <v>694</v>
      </c>
      <c r="C1500" t="s">
        <v>713</v>
      </c>
      <c r="D1500">
        <v>19.7975</v>
      </c>
      <c r="E1500">
        <v>22.2662</v>
      </c>
      <c r="F1500" s="2" t="s">
        <v>720</v>
      </c>
      <c r="G1500">
        <f ca="1" t="shared" si="69"/>
        <v>1.9149459752562</v>
      </c>
      <c r="H1500" t="str">
        <f ca="1" t="shared" si="70"/>
        <v>Risk-On</v>
      </c>
      <c r="I1500">
        <f ca="1" t="shared" si="71"/>
        <v>1</v>
      </c>
      <c r="J1500">
        <f>_xlfn.XLOOKUP($A1500,[1]Sheet1!$B$9:$B$2584,[1]Sheet1!$C$9:$C$2584,"N/A",0)</f>
        <v>106.09</v>
      </c>
      <c r="K1500">
        <f>_xlfn.XLOOKUP($A1500,[1]Sheet1!$E$9:$E$2584,[1]Sheet1!$F$9:$F$2584,"N/A",0)</f>
        <v>129.48</v>
      </c>
      <c r="L1500">
        <f>_xlfn.XLOOKUP($A1500,[1]Sheet1!$H$9:$H$2584,[1]Sheet1!$I$9:$I$2584,"N/A",0)</f>
        <v>65.63</v>
      </c>
      <c r="M1500">
        <f>_xlfn.XLOOKUP($A1500,[1]Sheet1!$K$9:$K$2584,[1]Sheet1!$L$9:$L$2584,"N/A",0)</f>
        <v>151.88</v>
      </c>
      <c r="N1500">
        <f>_xlfn.XLOOKUP($A1500,[1]Sheet1!$N$9:$N$2584,[1]Sheet1!$O$9:$O$2584,"N/A",0)</f>
        <v>108.17</v>
      </c>
      <c r="O1500">
        <v>106.09</v>
      </c>
      <c r="P1500">
        <v>129.48</v>
      </c>
      <c r="Q1500">
        <v>65.63</v>
      </c>
      <c r="R1500">
        <v>108.17</v>
      </c>
      <c r="S1500">
        <v>151.88</v>
      </c>
    </row>
    <row r="1501" spans="1:19">
      <c r="A1501" s="1">
        <v>44543</v>
      </c>
      <c r="B1501" t="s">
        <v>694</v>
      </c>
      <c r="C1501" t="s">
        <v>713</v>
      </c>
      <c r="D1501">
        <v>20.5841</v>
      </c>
      <c r="E1501">
        <v>23.1634</v>
      </c>
      <c r="F1501" s="2" t="s">
        <v>721</v>
      </c>
      <c r="G1501">
        <f ca="1" t="shared" si="69"/>
        <v>1.94187514316996</v>
      </c>
      <c r="H1501" t="str">
        <f ca="1" t="shared" si="70"/>
        <v>Risk-On</v>
      </c>
      <c r="I1501">
        <f ca="1" t="shared" si="71"/>
        <v>1</v>
      </c>
      <c r="J1501">
        <f>_xlfn.XLOOKUP($A1501,[1]Sheet1!$B$9:$B$2584,[1]Sheet1!$C$9:$C$2584,"N/A",0)</f>
        <v>106.92</v>
      </c>
      <c r="K1501">
        <f>_xlfn.XLOOKUP($A1501,[1]Sheet1!$E$9:$E$2584,[1]Sheet1!$F$9:$F$2584,"N/A",0)</f>
        <v>128.44</v>
      </c>
      <c r="L1501">
        <f>_xlfn.XLOOKUP($A1501,[1]Sheet1!$H$9:$H$2584,[1]Sheet1!$I$9:$I$2584,"N/A",0)</f>
        <v>65.39</v>
      </c>
      <c r="M1501">
        <f>_xlfn.XLOOKUP($A1501,[1]Sheet1!$K$9:$K$2584,[1]Sheet1!$L$9:$L$2584,"N/A",0)</f>
        <v>152.04</v>
      </c>
      <c r="N1501">
        <f>_xlfn.XLOOKUP($A1501,[1]Sheet1!$N$9:$N$2584,[1]Sheet1!$O$9:$O$2584,"N/A",0)</f>
        <v>108.1</v>
      </c>
      <c r="O1501">
        <v>106.92</v>
      </c>
      <c r="P1501">
        <v>128.44</v>
      </c>
      <c r="Q1501">
        <v>65.39</v>
      </c>
      <c r="R1501">
        <v>108.1</v>
      </c>
      <c r="S1501">
        <v>152.04</v>
      </c>
    </row>
    <row r="1502" spans="1:19">
      <c r="A1502" s="1">
        <v>44544</v>
      </c>
      <c r="B1502" t="s">
        <v>694</v>
      </c>
      <c r="C1502" t="s">
        <v>713</v>
      </c>
      <c r="D1502">
        <v>21.2857</v>
      </c>
      <c r="E1502">
        <v>23.4828</v>
      </c>
      <c r="F1502" s="2" t="s">
        <v>722</v>
      </c>
      <c r="G1502">
        <f ca="1" t="shared" si="69"/>
        <v>1.1417053536445</v>
      </c>
      <c r="H1502" t="str">
        <f ca="1" t="shared" si="70"/>
        <v>Risk-On</v>
      </c>
      <c r="I1502">
        <f ca="1" t="shared" si="71"/>
        <v>1</v>
      </c>
      <c r="J1502">
        <f>_xlfn.XLOOKUP($A1502,[1]Sheet1!$B$9:$B$2584,[1]Sheet1!$C$9:$C$2584,"N/A",0)</f>
        <v>106.5</v>
      </c>
      <c r="K1502">
        <f>_xlfn.XLOOKUP($A1502,[1]Sheet1!$E$9:$E$2584,[1]Sheet1!$F$9:$F$2584,"N/A",0)</f>
        <v>128.68</v>
      </c>
      <c r="L1502">
        <f>_xlfn.XLOOKUP($A1502,[1]Sheet1!$H$9:$H$2584,[1]Sheet1!$I$9:$I$2584,"N/A",0)</f>
        <v>65.85</v>
      </c>
      <c r="M1502">
        <f>_xlfn.XLOOKUP($A1502,[1]Sheet1!$K$9:$K$2584,[1]Sheet1!$L$9:$L$2584,"N/A",0)</f>
        <v>152.04</v>
      </c>
      <c r="N1502">
        <f>_xlfn.XLOOKUP($A1502,[1]Sheet1!$N$9:$N$2584,[1]Sheet1!$O$9:$O$2584,"N/A",0)</f>
        <v>108.13</v>
      </c>
      <c r="O1502">
        <v>106.5</v>
      </c>
      <c r="P1502">
        <v>128.68</v>
      </c>
      <c r="Q1502">
        <v>65.85</v>
      </c>
      <c r="R1502">
        <v>108.13</v>
      </c>
      <c r="S1502">
        <v>152.04</v>
      </c>
    </row>
    <row r="1503" spans="1:19">
      <c r="A1503" s="1">
        <v>44545</v>
      </c>
      <c r="B1503" t="s">
        <v>694</v>
      </c>
      <c r="C1503" t="s">
        <v>713</v>
      </c>
      <c r="D1503">
        <v>19.0758</v>
      </c>
      <c r="E1503">
        <v>21.9711</v>
      </c>
      <c r="F1503" s="2" t="s">
        <v>723</v>
      </c>
      <c r="G1503">
        <f ca="1" t="shared" si="69"/>
        <v>2.88285175702804</v>
      </c>
      <c r="H1503" t="str">
        <f ca="1" t="shared" si="70"/>
        <v>Risk-On</v>
      </c>
      <c r="I1503">
        <f ca="1" t="shared" si="71"/>
        <v>1</v>
      </c>
      <c r="J1503">
        <f>_xlfn.XLOOKUP($A1503,[1]Sheet1!$B$9:$B$2584,[1]Sheet1!$C$9:$C$2584,"N/A",0)</f>
        <v>106.77</v>
      </c>
      <c r="K1503">
        <f>_xlfn.XLOOKUP($A1503,[1]Sheet1!$E$9:$E$2584,[1]Sheet1!$F$9:$F$2584,"N/A",0)</f>
        <v>129.81</v>
      </c>
      <c r="L1503">
        <f>_xlfn.XLOOKUP($A1503,[1]Sheet1!$H$9:$H$2584,[1]Sheet1!$I$9:$I$2584,"N/A",0)</f>
        <v>65.36</v>
      </c>
      <c r="M1503">
        <f>_xlfn.XLOOKUP($A1503,[1]Sheet1!$K$9:$K$2584,[1]Sheet1!$L$9:$L$2584,"N/A",0)</f>
        <v>153.23</v>
      </c>
      <c r="N1503">
        <f>_xlfn.XLOOKUP($A1503,[1]Sheet1!$N$9:$N$2584,[1]Sheet1!$O$9:$O$2584,"N/A",0)</f>
        <v>107.91</v>
      </c>
      <c r="O1503">
        <v>106.77</v>
      </c>
      <c r="P1503">
        <v>129.81</v>
      </c>
      <c r="Q1503">
        <v>65.36</v>
      </c>
      <c r="R1503">
        <v>107.91</v>
      </c>
      <c r="S1503">
        <v>153.23</v>
      </c>
    </row>
    <row r="1504" spans="1:19">
      <c r="A1504" s="1">
        <v>44546</v>
      </c>
      <c r="B1504" t="s">
        <v>694</v>
      </c>
      <c r="C1504" t="s">
        <v>713</v>
      </c>
      <c r="D1504">
        <v>20.4217</v>
      </c>
      <c r="E1504">
        <v>22.8188</v>
      </c>
      <c r="F1504" s="2" t="s">
        <v>724</v>
      </c>
      <c r="G1504">
        <f ca="1" t="shared" si="69"/>
        <v>1.65002246916193</v>
      </c>
      <c r="H1504" t="str">
        <f ca="1" t="shared" si="70"/>
        <v>Risk-On</v>
      </c>
      <c r="I1504">
        <f ca="1" t="shared" si="71"/>
        <v>1</v>
      </c>
      <c r="J1504">
        <f>_xlfn.XLOOKUP($A1504,[1]Sheet1!$B$9:$B$2584,[1]Sheet1!$C$9:$C$2584,"N/A",0)</f>
        <v>106.85</v>
      </c>
      <c r="K1504">
        <f>_xlfn.XLOOKUP($A1504,[1]Sheet1!$E$9:$E$2584,[1]Sheet1!$F$9:$F$2584,"N/A",0)</f>
        <v>129.65</v>
      </c>
      <c r="L1504">
        <f>_xlfn.XLOOKUP($A1504,[1]Sheet1!$H$9:$H$2584,[1]Sheet1!$I$9:$I$2584,"N/A",0)</f>
        <v>66.37</v>
      </c>
      <c r="M1504">
        <f>_xlfn.XLOOKUP($A1504,[1]Sheet1!$K$9:$K$2584,[1]Sheet1!$L$9:$L$2584,"N/A",0)</f>
        <v>152.88</v>
      </c>
      <c r="N1504">
        <f>_xlfn.XLOOKUP($A1504,[1]Sheet1!$N$9:$N$2584,[1]Sheet1!$O$9:$O$2584,"N/A",0)</f>
        <v>108.88</v>
      </c>
      <c r="O1504">
        <v>106.85</v>
      </c>
      <c r="P1504">
        <v>129.65</v>
      </c>
      <c r="Q1504">
        <v>66.37</v>
      </c>
      <c r="R1504">
        <v>108.88</v>
      </c>
      <c r="S1504">
        <v>152.88</v>
      </c>
    </row>
    <row r="1505" spans="1:19">
      <c r="A1505" s="1">
        <v>44547</v>
      </c>
      <c r="B1505" t="s">
        <v>694</v>
      </c>
      <c r="C1505" t="s">
        <v>713</v>
      </c>
      <c r="D1505">
        <v>21.0691</v>
      </c>
      <c r="E1505">
        <v>23.5739</v>
      </c>
      <c r="F1505" s="2" t="s">
        <v>725</v>
      </c>
      <c r="G1505">
        <f ca="1" t="shared" si="69"/>
        <v>1.70397890051098</v>
      </c>
      <c r="H1505" t="str">
        <f ca="1" t="shared" si="70"/>
        <v>Risk-On</v>
      </c>
      <c r="I1505">
        <f ca="1" t="shared" si="71"/>
        <v>1</v>
      </c>
      <c r="J1505">
        <f>_xlfn.XLOOKUP($A1505,[1]Sheet1!$B$9:$B$2584,[1]Sheet1!$C$9:$C$2584,"N/A",0)</f>
        <v>106.93</v>
      </c>
      <c r="K1505">
        <f>_xlfn.XLOOKUP($A1505,[1]Sheet1!$E$9:$E$2584,[1]Sheet1!$F$9:$F$2584,"N/A",0)</f>
        <v>128.07</v>
      </c>
      <c r="L1505">
        <f>_xlfn.XLOOKUP($A1505,[1]Sheet1!$H$9:$H$2584,[1]Sheet1!$I$9:$I$2584,"N/A",0)</f>
        <v>65.67</v>
      </c>
      <c r="M1505">
        <f>_xlfn.XLOOKUP($A1505,[1]Sheet1!$K$9:$K$2584,[1]Sheet1!$L$9:$L$2584,"N/A",0)</f>
        <v>151.17</v>
      </c>
      <c r="N1505">
        <f>_xlfn.XLOOKUP($A1505,[1]Sheet1!$N$9:$N$2584,[1]Sheet1!$O$9:$O$2584,"N/A",0)</f>
        <v>107.05</v>
      </c>
      <c r="O1505">
        <v>106.93</v>
      </c>
      <c r="P1505">
        <v>128.07</v>
      </c>
      <c r="Q1505">
        <v>65.67</v>
      </c>
      <c r="R1505">
        <v>107.05</v>
      </c>
      <c r="S1505">
        <v>151.17</v>
      </c>
    </row>
    <row r="1506" spans="1:19">
      <c r="A1506" s="1">
        <v>44550</v>
      </c>
      <c r="B1506" t="s">
        <v>694</v>
      </c>
      <c r="C1506" t="s">
        <v>713</v>
      </c>
      <c r="D1506">
        <v>22.8089</v>
      </c>
      <c r="E1506">
        <v>24.3107</v>
      </c>
      <c r="F1506">
        <v>0.0658427192894001</v>
      </c>
      <c r="G1506">
        <f ca="1" t="shared" si="69"/>
        <v>-0.198164527813995</v>
      </c>
      <c r="H1506" t="str">
        <f ca="1" t="shared" si="70"/>
        <v>Risk-On</v>
      </c>
      <c r="I1506">
        <f ca="1" t="shared" si="71"/>
        <v>1</v>
      </c>
      <c r="J1506">
        <f>_xlfn.XLOOKUP($A1506,[1]Sheet1!$B$9:$B$2584,[1]Sheet1!$C$9:$C$2584,"N/A",0)</f>
        <v>106.59</v>
      </c>
      <c r="K1506">
        <f>_xlfn.XLOOKUP($A1506,[1]Sheet1!$E$9:$E$2584,[1]Sheet1!$F$9:$F$2584,"N/A",0)</f>
        <v>128.06</v>
      </c>
      <c r="L1506">
        <f>_xlfn.XLOOKUP($A1506,[1]Sheet1!$H$9:$H$2584,[1]Sheet1!$I$9:$I$2584,"N/A",0)</f>
        <v>64.98</v>
      </c>
      <c r="M1506">
        <f>_xlfn.XLOOKUP($A1506,[1]Sheet1!$K$9:$K$2584,[1]Sheet1!$L$9:$L$2584,"N/A",0)</f>
        <v>151.27</v>
      </c>
      <c r="N1506">
        <f>_xlfn.XLOOKUP($A1506,[1]Sheet1!$N$9:$N$2584,[1]Sheet1!$O$9:$O$2584,"N/A",0)</f>
        <v>107.28</v>
      </c>
      <c r="O1506">
        <v>106.59</v>
      </c>
      <c r="P1506">
        <v>128.06</v>
      </c>
      <c r="Q1506">
        <v>64.98</v>
      </c>
      <c r="R1506">
        <v>107.28</v>
      </c>
      <c r="S1506">
        <v>151.27</v>
      </c>
    </row>
    <row r="1507" spans="1:19">
      <c r="A1507" s="1">
        <v>44551</v>
      </c>
      <c r="B1507" t="s">
        <v>694</v>
      </c>
      <c r="C1507" t="s">
        <v>713</v>
      </c>
      <c r="D1507">
        <v>21.0726</v>
      </c>
      <c r="E1507">
        <v>23.1636</v>
      </c>
      <c r="F1507">
        <v>0.0992283818797869</v>
      </c>
      <c r="G1507">
        <f ca="1" t="shared" si="69"/>
        <v>0.993421799254549</v>
      </c>
      <c r="H1507" t="str">
        <f ca="1" t="shared" si="70"/>
        <v>Risk-On</v>
      </c>
      <c r="I1507">
        <f ca="1" t="shared" si="71"/>
        <v>1</v>
      </c>
      <c r="J1507">
        <f>_xlfn.XLOOKUP($A1507,[1]Sheet1!$B$9:$B$2584,[1]Sheet1!$C$9:$C$2584,"N/A",0)</f>
        <v>106.18</v>
      </c>
      <c r="K1507">
        <f>_xlfn.XLOOKUP($A1507,[1]Sheet1!$E$9:$E$2584,[1]Sheet1!$F$9:$F$2584,"N/A",0)</f>
        <v>127.62</v>
      </c>
      <c r="L1507">
        <f>_xlfn.XLOOKUP($A1507,[1]Sheet1!$H$9:$H$2584,[1]Sheet1!$I$9:$I$2584,"N/A",0)</f>
        <v>64.9</v>
      </c>
      <c r="M1507">
        <f>_xlfn.XLOOKUP($A1507,[1]Sheet1!$K$9:$K$2584,[1]Sheet1!$L$9:$L$2584,"N/A",0)</f>
        <v>150.9</v>
      </c>
      <c r="N1507">
        <f>_xlfn.XLOOKUP($A1507,[1]Sheet1!$N$9:$N$2584,[1]Sheet1!$O$9:$O$2584,"N/A",0)</f>
        <v>106.74</v>
      </c>
      <c r="O1507">
        <v>106.18</v>
      </c>
      <c r="P1507">
        <v>127.62</v>
      </c>
      <c r="Q1507">
        <v>64.9</v>
      </c>
      <c r="R1507">
        <v>106.74</v>
      </c>
      <c r="S1507">
        <v>150.9</v>
      </c>
    </row>
    <row r="1508" spans="1:19">
      <c r="A1508" s="1">
        <v>44552</v>
      </c>
      <c r="B1508" t="s">
        <v>694</v>
      </c>
      <c r="C1508" t="s">
        <v>713</v>
      </c>
      <c r="D1508">
        <v>20.83</v>
      </c>
      <c r="E1508">
        <v>21.8007</v>
      </c>
      <c r="F1508" s="2" t="s">
        <v>726</v>
      </c>
      <c r="G1508">
        <f ca="1" t="shared" si="69"/>
        <v>-0.89422017233386</v>
      </c>
      <c r="H1508" t="str">
        <f ca="1" t="shared" si="70"/>
        <v>Risk-On</v>
      </c>
      <c r="I1508">
        <f ca="1" t="shared" si="71"/>
        <v>1</v>
      </c>
      <c r="J1508">
        <f>_xlfn.XLOOKUP($A1508,[1]Sheet1!$B$9:$B$2584,[1]Sheet1!$C$9:$C$2584,"N/A",0)</f>
        <v>106.72</v>
      </c>
      <c r="K1508">
        <f>_xlfn.XLOOKUP($A1508,[1]Sheet1!$E$9:$E$2584,[1]Sheet1!$F$9:$F$2584,"N/A",0)</f>
        <v>128.64</v>
      </c>
      <c r="L1508">
        <f>_xlfn.XLOOKUP($A1508,[1]Sheet1!$H$9:$H$2584,[1]Sheet1!$I$9:$I$2584,"N/A",0)</f>
        <v>64.91</v>
      </c>
      <c r="M1508">
        <f>_xlfn.XLOOKUP($A1508,[1]Sheet1!$K$9:$K$2584,[1]Sheet1!$L$9:$L$2584,"N/A",0)</f>
        <v>150.97</v>
      </c>
      <c r="N1508">
        <f>_xlfn.XLOOKUP($A1508,[1]Sheet1!$N$9:$N$2584,[1]Sheet1!$O$9:$O$2584,"N/A",0)</f>
        <v>106.66</v>
      </c>
      <c r="O1508">
        <v>106.72</v>
      </c>
      <c r="P1508">
        <v>128.64</v>
      </c>
      <c r="Q1508">
        <v>64.91</v>
      </c>
      <c r="R1508">
        <v>106.66</v>
      </c>
      <c r="S1508">
        <v>150.97</v>
      </c>
    </row>
    <row r="1509" spans="1:19">
      <c r="A1509" s="1">
        <v>44553</v>
      </c>
      <c r="B1509" t="s">
        <v>713</v>
      </c>
      <c r="C1509" t="s">
        <v>727</v>
      </c>
      <c r="D1509">
        <v>21.6518</v>
      </c>
      <c r="E1509">
        <v>23.3994</v>
      </c>
      <c r="F1509">
        <v>0.0807138436527216</v>
      </c>
      <c r="G1509">
        <f ca="1" t="shared" si="69"/>
        <v>0.315726744740045</v>
      </c>
      <c r="H1509" t="str">
        <f ca="1" t="shared" si="70"/>
        <v>Risk-On</v>
      </c>
      <c r="I1509">
        <f ca="1" t="shared" si="71"/>
        <v>1</v>
      </c>
      <c r="J1509">
        <f>_xlfn.XLOOKUP($A1509,[1]Sheet1!$B$9:$B$2584,[1]Sheet1!$C$9:$C$2584,"N/A",0)</f>
        <v>107.06</v>
      </c>
      <c r="K1509">
        <f>_xlfn.XLOOKUP($A1509,[1]Sheet1!$E$9:$E$2584,[1]Sheet1!$F$9:$F$2584,"N/A",0)</f>
        <v>128.29</v>
      </c>
      <c r="L1509">
        <f>_xlfn.XLOOKUP($A1509,[1]Sheet1!$H$9:$H$2584,[1]Sheet1!$I$9:$I$2584,"N/A",0)</f>
        <v>65.16</v>
      </c>
      <c r="M1509">
        <f>_xlfn.XLOOKUP($A1509,[1]Sheet1!$K$9:$K$2584,[1]Sheet1!$L$9:$L$2584,"N/A",0)</f>
        <v>151.55</v>
      </c>
      <c r="N1509">
        <f>_xlfn.XLOOKUP($A1509,[1]Sheet1!$N$9:$N$2584,[1]Sheet1!$O$9:$O$2584,"N/A",0)</f>
        <v>106.63</v>
      </c>
      <c r="O1509">
        <v>107.06</v>
      </c>
      <c r="P1509">
        <v>128.29</v>
      </c>
      <c r="Q1509">
        <v>65.16</v>
      </c>
      <c r="R1509">
        <v>106.63</v>
      </c>
      <c r="S1509">
        <v>151.55</v>
      </c>
    </row>
    <row r="1510" spans="1:19">
      <c r="A1510" s="1">
        <v>44557</v>
      </c>
      <c r="B1510" t="s">
        <v>713</v>
      </c>
      <c r="C1510" t="s">
        <v>727</v>
      </c>
      <c r="D1510">
        <v>21.0053</v>
      </c>
      <c r="E1510">
        <v>23.0302</v>
      </c>
      <c r="F1510">
        <v>0.0963994801312051</v>
      </c>
      <c r="G1510">
        <f ca="1" t="shared" si="69"/>
        <v>0.870377112481052</v>
      </c>
      <c r="H1510" t="str">
        <f ca="1" t="shared" si="70"/>
        <v>Risk-On</v>
      </c>
      <c r="I1510">
        <f ca="1" t="shared" si="71"/>
        <v>1</v>
      </c>
      <c r="J1510">
        <f>_xlfn.XLOOKUP($A1510,[1]Sheet1!$B$9:$B$2584,[1]Sheet1!$C$9:$C$2584,"N/A",0)</f>
        <v>107.73</v>
      </c>
      <c r="K1510">
        <f>_xlfn.XLOOKUP($A1510,[1]Sheet1!$E$9:$E$2584,[1]Sheet1!$F$9:$F$2584,"N/A",0)</f>
        <v>129.9</v>
      </c>
      <c r="L1510">
        <f>_xlfn.XLOOKUP($A1510,[1]Sheet1!$H$9:$H$2584,[1]Sheet1!$I$9:$I$2584,"N/A",0)</f>
        <v>65.3</v>
      </c>
      <c r="M1510">
        <f>_xlfn.XLOOKUP($A1510,[1]Sheet1!$K$9:$K$2584,[1]Sheet1!$L$9:$L$2584,"N/A",0)</f>
        <v>153.24</v>
      </c>
      <c r="N1510">
        <f>_xlfn.XLOOKUP($A1510,[1]Sheet1!$N$9:$N$2584,[1]Sheet1!$O$9:$O$2584,"N/A",0)</f>
        <v>106.47</v>
      </c>
      <c r="O1510">
        <v>107.73</v>
      </c>
      <c r="P1510">
        <v>129.9</v>
      </c>
      <c r="Q1510">
        <v>65.3</v>
      </c>
      <c r="R1510">
        <v>106.47</v>
      </c>
      <c r="S1510">
        <v>153.24</v>
      </c>
    </row>
    <row r="1511" spans="1:19">
      <c r="A1511" s="1">
        <v>44558</v>
      </c>
      <c r="B1511" t="s">
        <v>713</v>
      </c>
      <c r="C1511" t="s">
        <v>727</v>
      </c>
      <c r="D1511">
        <v>20.5305</v>
      </c>
      <c r="E1511">
        <v>22.6303</v>
      </c>
      <c r="F1511" s="2" t="s">
        <v>728</v>
      </c>
      <c r="G1511">
        <f ca="1" t="shared" si="69"/>
        <v>1.07054962271887</v>
      </c>
      <c r="H1511" t="str">
        <f ca="1" t="shared" si="70"/>
        <v>Risk-On</v>
      </c>
      <c r="I1511">
        <f ca="1" t="shared" si="71"/>
        <v>1</v>
      </c>
      <c r="J1511">
        <f>_xlfn.XLOOKUP($A1511,[1]Sheet1!$B$9:$B$2584,[1]Sheet1!$C$9:$C$2584,"N/A",0)</f>
        <v>107.5</v>
      </c>
      <c r="K1511">
        <f>_xlfn.XLOOKUP($A1511,[1]Sheet1!$E$9:$E$2584,[1]Sheet1!$F$9:$F$2584,"N/A",0)</f>
        <v>129.54</v>
      </c>
      <c r="L1511">
        <f>_xlfn.XLOOKUP($A1511,[1]Sheet1!$H$9:$H$2584,[1]Sheet1!$I$9:$I$2584,"N/A",0)</f>
        <v>65.45</v>
      </c>
      <c r="M1511">
        <f>_xlfn.XLOOKUP($A1511,[1]Sheet1!$K$9:$K$2584,[1]Sheet1!$L$9:$L$2584,"N/A",0)</f>
        <v>153.3</v>
      </c>
      <c r="N1511">
        <f>_xlfn.XLOOKUP($A1511,[1]Sheet1!$N$9:$N$2584,[1]Sheet1!$O$9:$O$2584,"N/A",0)</f>
        <v>106.9</v>
      </c>
      <c r="O1511">
        <v>107.5</v>
      </c>
      <c r="P1511">
        <v>129.54</v>
      </c>
      <c r="Q1511">
        <v>65.45</v>
      </c>
      <c r="R1511">
        <v>106.9</v>
      </c>
      <c r="S1511">
        <v>153.3</v>
      </c>
    </row>
    <row r="1512" spans="1:19">
      <c r="A1512" s="1">
        <v>44559</v>
      </c>
      <c r="B1512" t="s">
        <v>713</v>
      </c>
      <c r="C1512" t="s">
        <v>727</v>
      </c>
      <c r="D1512">
        <v>20.0072</v>
      </c>
      <c r="E1512">
        <v>22.104</v>
      </c>
      <c r="F1512" s="2" t="s">
        <v>729</v>
      </c>
      <c r="G1512">
        <f ca="1" t="shared" si="69"/>
        <v>1.1583032286277</v>
      </c>
      <c r="H1512" t="str">
        <f ca="1" t="shared" si="70"/>
        <v>Risk-On</v>
      </c>
      <c r="I1512">
        <f ca="1" t="shared" si="71"/>
        <v>1</v>
      </c>
      <c r="J1512">
        <f>_xlfn.XLOOKUP($A1512,[1]Sheet1!$B$9:$B$2584,[1]Sheet1!$C$9:$C$2584,"N/A",0)</f>
        <v>107.47</v>
      </c>
      <c r="K1512">
        <f>_xlfn.XLOOKUP($A1512,[1]Sheet1!$E$9:$E$2584,[1]Sheet1!$F$9:$F$2584,"N/A",0)</f>
        <v>130.48</v>
      </c>
      <c r="L1512">
        <f>_xlfn.XLOOKUP($A1512,[1]Sheet1!$H$9:$H$2584,[1]Sheet1!$I$9:$I$2584,"N/A",0)</f>
        <v>65.81</v>
      </c>
      <c r="M1512">
        <f>_xlfn.XLOOKUP($A1512,[1]Sheet1!$K$9:$K$2584,[1]Sheet1!$L$9:$L$2584,"N/A",0)</f>
        <v>153.87</v>
      </c>
      <c r="N1512">
        <f>_xlfn.XLOOKUP($A1512,[1]Sheet1!$N$9:$N$2584,[1]Sheet1!$O$9:$O$2584,"N/A",0)</f>
        <v>106.76</v>
      </c>
      <c r="O1512">
        <v>107.47</v>
      </c>
      <c r="P1512">
        <v>130.48</v>
      </c>
      <c r="Q1512">
        <v>65.81</v>
      </c>
      <c r="R1512">
        <v>106.76</v>
      </c>
      <c r="S1512">
        <v>153.87</v>
      </c>
    </row>
    <row r="1513" spans="1:19">
      <c r="A1513" s="1">
        <v>44560</v>
      </c>
      <c r="B1513" t="s">
        <v>713</v>
      </c>
      <c r="C1513" t="s">
        <v>727</v>
      </c>
      <c r="D1513">
        <v>19.9439</v>
      </c>
      <c r="E1513">
        <v>22.047</v>
      </c>
      <c r="F1513" s="2" t="s">
        <v>730</v>
      </c>
      <c r="G1513">
        <f ca="1" t="shared" si="69"/>
        <v>1.17649145066141</v>
      </c>
      <c r="H1513" t="str">
        <f ca="1" t="shared" si="70"/>
        <v>Risk-On</v>
      </c>
      <c r="I1513">
        <f ca="1" t="shared" si="71"/>
        <v>1</v>
      </c>
      <c r="J1513">
        <f>_xlfn.XLOOKUP($A1513,[1]Sheet1!$B$9:$B$2584,[1]Sheet1!$C$9:$C$2584,"N/A",0)</f>
        <v>107.41</v>
      </c>
      <c r="K1513">
        <f>_xlfn.XLOOKUP($A1513,[1]Sheet1!$E$9:$E$2584,[1]Sheet1!$F$9:$F$2584,"N/A",0)</f>
        <v>129</v>
      </c>
      <c r="L1513">
        <f>_xlfn.XLOOKUP($A1513,[1]Sheet1!$H$9:$H$2584,[1]Sheet1!$I$9:$I$2584,"N/A",0)</f>
        <v>65.68</v>
      </c>
      <c r="M1513">
        <f>_xlfn.XLOOKUP($A1513,[1]Sheet1!$K$9:$K$2584,[1]Sheet1!$L$9:$L$2584,"N/A",0)</f>
        <v>152.83</v>
      </c>
      <c r="N1513">
        <f>_xlfn.XLOOKUP($A1513,[1]Sheet1!$N$9:$N$2584,[1]Sheet1!$O$9:$O$2584,"N/A",0)</f>
        <v>106.47</v>
      </c>
      <c r="O1513">
        <v>107.41</v>
      </c>
      <c r="P1513">
        <v>129</v>
      </c>
      <c r="Q1513">
        <v>65.68</v>
      </c>
      <c r="R1513">
        <v>106.47</v>
      </c>
      <c r="S1513">
        <v>152.83</v>
      </c>
    </row>
    <row r="1514" spans="1:19">
      <c r="A1514" s="1">
        <v>44561</v>
      </c>
      <c r="B1514" t="s">
        <v>713</v>
      </c>
      <c r="C1514" t="s">
        <v>727</v>
      </c>
      <c r="D1514">
        <v>19.6745</v>
      </c>
      <c r="E1514">
        <v>21.9705</v>
      </c>
      <c r="F1514" s="2" t="s">
        <v>731</v>
      </c>
      <c r="G1514">
        <f ca="1" t="shared" si="69"/>
        <v>1.57071593376016</v>
      </c>
      <c r="H1514" t="str">
        <f ca="1" t="shared" si="70"/>
        <v>Risk-On</v>
      </c>
      <c r="I1514">
        <f ca="1" t="shared" si="71"/>
        <v>1</v>
      </c>
      <c r="J1514">
        <f>_xlfn.XLOOKUP($A1514,[1]Sheet1!$B$9:$B$2584,[1]Sheet1!$C$9:$C$2584,"N/A",0)</f>
        <v>107.4</v>
      </c>
      <c r="K1514">
        <f>_xlfn.XLOOKUP($A1514,[1]Sheet1!$E$9:$E$2584,[1]Sheet1!$F$9:$F$2584,"N/A",0)</f>
        <v>129.96</v>
      </c>
      <c r="L1514">
        <f>_xlfn.XLOOKUP($A1514,[1]Sheet1!$H$9:$H$2584,[1]Sheet1!$I$9:$I$2584,"N/A",0)</f>
        <v>65.81</v>
      </c>
      <c r="M1514">
        <f>_xlfn.XLOOKUP($A1514,[1]Sheet1!$K$9:$K$2584,[1]Sheet1!$L$9:$L$2584,"N/A",0)</f>
        <v>152.75</v>
      </c>
      <c r="N1514">
        <f>_xlfn.XLOOKUP($A1514,[1]Sheet1!$N$9:$N$2584,[1]Sheet1!$O$9:$O$2584,"N/A",0)</f>
        <v>106.57</v>
      </c>
      <c r="O1514">
        <v>107.4</v>
      </c>
      <c r="P1514">
        <v>129.96</v>
      </c>
      <c r="Q1514">
        <v>65.81</v>
      </c>
      <c r="R1514">
        <v>106.57</v>
      </c>
      <c r="S1514">
        <v>152.75</v>
      </c>
    </row>
    <row r="1515" spans="1:19">
      <c r="A1515" s="1">
        <v>44564</v>
      </c>
      <c r="B1515" t="s">
        <v>713</v>
      </c>
      <c r="C1515" t="s">
        <v>727</v>
      </c>
      <c r="D1515">
        <v>18.8578</v>
      </c>
      <c r="E1515">
        <v>21.4095</v>
      </c>
      <c r="F1515" s="2" t="s">
        <v>732</v>
      </c>
      <c r="G1515">
        <f ca="1" t="shared" si="69"/>
        <v>2.21880934889712</v>
      </c>
      <c r="H1515" t="str">
        <f ca="1" t="shared" si="70"/>
        <v>Risk-On</v>
      </c>
      <c r="I1515">
        <f ca="1" t="shared" si="71"/>
        <v>1</v>
      </c>
      <c r="J1515">
        <f>_xlfn.XLOOKUP($A1515,[1]Sheet1!$B$9:$B$2584,[1]Sheet1!$C$9:$C$2584,"N/A",0)</f>
        <v>107.4</v>
      </c>
      <c r="K1515">
        <f>_xlfn.XLOOKUP($A1515,[1]Sheet1!$E$9:$E$2584,[1]Sheet1!$F$9:$F$2584,"N/A",0)</f>
        <v>126.7</v>
      </c>
      <c r="L1515">
        <f>_xlfn.XLOOKUP($A1515,[1]Sheet1!$H$9:$H$2584,[1]Sheet1!$I$9:$I$2584,"N/A",0)</f>
        <v>66.96</v>
      </c>
      <c r="M1515">
        <f>_xlfn.XLOOKUP($A1515,[1]Sheet1!$K$9:$K$2584,[1]Sheet1!$L$9:$L$2584,"N/A",0)</f>
        <v>151.3</v>
      </c>
      <c r="N1515">
        <f>_xlfn.XLOOKUP($A1515,[1]Sheet1!$N$9:$N$2584,[1]Sheet1!$O$9:$O$2584,"N/A",0)</f>
        <v>106.08</v>
      </c>
      <c r="O1515">
        <v>107.4</v>
      </c>
      <c r="P1515">
        <v>126.7</v>
      </c>
      <c r="Q1515">
        <v>66.96</v>
      </c>
      <c r="R1515">
        <v>106.08</v>
      </c>
      <c r="S1515">
        <v>151.3</v>
      </c>
    </row>
    <row r="1516" spans="1:19">
      <c r="A1516" s="1">
        <v>44565</v>
      </c>
      <c r="B1516" t="s">
        <v>713</v>
      </c>
      <c r="C1516" t="s">
        <v>727</v>
      </c>
      <c r="D1516">
        <v>18.8692</v>
      </c>
      <c r="E1516">
        <v>21.3187</v>
      </c>
      <c r="F1516" s="2" t="s">
        <v>733</v>
      </c>
      <c r="G1516">
        <f ca="1" t="shared" si="69"/>
        <v>2.02625492936373</v>
      </c>
      <c r="H1516" t="str">
        <f ca="1" t="shared" si="70"/>
        <v>Risk-On</v>
      </c>
      <c r="I1516">
        <f ca="1" t="shared" si="71"/>
        <v>1</v>
      </c>
      <c r="J1516">
        <f>_xlfn.XLOOKUP($A1516,[1]Sheet1!$B$9:$B$2584,[1]Sheet1!$C$9:$C$2584,"N/A",0)</f>
        <v>106.98</v>
      </c>
      <c r="K1516">
        <f>_xlfn.XLOOKUP($A1516,[1]Sheet1!$E$9:$E$2584,[1]Sheet1!$F$9:$F$2584,"N/A",0)</f>
        <v>127.06</v>
      </c>
      <c r="L1516">
        <f>_xlfn.XLOOKUP($A1516,[1]Sheet1!$H$9:$H$2584,[1]Sheet1!$I$9:$I$2584,"N/A",0)</f>
        <v>68.48</v>
      </c>
      <c r="M1516">
        <f>_xlfn.XLOOKUP($A1516,[1]Sheet1!$K$9:$K$2584,[1]Sheet1!$L$9:$L$2584,"N/A",0)</f>
        <v>150.96</v>
      </c>
      <c r="N1516">
        <f>_xlfn.XLOOKUP($A1516,[1]Sheet1!$N$9:$N$2584,[1]Sheet1!$O$9:$O$2584,"N/A",0)</f>
        <v>107.16</v>
      </c>
      <c r="O1516">
        <v>106.98</v>
      </c>
      <c r="P1516">
        <v>127.06</v>
      </c>
      <c r="Q1516">
        <v>68.48</v>
      </c>
      <c r="R1516">
        <v>107.16</v>
      </c>
      <c r="S1516">
        <v>150.96</v>
      </c>
    </row>
    <row r="1517" spans="1:19">
      <c r="A1517" s="1">
        <v>44566</v>
      </c>
      <c r="B1517" t="s">
        <v>713</v>
      </c>
      <c r="C1517" t="s">
        <v>727</v>
      </c>
      <c r="D1517">
        <v>20.7745</v>
      </c>
      <c r="E1517">
        <v>22.6171</v>
      </c>
      <c r="F1517">
        <v>0.0886952754578931</v>
      </c>
      <c r="G1517">
        <f ca="1" t="shared" si="69"/>
        <v>0.577316511979814</v>
      </c>
      <c r="H1517" t="str">
        <f ca="1" t="shared" si="70"/>
        <v>Risk-On</v>
      </c>
      <c r="I1517">
        <f ca="1" t="shared" si="71"/>
        <v>1</v>
      </c>
      <c r="J1517">
        <f>_xlfn.XLOOKUP($A1517,[1]Sheet1!$B$9:$B$2584,[1]Sheet1!$C$9:$C$2584,"N/A",0)</f>
        <v>106.62</v>
      </c>
      <c r="K1517">
        <f>_xlfn.XLOOKUP($A1517,[1]Sheet1!$E$9:$E$2584,[1]Sheet1!$F$9:$F$2584,"N/A",0)</f>
        <v>126.55</v>
      </c>
      <c r="L1517">
        <f>_xlfn.XLOOKUP($A1517,[1]Sheet1!$H$9:$H$2584,[1]Sheet1!$I$9:$I$2584,"N/A",0)</f>
        <v>69.78</v>
      </c>
      <c r="M1517">
        <f>_xlfn.XLOOKUP($A1517,[1]Sheet1!$K$9:$K$2584,[1]Sheet1!$L$9:$L$2584,"N/A",0)</f>
        <v>150.91</v>
      </c>
      <c r="N1517">
        <f>_xlfn.XLOOKUP($A1517,[1]Sheet1!$N$9:$N$2584,[1]Sheet1!$O$9:$O$2584,"N/A",0)</f>
        <v>108.29</v>
      </c>
      <c r="O1517">
        <v>106.62</v>
      </c>
      <c r="P1517">
        <v>126.55</v>
      </c>
      <c r="Q1517">
        <v>69.78</v>
      </c>
      <c r="R1517">
        <v>108.29</v>
      </c>
      <c r="S1517">
        <v>150.91</v>
      </c>
    </row>
    <row r="1518" spans="1:19">
      <c r="A1518" s="1">
        <v>44567</v>
      </c>
      <c r="B1518" t="s">
        <v>713</v>
      </c>
      <c r="C1518" t="s">
        <v>727</v>
      </c>
      <c r="D1518">
        <v>20.8496</v>
      </c>
      <c r="E1518">
        <v>22.8491</v>
      </c>
      <c r="F1518">
        <v>0.0959011204051877</v>
      </c>
      <c r="G1518">
        <f ca="1" t="shared" si="69"/>
        <v>0.818379336435275</v>
      </c>
      <c r="H1518" t="str">
        <f ca="1" t="shared" si="70"/>
        <v>Risk-On</v>
      </c>
      <c r="I1518">
        <f ca="1" t="shared" si="71"/>
        <v>1</v>
      </c>
      <c r="J1518">
        <f>_xlfn.XLOOKUP($A1518,[1]Sheet1!$B$9:$B$2584,[1]Sheet1!$C$9:$C$2584,"N/A",0)</f>
        <v>106.83</v>
      </c>
      <c r="K1518">
        <f>_xlfn.XLOOKUP($A1518,[1]Sheet1!$E$9:$E$2584,[1]Sheet1!$F$9:$F$2584,"N/A",0)</f>
        <v>127</v>
      </c>
      <c r="L1518">
        <f>_xlfn.XLOOKUP($A1518,[1]Sheet1!$H$9:$H$2584,[1]Sheet1!$I$9:$I$2584,"N/A",0)</f>
        <v>70.08</v>
      </c>
      <c r="M1518">
        <f>_xlfn.XLOOKUP($A1518,[1]Sheet1!$K$9:$K$2584,[1]Sheet1!$L$9:$L$2584,"N/A",0)</f>
        <v>150.93</v>
      </c>
      <c r="N1518">
        <f>_xlfn.XLOOKUP($A1518,[1]Sheet1!$N$9:$N$2584,[1]Sheet1!$O$9:$O$2584,"N/A",0)</f>
        <v>107.87</v>
      </c>
      <c r="O1518">
        <v>106.83</v>
      </c>
      <c r="P1518">
        <v>127</v>
      </c>
      <c r="Q1518">
        <v>70.08</v>
      </c>
      <c r="R1518">
        <v>107.87</v>
      </c>
      <c r="S1518">
        <v>150.93</v>
      </c>
    </row>
    <row r="1519" spans="1:19">
      <c r="A1519" s="1">
        <v>44568</v>
      </c>
      <c r="B1519" t="s">
        <v>713</v>
      </c>
      <c r="C1519" t="s">
        <v>727</v>
      </c>
      <c r="D1519">
        <v>20.398</v>
      </c>
      <c r="E1519">
        <v>22.0204</v>
      </c>
      <c r="F1519">
        <v>0.079537209530346</v>
      </c>
      <c r="G1519">
        <f ca="1" t="shared" si="69"/>
        <v>0.236777952995907</v>
      </c>
      <c r="H1519" t="str">
        <f ca="1" t="shared" si="70"/>
        <v>Risk-On</v>
      </c>
      <c r="I1519">
        <f ca="1" t="shared" si="71"/>
        <v>1</v>
      </c>
      <c r="J1519">
        <f>_xlfn.XLOOKUP($A1519,[1]Sheet1!$B$9:$B$2584,[1]Sheet1!$C$9:$C$2584,"N/A",0)</f>
        <v>106.87</v>
      </c>
      <c r="K1519">
        <f>_xlfn.XLOOKUP($A1519,[1]Sheet1!$E$9:$E$2584,[1]Sheet1!$F$9:$F$2584,"N/A",0)</f>
        <v>125.64</v>
      </c>
      <c r="L1519">
        <f>_xlfn.XLOOKUP($A1519,[1]Sheet1!$H$9:$H$2584,[1]Sheet1!$I$9:$I$2584,"N/A",0)</f>
        <v>70.74</v>
      </c>
      <c r="M1519">
        <f>_xlfn.XLOOKUP($A1519,[1]Sheet1!$K$9:$K$2584,[1]Sheet1!$L$9:$L$2584,"N/A",0)</f>
        <v>148.45</v>
      </c>
      <c r="N1519">
        <f>_xlfn.XLOOKUP($A1519,[1]Sheet1!$N$9:$N$2584,[1]Sheet1!$O$9:$O$2584,"N/A",0)</f>
        <v>108.35</v>
      </c>
      <c r="O1519">
        <v>106.87</v>
      </c>
      <c r="P1519">
        <v>125.64</v>
      </c>
      <c r="Q1519">
        <v>70.74</v>
      </c>
      <c r="R1519">
        <v>108.35</v>
      </c>
      <c r="S1519">
        <v>148.45</v>
      </c>
    </row>
    <row r="1520" spans="1:19">
      <c r="A1520" s="1">
        <v>44571</v>
      </c>
      <c r="B1520" t="s">
        <v>713</v>
      </c>
      <c r="C1520" t="s">
        <v>727</v>
      </c>
      <c r="D1520">
        <v>19.9034</v>
      </c>
      <c r="E1520">
        <v>21.7049</v>
      </c>
      <c r="F1520">
        <v>0.0905121737994512</v>
      </c>
      <c r="G1520">
        <f ca="1" t="shared" si="69"/>
        <v>0.625085456711573</v>
      </c>
      <c r="H1520" t="str">
        <f ca="1" t="shared" si="70"/>
        <v>Risk-On</v>
      </c>
      <c r="I1520">
        <f ca="1" t="shared" si="71"/>
        <v>1</v>
      </c>
      <c r="J1520">
        <f>_xlfn.XLOOKUP($A1520,[1]Sheet1!$B$9:$B$2584,[1]Sheet1!$C$9:$C$2584,"N/A",0)</f>
        <v>107.27</v>
      </c>
      <c r="K1520">
        <f>_xlfn.XLOOKUP($A1520,[1]Sheet1!$E$9:$E$2584,[1]Sheet1!$F$9:$F$2584,"N/A",0)</f>
        <v>125.5</v>
      </c>
      <c r="L1520">
        <f>_xlfn.XLOOKUP($A1520,[1]Sheet1!$H$9:$H$2584,[1]Sheet1!$I$9:$I$2584,"N/A",0)</f>
        <v>71.05</v>
      </c>
      <c r="M1520">
        <f>_xlfn.XLOOKUP($A1520,[1]Sheet1!$K$9:$K$2584,[1]Sheet1!$L$9:$L$2584,"N/A",0)</f>
        <v>147.98</v>
      </c>
      <c r="N1520">
        <f>_xlfn.XLOOKUP($A1520,[1]Sheet1!$N$9:$N$2584,[1]Sheet1!$O$9:$O$2584,"N/A",0)</f>
        <v>108</v>
      </c>
      <c r="O1520">
        <v>107.27</v>
      </c>
      <c r="P1520">
        <v>125.5</v>
      </c>
      <c r="Q1520">
        <v>71.05</v>
      </c>
      <c r="R1520">
        <v>108</v>
      </c>
      <c r="S1520">
        <v>147.98</v>
      </c>
    </row>
    <row r="1521" spans="1:19">
      <c r="A1521" s="1">
        <v>44572</v>
      </c>
      <c r="B1521" t="s">
        <v>713</v>
      </c>
      <c r="C1521" t="s">
        <v>727</v>
      </c>
      <c r="D1521">
        <v>18.954</v>
      </c>
      <c r="E1521">
        <v>20.9933</v>
      </c>
      <c r="F1521" s="2" t="s">
        <v>734</v>
      </c>
      <c r="G1521">
        <f ca="1" t="shared" si="69"/>
        <v>1.21527213895522</v>
      </c>
      <c r="H1521" t="str">
        <f ca="1" t="shared" si="70"/>
        <v>Risk-On</v>
      </c>
      <c r="I1521">
        <f ca="1" t="shared" si="71"/>
        <v>1</v>
      </c>
      <c r="J1521">
        <f>_xlfn.XLOOKUP($A1521,[1]Sheet1!$B$9:$B$2584,[1]Sheet1!$C$9:$C$2584,"N/A",0)</f>
        <v>107.52</v>
      </c>
      <c r="K1521">
        <f>_xlfn.XLOOKUP($A1521,[1]Sheet1!$E$9:$E$2584,[1]Sheet1!$F$9:$F$2584,"N/A",0)</f>
        <v>124.51</v>
      </c>
      <c r="L1521">
        <f>_xlfn.XLOOKUP($A1521,[1]Sheet1!$H$9:$H$2584,[1]Sheet1!$I$9:$I$2584,"N/A",0)</f>
        <v>71.04</v>
      </c>
      <c r="M1521">
        <f>_xlfn.XLOOKUP($A1521,[1]Sheet1!$K$9:$K$2584,[1]Sheet1!$L$9:$L$2584,"N/A",0)</f>
        <v>147.55</v>
      </c>
      <c r="N1521">
        <f>_xlfn.XLOOKUP($A1521,[1]Sheet1!$N$9:$N$2584,[1]Sheet1!$O$9:$O$2584,"N/A",0)</f>
        <v>108.56</v>
      </c>
      <c r="O1521">
        <v>107.52</v>
      </c>
      <c r="P1521">
        <v>124.51</v>
      </c>
      <c r="Q1521">
        <v>71.04</v>
      </c>
      <c r="R1521">
        <v>108.56</v>
      </c>
      <c r="S1521">
        <v>147.55</v>
      </c>
    </row>
    <row r="1522" spans="1:19">
      <c r="A1522" s="1">
        <v>44573</v>
      </c>
      <c r="B1522" t="s">
        <v>713</v>
      </c>
      <c r="C1522" t="s">
        <v>727</v>
      </c>
      <c r="D1522">
        <v>18.5814</v>
      </c>
      <c r="E1522">
        <v>20.9713</v>
      </c>
      <c r="F1522" s="2" t="s">
        <v>735</v>
      </c>
      <c r="G1522">
        <f ca="1" t="shared" si="69"/>
        <v>1.95089657172342</v>
      </c>
      <c r="H1522" t="str">
        <f ca="1" t="shared" si="70"/>
        <v>Risk-On</v>
      </c>
      <c r="I1522">
        <f ca="1" t="shared" si="71"/>
        <v>1</v>
      </c>
      <c r="J1522">
        <f>_xlfn.XLOOKUP($A1522,[1]Sheet1!$B$9:$B$2584,[1]Sheet1!$C$9:$C$2584,"N/A",0)</f>
        <v>107.55</v>
      </c>
      <c r="K1522">
        <f>_xlfn.XLOOKUP($A1522,[1]Sheet1!$E$9:$E$2584,[1]Sheet1!$F$9:$F$2584,"N/A",0)</f>
        <v>125.77</v>
      </c>
      <c r="L1522">
        <f>_xlfn.XLOOKUP($A1522,[1]Sheet1!$H$9:$H$2584,[1]Sheet1!$I$9:$I$2584,"N/A",0)</f>
        <v>71.19</v>
      </c>
      <c r="M1522">
        <f>_xlfn.XLOOKUP($A1522,[1]Sheet1!$K$9:$K$2584,[1]Sheet1!$L$9:$L$2584,"N/A",0)</f>
        <v>147.62</v>
      </c>
      <c r="N1522">
        <f>_xlfn.XLOOKUP($A1522,[1]Sheet1!$N$9:$N$2584,[1]Sheet1!$O$9:$O$2584,"N/A",0)</f>
        <v>109.59</v>
      </c>
      <c r="O1522">
        <v>107.55</v>
      </c>
      <c r="P1522">
        <v>125.77</v>
      </c>
      <c r="Q1522">
        <v>71.19</v>
      </c>
      <c r="R1522">
        <v>109.59</v>
      </c>
      <c r="S1522">
        <v>147.62</v>
      </c>
    </row>
    <row r="1523" spans="1:19">
      <c r="A1523" s="1">
        <v>44574</v>
      </c>
      <c r="B1523" t="s">
        <v>713</v>
      </c>
      <c r="C1523" t="s">
        <v>727</v>
      </c>
      <c r="D1523">
        <v>20.4167</v>
      </c>
      <c r="E1523">
        <v>22.0944</v>
      </c>
      <c r="F1523">
        <v>0.0821729270646089</v>
      </c>
      <c r="G1523">
        <f ca="1" t="shared" si="69"/>
        <v>0.330096671249274</v>
      </c>
      <c r="H1523" t="str">
        <f ca="1" t="shared" si="70"/>
        <v>Risk-On</v>
      </c>
      <c r="I1523">
        <f ca="1" t="shared" si="71"/>
        <v>1</v>
      </c>
      <c r="J1523">
        <f>_xlfn.XLOOKUP($A1523,[1]Sheet1!$B$9:$B$2584,[1]Sheet1!$C$9:$C$2584,"N/A",0)</f>
        <v>107.62</v>
      </c>
      <c r="K1523">
        <f>_xlfn.XLOOKUP($A1523,[1]Sheet1!$E$9:$E$2584,[1]Sheet1!$F$9:$F$2584,"N/A",0)</f>
        <v>124.48</v>
      </c>
      <c r="L1523">
        <f>_xlfn.XLOOKUP($A1523,[1]Sheet1!$H$9:$H$2584,[1]Sheet1!$I$9:$I$2584,"N/A",0)</f>
        <v>72.37</v>
      </c>
      <c r="M1523">
        <f>_xlfn.XLOOKUP($A1523,[1]Sheet1!$K$9:$K$2584,[1]Sheet1!$L$9:$L$2584,"N/A",0)</f>
        <v>147.07</v>
      </c>
      <c r="N1523">
        <f>_xlfn.XLOOKUP($A1523,[1]Sheet1!$N$9:$N$2584,[1]Sheet1!$O$9:$O$2584,"N/A",0)</f>
        <v>109.23</v>
      </c>
      <c r="O1523">
        <v>107.62</v>
      </c>
      <c r="P1523">
        <v>124.48</v>
      </c>
      <c r="Q1523">
        <v>72.37</v>
      </c>
      <c r="R1523">
        <v>109.23</v>
      </c>
      <c r="S1523">
        <v>147.07</v>
      </c>
    </row>
    <row r="1524" spans="1:19">
      <c r="A1524" s="1">
        <v>44575</v>
      </c>
      <c r="B1524" t="s">
        <v>713</v>
      </c>
      <c r="C1524" t="s">
        <v>727</v>
      </c>
      <c r="D1524">
        <v>19.667</v>
      </c>
      <c r="E1524">
        <v>21.7462</v>
      </c>
      <c r="F1524" s="2" t="s">
        <v>736</v>
      </c>
      <c r="G1524">
        <f ca="1" t="shared" si="69"/>
        <v>1.15712952420653</v>
      </c>
      <c r="H1524" t="str">
        <f ca="1" t="shared" si="70"/>
        <v>Risk-On</v>
      </c>
      <c r="I1524">
        <f ca="1" t="shared" si="71"/>
        <v>1</v>
      </c>
      <c r="J1524">
        <f>_xlfn.XLOOKUP($A1524,[1]Sheet1!$B$9:$B$2584,[1]Sheet1!$C$9:$C$2584,"N/A",0)</f>
        <v>108.05</v>
      </c>
      <c r="K1524">
        <f>_xlfn.XLOOKUP($A1524,[1]Sheet1!$E$9:$E$2584,[1]Sheet1!$F$9:$F$2584,"N/A",0)</f>
        <v>123.8</v>
      </c>
      <c r="L1524">
        <f>_xlfn.XLOOKUP($A1524,[1]Sheet1!$H$9:$H$2584,[1]Sheet1!$I$9:$I$2584,"N/A",0)</f>
        <v>73.08</v>
      </c>
      <c r="M1524">
        <f>_xlfn.XLOOKUP($A1524,[1]Sheet1!$K$9:$K$2584,[1]Sheet1!$L$9:$L$2584,"N/A",0)</f>
        <v>147.46</v>
      </c>
      <c r="N1524">
        <f>_xlfn.XLOOKUP($A1524,[1]Sheet1!$N$9:$N$2584,[1]Sheet1!$O$9:$O$2584,"N/A",0)</f>
        <v>109.48</v>
      </c>
      <c r="O1524">
        <v>108.05</v>
      </c>
      <c r="P1524">
        <v>123.8</v>
      </c>
      <c r="Q1524">
        <v>73.08</v>
      </c>
      <c r="R1524">
        <v>109.48</v>
      </c>
      <c r="S1524">
        <v>147.46</v>
      </c>
    </row>
    <row r="1525" spans="1:19">
      <c r="A1525" s="1">
        <v>44579</v>
      </c>
      <c r="B1525" t="s">
        <v>713</v>
      </c>
      <c r="C1525" t="s">
        <v>727</v>
      </c>
      <c r="D1525">
        <v>22.6197</v>
      </c>
      <c r="E1525">
        <v>23.3922</v>
      </c>
      <c r="F1525">
        <v>0.0341516465735618</v>
      </c>
      <c r="G1525">
        <f ca="1" t="shared" si="69"/>
        <v>-1.33535820514476</v>
      </c>
      <c r="H1525" t="str">
        <f ca="1" t="shared" si="70"/>
        <v>Risk-On</v>
      </c>
      <c r="I1525">
        <f ca="1" t="shared" si="71"/>
        <v>1</v>
      </c>
      <c r="J1525">
        <f>_xlfn.XLOOKUP($A1525,[1]Sheet1!$B$9:$B$2584,[1]Sheet1!$C$9:$C$2584,"N/A",0)</f>
        <v>107.84</v>
      </c>
      <c r="K1525">
        <f>_xlfn.XLOOKUP($A1525,[1]Sheet1!$E$9:$E$2584,[1]Sheet1!$F$9:$F$2584,"N/A",0)</f>
        <v>123.19</v>
      </c>
      <c r="L1525">
        <f>_xlfn.XLOOKUP($A1525,[1]Sheet1!$H$9:$H$2584,[1]Sheet1!$I$9:$I$2584,"N/A",0)</f>
        <v>73.04</v>
      </c>
      <c r="M1525">
        <f>_xlfn.XLOOKUP($A1525,[1]Sheet1!$K$9:$K$2584,[1]Sheet1!$L$9:$L$2584,"N/A",0)</f>
        <v>148</v>
      </c>
      <c r="N1525">
        <f>_xlfn.XLOOKUP($A1525,[1]Sheet1!$N$9:$N$2584,[1]Sheet1!$O$9:$O$2584,"N/A",0)</f>
        <v>110.22</v>
      </c>
      <c r="O1525">
        <v>107.84</v>
      </c>
      <c r="P1525">
        <v>123.19</v>
      </c>
      <c r="Q1525">
        <v>73.04</v>
      </c>
      <c r="R1525">
        <v>110.22</v>
      </c>
      <c r="S1525">
        <v>148</v>
      </c>
    </row>
    <row r="1526" spans="1:19">
      <c r="A1526" s="1">
        <v>44580</v>
      </c>
      <c r="B1526" t="s">
        <v>713</v>
      </c>
      <c r="C1526" t="s">
        <v>727</v>
      </c>
      <c r="D1526">
        <v>22.79</v>
      </c>
      <c r="E1526">
        <v>24.0687</v>
      </c>
      <c r="F1526">
        <v>0.0561079420798596</v>
      </c>
      <c r="G1526">
        <f ca="1" t="shared" si="69"/>
        <v>-0.549472654205532</v>
      </c>
      <c r="H1526" t="str">
        <f ca="1" t="shared" si="70"/>
        <v>Risk-On</v>
      </c>
      <c r="I1526">
        <f ca="1" t="shared" si="71"/>
        <v>1</v>
      </c>
      <c r="J1526">
        <f>_xlfn.XLOOKUP($A1526,[1]Sheet1!$B$9:$B$2584,[1]Sheet1!$C$9:$C$2584,"N/A",0)</f>
        <v>107.32</v>
      </c>
      <c r="K1526">
        <f>_xlfn.XLOOKUP($A1526,[1]Sheet1!$E$9:$E$2584,[1]Sheet1!$F$9:$F$2584,"N/A",0)</f>
        <v>122.34</v>
      </c>
      <c r="L1526">
        <f>_xlfn.XLOOKUP($A1526,[1]Sheet1!$H$9:$H$2584,[1]Sheet1!$I$9:$I$2584,"N/A",0)</f>
        <v>72.43</v>
      </c>
      <c r="M1526">
        <f>_xlfn.XLOOKUP($A1526,[1]Sheet1!$K$9:$K$2584,[1]Sheet1!$L$9:$L$2584,"N/A",0)</f>
        <v>147.79</v>
      </c>
      <c r="N1526">
        <f>_xlfn.XLOOKUP($A1526,[1]Sheet1!$N$9:$N$2584,[1]Sheet1!$O$9:$O$2584,"N/A",0)</f>
        <v>110.38</v>
      </c>
      <c r="O1526">
        <v>107.32</v>
      </c>
      <c r="P1526">
        <v>122.34</v>
      </c>
      <c r="Q1526">
        <v>72.43</v>
      </c>
      <c r="R1526">
        <v>110.38</v>
      </c>
      <c r="S1526">
        <v>147.79</v>
      </c>
    </row>
    <row r="1527" spans="1:19">
      <c r="A1527" s="1">
        <v>44581</v>
      </c>
      <c r="B1527" t="s">
        <v>727</v>
      </c>
      <c r="C1527" t="s">
        <v>737</v>
      </c>
      <c r="D1527">
        <v>24.9658</v>
      </c>
      <c r="E1527">
        <v>25.1061</v>
      </c>
      <c r="F1527">
        <v>0.00561968773281849</v>
      </c>
      <c r="G1527">
        <f ca="1" t="shared" si="69"/>
        <v>-2.29026558259128</v>
      </c>
      <c r="H1527" t="str">
        <f ca="1" t="shared" si="70"/>
        <v>Risk-On</v>
      </c>
      <c r="I1527">
        <f ca="1" t="shared" si="71"/>
        <v>1</v>
      </c>
      <c r="J1527">
        <f>_xlfn.XLOOKUP($A1527,[1]Sheet1!$B$9:$B$2584,[1]Sheet1!$C$9:$C$2584,"N/A",0)</f>
        <v>107.76</v>
      </c>
      <c r="K1527">
        <f>_xlfn.XLOOKUP($A1527,[1]Sheet1!$E$9:$E$2584,[1]Sheet1!$F$9:$F$2584,"N/A",0)</f>
        <v>121.54</v>
      </c>
      <c r="L1527">
        <f>_xlfn.XLOOKUP($A1527,[1]Sheet1!$H$9:$H$2584,[1]Sheet1!$I$9:$I$2584,"N/A",0)</f>
        <v>71.87</v>
      </c>
      <c r="M1527">
        <f>_xlfn.XLOOKUP($A1527,[1]Sheet1!$K$9:$K$2584,[1]Sheet1!$L$9:$L$2584,"N/A",0)</f>
        <v>146.53</v>
      </c>
      <c r="N1527">
        <f>_xlfn.XLOOKUP($A1527,[1]Sheet1!$N$9:$N$2584,[1]Sheet1!$O$9:$O$2584,"N/A",0)</f>
        <v>111.29</v>
      </c>
      <c r="O1527">
        <v>107.76</v>
      </c>
      <c r="P1527">
        <v>121.54</v>
      </c>
      <c r="Q1527">
        <v>71.87</v>
      </c>
      <c r="R1527">
        <v>111.29</v>
      </c>
      <c r="S1527">
        <v>146.53</v>
      </c>
    </row>
    <row r="1528" spans="1:19">
      <c r="A1528" s="1">
        <v>44582</v>
      </c>
      <c r="B1528" t="s">
        <v>727</v>
      </c>
      <c r="C1528" t="s">
        <v>737</v>
      </c>
      <c r="D1528">
        <v>27.3086</v>
      </c>
      <c r="E1528">
        <v>26.8399</v>
      </c>
      <c r="F1528">
        <v>-0.0171630914803394</v>
      </c>
      <c r="G1528">
        <f ca="1" t="shared" si="69"/>
        <v>-2.99128076749675</v>
      </c>
      <c r="H1528" t="str">
        <f ca="1" t="shared" si="70"/>
        <v>Risk-On</v>
      </c>
      <c r="I1528">
        <f ca="1" t="shared" si="71"/>
        <v>1</v>
      </c>
      <c r="J1528">
        <f>_xlfn.XLOOKUP($A1528,[1]Sheet1!$B$9:$B$2584,[1]Sheet1!$C$9:$C$2584,"N/A",0)</f>
        <v>107.44</v>
      </c>
      <c r="K1528">
        <f>_xlfn.XLOOKUP($A1528,[1]Sheet1!$E$9:$E$2584,[1]Sheet1!$F$9:$F$2584,"N/A",0)</f>
        <v>121.65</v>
      </c>
      <c r="L1528">
        <f>_xlfn.XLOOKUP($A1528,[1]Sheet1!$H$9:$H$2584,[1]Sheet1!$I$9:$I$2584,"N/A",0)</f>
        <v>71.58</v>
      </c>
      <c r="M1528">
        <f>_xlfn.XLOOKUP($A1528,[1]Sheet1!$K$9:$K$2584,[1]Sheet1!$L$9:$L$2584,"N/A",0)</f>
        <v>147.24</v>
      </c>
      <c r="N1528">
        <f>_xlfn.XLOOKUP($A1528,[1]Sheet1!$N$9:$N$2584,[1]Sheet1!$O$9:$O$2584,"N/A",0)</f>
        <v>110.98</v>
      </c>
      <c r="O1528">
        <v>107.44</v>
      </c>
      <c r="P1528">
        <v>121.65</v>
      </c>
      <c r="Q1528">
        <v>71.58</v>
      </c>
      <c r="R1528">
        <v>110.98</v>
      </c>
      <c r="S1528">
        <v>147.24</v>
      </c>
    </row>
    <row r="1529" spans="1:19">
      <c r="A1529" s="1">
        <v>44585</v>
      </c>
      <c r="B1529" t="s">
        <v>727</v>
      </c>
      <c r="C1529" t="s">
        <v>737</v>
      </c>
      <c r="D1529">
        <v>28.0683</v>
      </c>
      <c r="E1529">
        <v>27.4498</v>
      </c>
      <c r="F1529">
        <v>-0.0220355347491654</v>
      </c>
      <c r="G1529">
        <f ca="1" t="shared" si="69"/>
        <v>-3.01219569620244</v>
      </c>
      <c r="H1529" t="str">
        <f ca="1" t="shared" si="70"/>
        <v>Risk-On</v>
      </c>
      <c r="I1529">
        <f ca="1" t="shared" si="71"/>
        <v>1</v>
      </c>
      <c r="J1529">
        <f>_xlfn.XLOOKUP($A1529,[1]Sheet1!$B$9:$B$2584,[1]Sheet1!$C$9:$C$2584,"N/A",0)</f>
        <v>107.72</v>
      </c>
      <c r="K1529">
        <f>_xlfn.XLOOKUP($A1529,[1]Sheet1!$E$9:$E$2584,[1]Sheet1!$F$9:$F$2584,"N/A",0)</f>
        <v>121.37</v>
      </c>
      <c r="L1529">
        <f>_xlfn.XLOOKUP($A1529,[1]Sheet1!$H$9:$H$2584,[1]Sheet1!$I$9:$I$2584,"N/A",0)</f>
        <v>71.61</v>
      </c>
      <c r="M1529">
        <f>_xlfn.XLOOKUP($A1529,[1]Sheet1!$K$9:$K$2584,[1]Sheet1!$L$9:$L$2584,"N/A",0)</f>
        <v>148.57</v>
      </c>
      <c r="N1529">
        <f>_xlfn.XLOOKUP($A1529,[1]Sheet1!$N$9:$N$2584,[1]Sheet1!$O$9:$O$2584,"N/A",0)</f>
        <v>109.43</v>
      </c>
      <c r="O1529">
        <v>107.72</v>
      </c>
      <c r="P1529">
        <v>121.37</v>
      </c>
      <c r="Q1529">
        <v>71.61</v>
      </c>
      <c r="R1529">
        <v>109.43</v>
      </c>
      <c r="S1529">
        <v>148.57</v>
      </c>
    </row>
    <row r="1530" spans="1:19">
      <c r="A1530" s="1">
        <v>44586</v>
      </c>
      <c r="B1530" t="s">
        <v>727</v>
      </c>
      <c r="C1530" t="s">
        <v>737</v>
      </c>
      <c r="D1530">
        <v>28.1645</v>
      </c>
      <c r="E1530">
        <v>27.7313</v>
      </c>
      <c r="F1530">
        <v>-0.0153810648156366</v>
      </c>
      <c r="G1530">
        <f ca="1" t="shared" si="69"/>
        <v>-2.66765551124367</v>
      </c>
      <c r="H1530" t="str">
        <f ca="1" t="shared" si="70"/>
        <v>Risk-On</v>
      </c>
      <c r="I1530">
        <f ca="1" t="shared" si="71"/>
        <v>1</v>
      </c>
      <c r="J1530">
        <f>_xlfn.XLOOKUP($A1530,[1]Sheet1!$B$9:$B$2584,[1]Sheet1!$C$9:$C$2584,"N/A",0)</f>
        <v>107.41</v>
      </c>
      <c r="K1530">
        <f>_xlfn.XLOOKUP($A1530,[1]Sheet1!$E$9:$E$2584,[1]Sheet1!$F$9:$F$2584,"N/A",0)</f>
        <v>121.32</v>
      </c>
      <c r="L1530">
        <f>_xlfn.XLOOKUP($A1530,[1]Sheet1!$H$9:$H$2584,[1]Sheet1!$I$9:$I$2584,"N/A",0)</f>
        <v>72.61</v>
      </c>
      <c r="M1530">
        <f>_xlfn.XLOOKUP($A1530,[1]Sheet1!$K$9:$K$2584,[1]Sheet1!$L$9:$L$2584,"N/A",0)</f>
        <v>147.32</v>
      </c>
      <c r="N1530">
        <f>_xlfn.XLOOKUP($A1530,[1]Sheet1!$N$9:$N$2584,[1]Sheet1!$O$9:$O$2584,"N/A",0)</f>
        <v>109.94</v>
      </c>
      <c r="O1530">
        <v>107.41</v>
      </c>
      <c r="P1530">
        <v>121.32</v>
      </c>
      <c r="Q1530">
        <v>72.61</v>
      </c>
      <c r="R1530">
        <v>109.94</v>
      </c>
      <c r="S1530">
        <v>147.32</v>
      </c>
    </row>
    <row r="1531" spans="1:19">
      <c r="A1531" s="1">
        <v>44587</v>
      </c>
      <c r="B1531" t="s">
        <v>727</v>
      </c>
      <c r="C1531" t="s">
        <v>737</v>
      </c>
      <c r="D1531">
        <v>28.633</v>
      </c>
      <c r="E1531">
        <v>28.1099</v>
      </c>
      <c r="F1531">
        <v>-0.0182691300247965</v>
      </c>
      <c r="G1531">
        <f ca="1" t="shared" si="69"/>
        <v>-2.65019991338668</v>
      </c>
      <c r="H1531" t="str">
        <f ca="1" t="shared" si="70"/>
        <v>Risk-On</v>
      </c>
      <c r="I1531">
        <f ca="1" t="shared" si="71"/>
        <v>1</v>
      </c>
      <c r="J1531">
        <f>_xlfn.XLOOKUP($A1531,[1]Sheet1!$B$9:$B$2584,[1]Sheet1!$C$9:$C$2584,"N/A",0)</f>
        <v>106.98</v>
      </c>
      <c r="K1531">
        <f>_xlfn.XLOOKUP($A1531,[1]Sheet1!$E$9:$E$2584,[1]Sheet1!$F$9:$F$2584,"N/A",0)</f>
        <v>122.57</v>
      </c>
      <c r="L1531">
        <f>_xlfn.XLOOKUP($A1531,[1]Sheet1!$H$9:$H$2584,[1]Sheet1!$I$9:$I$2584,"N/A",0)</f>
        <v>73.07</v>
      </c>
      <c r="M1531">
        <f>_xlfn.XLOOKUP($A1531,[1]Sheet1!$K$9:$K$2584,[1]Sheet1!$L$9:$L$2584,"N/A",0)</f>
        <v>147.66</v>
      </c>
      <c r="N1531">
        <f>_xlfn.XLOOKUP($A1531,[1]Sheet1!$N$9:$N$2584,[1]Sheet1!$O$9:$O$2584,"N/A",0)</f>
        <v>110.67</v>
      </c>
      <c r="O1531">
        <v>106.98</v>
      </c>
      <c r="P1531">
        <v>122.57</v>
      </c>
      <c r="Q1531">
        <v>73.07</v>
      </c>
      <c r="R1531">
        <v>110.67</v>
      </c>
      <c r="S1531">
        <v>147.66</v>
      </c>
    </row>
    <row r="1532" spans="1:19">
      <c r="A1532" s="1">
        <v>44588</v>
      </c>
      <c r="B1532" t="s">
        <v>727</v>
      </c>
      <c r="C1532" t="s">
        <v>737</v>
      </c>
      <c r="D1532">
        <v>28.8263</v>
      </c>
      <c r="E1532">
        <v>28.486</v>
      </c>
      <c r="F1532">
        <v>-0.011805191786667</v>
      </c>
      <c r="G1532">
        <f ca="1" t="shared" si="69"/>
        <v>-2.43640772206573</v>
      </c>
      <c r="H1532" t="str">
        <f ca="1" t="shared" si="70"/>
        <v>Risk-On</v>
      </c>
      <c r="I1532">
        <f ca="1" t="shared" si="71"/>
        <v>1</v>
      </c>
      <c r="J1532">
        <f>_xlfn.XLOOKUP($A1532,[1]Sheet1!$B$9:$B$2584,[1]Sheet1!$C$9:$C$2584,"N/A",0)</f>
        <v>107.17</v>
      </c>
      <c r="K1532">
        <f>_xlfn.XLOOKUP($A1532,[1]Sheet1!$E$9:$E$2584,[1]Sheet1!$F$9:$F$2584,"N/A",0)</f>
        <v>123.18</v>
      </c>
      <c r="L1532">
        <f>_xlfn.XLOOKUP($A1532,[1]Sheet1!$H$9:$H$2584,[1]Sheet1!$I$9:$I$2584,"N/A",0)</f>
        <v>73.34</v>
      </c>
      <c r="M1532">
        <f>_xlfn.XLOOKUP($A1532,[1]Sheet1!$K$9:$K$2584,[1]Sheet1!$L$9:$L$2584,"N/A",0)</f>
        <v>149.06</v>
      </c>
      <c r="N1532">
        <f>_xlfn.XLOOKUP($A1532,[1]Sheet1!$N$9:$N$2584,[1]Sheet1!$O$9:$O$2584,"N/A",0)</f>
        <v>111.72</v>
      </c>
      <c r="O1532">
        <v>107.17</v>
      </c>
      <c r="P1532">
        <v>123.18</v>
      </c>
      <c r="Q1532">
        <v>73.34</v>
      </c>
      <c r="R1532">
        <v>111.72</v>
      </c>
      <c r="S1532">
        <v>149.06</v>
      </c>
    </row>
    <row r="1533" spans="1:19">
      <c r="A1533" s="1">
        <v>44589</v>
      </c>
      <c r="B1533" t="s">
        <v>727</v>
      </c>
      <c r="C1533" t="s">
        <v>737</v>
      </c>
      <c r="D1533">
        <v>26.8734</v>
      </c>
      <c r="E1533">
        <v>27.0493</v>
      </c>
      <c r="F1533">
        <v>0.00654550596500623</v>
      </c>
      <c r="G1533">
        <f ca="1" t="shared" si="69"/>
        <v>-1.85119881788612</v>
      </c>
      <c r="H1533" t="str">
        <f ca="1" t="shared" si="70"/>
        <v>Risk-On</v>
      </c>
      <c r="I1533">
        <f ca="1" t="shared" si="71"/>
        <v>1</v>
      </c>
      <c r="J1533">
        <f>_xlfn.XLOOKUP($A1533,[1]Sheet1!$B$9:$B$2584,[1]Sheet1!$C$9:$C$2584,"N/A",0)</f>
        <v>108.03</v>
      </c>
      <c r="K1533">
        <f>_xlfn.XLOOKUP($A1533,[1]Sheet1!$E$9:$E$2584,[1]Sheet1!$F$9:$F$2584,"N/A",0)</f>
        <v>123.59</v>
      </c>
      <c r="L1533">
        <f>_xlfn.XLOOKUP($A1533,[1]Sheet1!$H$9:$H$2584,[1]Sheet1!$I$9:$I$2584,"N/A",0)</f>
        <v>72.97</v>
      </c>
      <c r="M1533">
        <f>_xlfn.XLOOKUP($A1533,[1]Sheet1!$K$9:$K$2584,[1]Sheet1!$L$9:$L$2584,"N/A",0)</f>
        <v>149.12</v>
      </c>
      <c r="N1533">
        <f>_xlfn.XLOOKUP($A1533,[1]Sheet1!$N$9:$N$2584,[1]Sheet1!$O$9:$O$2584,"N/A",0)</f>
        <v>111.88</v>
      </c>
      <c r="O1533">
        <v>108.03</v>
      </c>
      <c r="P1533">
        <v>123.59</v>
      </c>
      <c r="Q1533">
        <v>72.97</v>
      </c>
      <c r="R1533">
        <v>111.88</v>
      </c>
      <c r="S1533">
        <v>149.12</v>
      </c>
    </row>
    <row r="1534" spans="1:19">
      <c r="A1534" s="1">
        <v>44592</v>
      </c>
      <c r="B1534" t="s">
        <v>727</v>
      </c>
      <c r="C1534" t="s">
        <v>737</v>
      </c>
      <c r="D1534">
        <v>24.8523</v>
      </c>
      <c r="E1534">
        <v>25.5448</v>
      </c>
      <c r="F1534" s="2" t="s">
        <v>738</v>
      </c>
      <c r="G1534">
        <f ca="1" t="shared" si="69"/>
        <v>-1.21932672188009</v>
      </c>
      <c r="H1534" t="str">
        <f ca="1" t="shared" si="70"/>
        <v>Risk-On</v>
      </c>
      <c r="I1534">
        <f ca="1" t="shared" si="71"/>
        <v>1</v>
      </c>
      <c r="J1534">
        <f>_xlfn.XLOOKUP($A1534,[1]Sheet1!$B$9:$B$2584,[1]Sheet1!$C$9:$C$2584,"N/A",0)</f>
        <v>107.94</v>
      </c>
      <c r="K1534">
        <f>_xlfn.XLOOKUP($A1534,[1]Sheet1!$E$9:$E$2584,[1]Sheet1!$F$9:$F$2584,"N/A",0)</f>
        <v>121.95</v>
      </c>
      <c r="L1534">
        <f>_xlfn.XLOOKUP($A1534,[1]Sheet1!$H$9:$H$2584,[1]Sheet1!$I$9:$I$2584,"N/A",0)</f>
        <v>71.85</v>
      </c>
      <c r="M1534">
        <f>_xlfn.XLOOKUP($A1534,[1]Sheet1!$K$9:$K$2584,[1]Sheet1!$L$9:$L$2584,"N/A",0)</f>
        <v>147.73</v>
      </c>
      <c r="N1534">
        <f>_xlfn.XLOOKUP($A1534,[1]Sheet1!$N$9:$N$2584,[1]Sheet1!$O$9:$O$2584,"N/A",0)</f>
        <v>110.93</v>
      </c>
      <c r="O1534">
        <v>107.94</v>
      </c>
      <c r="P1534">
        <v>121.95</v>
      </c>
      <c r="Q1534">
        <v>71.85</v>
      </c>
      <c r="R1534">
        <v>110.93</v>
      </c>
      <c r="S1534">
        <v>147.73</v>
      </c>
    </row>
    <row r="1535" spans="1:19">
      <c r="A1535" s="1">
        <v>44593</v>
      </c>
      <c r="B1535" t="s">
        <v>727</v>
      </c>
      <c r="C1535" t="s">
        <v>737</v>
      </c>
      <c r="D1535">
        <v>22.7458</v>
      </c>
      <c r="E1535">
        <v>23.9061</v>
      </c>
      <c r="F1535" s="2" t="s">
        <v>739</v>
      </c>
      <c r="G1535">
        <f ca="1" t="shared" si="69"/>
        <v>-0.52586753930402</v>
      </c>
      <c r="H1535" t="str">
        <f ca="1" t="shared" si="70"/>
        <v>Risk-On</v>
      </c>
      <c r="I1535">
        <f ca="1" t="shared" si="71"/>
        <v>1</v>
      </c>
      <c r="J1535">
        <f>_xlfn.XLOOKUP($A1535,[1]Sheet1!$B$9:$B$2584,[1]Sheet1!$C$9:$C$2584,"N/A",0)</f>
        <v>108.15</v>
      </c>
      <c r="K1535">
        <f>_xlfn.XLOOKUP($A1535,[1]Sheet1!$E$9:$E$2584,[1]Sheet1!$F$9:$F$2584,"N/A",0)</f>
        <v>122.05</v>
      </c>
      <c r="L1535">
        <f>_xlfn.XLOOKUP($A1535,[1]Sheet1!$H$9:$H$2584,[1]Sheet1!$I$9:$I$2584,"N/A",0)</f>
        <v>72.02</v>
      </c>
      <c r="M1535">
        <f>_xlfn.XLOOKUP($A1535,[1]Sheet1!$K$9:$K$2584,[1]Sheet1!$L$9:$L$2584,"N/A",0)</f>
        <v>146.86</v>
      </c>
      <c r="N1535">
        <f>_xlfn.XLOOKUP($A1535,[1]Sheet1!$N$9:$N$2584,[1]Sheet1!$O$9:$O$2584,"N/A",0)</f>
        <v>111.17</v>
      </c>
      <c r="O1535">
        <v>108.15</v>
      </c>
      <c r="P1535">
        <v>122.05</v>
      </c>
      <c r="Q1535">
        <v>72.02</v>
      </c>
      <c r="R1535">
        <v>111.17</v>
      </c>
      <c r="S1535">
        <v>146.86</v>
      </c>
    </row>
    <row r="1536" spans="1:19">
      <c r="A1536" s="1">
        <v>44594</v>
      </c>
      <c r="B1536" t="s">
        <v>727</v>
      </c>
      <c r="C1536" t="s">
        <v>737</v>
      </c>
      <c r="D1536">
        <v>22.0259</v>
      </c>
      <c r="E1536">
        <v>23.6318</v>
      </c>
      <c r="F1536">
        <v>0.0729096200382276</v>
      </c>
      <c r="G1536">
        <f ca="1" t="shared" si="69"/>
        <v>0.122746206420026</v>
      </c>
      <c r="H1536" t="str">
        <f ca="1" t="shared" si="70"/>
        <v>Risk-On</v>
      </c>
      <c r="I1536">
        <f ca="1" t="shared" si="71"/>
        <v>1</v>
      </c>
      <c r="J1536">
        <f>_xlfn.XLOOKUP($A1536,[1]Sheet1!$B$9:$B$2584,[1]Sheet1!$C$9:$C$2584,"N/A",0)</f>
        <v>107.94</v>
      </c>
      <c r="K1536">
        <f>_xlfn.XLOOKUP($A1536,[1]Sheet1!$E$9:$E$2584,[1]Sheet1!$F$9:$F$2584,"N/A",0)</f>
        <v>125.8</v>
      </c>
      <c r="L1536">
        <f>_xlfn.XLOOKUP($A1536,[1]Sheet1!$H$9:$H$2584,[1]Sheet1!$I$9:$I$2584,"N/A",0)</f>
        <v>72.55</v>
      </c>
      <c r="M1536">
        <f>_xlfn.XLOOKUP($A1536,[1]Sheet1!$K$9:$K$2584,[1]Sheet1!$L$9:$L$2584,"N/A",0)</f>
        <v>148.36</v>
      </c>
      <c r="N1536">
        <f>_xlfn.XLOOKUP($A1536,[1]Sheet1!$N$9:$N$2584,[1]Sheet1!$O$9:$O$2584,"N/A",0)</f>
        <v>112.48</v>
      </c>
      <c r="O1536">
        <v>107.94</v>
      </c>
      <c r="P1536">
        <v>125.8</v>
      </c>
      <c r="Q1536">
        <v>72.55</v>
      </c>
      <c r="R1536">
        <v>112.48</v>
      </c>
      <c r="S1536">
        <v>148.36</v>
      </c>
    </row>
    <row r="1537" spans="1:19">
      <c r="A1537" s="1">
        <v>44595</v>
      </c>
      <c r="B1537" t="s">
        <v>727</v>
      </c>
      <c r="C1537" t="s">
        <v>737</v>
      </c>
      <c r="D1537">
        <v>25.7306</v>
      </c>
      <c r="E1537">
        <v>26.0671</v>
      </c>
      <c r="F1537" s="2" t="s">
        <v>740</v>
      </c>
      <c r="G1537">
        <f ca="1" t="shared" si="69"/>
        <v>-1.66683754810813</v>
      </c>
      <c r="H1537" t="str">
        <f ca="1" t="shared" si="70"/>
        <v>Risk-On</v>
      </c>
      <c r="I1537">
        <f ca="1" t="shared" si="71"/>
        <v>1</v>
      </c>
      <c r="J1537">
        <f>_xlfn.XLOOKUP($A1537,[1]Sheet1!$B$9:$B$2584,[1]Sheet1!$C$9:$C$2584,"N/A",0)</f>
        <v>107.96</v>
      </c>
      <c r="K1537">
        <f>_xlfn.XLOOKUP($A1537,[1]Sheet1!$E$9:$E$2584,[1]Sheet1!$F$9:$F$2584,"N/A",0)</f>
        <v>126.66</v>
      </c>
      <c r="L1537">
        <f>_xlfn.XLOOKUP($A1537,[1]Sheet1!$H$9:$H$2584,[1]Sheet1!$I$9:$I$2584,"N/A",0)</f>
        <v>72.85</v>
      </c>
      <c r="M1537">
        <f>_xlfn.XLOOKUP($A1537,[1]Sheet1!$K$9:$K$2584,[1]Sheet1!$L$9:$L$2584,"N/A",0)</f>
        <v>147.83</v>
      </c>
      <c r="N1537">
        <f>_xlfn.XLOOKUP($A1537,[1]Sheet1!$N$9:$N$2584,[1]Sheet1!$O$9:$O$2584,"N/A",0)</f>
        <v>112.5</v>
      </c>
      <c r="O1537">
        <v>107.96</v>
      </c>
      <c r="P1537">
        <v>126.66</v>
      </c>
      <c r="Q1537">
        <v>72.85</v>
      </c>
      <c r="R1537">
        <v>112.5</v>
      </c>
      <c r="S1537">
        <v>147.83</v>
      </c>
    </row>
    <row r="1538" spans="1:19">
      <c r="A1538" s="1">
        <v>44596</v>
      </c>
      <c r="B1538" t="s">
        <v>727</v>
      </c>
      <c r="C1538" t="s">
        <v>737</v>
      </c>
      <c r="D1538">
        <v>24.2613</v>
      </c>
      <c r="E1538">
        <v>25.1484</v>
      </c>
      <c r="F1538">
        <v>0.0365644050401256</v>
      </c>
      <c r="G1538">
        <f ca="1" t="shared" si="69"/>
        <v>-0.964379727764833</v>
      </c>
      <c r="H1538" t="str">
        <f ca="1" t="shared" si="70"/>
        <v>Risk-On</v>
      </c>
      <c r="I1538">
        <f ca="1" t="shared" si="71"/>
        <v>1</v>
      </c>
      <c r="J1538">
        <f>_xlfn.XLOOKUP($A1538,[1]Sheet1!$B$9:$B$2584,[1]Sheet1!$C$9:$C$2584,"N/A",0)</f>
        <v>108.41</v>
      </c>
      <c r="K1538">
        <f>_xlfn.XLOOKUP($A1538,[1]Sheet1!$E$9:$E$2584,[1]Sheet1!$F$9:$F$2584,"N/A",0)</f>
        <v>125.63</v>
      </c>
      <c r="L1538">
        <f>_xlfn.XLOOKUP($A1538,[1]Sheet1!$H$9:$H$2584,[1]Sheet1!$I$9:$I$2584,"N/A",0)</f>
        <v>72.22</v>
      </c>
      <c r="M1538">
        <f>_xlfn.XLOOKUP($A1538,[1]Sheet1!$K$9:$K$2584,[1]Sheet1!$L$9:$L$2584,"N/A",0)</f>
        <v>146.48</v>
      </c>
      <c r="N1538">
        <f>_xlfn.XLOOKUP($A1538,[1]Sheet1!$N$9:$N$2584,[1]Sheet1!$O$9:$O$2584,"N/A",0)</f>
        <v>111.93</v>
      </c>
      <c r="O1538">
        <v>108.41</v>
      </c>
      <c r="P1538">
        <v>125.63</v>
      </c>
      <c r="Q1538">
        <v>72.22</v>
      </c>
      <c r="R1538">
        <v>111.93</v>
      </c>
      <c r="S1538">
        <v>146.48</v>
      </c>
    </row>
    <row r="1539" spans="1:19">
      <c r="A1539" s="1">
        <v>44599</v>
      </c>
      <c r="B1539" t="s">
        <v>727</v>
      </c>
      <c r="C1539" t="s">
        <v>737</v>
      </c>
      <c r="D1539">
        <v>23.6521</v>
      </c>
      <c r="E1539">
        <v>24.5363</v>
      </c>
      <c r="F1539" s="2" t="s">
        <v>741</v>
      </c>
      <c r="G1539">
        <f ca="1" t="shared" ref="G1539:G1602" si="72">IF(ROW()-ROW($A$3)+1&gt;252,(F1539-AVERAGE(OFFSET(F1539,-252,0,252,1)))/_xlfn.STDEV.S(OFFSET(F1539,-252,0,252,1)),"N/A")</f>
        <v>-0.931523038098986</v>
      </c>
      <c r="H1539" t="str">
        <f ca="1" t="shared" ref="H1539:H1602" si="73">IF(G1539&lt;&gt;"N/A",IF(G1789&gt;-0.5,"Risk-On","Risk-Off"),"N/A")</f>
        <v>Risk-On</v>
      </c>
      <c r="I1539">
        <f ca="1" t="shared" si="71"/>
        <v>1</v>
      </c>
      <c r="J1539">
        <f>_xlfn.XLOOKUP($A1539,[1]Sheet1!$B$9:$B$2584,[1]Sheet1!$C$9:$C$2584,"N/A",0)</f>
        <v>108.09</v>
      </c>
      <c r="K1539">
        <f>_xlfn.XLOOKUP($A1539,[1]Sheet1!$E$9:$E$2584,[1]Sheet1!$F$9:$F$2584,"N/A",0)</f>
        <v>125.11</v>
      </c>
      <c r="L1539">
        <f>_xlfn.XLOOKUP($A1539,[1]Sheet1!$H$9:$H$2584,[1]Sheet1!$I$9:$I$2584,"N/A",0)</f>
        <v>72.21</v>
      </c>
      <c r="M1539">
        <f>_xlfn.XLOOKUP($A1539,[1]Sheet1!$K$9:$K$2584,[1]Sheet1!$L$9:$L$2584,"N/A",0)</f>
        <v>145.29</v>
      </c>
      <c r="N1539">
        <f>_xlfn.XLOOKUP($A1539,[1]Sheet1!$N$9:$N$2584,[1]Sheet1!$O$9:$O$2584,"N/A",0)</f>
        <v>111.58</v>
      </c>
      <c r="O1539">
        <v>108.09</v>
      </c>
      <c r="P1539">
        <v>125.11</v>
      </c>
      <c r="Q1539">
        <v>72.21</v>
      </c>
      <c r="R1539">
        <v>111.58</v>
      </c>
      <c r="S1539">
        <v>145.29</v>
      </c>
    </row>
    <row r="1540" spans="1:19">
      <c r="A1540" s="1">
        <v>44600</v>
      </c>
      <c r="B1540" t="s">
        <v>727</v>
      </c>
      <c r="C1540" t="s">
        <v>737</v>
      </c>
      <c r="D1540">
        <v>22.3116</v>
      </c>
      <c r="E1540">
        <v>23.4098</v>
      </c>
      <c r="F1540">
        <v>0.0492210330052529</v>
      </c>
      <c r="G1540">
        <f ca="1" t="shared" si="72"/>
        <v>-0.577351608232828</v>
      </c>
      <c r="H1540" t="str">
        <f ca="1" t="shared" si="73"/>
        <v>Risk-On</v>
      </c>
      <c r="I1540">
        <f ca="1" t="shared" ref="I1540:I1603" si="74">IF(H1540&lt;&gt;"N/A",IF(H1790&gt;-0.5,1,0),0)</f>
        <v>1</v>
      </c>
      <c r="J1540">
        <f>_xlfn.XLOOKUP($A1540,[1]Sheet1!$B$9:$B$2584,[1]Sheet1!$C$9:$C$2584,"N/A",0)</f>
        <v>107.1</v>
      </c>
      <c r="K1540">
        <f>_xlfn.XLOOKUP($A1540,[1]Sheet1!$E$9:$E$2584,[1]Sheet1!$F$9:$F$2584,"N/A",0)</f>
        <v>124.99</v>
      </c>
      <c r="L1540">
        <f>_xlfn.XLOOKUP($A1540,[1]Sheet1!$H$9:$H$2584,[1]Sheet1!$I$9:$I$2584,"N/A",0)</f>
        <v>71.93</v>
      </c>
      <c r="M1540">
        <f>_xlfn.XLOOKUP($A1540,[1]Sheet1!$K$9:$K$2584,[1]Sheet1!$L$9:$L$2584,"N/A",0)</f>
        <v>145.21</v>
      </c>
      <c r="N1540">
        <f>_xlfn.XLOOKUP($A1540,[1]Sheet1!$N$9:$N$2584,[1]Sheet1!$O$9:$O$2584,"N/A",0)</f>
        <v>110.34</v>
      </c>
      <c r="O1540">
        <v>107.1</v>
      </c>
      <c r="P1540">
        <v>124.99</v>
      </c>
      <c r="Q1540">
        <v>71.93</v>
      </c>
      <c r="R1540">
        <v>110.34</v>
      </c>
      <c r="S1540">
        <v>145.21</v>
      </c>
    </row>
    <row r="1541" spans="1:19">
      <c r="A1541" s="1">
        <v>44601</v>
      </c>
      <c r="B1541" t="s">
        <v>727</v>
      </c>
      <c r="C1541" t="s">
        <v>737</v>
      </c>
      <c r="D1541">
        <v>21.1561</v>
      </c>
      <c r="E1541">
        <v>22.6687</v>
      </c>
      <c r="F1541">
        <v>0.0714971095806884</v>
      </c>
      <c r="G1541">
        <f ca="1" t="shared" si="72"/>
        <v>0.0945791196894999</v>
      </c>
      <c r="H1541" t="str">
        <f ca="1" t="shared" si="73"/>
        <v>Risk-On</v>
      </c>
      <c r="I1541">
        <f ca="1" t="shared" si="74"/>
        <v>1</v>
      </c>
      <c r="J1541">
        <f>_xlfn.XLOOKUP($A1541,[1]Sheet1!$B$9:$B$2584,[1]Sheet1!$C$9:$C$2584,"N/A",0)</f>
        <v>107.29</v>
      </c>
      <c r="K1541">
        <f>_xlfn.XLOOKUP($A1541,[1]Sheet1!$E$9:$E$2584,[1]Sheet1!$F$9:$F$2584,"N/A",0)</f>
        <v>124.62</v>
      </c>
      <c r="L1541">
        <f>_xlfn.XLOOKUP($A1541,[1]Sheet1!$H$9:$H$2584,[1]Sheet1!$I$9:$I$2584,"N/A",0)</f>
        <v>71.64</v>
      </c>
      <c r="M1541">
        <f>_xlfn.XLOOKUP($A1541,[1]Sheet1!$K$9:$K$2584,[1]Sheet1!$L$9:$L$2584,"N/A",0)</f>
        <v>144.52</v>
      </c>
      <c r="N1541">
        <f>_xlfn.XLOOKUP($A1541,[1]Sheet1!$N$9:$N$2584,[1]Sheet1!$O$9:$O$2584,"N/A",0)</f>
        <v>110.85</v>
      </c>
      <c r="O1541">
        <v>107.29</v>
      </c>
      <c r="P1541">
        <v>124.62</v>
      </c>
      <c r="Q1541">
        <v>71.64</v>
      </c>
      <c r="R1541">
        <v>110.85</v>
      </c>
      <c r="S1541">
        <v>144.52</v>
      </c>
    </row>
    <row r="1542" spans="1:19">
      <c r="A1542" s="1">
        <v>44602</v>
      </c>
      <c r="B1542" t="s">
        <v>727</v>
      </c>
      <c r="C1542" t="s">
        <v>737</v>
      </c>
      <c r="D1542">
        <v>24.2186</v>
      </c>
      <c r="E1542">
        <v>24.5799</v>
      </c>
      <c r="F1542" s="2" t="s">
        <v>742</v>
      </c>
      <c r="G1542">
        <f ca="1" t="shared" si="72"/>
        <v>-1.61134553844855</v>
      </c>
      <c r="H1542" t="str">
        <f ca="1" t="shared" si="73"/>
        <v>Risk-On</v>
      </c>
      <c r="I1542">
        <f ca="1" t="shared" si="74"/>
        <v>1</v>
      </c>
      <c r="J1542">
        <f>_xlfn.XLOOKUP($A1542,[1]Sheet1!$B$9:$B$2584,[1]Sheet1!$C$9:$C$2584,"N/A",0)</f>
        <v>107.64</v>
      </c>
      <c r="K1542">
        <f>_xlfn.XLOOKUP($A1542,[1]Sheet1!$E$9:$E$2584,[1]Sheet1!$F$9:$F$2584,"N/A",0)</f>
        <v>124.36</v>
      </c>
      <c r="L1542">
        <f>_xlfn.XLOOKUP($A1542,[1]Sheet1!$H$9:$H$2584,[1]Sheet1!$I$9:$I$2584,"N/A",0)</f>
        <v>71.56</v>
      </c>
      <c r="M1542">
        <f>_xlfn.XLOOKUP($A1542,[1]Sheet1!$K$9:$K$2584,[1]Sheet1!$L$9:$L$2584,"N/A",0)</f>
        <v>143.58</v>
      </c>
      <c r="N1542">
        <f>_xlfn.XLOOKUP($A1542,[1]Sheet1!$N$9:$N$2584,[1]Sheet1!$O$9:$O$2584,"N/A",0)</f>
        <v>111.01</v>
      </c>
      <c r="O1542">
        <v>107.64</v>
      </c>
      <c r="P1542">
        <v>124.36</v>
      </c>
      <c r="Q1542">
        <v>71.56</v>
      </c>
      <c r="R1542">
        <v>111.01</v>
      </c>
      <c r="S1542">
        <v>143.58</v>
      </c>
    </row>
    <row r="1543" spans="1:19">
      <c r="A1543" s="1">
        <v>44603</v>
      </c>
      <c r="B1543" t="s">
        <v>727</v>
      </c>
      <c r="C1543" t="s">
        <v>737</v>
      </c>
      <c r="D1543">
        <v>27.814</v>
      </c>
      <c r="E1543">
        <v>27.69</v>
      </c>
      <c r="F1543">
        <v>-0.00445818652477165</v>
      </c>
      <c r="G1543">
        <f ca="1" t="shared" si="72"/>
        <v>-2.19542758547008</v>
      </c>
      <c r="H1543" t="str">
        <f ca="1" t="shared" si="73"/>
        <v>Risk-On</v>
      </c>
      <c r="I1543">
        <f ca="1" t="shared" si="74"/>
        <v>1</v>
      </c>
      <c r="J1543">
        <f>_xlfn.XLOOKUP($A1543,[1]Sheet1!$B$9:$B$2584,[1]Sheet1!$C$9:$C$2584,"N/A",0)</f>
        <v>107.77</v>
      </c>
      <c r="K1543">
        <f>_xlfn.XLOOKUP($A1543,[1]Sheet1!$E$9:$E$2584,[1]Sheet1!$F$9:$F$2584,"N/A",0)</f>
        <v>122.1</v>
      </c>
      <c r="L1543">
        <f>_xlfn.XLOOKUP($A1543,[1]Sheet1!$H$9:$H$2584,[1]Sheet1!$I$9:$I$2584,"N/A",0)</f>
        <v>72.3</v>
      </c>
      <c r="M1543">
        <f>_xlfn.XLOOKUP($A1543,[1]Sheet1!$K$9:$K$2584,[1]Sheet1!$L$9:$L$2584,"N/A",0)</f>
        <v>142.81</v>
      </c>
      <c r="N1543">
        <f>_xlfn.XLOOKUP($A1543,[1]Sheet1!$N$9:$N$2584,[1]Sheet1!$O$9:$O$2584,"N/A",0)</f>
        <v>109.63</v>
      </c>
      <c r="O1543">
        <v>107.77</v>
      </c>
      <c r="P1543">
        <v>122.1</v>
      </c>
      <c r="Q1543">
        <v>72.3</v>
      </c>
      <c r="R1543">
        <v>109.63</v>
      </c>
      <c r="S1543">
        <v>142.81</v>
      </c>
    </row>
    <row r="1544" spans="1:19">
      <c r="A1544" s="1">
        <v>44606</v>
      </c>
      <c r="B1544" t="s">
        <v>727</v>
      </c>
      <c r="C1544" t="s">
        <v>737</v>
      </c>
      <c r="D1544">
        <v>28.3374</v>
      </c>
      <c r="E1544">
        <v>27.7476</v>
      </c>
      <c r="F1544">
        <v>-0.0208134832412289</v>
      </c>
      <c r="G1544">
        <f ca="1" t="shared" si="72"/>
        <v>-2.62565414540986</v>
      </c>
      <c r="H1544" t="str">
        <f ca="1" t="shared" si="73"/>
        <v>Risk-On</v>
      </c>
      <c r="I1544">
        <f ca="1" t="shared" si="74"/>
        <v>1</v>
      </c>
      <c r="J1544">
        <f>_xlfn.XLOOKUP($A1544,[1]Sheet1!$B$9:$B$2584,[1]Sheet1!$C$9:$C$2584,"N/A",0)</f>
        <v>107.87</v>
      </c>
      <c r="K1544">
        <f>_xlfn.XLOOKUP($A1544,[1]Sheet1!$E$9:$E$2584,[1]Sheet1!$F$9:$F$2584,"N/A",0)</f>
        <v>121.63</v>
      </c>
      <c r="L1544">
        <f>_xlfn.XLOOKUP($A1544,[1]Sheet1!$H$9:$H$2584,[1]Sheet1!$I$9:$I$2584,"N/A",0)</f>
        <v>72.02</v>
      </c>
      <c r="M1544">
        <f>_xlfn.XLOOKUP($A1544,[1]Sheet1!$K$9:$K$2584,[1]Sheet1!$L$9:$L$2584,"N/A",0)</f>
        <v>142.96</v>
      </c>
      <c r="N1544">
        <f>_xlfn.XLOOKUP($A1544,[1]Sheet1!$N$9:$N$2584,[1]Sheet1!$O$9:$O$2584,"N/A",0)</f>
        <v>109.3</v>
      </c>
      <c r="O1544">
        <v>107.87</v>
      </c>
      <c r="P1544">
        <v>121.63</v>
      </c>
      <c r="Q1544">
        <v>72.02</v>
      </c>
      <c r="R1544">
        <v>109.3</v>
      </c>
      <c r="S1544">
        <v>142.96</v>
      </c>
    </row>
    <row r="1545" spans="1:19">
      <c r="A1545" s="1">
        <v>44607</v>
      </c>
      <c r="B1545" t="s">
        <v>727</v>
      </c>
      <c r="C1545" t="s">
        <v>737</v>
      </c>
      <c r="D1545">
        <v>25.3833</v>
      </c>
      <c r="E1545">
        <v>25.5484</v>
      </c>
      <c r="F1545">
        <v>0.00650427643371832</v>
      </c>
      <c r="G1545">
        <f ca="1" t="shared" si="72"/>
        <v>-1.74860231876247</v>
      </c>
      <c r="H1545" t="str">
        <f ca="1" t="shared" si="73"/>
        <v>Risk-On</v>
      </c>
      <c r="I1545">
        <f ca="1" t="shared" si="74"/>
        <v>1</v>
      </c>
      <c r="J1545">
        <f>_xlfn.XLOOKUP($A1545,[1]Sheet1!$B$9:$B$2584,[1]Sheet1!$C$9:$C$2584,"N/A",0)</f>
        <v>107.7</v>
      </c>
      <c r="K1545">
        <f>_xlfn.XLOOKUP($A1545,[1]Sheet1!$E$9:$E$2584,[1]Sheet1!$F$9:$F$2584,"N/A",0)</f>
        <v>120.84</v>
      </c>
      <c r="L1545">
        <f>_xlfn.XLOOKUP($A1545,[1]Sheet1!$H$9:$H$2584,[1]Sheet1!$I$9:$I$2584,"N/A",0)</f>
        <v>71.93</v>
      </c>
      <c r="M1545">
        <f>_xlfn.XLOOKUP($A1545,[1]Sheet1!$K$9:$K$2584,[1]Sheet1!$L$9:$L$2584,"N/A",0)</f>
        <v>142.85</v>
      </c>
      <c r="N1545">
        <f>_xlfn.XLOOKUP($A1545,[1]Sheet1!$N$9:$N$2584,[1]Sheet1!$O$9:$O$2584,"N/A",0)</f>
        <v>108.67</v>
      </c>
      <c r="O1545">
        <v>107.7</v>
      </c>
      <c r="P1545">
        <v>120.84</v>
      </c>
      <c r="Q1545">
        <v>71.93</v>
      </c>
      <c r="R1545">
        <v>108.67</v>
      </c>
      <c r="S1545">
        <v>142.85</v>
      </c>
    </row>
    <row r="1546" spans="1:19">
      <c r="A1546" s="1">
        <v>44608</v>
      </c>
      <c r="B1546" t="s">
        <v>727</v>
      </c>
      <c r="C1546" t="s">
        <v>737</v>
      </c>
      <c r="D1546">
        <v>26.37</v>
      </c>
      <c r="E1546">
        <v>24.4723</v>
      </c>
      <c r="F1546">
        <v>-0.0719643534319302</v>
      </c>
      <c r="G1546">
        <f ca="1" t="shared" si="72"/>
        <v>-3.96806757681171</v>
      </c>
      <c r="H1546" t="str">
        <f ca="1" t="shared" si="73"/>
        <v>Risk-On</v>
      </c>
      <c r="I1546">
        <f ca="1" t="shared" si="74"/>
        <v>1</v>
      </c>
      <c r="J1546">
        <f>_xlfn.XLOOKUP($A1546,[1]Sheet1!$B$9:$B$2584,[1]Sheet1!$C$9:$C$2584,"N/A",0)</f>
        <v>107.76</v>
      </c>
      <c r="K1546">
        <f>_xlfn.XLOOKUP($A1546,[1]Sheet1!$E$9:$E$2584,[1]Sheet1!$F$9:$F$2584,"N/A",0)</f>
        <v>123.23</v>
      </c>
      <c r="L1546">
        <f>_xlfn.XLOOKUP($A1546,[1]Sheet1!$H$9:$H$2584,[1]Sheet1!$I$9:$I$2584,"N/A",0)</f>
        <v>71.96</v>
      </c>
      <c r="M1546">
        <f>_xlfn.XLOOKUP($A1546,[1]Sheet1!$K$9:$K$2584,[1]Sheet1!$L$9:$L$2584,"N/A",0)</f>
        <v>142.45</v>
      </c>
      <c r="N1546">
        <f>_xlfn.XLOOKUP($A1546,[1]Sheet1!$N$9:$N$2584,[1]Sheet1!$O$9:$O$2584,"N/A",0)</f>
        <v>108.65</v>
      </c>
      <c r="O1546">
        <v>107.76</v>
      </c>
      <c r="P1546">
        <v>123.23</v>
      </c>
      <c r="Q1546">
        <v>71.96</v>
      </c>
      <c r="R1546">
        <v>108.65</v>
      </c>
      <c r="S1546">
        <v>142.45</v>
      </c>
    </row>
    <row r="1547" spans="1:19">
      <c r="A1547" s="1">
        <v>44609</v>
      </c>
      <c r="B1547" t="s">
        <v>737</v>
      </c>
      <c r="C1547" t="s">
        <v>743</v>
      </c>
      <c r="D1547">
        <v>27.5683</v>
      </c>
      <c r="E1547">
        <v>26.8288</v>
      </c>
      <c r="F1547">
        <v>-0.0268242873155036</v>
      </c>
      <c r="G1547">
        <f ca="1" t="shared" si="72"/>
        <v>-2.48797083647298</v>
      </c>
      <c r="H1547" t="str">
        <f ca="1" t="shared" si="73"/>
        <v>Risk-On</v>
      </c>
      <c r="I1547">
        <f ca="1" t="shared" si="74"/>
        <v>1</v>
      </c>
      <c r="J1547">
        <f>_xlfn.XLOOKUP($A1547,[1]Sheet1!$B$9:$B$2584,[1]Sheet1!$C$9:$C$2584,"N/A",0)</f>
        <v>107.63</v>
      </c>
      <c r="K1547">
        <f>_xlfn.XLOOKUP($A1547,[1]Sheet1!$E$9:$E$2584,[1]Sheet1!$F$9:$F$2584,"N/A",0)</f>
        <v>123.2</v>
      </c>
      <c r="L1547">
        <f>_xlfn.XLOOKUP($A1547,[1]Sheet1!$H$9:$H$2584,[1]Sheet1!$I$9:$I$2584,"N/A",0)</f>
        <v>72.08</v>
      </c>
      <c r="M1547">
        <f>_xlfn.XLOOKUP($A1547,[1]Sheet1!$K$9:$K$2584,[1]Sheet1!$L$9:$L$2584,"N/A",0)</f>
        <v>143.61</v>
      </c>
      <c r="N1547">
        <f>_xlfn.XLOOKUP($A1547,[1]Sheet1!$N$9:$N$2584,[1]Sheet1!$O$9:$O$2584,"N/A",0)</f>
        <v>108.8</v>
      </c>
      <c r="O1547">
        <v>107.63</v>
      </c>
      <c r="P1547">
        <v>123.2</v>
      </c>
      <c r="Q1547">
        <v>72.08</v>
      </c>
      <c r="R1547">
        <v>108.8</v>
      </c>
      <c r="S1547">
        <v>143.61</v>
      </c>
    </row>
    <row r="1548" spans="1:19">
      <c r="A1548" s="1">
        <v>44610</v>
      </c>
      <c r="B1548" t="s">
        <v>737</v>
      </c>
      <c r="C1548" t="s">
        <v>743</v>
      </c>
      <c r="D1548">
        <v>28.1482</v>
      </c>
      <c r="E1548">
        <v>27.2767</v>
      </c>
      <c r="F1548">
        <v>-0.0309611271768709</v>
      </c>
      <c r="G1548">
        <f ca="1" t="shared" si="72"/>
        <v>-2.52384029240123</v>
      </c>
      <c r="H1548" t="str">
        <f ca="1" t="shared" si="73"/>
        <v>Risk-On</v>
      </c>
      <c r="I1548">
        <f ca="1" t="shared" si="74"/>
        <v>1</v>
      </c>
      <c r="J1548">
        <f>_xlfn.XLOOKUP($A1548,[1]Sheet1!$B$9:$B$2584,[1]Sheet1!$C$9:$C$2584,"N/A",0)</f>
        <v>107.17</v>
      </c>
      <c r="K1548">
        <f>_xlfn.XLOOKUP($A1548,[1]Sheet1!$E$9:$E$2584,[1]Sheet1!$F$9:$F$2584,"N/A",0)</f>
        <v>124.76</v>
      </c>
      <c r="L1548">
        <f>_xlfn.XLOOKUP($A1548,[1]Sheet1!$H$9:$H$2584,[1]Sheet1!$I$9:$I$2584,"N/A",0)</f>
        <v>72</v>
      </c>
      <c r="M1548">
        <f>_xlfn.XLOOKUP($A1548,[1]Sheet1!$K$9:$K$2584,[1]Sheet1!$L$9:$L$2584,"N/A",0)</f>
        <v>144.28</v>
      </c>
      <c r="N1548">
        <f>_xlfn.XLOOKUP($A1548,[1]Sheet1!$N$9:$N$2584,[1]Sheet1!$O$9:$O$2584,"N/A",0)</f>
        <v>108.67</v>
      </c>
      <c r="O1548">
        <v>107.17</v>
      </c>
      <c r="P1548">
        <v>124.76</v>
      </c>
      <c r="Q1548">
        <v>72</v>
      </c>
      <c r="R1548">
        <v>108.67</v>
      </c>
      <c r="S1548">
        <v>144.28</v>
      </c>
    </row>
    <row r="1549" spans="1:19">
      <c r="A1549" s="1">
        <v>44614</v>
      </c>
      <c r="B1549" t="s">
        <v>737</v>
      </c>
      <c r="C1549" t="s">
        <v>743</v>
      </c>
      <c r="D1549">
        <v>27.9601</v>
      </c>
      <c r="E1549">
        <v>27.0851</v>
      </c>
      <c r="F1549">
        <v>-0.0312945947975865</v>
      </c>
      <c r="G1549">
        <f ca="1" t="shared" si="72"/>
        <v>-2.45671826872521</v>
      </c>
      <c r="H1549" t="str">
        <f ca="1" t="shared" si="73"/>
        <v>Risk-On</v>
      </c>
      <c r="I1549">
        <f ca="1" t="shared" si="74"/>
        <v>1</v>
      </c>
      <c r="J1549">
        <f>_xlfn.XLOOKUP($A1549,[1]Sheet1!$B$9:$B$2584,[1]Sheet1!$C$9:$C$2584,"N/A",0)</f>
        <v>107.2</v>
      </c>
      <c r="K1549">
        <f>_xlfn.XLOOKUP($A1549,[1]Sheet1!$E$9:$E$2584,[1]Sheet1!$F$9:$F$2584,"N/A",0)</f>
        <v>125.1</v>
      </c>
      <c r="L1549">
        <f>_xlfn.XLOOKUP($A1549,[1]Sheet1!$H$9:$H$2584,[1]Sheet1!$I$9:$I$2584,"N/A",0)</f>
        <v>71.72</v>
      </c>
      <c r="M1549">
        <f>_xlfn.XLOOKUP($A1549,[1]Sheet1!$K$9:$K$2584,[1]Sheet1!$L$9:$L$2584,"N/A",0)</f>
        <v>144.15</v>
      </c>
      <c r="N1549">
        <f>_xlfn.XLOOKUP($A1549,[1]Sheet1!$N$9:$N$2584,[1]Sheet1!$O$9:$O$2584,"N/A",0)</f>
        <v>108.79</v>
      </c>
      <c r="O1549">
        <v>107.2</v>
      </c>
      <c r="P1549">
        <v>125.1</v>
      </c>
      <c r="Q1549">
        <v>71.72</v>
      </c>
      <c r="R1549">
        <v>108.79</v>
      </c>
      <c r="S1549">
        <v>144.15</v>
      </c>
    </row>
    <row r="1550" spans="1:19">
      <c r="A1550" s="1">
        <v>44615</v>
      </c>
      <c r="B1550" t="s">
        <v>737</v>
      </c>
      <c r="C1550" t="s">
        <v>743</v>
      </c>
      <c r="D1550">
        <v>29.6693</v>
      </c>
      <c r="E1550">
        <v>28.5132</v>
      </c>
      <c r="F1550">
        <v>-0.0389662041234541</v>
      </c>
      <c r="G1550">
        <f ca="1" t="shared" si="72"/>
        <v>-2.58118119799999</v>
      </c>
      <c r="H1550" t="str">
        <f ca="1" t="shared" si="73"/>
        <v>Risk-On</v>
      </c>
      <c r="I1550">
        <f ca="1" t="shared" si="74"/>
        <v>1</v>
      </c>
      <c r="J1550">
        <f>_xlfn.XLOOKUP($A1550,[1]Sheet1!$B$9:$B$2584,[1]Sheet1!$C$9:$C$2584,"N/A",0)</f>
        <v>107.13</v>
      </c>
      <c r="K1550">
        <f>_xlfn.XLOOKUP($A1550,[1]Sheet1!$E$9:$E$2584,[1]Sheet1!$F$9:$F$2584,"N/A",0)</f>
        <v>125.06</v>
      </c>
      <c r="L1550">
        <f>_xlfn.XLOOKUP($A1550,[1]Sheet1!$H$9:$H$2584,[1]Sheet1!$I$9:$I$2584,"N/A",0)</f>
        <v>72.02</v>
      </c>
      <c r="M1550">
        <f>_xlfn.XLOOKUP($A1550,[1]Sheet1!$K$9:$K$2584,[1]Sheet1!$L$9:$L$2584,"N/A",0)</f>
        <v>144.35</v>
      </c>
      <c r="N1550">
        <f>_xlfn.XLOOKUP($A1550,[1]Sheet1!$N$9:$N$2584,[1]Sheet1!$O$9:$O$2584,"N/A",0)</f>
        <v>108.92</v>
      </c>
      <c r="O1550">
        <v>107.13</v>
      </c>
      <c r="P1550">
        <v>125.06</v>
      </c>
      <c r="Q1550">
        <v>72.02</v>
      </c>
      <c r="R1550">
        <v>108.92</v>
      </c>
      <c r="S1550">
        <v>144.35</v>
      </c>
    </row>
    <row r="1551" spans="1:19">
      <c r="A1551" s="1">
        <v>44616</v>
      </c>
      <c r="B1551" t="s">
        <v>737</v>
      </c>
      <c r="C1551" t="s">
        <v>743</v>
      </c>
      <c r="D1551">
        <v>28.5487</v>
      </c>
      <c r="E1551">
        <v>27.7218</v>
      </c>
      <c r="F1551">
        <v>-0.0289645412925982</v>
      </c>
      <c r="G1551">
        <f ca="1" t="shared" si="72"/>
        <v>-2.25431499157422</v>
      </c>
      <c r="H1551" t="str">
        <f ca="1" t="shared" si="73"/>
        <v>Risk-On</v>
      </c>
      <c r="I1551">
        <f ca="1" t="shared" si="74"/>
        <v>1</v>
      </c>
      <c r="J1551">
        <f>_xlfn.XLOOKUP($A1551,[1]Sheet1!$B$9:$B$2584,[1]Sheet1!$C$9:$C$2584,"N/A",0)</f>
        <v>108.11</v>
      </c>
      <c r="K1551">
        <f>_xlfn.XLOOKUP($A1551,[1]Sheet1!$E$9:$E$2584,[1]Sheet1!$F$9:$F$2584,"N/A",0)</f>
        <v>124.54</v>
      </c>
      <c r="L1551">
        <f>_xlfn.XLOOKUP($A1551,[1]Sheet1!$H$9:$H$2584,[1]Sheet1!$I$9:$I$2584,"N/A",0)</f>
        <v>71.25</v>
      </c>
      <c r="M1551">
        <f>_xlfn.XLOOKUP($A1551,[1]Sheet1!$K$9:$K$2584,[1]Sheet1!$L$9:$L$2584,"N/A",0)</f>
        <v>144.72</v>
      </c>
      <c r="N1551">
        <f>_xlfn.XLOOKUP($A1551,[1]Sheet1!$N$9:$N$2584,[1]Sheet1!$O$9:$O$2584,"N/A",0)</f>
        <v>108.19</v>
      </c>
      <c r="O1551">
        <v>108.11</v>
      </c>
      <c r="P1551">
        <v>124.54</v>
      </c>
      <c r="Q1551">
        <v>71.25</v>
      </c>
      <c r="R1551">
        <v>108.19</v>
      </c>
      <c r="S1551">
        <v>144.72</v>
      </c>
    </row>
    <row r="1552" spans="1:19">
      <c r="A1552" s="1">
        <v>44617</v>
      </c>
      <c r="B1552" t="s">
        <v>737</v>
      </c>
      <c r="C1552" t="s">
        <v>743</v>
      </c>
      <c r="D1552">
        <v>27.2572</v>
      </c>
      <c r="E1552">
        <v>26.9481</v>
      </c>
      <c r="F1552">
        <v>-0.0113401229766814</v>
      </c>
      <c r="G1552">
        <f ca="1" t="shared" si="72"/>
        <v>-1.7651874865692</v>
      </c>
      <c r="H1552" t="str">
        <f ca="1" t="shared" si="73"/>
        <v>Risk-On</v>
      </c>
      <c r="I1552">
        <f ca="1" t="shared" si="74"/>
        <v>1</v>
      </c>
      <c r="J1552">
        <f>_xlfn.XLOOKUP($A1552,[1]Sheet1!$B$9:$B$2584,[1]Sheet1!$C$9:$C$2584,"N/A",0)</f>
        <v>108.22</v>
      </c>
      <c r="K1552">
        <f>_xlfn.XLOOKUP($A1552,[1]Sheet1!$E$9:$E$2584,[1]Sheet1!$F$9:$F$2584,"N/A",0)</f>
        <v>125.18</v>
      </c>
      <c r="L1552">
        <f>_xlfn.XLOOKUP($A1552,[1]Sheet1!$H$9:$H$2584,[1]Sheet1!$I$9:$I$2584,"N/A",0)</f>
        <v>71.61</v>
      </c>
      <c r="M1552">
        <f>_xlfn.XLOOKUP($A1552,[1]Sheet1!$K$9:$K$2584,[1]Sheet1!$L$9:$L$2584,"N/A",0)</f>
        <v>145.01</v>
      </c>
      <c r="N1552">
        <f>_xlfn.XLOOKUP($A1552,[1]Sheet1!$N$9:$N$2584,[1]Sheet1!$O$9:$O$2584,"N/A",0)</f>
        <v>108.66</v>
      </c>
      <c r="O1552">
        <v>108.22</v>
      </c>
      <c r="P1552">
        <v>125.18</v>
      </c>
      <c r="Q1552">
        <v>71.61</v>
      </c>
      <c r="R1552">
        <v>108.66</v>
      </c>
      <c r="S1552">
        <v>145.01</v>
      </c>
    </row>
    <row r="1553" spans="1:19">
      <c r="A1553" s="1">
        <v>44620</v>
      </c>
      <c r="B1553" t="s">
        <v>737</v>
      </c>
      <c r="C1553" t="s">
        <v>743</v>
      </c>
      <c r="D1553">
        <v>28.6169</v>
      </c>
      <c r="E1553">
        <v>28.1501</v>
      </c>
      <c r="F1553">
        <v>-0.016312039389312</v>
      </c>
      <c r="G1553">
        <f ca="1" t="shared" si="72"/>
        <v>-1.85543994863577</v>
      </c>
      <c r="H1553" t="str">
        <f ca="1" t="shared" si="73"/>
        <v>Risk-On</v>
      </c>
      <c r="I1553">
        <f ca="1" t="shared" si="74"/>
        <v>1</v>
      </c>
      <c r="J1553">
        <f>_xlfn.XLOOKUP($A1553,[1]Sheet1!$B$9:$B$2584,[1]Sheet1!$C$9:$C$2584,"N/A",0)</f>
        <v>109.24</v>
      </c>
      <c r="K1553">
        <f>_xlfn.XLOOKUP($A1553,[1]Sheet1!$E$9:$E$2584,[1]Sheet1!$F$9:$F$2584,"N/A",0)</f>
        <v>123.52</v>
      </c>
      <c r="L1553">
        <f>_xlfn.XLOOKUP($A1553,[1]Sheet1!$H$9:$H$2584,[1]Sheet1!$I$9:$I$2584,"N/A",0)</f>
        <v>71.5</v>
      </c>
      <c r="M1553">
        <f>_xlfn.XLOOKUP($A1553,[1]Sheet1!$K$9:$K$2584,[1]Sheet1!$L$9:$L$2584,"N/A",0)</f>
        <v>144.35</v>
      </c>
      <c r="N1553">
        <f>_xlfn.XLOOKUP($A1553,[1]Sheet1!$N$9:$N$2584,[1]Sheet1!$O$9:$O$2584,"N/A",0)</f>
        <v>107.69</v>
      </c>
      <c r="O1553">
        <v>109.24</v>
      </c>
      <c r="P1553">
        <v>123.52</v>
      </c>
      <c r="Q1553">
        <v>71.5</v>
      </c>
      <c r="R1553">
        <v>107.69</v>
      </c>
      <c r="S1553">
        <v>144.35</v>
      </c>
    </row>
    <row r="1554" spans="1:19">
      <c r="A1554" s="1">
        <v>44621</v>
      </c>
      <c r="B1554" t="s">
        <v>737</v>
      </c>
      <c r="C1554" t="s">
        <v>743</v>
      </c>
      <c r="D1554">
        <v>32.1241</v>
      </c>
      <c r="E1554">
        <v>30.6762</v>
      </c>
      <c r="F1554">
        <v>-0.0450720798403689</v>
      </c>
      <c r="G1554">
        <f ca="1" t="shared" si="72"/>
        <v>-2.49740353681678</v>
      </c>
      <c r="H1554" t="str">
        <f ca="1" t="shared" si="73"/>
        <v>Risk-On</v>
      </c>
      <c r="I1554">
        <f ca="1" t="shared" si="74"/>
        <v>1</v>
      </c>
      <c r="J1554">
        <f>_xlfn.XLOOKUP($A1554,[1]Sheet1!$B$9:$B$2584,[1]Sheet1!$C$9:$C$2584,"N/A",0)</f>
        <v>109.07</v>
      </c>
      <c r="K1554">
        <f>_xlfn.XLOOKUP($A1554,[1]Sheet1!$E$9:$E$2584,[1]Sheet1!$F$9:$F$2584,"N/A",0)</f>
        <v>122.14</v>
      </c>
      <c r="L1554">
        <f>_xlfn.XLOOKUP($A1554,[1]Sheet1!$H$9:$H$2584,[1]Sheet1!$I$9:$I$2584,"N/A",0)</f>
        <v>71.44</v>
      </c>
      <c r="M1554">
        <f>_xlfn.XLOOKUP($A1554,[1]Sheet1!$K$9:$K$2584,[1]Sheet1!$L$9:$L$2584,"N/A",0)</f>
        <v>144.07</v>
      </c>
      <c r="N1554">
        <f>_xlfn.XLOOKUP($A1554,[1]Sheet1!$N$9:$N$2584,[1]Sheet1!$O$9:$O$2584,"N/A",0)</f>
        <v>107.85</v>
      </c>
      <c r="O1554">
        <v>109.07</v>
      </c>
      <c r="P1554">
        <v>122.14</v>
      </c>
      <c r="Q1554">
        <v>71.44</v>
      </c>
      <c r="R1554">
        <v>107.85</v>
      </c>
      <c r="S1554">
        <v>144.07</v>
      </c>
    </row>
    <row r="1555" spans="1:19">
      <c r="A1555" s="1">
        <v>44622</v>
      </c>
      <c r="B1555" t="s">
        <v>737</v>
      </c>
      <c r="C1555" t="s">
        <v>743</v>
      </c>
      <c r="D1555">
        <v>29.6145</v>
      </c>
      <c r="E1555">
        <v>29.0901</v>
      </c>
      <c r="F1555">
        <v>-0.0177075419135896</v>
      </c>
      <c r="G1555">
        <f ca="1" t="shared" si="72"/>
        <v>-1.779102069023</v>
      </c>
      <c r="H1555" t="str">
        <f ca="1" t="shared" si="73"/>
        <v>Risk-On</v>
      </c>
      <c r="I1555">
        <f ca="1" t="shared" si="74"/>
        <v>1</v>
      </c>
      <c r="J1555">
        <f>_xlfn.XLOOKUP($A1555,[1]Sheet1!$B$9:$B$2584,[1]Sheet1!$C$9:$C$2584,"N/A",0)</f>
        <v>108.61</v>
      </c>
      <c r="K1555">
        <f>_xlfn.XLOOKUP($A1555,[1]Sheet1!$E$9:$E$2584,[1]Sheet1!$F$9:$F$2584,"N/A",0)</f>
        <v>124.87</v>
      </c>
      <c r="L1555">
        <f>_xlfn.XLOOKUP($A1555,[1]Sheet1!$H$9:$H$2584,[1]Sheet1!$I$9:$I$2584,"N/A",0)</f>
        <v>71.78</v>
      </c>
      <c r="M1555">
        <f>_xlfn.XLOOKUP($A1555,[1]Sheet1!$K$9:$K$2584,[1]Sheet1!$L$9:$L$2584,"N/A",0)</f>
        <v>145.16</v>
      </c>
      <c r="N1555">
        <f>_xlfn.XLOOKUP($A1555,[1]Sheet1!$N$9:$N$2584,[1]Sheet1!$O$9:$O$2584,"N/A",0)</f>
        <v>107.31</v>
      </c>
      <c r="O1555">
        <v>108.61</v>
      </c>
      <c r="P1555">
        <v>124.87</v>
      </c>
      <c r="Q1555">
        <v>71.78</v>
      </c>
      <c r="R1555">
        <v>107.31</v>
      </c>
      <c r="S1555">
        <v>145.16</v>
      </c>
    </row>
    <row r="1556" spans="1:19">
      <c r="A1556" s="1">
        <v>44623</v>
      </c>
      <c r="B1556" t="s">
        <v>737</v>
      </c>
      <c r="C1556" t="s">
        <v>743</v>
      </c>
      <c r="D1556">
        <v>29.9057</v>
      </c>
      <c r="E1556">
        <v>29.4694</v>
      </c>
      <c r="F1556">
        <v>-0.0145891920269379</v>
      </c>
      <c r="G1556">
        <f ca="1" t="shared" si="72"/>
        <v>-1.66908146345333</v>
      </c>
      <c r="H1556" t="str">
        <f ca="1" t="shared" si="73"/>
        <v>Risk-On</v>
      </c>
      <c r="I1556">
        <f ca="1" t="shared" si="74"/>
        <v>1</v>
      </c>
      <c r="J1556">
        <f>_xlfn.XLOOKUP($A1556,[1]Sheet1!$B$9:$B$2584,[1]Sheet1!$C$9:$C$2584,"N/A",0)</f>
        <v>108.34</v>
      </c>
      <c r="K1556">
        <f>_xlfn.XLOOKUP($A1556,[1]Sheet1!$E$9:$E$2584,[1]Sheet1!$F$9:$F$2584,"N/A",0)</f>
        <v>126.84</v>
      </c>
      <c r="L1556">
        <f>_xlfn.XLOOKUP($A1556,[1]Sheet1!$H$9:$H$2584,[1]Sheet1!$I$9:$I$2584,"N/A",0)</f>
        <v>71.92</v>
      </c>
      <c r="M1556">
        <f>_xlfn.XLOOKUP($A1556,[1]Sheet1!$K$9:$K$2584,[1]Sheet1!$L$9:$L$2584,"N/A",0)</f>
        <v>145.71</v>
      </c>
      <c r="N1556">
        <f>_xlfn.XLOOKUP($A1556,[1]Sheet1!$N$9:$N$2584,[1]Sheet1!$O$9:$O$2584,"N/A",0)</f>
        <v>107.38</v>
      </c>
      <c r="O1556">
        <v>108.34</v>
      </c>
      <c r="P1556">
        <v>126.84</v>
      </c>
      <c r="Q1556">
        <v>71.92</v>
      </c>
      <c r="R1556">
        <v>107.38</v>
      </c>
      <c r="S1556">
        <v>145.71</v>
      </c>
    </row>
    <row r="1557" spans="1:19">
      <c r="A1557" s="1">
        <v>44624</v>
      </c>
      <c r="B1557" t="s">
        <v>737</v>
      </c>
      <c r="C1557" t="s">
        <v>743</v>
      </c>
      <c r="D1557">
        <v>31.5274</v>
      </c>
      <c r="E1557">
        <v>30.3012</v>
      </c>
      <c r="F1557">
        <v>-0.0388931532571667</v>
      </c>
      <c r="G1557">
        <f ca="1" t="shared" si="72"/>
        <v>-2.19797042554876</v>
      </c>
      <c r="H1557" t="str">
        <f ca="1" t="shared" si="73"/>
        <v>Risk-On</v>
      </c>
      <c r="I1557">
        <f ca="1" t="shared" si="74"/>
        <v>1</v>
      </c>
      <c r="J1557">
        <f>_xlfn.XLOOKUP($A1557,[1]Sheet1!$B$9:$B$2584,[1]Sheet1!$C$9:$C$2584,"N/A",0)</f>
        <v>108.42</v>
      </c>
      <c r="K1557">
        <f>_xlfn.XLOOKUP($A1557,[1]Sheet1!$E$9:$E$2584,[1]Sheet1!$F$9:$F$2584,"N/A",0)</f>
        <v>127.68</v>
      </c>
      <c r="L1557">
        <f>_xlfn.XLOOKUP($A1557,[1]Sheet1!$H$9:$H$2584,[1]Sheet1!$I$9:$I$2584,"N/A",0)</f>
        <v>71.41</v>
      </c>
      <c r="M1557">
        <f>_xlfn.XLOOKUP($A1557,[1]Sheet1!$K$9:$K$2584,[1]Sheet1!$L$9:$L$2584,"N/A",0)</f>
        <v>146.57</v>
      </c>
      <c r="N1557">
        <f>_xlfn.XLOOKUP($A1557,[1]Sheet1!$N$9:$N$2584,[1]Sheet1!$O$9:$O$2584,"N/A",0)</f>
        <v>107.78</v>
      </c>
      <c r="O1557">
        <v>108.42</v>
      </c>
      <c r="P1557">
        <v>127.68</v>
      </c>
      <c r="Q1557">
        <v>71.41</v>
      </c>
      <c r="R1557">
        <v>107.78</v>
      </c>
      <c r="S1557">
        <v>146.57</v>
      </c>
    </row>
    <row r="1558" spans="1:19">
      <c r="A1558" s="1">
        <v>44627</v>
      </c>
      <c r="B1558" t="s">
        <v>737</v>
      </c>
      <c r="C1558" t="s">
        <v>743</v>
      </c>
      <c r="D1558">
        <v>34.8105</v>
      </c>
      <c r="E1558">
        <v>32.86</v>
      </c>
      <c r="F1558">
        <v>-0.0560319443845965</v>
      </c>
      <c r="G1558">
        <f ca="1" t="shared" si="72"/>
        <v>-2.52124950832882</v>
      </c>
      <c r="H1558" t="str">
        <f ca="1" t="shared" si="73"/>
        <v>Risk-On</v>
      </c>
      <c r="I1558">
        <f ca="1" t="shared" si="74"/>
        <v>1</v>
      </c>
      <c r="J1558">
        <f>_xlfn.XLOOKUP($A1558,[1]Sheet1!$B$9:$B$2584,[1]Sheet1!$C$9:$C$2584,"N/A",0)</f>
        <v>109.36</v>
      </c>
      <c r="K1558">
        <f>_xlfn.XLOOKUP($A1558,[1]Sheet1!$E$9:$E$2584,[1]Sheet1!$F$9:$F$2584,"N/A",0)</f>
        <v>125.81</v>
      </c>
      <c r="L1558">
        <f>_xlfn.XLOOKUP($A1558,[1]Sheet1!$H$9:$H$2584,[1]Sheet1!$I$9:$I$2584,"N/A",0)</f>
        <v>71.92</v>
      </c>
      <c r="M1558">
        <f>_xlfn.XLOOKUP($A1558,[1]Sheet1!$K$9:$K$2584,[1]Sheet1!$L$9:$L$2584,"N/A",0)</f>
        <v>145.34</v>
      </c>
      <c r="N1558">
        <f>_xlfn.XLOOKUP($A1558,[1]Sheet1!$N$9:$N$2584,[1]Sheet1!$O$9:$O$2584,"N/A",0)</f>
        <v>106.21</v>
      </c>
      <c r="O1558">
        <v>109.36</v>
      </c>
      <c r="P1558">
        <v>125.81</v>
      </c>
      <c r="Q1558">
        <v>71.92</v>
      </c>
      <c r="R1558">
        <v>106.21</v>
      </c>
      <c r="S1558">
        <v>145.34</v>
      </c>
    </row>
    <row r="1559" spans="1:19">
      <c r="A1559" s="1">
        <v>44628</v>
      </c>
      <c r="B1559" t="s">
        <v>737</v>
      </c>
      <c r="C1559" t="s">
        <v>743</v>
      </c>
      <c r="D1559">
        <v>33.9186</v>
      </c>
      <c r="E1559">
        <v>32.6065</v>
      </c>
      <c r="F1559">
        <v>-0.0386837900149181</v>
      </c>
      <c r="G1559">
        <f ca="1" t="shared" si="72"/>
        <v>-2.05832755201198</v>
      </c>
      <c r="H1559" t="str">
        <f ca="1" t="shared" si="73"/>
        <v>Risk-On</v>
      </c>
      <c r="I1559">
        <f ca="1" t="shared" si="74"/>
        <v>1</v>
      </c>
      <c r="J1559">
        <f>_xlfn.XLOOKUP($A1559,[1]Sheet1!$B$9:$B$2584,[1]Sheet1!$C$9:$C$2584,"N/A",0)</f>
        <v>109.25</v>
      </c>
      <c r="K1559">
        <f>_xlfn.XLOOKUP($A1559,[1]Sheet1!$E$9:$E$2584,[1]Sheet1!$F$9:$F$2584,"N/A",0)</f>
        <v>124.56</v>
      </c>
      <c r="L1559">
        <f>_xlfn.XLOOKUP($A1559,[1]Sheet1!$H$9:$H$2584,[1]Sheet1!$I$9:$I$2584,"N/A",0)</f>
        <v>72.72</v>
      </c>
      <c r="M1559">
        <f>_xlfn.XLOOKUP($A1559,[1]Sheet1!$K$9:$K$2584,[1]Sheet1!$L$9:$L$2584,"N/A",0)</f>
        <v>143.55</v>
      </c>
      <c r="N1559">
        <f>_xlfn.XLOOKUP($A1559,[1]Sheet1!$N$9:$N$2584,[1]Sheet1!$O$9:$O$2584,"N/A",0)</f>
        <v>105.53</v>
      </c>
      <c r="O1559">
        <v>109.25</v>
      </c>
      <c r="P1559">
        <v>124.56</v>
      </c>
      <c r="Q1559">
        <v>72.72</v>
      </c>
      <c r="R1559">
        <v>105.53</v>
      </c>
      <c r="S1559">
        <v>143.55</v>
      </c>
    </row>
    <row r="1560" spans="1:19">
      <c r="A1560" s="1">
        <v>44629</v>
      </c>
      <c r="B1560" t="s">
        <v>737</v>
      </c>
      <c r="C1560" t="s">
        <v>743</v>
      </c>
      <c r="D1560">
        <v>32.1193</v>
      </c>
      <c r="E1560">
        <v>31.4927</v>
      </c>
      <c r="F1560">
        <v>-0.0195085197996221</v>
      </c>
      <c r="G1560">
        <f ca="1" t="shared" si="72"/>
        <v>-1.60093498492012</v>
      </c>
      <c r="H1560" t="str">
        <f ca="1" t="shared" si="73"/>
        <v>Risk-On</v>
      </c>
      <c r="I1560">
        <f ca="1" t="shared" si="74"/>
        <v>1</v>
      </c>
      <c r="J1560">
        <f>_xlfn.XLOOKUP($A1560,[1]Sheet1!$B$9:$B$2584,[1]Sheet1!$C$9:$C$2584,"N/A",0)</f>
        <v>109.46</v>
      </c>
      <c r="K1560">
        <f>_xlfn.XLOOKUP($A1560,[1]Sheet1!$E$9:$E$2584,[1]Sheet1!$F$9:$F$2584,"N/A",0)</f>
        <v>125.04</v>
      </c>
      <c r="L1560">
        <f>_xlfn.XLOOKUP($A1560,[1]Sheet1!$H$9:$H$2584,[1]Sheet1!$I$9:$I$2584,"N/A",0)</f>
        <v>72.3</v>
      </c>
      <c r="M1560">
        <f>_xlfn.XLOOKUP($A1560,[1]Sheet1!$K$9:$K$2584,[1]Sheet1!$L$9:$L$2584,"N/A",0)</f>
        <v>143.64</v>
      </c>
      <c r="N1560">
        <f>_xlfn.XLOOKUP($A1560,[1]Sheet1!$N$9:$N$2584,[1]Sheet1!$O$9:$O$2584,"N/A",0)</f>
        <v>105.88</v>
      </c>
      <c r="O1560">
        <v>109.46</v>
      </c>
      <c r="P1560">
        <v>125.04</v>
      </c>
      <c r="Q1560">
        <v>72.3</v>
      </c>
      <c r="R1560">
        <v>105.88</v>
      </c>
      <c r="S1560">
        <v>143.64</v>
      </c>
    </row>
    <row r="1561" spans="1:19">
      <c r="A1561" s="1">
        <v>44630</v>
      </c>
      <c r="B1561" t="s">
        <v>737</v>
      </c>
      <c r="C1561" t="s">
        <v>743</v>
      </c>
      <c r="D1561">
        <v>30.4155</v>
      </c>
      <c r="E1561">
        <v>30.1263</v>
      </c>
      <c r="F1561">
        <v>-0.00950830990777731</v>
      </c>
      <c r="G1561">
        <f ca="1" t="shared" si="72"/>
        <v>-1.36339018757678</v>
      </c>
      <c r="H1561" t="str">
        <f ca="1" t="shared" si="73"/>
        <v>Risk-On</v>
      </c>
      <c r="I1561">
        <f ca="1" t="shared" si="74"/>
        <v>1</v>
      </c>
      <c r="J1561">
        <f>_xlfn.XLOOKUP($A1561,[1]Sheet1!$B$9:$B$2584,[1]Sheet1!$C$9:$C$2584,"N/A",0)</f>
        <v>109.13</v>
      </c>
      <c r="K1561">
        <f>_xlfn.XLOOKUP($A1561,[1]Sheet1!$E$9:$E$2584,[1]Sheet1!$F$9:$F$2584,"N/A",0)</f>
        <v>126.41</v>
      </c>
      <c r="L1561">
        <f>_xlfn.XLOOKUP($A1561,[1]Sheet1!$H$9:$H$2584,[1]Sheet1!$I$9:$I$2584,"N/A",0)</f>
        <v>72.19</v>
      </c>
      <c r="M1561">
        <f>_xlfn.XLOOKUP($A1561,[1]Sheet1!$K$9:$K$2584,[1]Sheet1!$L$9:$L$2584,"N/A",0)</f>
        <v>143.4</v>
      </c>
      <c r="N1561">
        <f>_xlfn.XLOOKUP($A1561,[1]Sheet1!$N$9:$N$2584,[1]Sheet1!$O$9:$O$2584,"N/A",0)</f>
        <v>105.53</v>
      </c>
      <c r="O1561">
        <v>109.13</v>
      </c>
      <c r="P1561">
        <v>126.41</v>
      </c>
      <c r="Q1561">
        <v>72.19</v>
      </c>
      <c r="R1561">
        <v>105.53</v>
      </c>
      <c r="S1561">
        <v>143.4</v>
      </c>
    </row>
    <row r="1562" spans="1:19">
      <c r="A1562" s="1">
        <v>44631</v>
      </c>
      <c r="B1562" t="s">
        <v>737</v>
      </c>
      <c r="C1562" t="s">
        <v>743</v>
      </c>
      <c r="D1562">
        <v>31.0024</v>
      </c>
      <c r="E1562">
        <v>30.78</v>
      </c>
      <c r="F1562">
        <v>-0.00717363816994814</v>
      </c>
      <c r="G1562">
        <f ca="1" t="shared" si="72"/>
        <v>-1.29801159133083</v>
      </c>
      <c r="H1562" t="str">
        <f ca="1" t="shared" si="73"/>
        <v>Risk-On</v>
      </c>
      <c r="I1562">
        <f ca="1" t="shared" si="74"/>
        <v>1</v>
      </c>
      <c r="J1562">
        <f>_xlfn.XLOOKUP($A1562,[1]Sheet1!$B$9:$B$2584,[1]Sheet1!$C$9:$C$2584,"N/A",0)</f>
        <v>109.08</v>
      </c>
      <c r="K1562">
        <f>_xlfn.XLOOKUP($A1562,[1]Sheet1!$E$9:$E$2584,[1]Sheet1!$F$9:$F$2584,"N/A",0)</f>
        <v>128.28</v>
      </c>
      <c r="L1562">
        <f>_xlfn.XLOOKUP($A1562,[1]Sheet1!$H$9:$H$2584,[1]Sheet1!$I$9:$I$2584,"N/A",0)</f>
        <v>72.57</v>
      </c>
      <c r="M1562">
        <f>_xlfn.XLOOKUP($A1562,[1]Sheet1!$K$9:$K$2584,[1]Sheet1!$L$9:$L$2584,"N/A",0)</f>
        <v>143.72</v>
      </c>
      <c r="N1562">
        <f>_xlfn.XLOOKUP($A1562,[1]Sheet1!$N$9:$N$2584,[1]Sheet1!$O$9:$O$2584,"N/A",0)</f>
        <v>106.03</v>
      </c>
      <c r="O1562">
        <v>109.08</v>
      </c>
      <c r="P1562">
        <v>128.28</v>
      </c>
      <c r="Q1562">
        <v>72.57</v>
      </c>
      <c r="R1562">
        <v>106.03</v>
      </c>
      <c r="S1562">
        <v>143.72</v>
      </c>
    </row>
    <row r="1563" spans="1:19">
      <c r="A1563" s="1">
        <v>44634</v>
      </c>
      <c r="B1563" t="s">
        <v>737</v>
      </c>
      <c r="C1563" t="s">
        <v>743</v>
      </c>
      <c r="D1563">
        <v>31.8036</v>
      </c>
      <c r="E1563">
        <v>31.7235</v>
      </c>
      <c r="F1563">
        <v>-0.00251858280194688</v>
      </c>
      <c r="G1563">
        <f ca="1" t="shared" si="72"/>
        <v>-1.18491491153449</v>
      </c>
      <c r="H1563" t="str">
        <f ca="1" t="shared" si="73"/>
        <v>Risk-Off</v>
      </c>
      <c r="I1563">
        <f ca="1" t="shared" si="74"/>
        <v>1</v>
      </c>
      <c r="J1563">
        <f>_xlfn.XLOOKUP($A1563,[1]Sheet1!$B$9:$B$2584,[1]Sheet1!$C$9:$C$2584,"N/A",0)</f>
        <v>109.26</v>
      </c>
      <c r="K1563">
        <f>_xlfn.XLOOKUP($A1563,[1]Sheet1!$E$9:$E$2584,[1]Sheet1!$F$9:$F$2584,"N/A",0)</f>
        <v>129.7</v>
      </c>
      <c r="L1563">
        <f>_xlfn.XLOOKUP($A1563,[1]Sheet1!$H$9:$H$2584,[1]Sheet1!$I$9:$I$2584,"N/A",0)</f>
        <v>72.38</v>
      </c>
      <c r="M1563">
        <f>_xlfn.XLOOKUP($A1563,[1]Sheet1!$K$9:$K$2584,[1]Sheet1!$L$9:$L$2584,"N/A",0)</f>
        <v>144.66</v>
      </c>
      <c r="N1563">
        <f>_xlfn.XLOOKUP($A1563,[1]Sheet1!$N$9:$N$2584,[1]Sheet1!$O$9:$O$2584,"N/A",0)</f>
        <v>106.79</v>
      </c>
      <c r="O1563">
        <v>109.26</v>
      </c>
      <c r="P1563">
        <v>129.7</v>
      </c>
      <c r="Q1563">
        <v>72.38</v>
      </c>
      <c r="R1563">
        <v>106.79</v>
      </c>
      <c r="S1563">
        <v>144.66</v>
      </c>
    </row>
    <row r="1564" spans="1:19">
      <c r="A1564" s="1">
        <v>44635</v>
      </c>
      <c r="B1564" t="s">
        <v>737</v>
      </c>
      <c r="C1564" t="s">
        <v>743</v>
      </c>
      <c r="D1564">
        <v>32.28</v>
      </c>
      <c r="E1564">
        <v>30.7261</v>
      </c>
      <c r="F1564">
        <v>-0.048138166047088</v>
      </c>
      <c r="G1564">
        <f ca="1" t="shared" si="72"/>
        <v>-2.1470259314658</v>
      </c>
      <c r="H1564" t="str">
        <f ca="1" t="shared" si="73"/>
        <v>Risk-Off</v>
      </c>
      <c r="I1564">
        <f ca="1" t="shared" si="74"/>
        <v>1</v>
      </c>
      <c r="J1564">
        <f>_xlfn.XLOOKUP($A1564,[1]Sheet1!$B$9:$B$2584,[1]Sheet1!$C$9:$C$2584,"N/A",0)</f>
        <v>108.97</v>
      </c>
      <c r="K1564">
        <f>_xlfn.XLOOKUP($A1564,[1]Sheet1!$E$9:$E$2584,[1]Sheet1!$F$9:$F$2584,"N/A",0)</f>
        <v>130.31</v>
      </c>
      <c r="L1564">
        <f>_xlfn.XLOOKUP($A1564,[1]Sheet1!$H$9:$H$2584,[1]Sheet1!$I$9:$I$2584,"N/A",0)</f>
        <v>72.16</v>
      </c>
      <c r="M1564">
        <f>_xlfn.XLOOKUP($A1564,[1]Sheet1!$K$9:$K$2584,[1]Sheet1!$L$9:$L$2584,"N/A",0)</f>
        <v>145.14</v>
      </c>
      <c r="N1564">
        <f>_xlfn.XLOOKUP($A1564,[1]Sheet1!$N$9:$N$2584,[1]Sheet1!$O$9:$O$2584,"N/A",0)</f>
        <v>107.52</v>
      </c>
      <c r="O1564">
        <v>108.97</v>
      </c>
      <c r="P1564">
        <v>130.31</v>
      </c>
      <c r="Q1564">
        <v>72.16</v>
      </c>
      <c r="R1564">
        <v>107.52</v>
      </c>
      <c r="S1564">
        <v>145.14</v>
      </c>
    </row>
    <row r="1565" spans="1:19">
      <c r="A1565" s="1">
        <v>44636</v>
      </c>
      <c r="B1565" t="s">
        <v>743</v>
      </c>
      <c r="C1565" t="s">
        <v>744</v>
      </c>
      <c r="D1565">
        <v>27.5411</v>
      </c>
      <c r="E1565">
        <v>27.9725</v>
      </c>
      <c r="F1565" s="2" t="s">
        <v>745</v>
      </c>
      <c r="G1565">
        <f ca="1" t="shared" si="72"/>
        <v>-0.758800098101399</v>
      </c>
      <c r="H1565" t="str">
        <f ca="1" t="shared" si="73"/>
        <v>Risk-Off</v>
      </c>
      <c r="I1565">
        <f ca="1" t="shared" si="74"/>
        <v>1</v>
      </c>
      <c r="J1565">
        <f>_xlfn.XLOOKUP($A1565,[1]Sheet1!$B$9:$B$2584,[1]Sheet1!$C$9:$C$2584,"N/A",0)</f>
        <v>108.97</v>
      </c>
      <c r="K1565">
        <f>_xlfn.XLOOKUP($A1565,[1]Sheet1!$E$9:$E$2584,[1]Sheet1!$F$9:$F$2584,"N/A",0)</f>
        <v>128.76</v>
      </c>
      <c r="L1565">
        <f>_xlfn.XLOOKUP($A1565,[1]Sheet1!$H$9:$H$2584,[1]Sheet1!$I$9:$I$2584,"N/A",0)</f>
        <v>72.3</v>
      </c>
      <c r="M1565">
        <f>_xlfn.XLOOKUP($A1565,[1]Sheet1!$K$9:$K$2584,[1]Sheet1!$L$9:$L$2584,"N/A",0)</f>
        <v>144.64</v>
      </c>
      <c r="N1565">
        <f>_xlfn.XLOOKUP($A1565,[1]Sheet1!$N$9:$N$2584,[1]Sheet1!$O$9:$O$2584,"N/A",0)</f>
        <v>107.1</v>
      </c>
      <c r="O1565">
        <v>108.97</v>
      </c>
      <c r="P1565">
        <v>128.76</v>
      </c>
      <c r="Q1565">
        <v>72.3</v>
      </c>
      <c r="R1565">
        <v>107.1</v>
      </c>
      <c r="S1565">
        <v>144.64</v>
      </c>
    </row>
    <row r="1566" spans="1:19">
      <c r="A1566" s="1">
        <v>44637</v>
      </c>
      <c r="B1566" t="s">
        <v>743</v>
      </c>
      <c r="C1566" t="s">
        <v>744</v>
      </c>
      <c r="D1566">
        <v>27.1143</v>
      </c>
      <c r="E1566">
        <v>27.4593</v>
      </c>
      <c r="F1566" s="2" t="s">
        <v>746</v>
      </c>
      <c r="G1566">
        <f ca="1" t="shared" si="72"/>
        <v>-0.820659126652307</v>
      </c>
      <c r="H1566" t="str">
        <f ca="1" t="shared" si="73"/>
        <v>Risk-On</v>
      </c>
      <c r="I1566">
        <f ca="1" t="shared" si="74"/>
        <v>1</v>
      </c>
      <c r="J1566">
        <f>_xlfn.XLOOKUP($A1566,[1]Sheet1!$B$9:$B$2584,[1]Sheet1!$C$9:$C$2584,"N/A",0)</f>
        <v>109.47</v>
      </c>
      <c r="K1566">
        <f>_xlfn.XLOOKUP($A1566,[1]Sheet1!$E$9:$E$2584,[1]Sheet1!$F$9:$F$2584,"N/A",0)</f>
        <v>127.57</v>
      </c>
      <c r="L1566">
        <f>_xlfn.XLOOKUP($A1566,[1]Sheet1!$H$9:$H$2584,[1]Sheet1!$I$9:$I$2584,"N/A",0)</f>
        <v>72.5</v>
      </c>
      <c r="M1566">
        <f>_xlfn.XLOOKUP($A1566,[1]Sheet1!$K$9:$K$2584,[1]Sheet1!$L$9:$L$2584,"N/A",0)</f>
        <v>144</v>
      </c>
      <c r="N1566">
        <f>_xlfn.XLOOKUP($A1566,[1]Sheet1!$N$9:$N$2584,[1]Sheet1!$O$9:$O$2584,"N/A",0)</f>
        <v>106.97</v>
      </c>
      <c r="O1566">
        <v>109.47</v>
      </c>
      <c r="P1566">
        <v>127.57</v>
      </c>
      <c r="Q1566">
        <v>72.5</v>
      </c>
      <c r="R1566">
        <v>106.97</v>
      </c>
      <c r="S1566">
        <v>144</v>
      </c>
    </row>
    <row r="1567" spans="1:19">
      <c r="A1567" s="1">
        <v>44638</v>
      </c>
      <c r="B1567" t="s">
        <v>743</v>
      </c>
      <c r="C1567" t="s">
        <v>744</v>
      </c>
      <c r="D1567">
        <v>25.6406</v>
      </c>
      <c r="E1567">
        <v>26.2185</v>
      </c>
      <c r="F1567">
        <v>0.0225384741386706</v>
      </c>
      <c r="G1567">
        <f ca="1" t="shared" si="72"/>
        <v>-0.61020989272772</v>
      </c>
      <c r="H1567" t="str">
        <f ca="1" t="shared" si="73"/>
        <v>Risk-Off</v>
      </c>
      <c r="I1567">
        <f ca="1" t="shared" si="74"/>
        <v>1</v>
      </c>
      <c r="J1567">
        <f>_xlfn.XLOOKUP($A1567,[1]Sheet1!$B$9:$B$2584,[1]Sheet1!$C$9:$C$2584,"N/A",0)</f>
        <v>109.92</v>
      </c>
      <c r="K1567">
        <f>_xlfn.XLOOKUP($A1567,[1]Sheet1!$E$9:$E$2584,[1]Sheet1!$F$9:$F$2584,"N/A",0)</f>
        <v>126.32</v>
      </c>
      <c r="L1567">
        <f>_xlfn.XLOOKUP($A1567,[1]Sheet1!$H$9:$H$2584,[1]Sheet1!$I$9:$I$2584,"N/A",0)</f>
        <v>71.97</v>
      </c>
      <c r="M1567">
        <f>_xlfn.XLOOKUP($A1567,[1]Sheet1!$K$9:$K$2584,[1]Sheet1!$L$9:$L$2584,"N/A",0)</f>
        <v>143.95</v>
      </c>
      <c r="N1567">
        <f>_xlfn.XLOOKUP($A1567,[1]Sheet1!$N$9:$N$2584,[1]Sheet1!$O$9:$O$2584,"N/A",0)</f>
        <v>107.22</v>
      </c>
      <c r="O1567">
        <v>109.92</v>
      </c>
      <c r="P1567">
        <v>126.32</v>
      </c>
      <c r="Q1567">
        <v>71.97</v>
      </c>
      <c r="R1567">
        <v>107.22</v>
      </c>
      <c r="S1567">
        <v>143.95</v>
      </c>
    </row>
    <row r="1568" spans="1:19">
      <c r="A1568" s="1">
        <v>44641</v>
      </c>
      <c r="B1568" t="s">
        <v>743</v>
      </c>
      <c r="C1568" t="s">
        <v>744</v>
      </c>
      <c r="D1568">
        <v>25.482</v>
      </c>
      <c r="E1568">
        <v>26.1731</v>
      </c>
      <c r="F1568" s="2" t="s">
        <v>747</v>
      </c>
      <c r="G1568">
        <f ca="1" t="shared" si="72"/>
        <v>-0.50431215206235</v>
      </c>
      <c r="H1568" t="str">
        <f ca="1" t="shared" si="73"/>
        <v>Risk-On</v>
      </c>
      <c r="I1568">
        <f ca="1" t="shared" si="74"/>
        <v>1</v>
      </c>
      <c r="J1568">
        <f>_xlfn.XLOOKUP($A1568,[1]Sheet1!$B$9:$B$2584,[1]Sheet1!$C$9:$C$2584,"N/A",0)</f>
        <v>110.06</v>
      </c>
      <c r="K1568">
        <f>_xlfn.XLOOKUP($A1568,[1]Sheet1!$E$9:$E$2584,[1]Sheet1!$F$9:$F$2584,"N/A",0)</f>
        <v>127.34</v>
      </c>
      <c r="L1568">
        <f>_xlfn.XLOOKUP($A1568,[1]Sheet1!$H$9:$H$2584,[1]Sheet1!$I$9:$I$2584,"N/A",0)</f>
        <v>71.92</v>
      </c>
      <c r="M1568">
        <f>_xlfn.XLOOKUP($A1568,[1]Sheet1!$K$9:$K$2584,[1]Sheet1!$L$9:$L$2584,"N/A",0)</f>
        <v>143.78</v>
      </c>
      <c r="N1568">
        <f>_xlfn.XLOOKUP($A1568,[1]Sheet1!$N$9:$N$2584,[1]Sheet1!$O$9:$O$2584,"N/A",0)</f>
        <v>107.49</v>
      </c>
      <c r="O1568">
        <v>110.06</v>
      </c>
      <c r="P1568">
        <v>127.34</v>
      </c>
      <c r="Q1568">
        <v>71.92</v>
      </c>
      <c r="R1568">
        <v>107.49</v>
      </c>
      <c r="S1568">
        <v>143.78</v>
      </c>
    </row>
    <row r="1569" spans="1:19">
      <c r="A1569" s="1">
        <v>44642</v>
      </c>
      <c r="B1569" t="s">
        <v>743</v>
      </c>
      <c r="C1569" t="s">
        <v>744</v>
      </c>
      <c r="D1569">
        <v>24.9989</v>
      </c>
      <c r="E1569">
        <v>25.7186</v>
      </c>
      <c r="F1569" s="2" t="s">
        <v>748</v>
      </c>
      <c r="G1569">
        <f ca="1" t="shared" si="72"/>
        <v>-0.469331096903145</v>
      </c>
      <c r="H1569" t="str">
        <f ca="1" t="shared" si="73"/>
        <v>Risk-On</v>
      </c>
      <c r="I1569">
        <f ca="1" t="shared" si="74"/>
        <v>1</v>
      </c>
      <c r="J1569">
        <f>_xlfn.XLOOKUP($A1569,[1]Sheet1!$B$9:$B$2584,[1]Sheet1!$C$9:$C$2584,"N/A",0)</f>
        <v>110.21</v>
      </c>
      <c r="K1569">
        <f>_xlfn.XLOOKUP($A1569,[1]Sheet1!$E$9:$E$2584,[1]Sheet1!$F$9:$F$2584,"N/A",0)</f>
        <v>125.59</v>
      </c>
      <c r="L1569">
        <f>_xlfn.XLOOKUP($A1569,[1]Sheet1!$H$9:$H$2584,[1]Sheet1!$I$9:$I$2584,"N/A",0)</f>
        <v>71.77</v>
      </c>
      <c r="M1569">
        <f>_xlfn.XLOOKUP($A1569,[1]Sheet1!$K$9:$K$2584,[1]Sheet1!$L$9:$L$2584,"N/A",0)</f>
        <v>143.07</v>
      </c>
      <c r="N1569">
        <f>_xlfn.XLOOKUP($A1569,[1]Sheet1!$N$9:$N$2584,[1]Sheet1!$O$9:$O$2584,"N/A",0)</f>
        <v>107.63</v>
      </c>
      <c r="O1569">
        <v>110.21</v>
      </c>
      <c r="P1569">
        <v>125.59</v>
      </c>
      <c r="Q1569">
        <v>71.77</v>
      </c>
      <c r="R1569">
        <v>107.63</v>
      </c>
      <c r="S1569">
        <v>143.07</v>
      </c>
    </row>
    <row r="1570" spans="1:19">
      <c r="A1570" s="1">
        <v>44643</v>
      </c>
      <c r="B1570" t="s">
        <v>743</v>
      </c>
      <c r="C1570" t="s">
        <v>744</v>
      </c>
      <c r="D1570">
        <v>24.8925</v>
      </c>
      <c r="E1570">
        <v>25.7515</v>
      </c>
      <c r="F1570">
        <v>0.0345083860600583</v>
      </c>
      <c r="G1570">
        <f ca="1" t="shared" si="72"/>
        <v>-0.343294161718197</v>
      </c>
      <c r="H1570" t="str">
        <f ca="1" t="shared" si="73"/>
        <v>Risk-On</v>
      </c>
      <c r="I1570">
        <f ca="1" t="shared" si="74"/>
        <v>1</v>
      </c>
      <c r="J1570">
        <f>_xlfn.XLOOKUP($A1570,[1]Sheet1!$B$9:$B$2584,[1]Sheet1!$C$9:$C$2584,"N/A",0)</f>
        <v>109.98</v>
      </c>
      <c r="K1570">
        <f>_xlfn.XLOOKUP($A1570,[1]Sheet1!$E$9:$E$2584,[1]Sheet1!$F$9:$F$2584,"N/A",0)</f>
        <v>125.8</v>
      </c>
      <c r="L1570">
        <f>_xlfn.XLOOKUP($A1570,[1]Sheet1!$H$9:$H$2584,[1]Sheet1!$I$9:$I$2584,"N/A",0)</f>
        <v>71.82</v>
      </c>
      <c r="M1570">
        <f>_xlfn.XLOOKUP($A1570,[1]Sheet1!$K$9:$K$2584,[1]Sheet1!$L$9:$L$2584,"N/A",0)</f>
        <v>142.27</v>
      </c>
      <c r="N1570">
        <f>_xlfn.XLOOKUP($A1570,[1]Sheet1!$N$9:$N$2584,[1]Sheet1!$O$9:$O$2584,"N/A",0)</f>
        <v>107.85</v>
      </c>
      <c r="O1570">
        <v>109.98</v>
      </c>
      <c r="P1570">
        <v>125.8</v>
      </c>
      <c r="Q1570">
        <v>71.82</v>
      </c>
      <c r="R1570">
        <v>107.85</v>
      </c>
      <c r="S1570">
        <v>142.27</v>
      </c>
    </row>
    <row r="1571" spans="1:19">
      <c r="A1571" s="1">
        <v>44644</v>
      </c>
      <c r="B1571" t="s">
        <v>743</v>
      </c>
      <c r="C1571" t="s">
        <v>744</v>
      </c>
      <c r="D1571">
        <v>24.2654</v>
      </c>
      <c r="E1571">
        <v>25.4518</v>
      </c>
      <c r="F1571">
        <v>0.0488926619796087</v>
      </c>
      <c r="G1571">
        <f ca="1" t="shared" si="72"/>
        <v>-0.0352113549538081</v>
      </c>
      <c r="H1571" t="str">
        <f ca="1" t="shared" si="73"/>
        <v>Risk-Off</v>
      </c>
      <c r="I1571">
        <f ca="1" t="shared" si="74"/>
        <v>1</v>
      </c>
      <c r="J1571">
        <f>_xlfn.XLOOKUP($A1571,[1]Sheet1!$B$9:$B$2584,[1]Sheet1!$C$9:$C$2584,"N/A",0)</f>
        <v>109.64</v>
      </c>
      <c r="K1571">
        <f>_xlfn.XLOOKUP($A1571,[1]Sheet1!$E$9:$E$2584,[1]Sheet1!$F$9:$F$2584,"N/A",0)</f>
        <v>125.97</v>
      </c>
      <c r="L1571">
        <f>_xlfn.XLOOKUP($A1571,[1]Sheet1!$H$9:$H$2584,[1]Sheet1!$I$9:$I$2584,"N/A",0)</f>
        <v>71.92</v>
      </c>
      <c r="M1571">
        <f>_xlfn.XLOOKUP($A1571,[1]Sheet1!$K$9:$K$2584,[1]Sheet1!$L$9:$L$2584,"N/A",0)</f>
        <v>142.11</v>
      </c>
      <c r="N1571">
        <f>_xlfn.XLOOKUP($A1571,[1]Sheet1!$N$9:$N$2584,[1]Sheet1!$O$9:$O$2584,"N/A",0)</f>
        <v>108.15</v>
      </c>
      <c r="O1571">
        <v>109.64</v>
      </c>
      <c r="P1571">
        <v>125.97</v>
      </c>
      <c r="Q1571">
        <v>71.92</v>
      </c>
      <c r="R1571">
        <v>108.15</v>
      </c>
      <c r="S1571">
        <v>142.11</v>
      </c>
    </row>
    <row r="1572" spans="1:19">
      <c r="A1572" s="1">
        <v>44645</v>
      </c>
      <c r="B1572" t="s">
        <v>743</v>
      </c>
      <c r="C1572" t="s">
        <v>744</v>
      </c>
      <c r="D1572">
        <v>23.4552</v>
      </c>
      <c r="E1572">
        <v>24.8564</v>
      </c>
      <c r="F1572">
        <v>0.0597394181247654</v>
      </c>
      <c r="G1572">
        <f ca="1" t="shared" si="72"/>
        <v>0.198312776495091</v>
      </c>
      <c r="H1572" t="str">
        <f ca="1" t="shared" si="73"/>
        <v>Risk-On</v>
      </c>
      <c r="I1572">
        <f ca="1" t="shared" si="74"/>
        <v>1</v>
      </c>
      <c r="J1572">
        <f>_xlfn.XLOOKUP($A1572,[1]Sheet1!$B$9:$B$2584,[1]Sheet1!$C$9:$C$2584,"N/A",0)</f>
        <v>109.46</v>
      </c>
      <c r="K1572">
        <f>_xlfn.XLOOKUP($A1572,[1]Sheet1!$E$9:$E$2584,[1]Sheet1!$F$9:$F$2584,"N/A",0)</f>
        <v>127.42</v>
      </c>
      <c r="L1572">
        <f>_xlfn.XLOOKUP($A1572,[1]Sheet1!$H$9:$H$2584,[1]Sheet1!$I$9:$I$2584,"N/A",0)</f>
        <v>72.19</v>
      </c>
      <c r="M1572">
        <f>_xlfn.XLOOKUP($A1572,[1]Sheet1!$K$9:$K$2584,[1]Sheet1!$L$9:$L$2584,"N/A",0)</f>
        <v>142.23</v>
      </c>
      <c r="N1572">
        <f>_xlfn.XLOOKUP($A1572,[1]Sheet1!$N$9:$N$2584,[1]Sheet1!$O$9:$O$2584,"N/A",0)</f>
        <v>108.31</v>
      </c>
      <c r="O1572">
        <v>109.46</v>
      </c>
      <c r="P1572">
        <v>127.42</v>
      </c>
      <c r="Q1572">
        <v>72.19</v>
      </c>
      <c r="R1572">
        <v>108.31</v>
      </c>
      <c r="S1572">
        <v>142.23</v>
      </c>
    </row>
    <row r="1573" spans="1:19">
      <c r="A1573" s="1">
        <v>44648</v>
      </c>
      <c r="B1573" t="s">
        <v>743</v>
      </c>
      <c r="C1573" t="s">
        <v>744</v>
      </c>
      <c r="D1573">
        <v>22.9946</v>
      </c>
      <c r="E1573">
        <v>24.6115</v>
      </c>
      <c r="F1573">
        <v>0.0703165090934393</v>
      </c>
      <c r="G1573">
        <f ca="1" t="shared" si="72"/>
        <v>0.426433215014684</v>
      </c>
      <c r="H1573" t="str">
        <f ca="1" t="shared" si="73"/>
        <v>Risk-On</v>
      </c>
      <c r="I1573">
        <f ca="1" t="shared" si="74"/>
        <v>1</v>
      </c>
      <c r="J1573">
        <f>_xlfn.XLOOKUP($A1573,[1]Sheet1!$B$9:$B$2584,[1]Sheet1!$C$9:$C$2584,"N/A",0)</f>
        <v>109.02</v>
      </c>
      <c r="K1573">
        <f>_xlfn.XLOOKUP($A1573,[1]Sheet1!$E$9:$E$2584,[1]Sheet1!$F$9:$F$2584,"N/A",0)</f>
        <v>128.21</v>
      </c>
      <c r="L1573">
        <f>_xlfn.XLOOKUP($A1573,[1]Sheet1!$H$9:$H$2584,[1]Sheet1!$I$9:$I$2584,"N/A",0)</f>
        <v>71.38</v>
      </c>
      <c r="M1573">
        <f>_xlfn.XLOOKUP($A1573,[1]Sheet1!$K$9:$K$2584,[1]Sheet1!$L$9:$L$2584,"N/A",0)</f>
        <v>142.89</v>
      </c>
      <c r="N1573">
        <f>_xlfn.XLOOKUP($A1573,[1]Sheet1!$N$9:$N$2584,[1]Sheet1!$O$9:$O$2584,"N/A",0)</f>
        <v>109.22</v>
      </c>
      <c r="O1573">
        <v>109.02</v>
      </c>
      <c r="P1573">
        <v>128.21</v>
      </c>
      <c r="Q1573">
        <v>71.38</v>
      </c>
      <c r="R1573">
        <v>109.22</v>
      </c>
      <c r="S1573">
        <v>142.89</v>
      </c>
    </row>
    <row r="1574" spans="1:19">
      <c r="A1574" s="1">
        <v>44649</v>
      </c>
      <c r="B1574" t="s">
        <v>743</v>
      </c>
      <c r="C1574" t="s">
        <v>744</v>
      </c>
      <c r="D1574">
        <v>21.7532</v>
      </c>
      <c r="E1574">
        <v>23.7145</v>
      </c>
      <c r="F1574">
        <v>0.0901614475111708</v>
      </c>
      <c r="G1574">
        <f ca="1" t="shared" si="72"/>
        <v>0.845061149208322</v>
      </c>
      <c r="H1574" t="str">
        <f ca="1" t="shared" si="73"/>
        <v>Risk-On</v>
      </c>
      <c r="I1574">
        <f ca="1" t="shared" si="74"/>
        <v>1</v>
      </c>
      <c r="J1574">
        <f>_xlfn.XLOOKUP($A1574,[1]Sheet1!$B$9:$B$2584,[1]Sheet1!$C$9:$C$2584,"N/A",0)</f>
        <v>108.58</v>
      </c>
      <c r="K1574">
        <f>_xlfn.XLOOKUP($A1574,[1]Sheet1!$E$9:$E$2584,[1]Sheet1!$F$9:$F$2584,"N/A",0)</f>
        <v>125.6</v>
      </c>
      <c r="L1574">
        <f>_xlfn.XLOOKUP($A1574,[1]Sheet1!$H$9:$H$2584,[1]Sheet1!$I$9:$I$2584,"N/A",0)</f>
        <v>71.57</v>
      </c>
      <c r="M1574">
        <f>_xlfn.XLOOKUP($A1574,[1]Sheet1!$K$9:$K$2584,[1]Sheet1!$L$9:$L$2584,"N/A",0)</f>
        <v>142.08</v>
      </c>
      <c r="N1574">
        <f>_xlfn.XLOOKUP($A1574,[1]Sheet1!$N$9:$N$2584,[1]Sheet1!$O$9:$O$2584,"N/A",0)</f>
        <v>108.25</v>
      </c>
      <c r="O1574">
        <v>108.58</v>
      </c>
      <c r="P1574">
        <v>125.6</v>
      </c>
      <c r="Q1574">
        <v>71.57</v>
      </c>
      <c r="R1574">
        <v>108.25</v>
      </c>
      <c r="S1574">
        <v>142.08</v>
      </c>
    </row>
    <row r="1575" spans="1:19">
      <c r="A1575" s="1">
        <v>44650</v>
      </c>
      <c r="B1575" t="s">
        <v>743</v>
      </c>
      <c r="C1575" t="s">
        <v>744</v>
      </c>
      <c r="D1575">
        <v>22.07</v>
      </c>
      <c r="E1575">
        <v>24.0735</v>
      </c>
      <c r="F1575">
        <v>0.0907793384685092</v>
      </c>
      <c r="G1575">
        <f ca="1" t="shared" si="72"/>
        <v>0.856471419613452</v>
      </c>
      <c r="H1575" t="str">
        <f ca="1" t="shared" si="73"/>
        <v>Risk-On</v>
      </c>
      <c r="I1575">
        <f ca="1" t="shared" si="74"/>
        <v>1</v>
      </c>
      <c r="J1575">
        <f>_xlfn.XLOOKUP($A1575,[1]Sheet1!$B$9:$B$2584,[1]Sheet1!$C$9:$C$2584,"N/A",0)</f>
        <v>108.59</v>
      </c>
      <c r="K1575">
        <f>_xlfn.XLOOKUP($A1575,[1]Sheet1!$E$9:$E$2584,[1]Sheet1!$F$9:$F$2584,"N/A",0)</f>
        <v>126.49</v>
      </c>
      <c r="L1575">
        <f>_xlfn.XLOOKUP($A1575,[1]Sheet1!$H$9:$H$2584,[1]Sheet1!$I$9:$I$2584,"N/A",0)</f>
        <v>71.26</v>
      </c>
      <c r="M1575">
        <f>_xlfn.XLOOKUP($A1575,[1]Sheet1!$K$9:$K$2584,[1]Sheet1!$L$9:$L$2584,"N/A",0)</f>
        <v>141.86</v>
      </c>
      <c r="N1575">
        <f>_xlfn.XLOOKUP($A1575,[1]Sheet1!$N$9:$N$2584,[1]Sheet1!$O$9:$O$2584,"N/A",0)</f>
        <v>109.17</v>
      </c>
      <c r="O1575">
        <v>108.59</v>
      </c>
      <c r="P1575">
        <v>126.49</v>
      </c>
      <c r="Q1575">
        <v>71.26</v>
      </c>
      <c r="R1575">
        <v>109.17</v>
      </c>
      <c r="S1575">
        <v>141.86</v>
      </c>
    </row>
    <row r="1576" spans="1:19">
      <c r="A1576" s="1">
        <v>44651</v>
      </c>
      <c r="B1576" t="s">
        <v>743</v>
      </c>
      <c r="C1576" t="s">
        <v>744</v>
      </c>
      <c r="D1576">
        <v>23.469</v>
      </c>
      <c r="E1576">
        <v>24.9877</v>
      </c>
      <c r="F1576">
        <v>0.0647108952234862</v>
      </c>
      <c r="G1576">
        <f ca="1" t="shared" si="72"/>
        <v>0.308767745128476</v>
      </c>
      <c r="H1576" t="str">
        <f ca="1" t="shared" si="73"/>
        <v>Risk-On</v>
      </c>
      <c r="I1576">
        <f ca="1" t="shared" si="74"/>
        <v>1</v>
      </c>
      <c r="J1576">
        <f>_xlfn.XLOOKUP($A1576,[1]Sheet1!$B$9:$B$2584,[1]Sheet1!$C$9:$C$2584,"N/A",0)</f>
        <v>108.28</v>
      </c>
      <c r="K1576">
        <f>_xlfn.XLOOKUP($A1576,[1]Sheet1!$E$9:$E$2584,[1]Sheet1!$F$9:$F$2584,"N/A",0)</f>
        <v>126.82</v>
      </c>
      <c r="L1576">
        <f>_xlfn.XLOOKUP($A1576,[1]Sheet1!$H$9:$H$2584,[1]Sheet1!$I$9:$I$2584,"N/A",0)</f>
        <v>70.71</v>
      </c>
      <c r="M1576">
        <f>_xlfn.XLOOKUP($A1576,[1]Sheet1!$K$9:$K$2584,[1]Sheet1!$L$9:$L$2584,"N/A",0)</f>
        <v>141.36</v>
      </c>
      <c r="N1576">
        <f>_xlfn.XLOOKUP($A1576,[1]Sheet1!$N$9:$N$2584,[1]Sheet1!$O$9:$O$2584,"N/A",0)</f>
        <v>108.24</v>
      </c>
      <c r="O1576">
        <v>108.28</v>
      </c>
      <c r="P1576">
        <v>126.82</v>
      </c>
      <c r="Q1576">
        <v>70.71</v>
      </c>
      <c r="R1576">
        <v>108.24</v>
      </c>
      <c r="S1576">
        <v>141.36</v>
      </c>
    </row>
    <row r="1577" spans="1:19">
      <c r="A1577" s="1">
        <v>44652</v>
      </c>
      <c r="B1577" t="s">
        <v>743</v>
      </c>
      <c r="C1577" t="s">
        <v>744</v>
      </c>
      <c r="D1577">
        <v>22.3324</v>
      </c>
      <c r="E1577">
        <v>24.2141</v>
      </c>
      <c r="F1577">
        <v>0.0842587451415879</v>
      </c>
      <c r="G1577">
        <f ca="1" t="shared" si="72"/>
        <v>0.72805954432289</v>
      </c>
      <c r="H1577" t="str">
        <f ca="1" t="shared" si="73"/>
        <v>Risk-On</v>
      </c>
      <c r="I1577">
        <f ca="1" t="shared" si="74"/>
        <v>1</v>
      </c>
      <c r="J1577">
        <f>_xlfn.XLOOKUP($A1577,[1]Sheet1!$B$9:$B$2584,[1]Sheet1!$C$9:$C$2584,"N/A",0)</f>
        <v>108.42</v>
      </c>
      <c r="K1577">
        <f>_xlfn.XLOOKUP($A1577,[1]Sheet1!$E$9:$E$2584,[1]Sheet1!$F$9:$F$2584,"N/A",0)</f>
        <v>125.68</v>
      </c>
      <c r="L1577">
        <f>_xlfn.XLOOKUP($A1577,[1]Sheet1!$H$9:$H$2584,[1]Sheet1!$I$9:$I$2584,"N/A",0)</f>
        <v>70.48</v>
      </c>
      <c r="M1577">
        <f>_xlfn.XLOOKUP($A1577,[1]Sheet1!$K$9:$K$2584,[1]Sheet1!$L$9:$L$2584,"N/A",0)</f>
        <v>140.6</v>
      </c>
      <c r="N1577">
        <f>_xlfn.XLOOKUP($A1577,[1]Sheet1!$N$9:$N$2584,[1]Sheet1!$O$9:$O$2584,"N/A",0)</f>
        <v>107.74</v>
      </c>
      <c r="O1577">
        <v>108.42</v>
      </c>
      <c r="P1577">
        <v>125.68</v>
      </c>
      <c r="Q1577">
        <v>70.48</v>
      </c>
      <c r="R1577">
        <v>107.74</v>
      </c>
      <c r="S1577">
        <v>140.6</v>
      </c>
    </row>
    <row r="1578" spans="1:19">
      <c r="A1578" s="1">
        <v>44655</v>
      </c>
      <c r="B1578" t="s">
        <v>743</v>
      </c>
      <c r="C1578" t="s">
        <v>744</v>
      </c>
      <c r="D1578">
        <v>20.9619</v>
      </c>
      <c r="E1578">
        <v>23.1475</v>
      </c>
      <c r="F1578" s="2" t="s">
        <v>749</v>
      </c>
      <c r="G1578">
        <f ca="1" t="shared" si="72"/>
        <v>1.15579921472313</v>
      </c>
      <c r="H1578" t="str">
        <f ca="1" t="shared" si="73"/>
        <v>Risk-On</v>
      </c>
      <c r="I1578">
        <f ca="1" t="shared" si="74"/>
        <v>1</v>
      </c>
      <c r="J1578">
        <f>_xlfn.XLOOKUP($A1578,[1]Sheet1!$B$9:$B$2584,[1]Sheet1!$C$9:$C$2584,"N/A",0)</f>
        <v>108.47</v>
      </c>
      <c r="K1578">
        <f>_xlfn.XLOOKUP($A1578,[1]Sheet1!$E$9:$E$2584,[1]Sheet1!$F$9:$F$2584,"N/A",0)</f>
        <v>122.84</v>
      </c>
      <c r="L1578">
        <f>_xlfn.XLOOKUP($A1578,[1]Sheet1!$H$9:$H$2584,[1]Sheet1!$I$9:$I$2584,"N/A",0)</f>
        <v>70.51</v>
      </c>
      <c r="M1578">
        <f>_xlfn.XLOOKUP($A1578,[1]Sheet1!$K$9:$K$2584,[1]Sheet1!$L$9:$L$2584,"N/A",0)</f>
        <v>140.63</v>
      </c>
      <c r="N1578">
        <f>_xlfn.XLOOKUP($A1578,[1]Sheet1!$N$9:$N$2584,[1]Sheet1!$O$9:$O$2584,"N/A",0)</f>
        <v>108.02</v>
      </c>
      <c r="O1578">
        <v>108.47</v>
      </c>
      <c r="P1578">
        <v>122.84</v>
      </c>
      <c r="Q1578">
        <v>70.51</v>
      </c>
      <c r="R1578">
        <v>108.02</v>
      </c>
      <c r="S1578">
        <v>140.63</v>
      </c>
    </row>
    <row r="1579" spans="1:19">
      <c r="A1579" s="1">
        <v>44656</v>
      </c>
      <c r="B1579" t="s">
        <v>743</v>
      </c>
      <c r="C1579" t="s">
        <v>744</v>
      </c>
      <c r="D1579">
        <v>23.2559</v>
      </c>
      <c r="E1579">
        <v>24.8412</v>
      </c>
      <c r="F1579">
        <v>0.0681676477797032</v>
      </c>
      <c r="G1579">
        <f ca="1" t="shared" si="72"/>
        <v>0.400052354398307</v>
      </c>
      <c r="H1579" t="str">
        <f ca="1" t="shared" si="73"/>
        <v>Risk-On</v>
      </c>
      <c r="I1579">
        <f ca="1" t="shared" si="74"/>
        <v>1</v>
      </c>
      <c r="J1579">
        <f>_xlfn.XLOOKUP($A1579,[1]Sheet1!$B$9:$B$2584,[1]Sheet1!$C$9:$C$2584,"N/A",0)</f>
        <v>108.5</v>
      </c>
      <c r="K1579">
        <f>_xlfn.XLOOKUP($A1579,[1]Sheet1!$E$9:$E$2584,[1]Sheet1!$F$9:$F$2584,"N/A",0)</f>
        <v>123.78</v>
      </c>
      <c r="L1579">
        <f>_xlfn.XLOOKUP($A1579,[1]Sheet1!$H$9:$H$2584,[1]Sheet1!$I$9:$I$2584,"N/A",0)</f>
        <v>69.81</v>
      </c>
      <c r="M1579">
        <f>_xlfn.XLOOKUP($A1579,[1]Sheet1!$K$9:$K$2584,[1]Sheet1!$L$9:$L$2584,"N/A",0)</f>
        <v>140.53</v>
      </c>
      <c r="N1579">
        <f>_xlfn.XLOOKUP($A1579,[1]Sheet1!$N$9:$N$2584,[1]Sheet1!$O$9:$O$2584,"N/A",0)</f>
        <v>108.85</v>
      </c>
      <c r="O1579">
        <v>108.5</v>
      </c>
      <c r="P1579">
        <v>123.78</v>
      </c>
      <c r="Q1579">
        <v>69.81</v>
      </c>
      <c r="R1579">
        <v>108.85</v>
      </c>
      <c r="S1579">
        <v>140.53</v>
      </c>
    </row>
    <row r="1580" spans="1:19">
      <c r="A1580" s="1">
        <v>44657</v>
      </c>
      <c r="B1580" t="s">
        <v>743</v>
      </c>
      <c r="C1580" t="s">
        <v>744</v>
      </c>
      <c r="D1580">
        <v>23.7022</v>
      </c>
      <c r="E1580">
        <v>25.3363</v>
      </c>
      <c r="F1580">
        <v>0.0689429673194893</v>
      </c>
      <c r="G1580">
        <f ca="1" t="shared" si="72"/>
        <v>0.414704591142123</v>
      </c>
      <c r="H1580" t="str">
        <f ca="1" t="shared" si="73"/>
        <v>Risk-On</v>
      </c>
      <c r="I1580">
        <f ca="1" t="shared" si="74"/>
        <v>1</v>
      </c>
      <c r="J1580">
        <f>_xlfn.XLOOKUP($A1580,[1]Sheet1!$B$9:$B$2584,[1]Sheet1!$C$9:$C$2584,"N/A",0)</f>
        <v>108.58</v>
      </c>
      <c r="K1580">
        <f>_xlfn.XLOOKUP($A1580,[1]Sheet1!$E$9:$E$2584,[1]Sheet1!$F$9:$F$2584,"N/A",0)</f>
        <v>125.13</v>
      </c>
      <c r="L1580">
        <f>_xlfn.XLOOKUP($A1580,[1]Sheet1!$H$9:$H$2584,[1]Sheet1!$I$9:$I$2584,"N/A",0)</f>
        <v>69.54</v>
      </c>
      <c r="M1580">
        <f>_xlfn.XLOOKUP($A1580,[1]Sheet1!$K$9:$K$2584,[1]Sheet1!$L$9:$L$2584,"N/A",0)</f>
        <v>141.02</v>
      </c>
      <c r="N1580">
        <f>_xlfn.XLOOKUP($A1580,[1]Sheet1!$N$9:$N$2584,[1]Sheet1!$O$9:$O$2584,"N/A",0)</f>
        <v>109.32</v>
      </c>
      <c r="O1580">
        <v>108.58</v>
      </c>
      <c r="P1580">
        <v>125.13</v>
      </c>
      <c r="Q1580">
        <v>69.54</v>
      </c>
      <c r="R1580">
        <v>109.32</v>
      </c>
      <c r="S1580">
        <v>141.02</v>
      </c>
    </row>
    <row r="1581" spans="1:19">
      <c r="A1581" s="1">
        <v>44658</v>
      </c>
      <c r="B1581" t="s">
        <v>743</v>
      </c>
      <c r="C1581" t="s">
        <v>744</v>
      </c>
      <c r="D1581">
        <v>22.9769</v>
      </c>
      <c r="E1581">
        <v>24.7128</v>
      </c>
      <c r="F1581">
        <v>0.0755497913121439</v>
      </c>
      <c r="G1581">
        <f ca="1" t="shared" si="72"/>
        <v>0.553628788076202</v>
      </c>
      <c r="H1581" t="str">
        <f ca="1" t="shared" si="73"/>
        <v>Risk-On</v>
      </c>
      <c r="I1581">
        <f ca="1" t="shared" si="74"/>
        <v>1</v>
      </c>
      <c r="J1581">
        <f>_xlfn.XLOOKUP($A1581,[1]Sheet1!$B$9:$B$2584,[1]Sheet1!$C$9:$C$2584,"N/A",0)</f>
        <v>108.43</v>
      </c>
      <c r="K1581">
        <f>_xlfn.XLOOKUP($A1581,[1]Sheet1!$E$9:$E$2584,[1]Sheet1!$F$9:$F$2584,"N/A",0)</f>
        <v>127.27</v>
      </c>
      <c r="L1581">
        <f>_xlfn.XLOOKUP($A1581,[1]Sheet1!$H$9:$H$2584,[1]Sheet1!$I$9:$I$2584,"N/A",0)</f>
        <v>69.54</v>
      </c>
      <c r="M1581">
        <f>_xlfn.XLOOKUP($A1581,[1]Sheet1!$K$9:$K$2584,[1]Sheet1!$L$9:$L$2584,"N/A",0)</f>
        <v>142.34</v>
      </c>
      <c r="N1581">
        <f>_xlfn.XLOOKUP($A1581,[1]Sheet1!$N$9:$N$2584,[1]Sheet1!$O$9:$O$2584,"N/A",0)</f>
        <v>109.53</v>
      </c>
      <c r="O1581">
        <v>108.43</v>
      </c>
      <c r="P1581">
        <v>127.27</v>
      </c>
      <c r="Q1581">
        <v>69.54</v>
      </c>
      <c r="R1581">
        <v>109.53</v>
      </c>
      <c r="S1581">
        <v>142.34</v>
      </c>
    </row>
    <row r="1582" spans="1:19">
      <c r="A1582" s="1">
        <v>44659</v>
      </c>
      <c r="B1582" t="s">
        <v>743</v>
      </c>
      <c r="C1582" t="s">
        <v>744</v>
      </c>
      <c r="D1582">
        <v>22.8475</v>
      </c>
      <c r="E1582">
        <v>24.7489</v>
      </c>
      <c r="F1582">
        <v>0.0832213590108326</v>
      </c>
      <c r="G1582">
        <f ca="1" t="shared" si="72"/>
        <v>0.71478997441197</v>
      </c>
      <c r="H1582" t="str">
        <f ca="1" t="shared" si="73"/>
        <v>Risk-On</v>
      </c>
      <c r="I1582">
        <f ca="1" t="shared" si="74"/>
        <v>1</v>
      </c>
      <c r="J1582">
        <f>_xlfn.XLOOKUP($A1582,[1]Sheet1!$B$9:$B$2584,[1]Sheet1!$C$9:$C$2584,"N/A",0)</f>
        <v>108.55</v>
      </c>
      <c r="K1582">
        <f>_xlfn.XLOOKUP($A1582,[1]Sheet1!$E$9:$E$2584,[1]Sheet1!$F$9:$F$2584,"N/A",0)</f>
        <v>127.68</v>
      </c>
      <c r="L1582">
        <f>_xlfn.XLOOKUP($A1582,[1]Sheet1!$H$9:$H$2584,[1]Sheet1!$I$9:$I$2584,"N/A",0)</f>
        <v>70.39</v>
      </c>
      <c r="M1582">
        <f>_xlfn.XLOOKUP($A1582,[1]Sheet1!$K$9:$K$2584,[1]Sheet1!$L$9:$L$2584,"N/A",0)</f>
        <v>142.79</v>
      </c>
      <c r="N1582">
        <f>_xlfn.XLOOKUP($A1582,[1]Sheet1!$N$9:$N$2584,[1]Sheet1!$O$9:$O$2584,"N/A",0)</f>
        <v>109.88</v>
      </c>
      <c r="O1582">
        <v>108.55</v>
      </c>
      <c r="P1582">
        <v>127.68</v>
      </c>
      <c r="Q1582">
        <v>70.39</v>
      </c>
      <c r="R1582">
        <v>109.88</v>
      </c>
      <c r="S1582">
        <v>142.79</v>
      </c>
    </row>
    <row r="1583" spans="1:19">
      <c r="A1583" s="1">
        <v>44662</v>
      </c>
      <c r="B1583" t="s">
        <v>743</v>
      </c>
      <c r="C1583" t="s">
        <v>744</v>
      </c>
      <c r="D1583">
        <v>24.7042</v>
      </c>
      <c r="E1583">
        <v>25.9219</v>
      </c>
      <c r="F1583" s="2" t="s">
        <v>750</v>
      </c>
      <c r="G1583">
        <f ca="1" t="shared" si="72"/>
        <v>-0.0158796417821622</v>
      </c>
      <c r="H1583" t="str">
        <f ca="1" t="shared" si="73"/>
        <v>Risk-On</v>
      </c>
      <c r="I1583">
        <f ca="1" t="shared" si="74"/>
        <v>1</v>
      </c>
      <c r="J1583">
        <f>_xlfn.XLOOKUP($A1583,[1]Sheet1!$B$9:$B$2584,[1]Sheet1!$C$9:$C$2584,"N/A",0)</f>
        <v>107.81</v>
      </c>
      <c r="K1583">
        <f>_xlfn.XLOOKUP($A1583,[1]Sheet1!$E$9:$E$2584,[1]Sheet1!$F$9:$F$2584,"N/A",0)</f>
        <v>126.04</v>
      </c>
      <c r="L1583">
        <f>_xlfn.XLOOKUP($A1583,[1]Sheet1!$H$9:$H$2584,[1]Sheet1!$I$9:$I$2584,"N/A",0)</f>
        <v>70.88</v>
      </c>
      <c r="M1583">
        <f>_xlfn.XLOOKUP($A1583,[1]Sheet1!$K$9:$K$2584,[1]Sheet1!$L$9:$L$2584,"N/A",0)</f>
        <v>141.35</v>
      </c>
      <c r="N1583">
        <f>_xlfn.XLOOKUP($A1583,[1]Sheet1!$N$9:$N$2584,[1]Sheet1!$O$9:$O$2584,"N/A",0)</f>
        <v>109.29</v>
      </c>
      <c r="O1583">
        <v>107.81</v>
      </c>
      <c r="P1583">
        <v>126.04</v>
      </c>
      <c r="Q1583">
        <v>70.88</v>
      </c>
      <c r="R1583">
        <v>109.29</v>
      </c>
      <c r="S1583">
        <v>141.35</v>
      </c>
    </row>
    <row r="1584" spans="1:19">
      <c r="A1584" s="1">
        <v>44663</v>
      </c>
      <c r="B1584" t="s">
        <v>743</v>
      </c>
      <c r="C1584" t="s">
        <v>744</v>
      </c>
      <c r="D1584">
        <v>25.0641</v>
      </c>
      <c r="E1584">
        <v>26.2047</v>
      </c>
      <c r="F1584">
        <v>0.0455073192334853</v>
      </c>
      <c r="G1584">
        <f ca="1" t="shared" si="72"/>
        <v>-0.0969024210679913</v>
      </c>
      <c r="H1584" t="str">
        <f ca="1" t="shared" si="73"/>
        <v>Risk-On</v>
      </c>
      <c r="I1584">
        <f ca="1" t="shared" si="74"/>
        <v>1</v>
      </c>
      <c r="J1584">
        <f>_xlfn.XLOOKUP($A1584,[1]Sheet1!$B$9:$B$2584,[1]Sheet1!$C$9:$C$2584,"N/A",0)</f>
        <v>107.42</v>
      </c>
      <c r="K1584">
        <f>_xlfn.XLOOKUP($A1584,[1]Sheet1!$E$9:$E$2584,[1]Sheet1!$F$9:$F$2584,"N/A",0)</f>
        <v>127.14</v>
      </c>
      <c r="L1584">
        <f>_xlfn.XLOOKUP($A1584,[1]Sheet1!$H$9:$H$2584,[1]Sheet1!$I$9:$I$2584,"N/A",0)</f>
        <v>71.12</v>
      </c>
      <c r="M1584">
        <f>_xlfn.XLOOKUP($A1584,[1]Sheet1!$K$9:$K$2584,[1]Sheet1!$L$9:$L$2584,"N/A",0)</f>
        <v>141.37</v>
      </c>
      <c r="N1584">
        <f>_xlfn.XLOOKUP($A1584,[1]Sheet1!$N$9:$N$2584,[1]Sheet1!$O$9:$O$2584,"N/A",0)</f>
        <v>108.42</v>
      </c>
      <c r="O1584">
        <v>107.42</v>
      </c>
      <c r="P1584">
        <v>127.14</v>
      </c>
      <c r="Q1584">
        <v>71.12</v>
      </c>
      <c r="R1584">
        <v>108.42</v>
      </c>
      <c r="S1584">
        <v>141.37</v>
      </c>
    </row>
    <row r="1585" spans="1:19">
      <c r="A1585" s="1">
        <v>44664</v>
      </c>
      <c r="B1585" t="s">
        <v>743</v>
      </c>
      <c r="C1585" t="s">
        <v>744</v>
      </c>
      <c r="D1585">
        <v>22.6858</v>
      </c>
      <c r="E1585">
        <v>24.4289</v>
      </c>
      <c r="F1585">
        <v>0.0768366114485712</v>
      </c>
      <c r="G1585">
        <f ca="1" t="shared" si="72"/>
        <v>0.57687921796411</v>
      </c>
      <c r="H1585" t="str">
        <f ca="1" t="shared" si="73"/>
        <v>Risk-On</v>
      </c>
      <c r="I1585">
        <f ca="1" t="shared" si="74"/>
        <v>1</v>
      </c>
      <c r="J1585">
        <f>_xlfn.XLOOKUP($A1585,[1]Sheet1!$B$9:$B$2584,[1]Sheet1!$C$9:$C$2584,"N/A",0)</f>
        <v>107.17</v>
      </c>
      <c r="K1585">
        <f>_xlfn.XLOOKUP($A1585,[1]Sheet1!$E$9:$E$2584,[1]Sheet1!$F$9:$F$2584,"N/A",0)</f>
        <v>127.37</v>
      </c>
      <c r="L1585">
        <f>_xlfn.XLOOKUP($A1585,[1]Sheet1!$H$9:$H$2584,[1]Sheet1!$I$9:$I$2584,"N/A",0)</f>
        <v>70.96</v>
      </c>
      <c r="M1585">
        <f>_xlfn.XLOOKUP($A1585,[1]Sheet1!$K$9:$K$2584,[1]Sheet1!$L$9:$L$2584,"N/A",0)</f>
        <v>140.79</v>
      </c>
      <c r="N1585">
        <f>_xlfn.XLOOKUP($A1585,[1]Sheet1!$N$9:$N$2584,[1]Sheet1!$O$9:$O$2584,"N/A",0)</f>
        <v>108.08</v>
      </c>
      <c r="O1585">
        <v>107.17</v>
      </c>
      <c r="P1585">
        <v>127.37</v>
      </c>
      <c r="Q1585">
        <v>70.96</v>
      </c>
      <c r="R1585">
        <v>108.08</v>
      </c>
      <c r="S1585">
        <v>140.79</v>
      </c>
    </row>
    <row r="1586" spans="1:19">
      <c r="A1586" s="1">
        <v>44665</v>
      </c>
      <c r="B1586" t="s">
        <v>743</v>
      </c>
      <c r="C1586" t="s">
        <v>744</v>
      </c>
      <c r="D1586">
        <v>23.4211</v>
      </c>
      <c r="E1586">
        <v>25.0983</v>
      </c>
      <c r="F1586">
        <v>0.0716106416863426</v>
      </c>
      <c r="G1586">
        <f ca="1" t="shared" si="72"/>
        <v>0.461359669327543</v>
      </c>
      <c r="H1586" t="str">
        <f ca="1" t="shared" si="73"/>
        <v>Risk-On</v>
      </c>
      <c r="I1586">
        <f ca="1" t="shared" si="74"/>
        <v>1</v>
      </c>
      <c r="J1586">
        <f>_xlfn.XLOOKUP($A1586,[1]Sheet1!$B$9:$B$2584,[1]Sheet1!$C$9:$C$2584,"N/A",0)</f>
        <v>107.13</v>
      </c>
      <c r="K1586">
        <f>_xlfn.XLOOKUP($A1586,[1]Sheet1!$E$9:$E$2584,[1]Sheet1!$F$9:$F$2584,"N/A",0)</f>
        <v>127.56</v>
      </c>
      <c r="L1586">
        <f>_xlfn.XLOOKUP($A1586,[1]Sheet1!$H$9:$H$2584,[1]Sheet1!$I$9:$I$2584,"N/A",0)</f>
        <v>71.26</v>
      </c>
      <c r="M1586">
        <f>_xlfn.XLOOKUP($A1586,[1]Sheet1!$K$9:$K$2584,[1]Sheet1!$L$9:$L$2584,"N/A",0)</f>
        <v>140.14</v>
      </c>
      <c r="N1586">
        <f>_xlfn.XLOOKUP($A1586,[1]Sheet1!$N$9:$N$2584,[1]Sheet1!$O$9:$O$2584,"N/A",0)</f>
        <v>108.1</v>
      </c>
      <c r="O1586">
        <v>107.13</v>
      </c>
      <c r="P1586">
        <v>127.56</v>
      </c>
      <c r="Q1586">
        <v>71.26</v>
      </c>
      <c r="R1586">
        <v>108.1</v>
      </c>
      <c r="S1586">
        <v>140.14</v>
      </c>
    </row>
    <row r="1587" spans="1:19">
      <c r="A1587" s="1">
        <v>44669</v>
      </c>
      <c r="B1587" t="s">
        <v>743</v>
      </c>
      <c r="C1587" t="s">
        <v>744</v>
      </c>
      <c r="D1587">
        <v>22.9518</v>
      </c>
      <c r="E1587">
        <v>24.7867</v>
      </c>
      <c r="F1587">
        <v>0.0799457994579946</v>
      </c>
      <c r="G1587">
        <f ca="1" t="shared" si="72"/>
        <v>0.639424637325207</v>
      </c>
      <c r="H1587" t="str">
        <f ca="1" t="shared" si="73"/>
        <v>Risk-On</v>
      </c>
      <c r="I1587">
        <f ca="1" t="shared" si="74"/>
        <v>1</v>
      </c>
      <c r="J1587">
        <f>_xlfn.XLOOKUP($A1587,[1]Sheet1!$B$9:$B$2584,[1]Sheet1!$C$9:$C$2584,"N/A",0)</f>
        <v>107.25</v>
      </c>
      <c r="K1587">
        <f>_xlfn.XLOOKUP($A1587,[1]Sheet1!$E$9:$E$2584,[1]Sheet1!$F$9:$F$2584,"N/A",0)</f>
        <v>129.23</v>
      </c>
      <c r="L1587">
        <f>_xlfn.XLOOKUP($A1587,[1]Sheet1!$H$9:$H$2584,[1]Sheet1!$I$9:$I$2584,"N/A",0)</f>
        <v>72.39</v>
      </c>
      <c r="M1587">
        <f>_xlfn.XLOOKUP($A1587,[1]Sheet1!$K$9:$K$2584,[1]Sheet1!$L$9:$L$2584,"N/A",0)</f>
        <v>141</v>
      </c>
      <c r="N1587">
        <f>_xlfn.XLOOKUP($A1587,[1]Sheet1!$N$9:$N$2584,[1]Sheet1!$O$9:$O$2584,"N/A",0)</f>
        <v>108.35</v>
      </c>
      <c r="O1587">
        <v>107.25</v>
      </c>
      <c r="P1587">
        <v>129.23</v>
      </c>
      <c r="Q1587">
        <v>72.39</v>
      </c>
      <c r="R1587">
        <v>108.35</v>
      </c>
      <c r="S1587">
        <v>141</v>
      </c>
    </row>
    <row r="1588" spans="1:19">
      <c r="A1588" s="1">
        <v>44670</v>
      </c>
      <c r="B1588" t="s">
        <v>743</v>
      </c>
      <c r="C1588" t="s">
        <v>744</v>
      </c>
      <c r="D1588">
        <v>21.1489</v>
      </c>
      <c r="E1588">
        <v>23.5416</v>
      </c>
      <c r="F1588" s="2" t="s">
        <v>751</v>
      </c>
      <c r="G1588">
        <f ca="1" t="shared" si="72"/>
        <v>1.35506824973953</v>
      </c>
      <c r="H1588" t="str">
        <f ca="1" t="shared" si="73"/>
        <v>Risk-On</v>
      </c>
      <c r="I1588">
        <f ca="1" t="shared" si="74"/>
        <v>1</v>
      </c>
      <c r="J1588">
        <f>_xlfn.XLOOKUP($A1588,[1]Sheet1!$B$9:$B$2584,[1]Sheet1!$C$9:$C$2584,"N/A",0)</f>
        <v>107.06</v>
      </c>
      <c r="K1588">
        <f>_xlfn.XLOOKUP($A1588,[1]Sheet1!$E$9:$E$2584,[1]Sheet1!$F$9:$F$2584,"N/A",0)</f>
        <v>128.44</v>
      </c>
      <c r="L1588">
        <f>_xlfn.XLOOKUP($A1588,[1]Sheet1!$H$9:$H$2584,[1]Sheet1!$I$9:$I$2584,"N/A",0)</f>
        <v>72.02</v>
      </c>
      <c r="M1588">
        <f>_xlfn.XLOOKUP($A1588,[1]Sheet1!$K$9:$K$2584,[1]Sheet1!$L$9:$L$2584,"N/A",0)</f>
        <v>141.21</v>
      </c>
      <c r="N1588">
        <f>_xlfn.XLOOKUP($A1588,[1]Sheet1!$N$9:$N$2584,[1]Sheet1!$O$9:$O$2584,"N/A",0)</f>
        <v>108.3</v>
      </c>
      <c r="O1588">
        <v>107.06</v>
      </c>
      <c r="P1588">
        <v>128.44</v>
      </c>
      <c r="Q1588">
        <v>72.02</v>
      </c>
      <c r="R1588">
        <v>108.3</v>
      </c>
      <c r="S1588">
        <v>141.21</v>
      </c>
    </row>
    <row r="1589" spans="1:19">
      <c r="A1589" s="1">
        <v>44671</v>
      </c>
      <c r="B1589" t="s">
        <v>743</v>
      </c>
      <c r="C1589" t="s">
        <v>744</v>
      </c>
      <c r="D1589">
        <v>20.3</v>
      </c>
      <c r="E1589">
        <v>22.9919</v>
      </c>
      <c r="F1589" s="2" t="s">
        <v>752</v>
      </c>
      <c r="G1589">
        <f ca="1" t="shared" si="72"/>
        <v>1.77684439918268</v>
      </c>
      <c r="H1589" t="str">
        <f ca="1" t="shared" si="73"/>
        <v>Risk-On</v>
      </c>
      <c r="I1589">
        <f ca="1" t="shared" si="74"/>
        <v>1</v>
      </c>
      <c r="J1589">
        <f>_xlfn.XLOOKUP($A1589,[1]Sheet1!$B$9:$B$2584,[1]Sheet1!$C$9:$C$2584,"N/A",0)</f>
        <v>106.4</v>
      </c>
      <c r="K1589">
        <f>_xlfn.XLOOKUP($A1589,[1]Sheet1!$E$9:$E$2584,[1]Sheet1!$F$9:$F$2584,"N/A",0)</f>
        <v>130.86</v>
      </c>
      <c r="L1589">
        <f>_xlfn.XLOOKUP($A1589,[1]Sheet1!$H$9:$H$2584,[1]Sheet1!$I$9:$I$2584,"N/A",0)</f>
        <v>72.09</v>
      </c>
      <c r="M1589">
        <f>_xlfn.XLOOKUP($A1589,[1]Sheet1!$K$9:$K$2584,[1]Sheet1!$L$9:$L$2584,"N/A",0)</f>
        <v>141.27</v>
      </c>
      <c r="N1589">
        <f>_xlfn.XLOOKUP($A1589,[1]Sheet1!$N$9:$N$2584,[1]Sheet1!$O$9:$O$2584,"N/A",0)</f>
        <v>108.3</v>
      </c>
      <c r="O1589">
        <v>106.4</v>
      </c>
      <c r="P1589">
        <v>130.86</v>
      </c>
      <c r="Q1589">
        <v>72.09</v>
      </c>
      <c r="R1589">
        <v>108.3</v>
      </c>
      <c r="S1589">
        <v>141.27</v>
      </c>
    </row>
    <row r="1590" spans="1:19">
      <c r="A1590" s="1">
        <v>44672</v>
      </c>
      <c r="B1590" t="s">
        <v>744</v>
      </c>
      <c r="C1590" t="s">
        <v>753</v>
      </c>
      <c r="D1590">
        <v>24.6907</v>
      </c>
      <c r="E1590">
        <v>25.9855</v>
      </c>
      <c r="F1590">
        <v>0.0524407975472545</v>
      </c>
      <c r="G1590">
        <f ca="1" t="shared" si="72"/>
        <v>0.0379125722137235</v>
      </c>
      <c r="H1590" t="str">
        <f ca="1" t="shared" si="73"/>
        <v>Risk-On</v>
      </c>
      <c r="I1590">
        <f ca="1" t="shared" si="74"/>
        <v>1</v>
      </c>
      <c r="J1590">
        <f>_xlfn.XLOOKUP($A1590,[1]Sheet1!$B$9:$B$2584,[1]Sheet1!$C$9:$C$2584,"N/A",0)</f>
        <v>105.88</v>
      </c>
      <c r="K1590">
        <f>_xlfn.XLOOKUP($A1590,[1]Sheet1!$E$9:$E$2584,[1]Sheet1!$F$9:$F$2584,"N/A",0)</f>
        <v>130.32</v>
      </c>
      <c r="L1590">
        <f>_xlfn.XLOOKUP($A1590,[1]Sheet1!$H$9:$H$2584,[1]Sheet1!$I$9:$I$2584,"N/A",0)</f>
        <v>72.76</v>
      </c>
      <c r="M1590">
        <f>_xlfn.XLOOKUP($A1590,[1]Sheet1!$K$9:$K$2584,[1]Sheet1!$L$9:$L$2584,"N/A",0)</f>
        <v>141.73</v>
      </c>
      <c r="N1590">
        <f>_xlfn.XLOOKUP($A1590,[1]Sheet1!$N$9:$N$2584,[1]Sheet1!$O$9:$O$2584,"N/A",0)</f>
        <v>108.99</v>
      </c>
      <c r="O1590">
        <v>105.88</v>
      </c>
      <c r="P1590">
        <v>130.32</v>
      </c>
      <c r="Q1590">
        <v>72.76</v>
      </c>
      <c r="R1590">
        <v>108.99</v>
      </c>
      <c r="S1590">
        <v>141.73</v>
      </c>
    </row>
    <row r="1591" spans="1:19">
      <c r="A1591" s="1">
        <v>44673</v>
      </c>
      <c r="B1591" t="s">
        <v>744</v>
      </c>
      <c r="C1591" t="s">
        <v>753</v>
      </c>
      <c r="D1591">
        <v>27.9879</v>
      </c>
      <c r="E1591">
        <v>28.2171</v>
      </c>
      <c r="F1591">
        <v>0.00818925321299557</v>
      </c>
      <c r="G1591">
        <f ca="1" t="shared" si="72"/>
        <v>-0.914501992163928</v>
      </c>
      <c r="H1591" t="str">
        <f ca="1" t="shared" si="73"/>
        <v>Risk-On</v>
      </c>
      <c r="I1591">
        <f ca="1" t="shared" si="74"/>
        <v>1</v>
      </c>
      <c r="J1591">
        <f>_xlfn.XLOOKUP($A1591,[1]Sheet1!$B$9:$B$2584,[1]Sheet1!$C$9:$C$2584,"N/A",0)</f>
        <v>106.03</v>
      </c>
      <c r="K1591">
        <f>_xlfn.XLOOKUP($A1591,[1]Sheet1!$E$9:$E$2584,[1]Sheet1!$F$9:$F$2584,"N/A",0)</f>
        <v>129.08</v>
      </c>
      <c r="L1591">
        <f>_xlfn.XLOOKUP($A1591,[1]Sheet1!$H$9:$H$2584,[1]Sheet1!$I$9:$I$2584,"N/A",0)</f>
        <v>72.14</v>
      </c>
      <c r="M1591">
        <f>_xlfn.XLOOKUP($A1591,[1]Sheet1!$K$9:$K$2584,[1]Sheet1!$L$9:$L$2584,"N/A",0)</f>
        <v>142.3</v>
      </c>
      <c r="N1591">
        <f>_xlfn.XLOOKUP($A1591,[1]Sheet1!$N$9:$N$2584,[1]Sheet1!$O$9:$O$2584,"N/A",0)</f>
        <v>108.4</v>
      </c>
      <c r="O1591">
        <v>106.03</v>
      </c>
      <c r="P1591">
        <v>129.08</v>
      </c>
      <c r="Q1591">
        <v>72.14</v>
      </c>
      <c r="R1591">
        <v>108.4</v>
      </c>
      <c r="S1591">
        <v>142.3</v>
      </c>
    </row>
    <row r="1592" spans="1:19">
      <c r="A1592" s="1">
        <v>44676</v>
      </c>
      <c r="B1592" t="s">
        <v>744</v>
      </c>
      <c r="C1592" t="s">
        <v>753</v>
      </c>
      <c r="D1592">
        <v>27.2576</v>
      </c>
      <c r="E1592">
        <v>27.7051</v>
      </c>
      <c r="F1592" s="2" t="s">
        <v>754</v>
      </c>
      <c r="G1592">
        <f ca="1" t="shared" si="72"/>
        <v>-0.723372139229152</v>
      </c>
      <c r="H1592" t="str">
        <f ca="1" t="shared" si="73"/>
        <v>Risk-On</v>
      </c>
      <c r="I1592">
        <f ca="1" t="shared" si="74"/>
        <v>1</v>
      </c>
      <c r="J1592">
        <f>_xlfn.XLOOKUP($A1592,[1]Sheet1!$B$9:$B$2584,[1]Sheet1!$C$9:$C$2584,"N/A",0)</f>
        <v>106.18</v>
      </c>
      <c r="K1592">
        <f>_xlfn.XLOOKUP($A1592,[1]Sheet1!$E$9:$E$2584,[1]Sheet1!$F$9:$F$2584,"N/A",0)</f>
        <v>129.22</v>
      </c>
      <c r="L1592">
        <f>_xlfn.XLOOKUP($A1592,[1]Sheet1!$H$9:$H$2584,[1]Sheet1!$I$9:$I$2584,"N/A",0)</f>
        <v>72.21</v>
      </c>
      <c r="M1592">
        <f>_xlfn.XLOOKUP($A1592,[1]Sheet1!$K$9:$K$2584,[1]Sheet1!$L$9:$L$2584,"N/A",0)</f>
        <v>142.48</v>
      </c>
      <c r="N1592">
        <f>_xlfn.XLOOKUP($A1592,[1]Sheet1!$N$9:$N$2584,[1]Sheet1!$O$9:$O$2584,"N/A",0)</f>
        <v>108.5</v>
      </c>
      <c r="O1592">
        <v>106.18</v>
      </c>
      <c r="P1592">
        <v>129.22</v>
      </c>
      <c r="Q1592">
        <v>72.21</v>
      </c>
      <c r="R1592">
        <v>108.5</v>
      </c>
      <c r="S1592">
        <v>142.48</v>
      </c>
    </row>
    <row r="1593" spans="1:19">
      <c r="A1593" s="1">
        <v>44677</v>
      </c>
      <c r="B1593" t="s">
        <v>744</v>
      </c>
      <c r="C1593" t="s">
        <v>753</v>
      </c>
      <c r="D1593">
        <v>30.3018</v>
      </c>
      <c r="E1593">
        <v>29.9546</v>
      </c>
      <c r="F1593">
        <v>-0.011458065197447</v>
      </c>
      <c r="G1593">
        <f ca="1" t="shared" si="72"/>
        <v>-1.31775341857024</v>
      </c>
      <c r="H1593" t="str">
        <f ca="1" t="shared" si="73"/>
        <v>Risk-On</v>
      </c>
      <c r="I1593">
        <f ca="1" t="shared" si="74"/>
        <v>1</v>
      </c>
      <c r="J1593">
        <f>_xlfn.XLOOKUP($A1593,[1]Sheet1!$B$9:$B$2584,[1]Sheet1!$C$9:$C$2584,"N/A",0)</f>
        <v>106.39</v>
      </c>
      <c r="K1593">
        <f>_xlfn.XLOOKUP($A1593,[1]Sheet1!$E$9:$E$2584,[1]Sheet1!$F$9:$F$2584,"N/A",0)</f>
        <v>129.84</v>
      </c>
      <c r="L1593">
        <f>_xlfn.XLOOKUP($A1593,[1]Sheet1!$H$9:$H$2584,[1]Sheet1!$I$9:$I$2584,"N/A",0)</f>
        <v>72.58</v>
      </c>
      <c r="M1593">
        <f>_xlfn.XLOOKUP($A1593,[1]Sheet1!$K$9:$K$2584,[1]Sheet1!$L$9:$L$2584,"N/A",0)</f>
        <v>143.57</v>
      </c>
      <c r="N1593">
        <f>_xlfn.XLOOKUP($A1593,[1]Sheet1!$N$9:$N$2584,[1]Sheet1!$O$9:$O$2584,"N/A",0)</f>
        <v>109.09</v>
      </c>
      <c r="O1593">
        <v>106.39</v>
      </c>
      <c r="P1593">
        <v>129.84</v>
      </c>
      <c r="Q1593">
        <v>72.58</v>
      </c>
      <c r="R1593">
        <v>109.09</v>
      </c>
      <c r="S1593">
        <v>143.57</v>
      </c>
    </row>
    <row r="1594" spans="1:19">
      <c r="A1594" s="1">
        <v>44678</v>
      </c>
      <c r="B1594" t="s">
        <v>744</v>
      </c>
      <c r="C1594" t="s">
        <v>753</v>
      </c>
      <c r="D1594">
        <v>30.8249</v>
      </c>
      <c r="E1594">
        <v>30.3942</v>
      </c>
      <c r="F1594">
        <v>-0.013972470308095</v>
      </c>
      <c r="G1594">
        <f ca="1" t="shared" si="72"/>
        <v>-1.35841317996614</v>
      </c>
      <c r="H1594" t="str">
        <f ca="1" t="shared" si="73"/>
        <v>Risk-On</v>
      </c>
      <c r="I1594">
        <f ca="1" t="shared" si="74"/>
        <v>1</v>
      </c>
      <c r="J1594">
        <f>_xlfn.XLOOKUP($A1594,[1]Sheet1!$B$9:$B$2584,[1]Sheet1!$C$9:$C$2584,"N/A",0)</f>
        <v>106.39</v>
      </c>
      <c r="K1594">
        <f>_xlfn.XLOOKUP($A1594,[1]Sheet1!$E$9:$E$2584,[1]Sheet1!$F$9:$F$2584,"N/A",0)</f>
        <v>130.56</v>
      </c>
      <c r="L1594">
        <f>_xlfn.XLOOKUP($A1594,[1]Sheet1!$H$9:$H$2584,[1]Sheet1!$I$9:$I$2584,"N/A",0)</f>
        <v>72.83</v>
      </c>
      <c r="M1594">
        <f>_xlfn.XLOOKUP($A1594,[1]Sheet1!$K$9:$K$2584,[1]Sheet1!$L$9:$L$2584,"N/A",0)</f>
        <v>143.84</v>
      </c>
      <c r="N1594">
        <f>_xlfn.XLOOKUP($A1594,[1]Sheet1!$N$9:$N$2584,[1]Sheet1!$O$9:$O$2584,"N/A",0)</f>
        <v>110.04</v>
      </c>
      <c r="O1594">
        <v>106.39</v>
      </c>
      <c r="P1594">
        <v>130.56</v>
      </c>
      <c r="Q1594">
        <v>72.83</v>
      </c>
      <c r="R1594">
        <v>110.04</v>
      </c>
      <c r="S1594">
        <v>143.84</v>
      </c>
    </row>
    <row r="1595" spans="1:19">
      <c r="A1595" s="1">
        <v>44679</v>
      </c>
      <c r="B1595" t="s">
        <v>744</v>
      </c>
      <c r="C1595" t="s">
        <v>753</v>
      </c>
      <c r="D1595">
        <v>29.2407</v>
      </c>
      <c r="E1595">
        <v>29.2815</v>
      </c>
      <c r="F1595">
        <v>0.00139531543362507</v>
      </c>
      <c r="G1595">
        <f ca="1" t="shared" si="72"/>
        <v>-1.01423165130806</v>
      </c>
      <c r="H1595" t="str">
        <f ca="1" t="shared" si="73"/>
        <v>Risk-On</v>
      </c>
      <c r="I1595">
        <f ca="1" t="shared" si="74"/>
        <v>1</v>
      </c>
      <c r="J1595">
        <f>_xlfn.XLOOKUP($A1595,[1]Sheet1!$B$9:$B$2584,[1]Sheet1!$C$9:$C$2584,"N/A",0)</f>
        <v>106.3</v>
      </c>
      <c r="K1595">
        <f>_xlfn.XLOOKUP($A1595,[1]Sheet1!$E$9:$E$2584,[1]Sheet1!$F$9:$F$2584,"N/A",0)</f>
        <v>130.95</v>
      </c>
      <c r="L1595">
        <f>_xlfn.XLOOKUP($A1595,[1]Sheet1!$H$9:$H$2584,[1]Sheet1!$I$9:$I$2584,"N/A",0)</f>
        <v>72.96</v>
      </c>
      <c r="M1595">
        <f>_xlfn.XLOOKUP($A1595,[1]Sheet1!$K$9:$K$2584,[1]Sheet1!$L$9:$L$2584,"N/A",0)</f>
        <v>145.55</v>
      </c>
      <c r="N1595">
        <f>_xlfn.XLOOKUP($A1595,[1]Sheet1!$N$9:$N$2584,[1]Sheet1!$O$9:$O$2584,"N/A",0)</f>
        <v>110.99</v>
      </c>
      <c r="O1595">
        <v>106.3</v>
      </c>
      <c r="P1595">
        <v>130.95</v>
      </c>
      <c r="Q1595">
        <v>72.96</v>
      </c>
      <c r="R1595">
        <v>110.99</v>
      </c>
      <c r="S1595">
        <v>145.55</v>
      </c>
    </row>
    <row r="1596" spans="1:19">
      <c r="A1596" s="1">
        <v>44680</v>
      </c>
      <c r="B1596" t="s">
        <v>744</v>
      </c>
      <c r="C1596" t="s">
        <v>753</v>
      </c>
      <c r="D1596">
        <v>31.6487</v>
      </c>
      <c r="E1596">
        <v>31.2085</v>
      </c>
      <c r="F1596">
        <v>-0.0139089441272469</v>
      </c>
      <c r="G1596">
        <f ca="1" t="shared" si="72"/>
        <v>-1.33509954713118</v>
      </c>
      <c r="H1596" t="str">
        <f ca="1" t="shared" si="73"/>
        <v>Risk-On</v>
      </c>
      <c r="I1596">
        <f ca="1" t="shared" si="74"/>
        <v>1</v>
      </c>
      <c r="J1596">
        <f>_xlfn.XLOOKUP($A1596,[1]Sheet1!$B$9:$B$2584,[1]Sheet1!$C$9:$C$2584,"N/A",0)</f>
        <v>105.91</v>
      </c>
      <c r="K1596">
        <f>_xlfn.XLOOKUP($A1596,[1]Sheet1!$E$9:$E$2584,[1]Sheet1!$F$9:$F$2584,"N/A",0)</f>
        <v>129.78</v>
      </c>
      <c r="L1596">
        <f>_xlfn.XLOOKUP($A1596,[1]Sheet1!$H$9:$H$2584,[1]Sheet1!$I$9:$I$2584,"N/A",0)</f>
        <v>73.45</v>
      </c>
      <c r="M1596">
        <f>_xlfn.XLOOKUP($A1596,[1]Sheet1!$K$9:$K$2584,[1]Sheet1!$L$9:$L$2584,"N/A",0)</f>
        <v>144.59</v>
      </c>
      <c r="N1596">
        <f>_xlfn.XLOOKUP($A1596,[1]Sheet1!$N$9:$N$2584,[1]Sheet1!$O$9:$O$2584,"N/A",0)</f>
        <v>110.51</v>
      </c>
      <c r="O1596">
        <v>105.91</v>
      </c>
      <c r="P1596">
        <v>129.78</v>
      </c>
      <c r="Q1596">
        <v>73.45</v>
      </c>
      <c r="R1596">
        <v>110.51</v>
      </c>
      <c r="S1596">
        <v>144.59</v>
      </c>
    </row>
    <row r="1597" spans="1:19">
      <c r="A1597" s="1">
        <v>44683</v>
      </c>
      <c r="B1597" t="s">
        <v>744</v>
      </c>
      <c r="C1597" t="s">
        <v>753</v>
      </c>
      <c r="D1597">
        <v>30.9477</v>
      </c>
      <c r="E1597">
        <v>30.9012</v>
      </c>
      <c r="F1597">
        <v>-0.00150253492181977</v>
      </c>
      <c r="G1597">
        <f ca="1" t="shared" si="72"/>
        <v>-1.04864289087491</v>
      </c>
      <c r="H1597" t="str">
        <f ca="1" t="shared" si="73"/>
        <v>Risk-On</v>
      </c>
      <c r="I1597">
        <f ca="1" t="shared" si="74"/>
        <v>1</v>
      </c>
      <c r="J1597">
        <f>_xlfn.XLOOKUP($A1597,[1]Sheet1!$B$9:$B$2584,[1]Sheet1!$C$9:$C$2584,"N/A",0)</f>
        <v>106.69</v>
      </c>
      <c r="K1597">
        <f>_xlfn.XLOOKUP($A1597,[1]Sheet1!$E$9:$E$2584,[1]Sheet1!$F$9:$F$2584,"N/A",0)</f>
        <v>128.75</v>
      </c>
      <c r="L1597">
        <f>_xlfn.XLOOKUP($A1597,[1]Sheet1!$H$9:$H$2584,[1]Sheet1!$I$9:$I$2584,"N/A",0)</f>
        <v>74.1</v>
      </c>
      <c r="M1597">
        <f>_xlfn.XLOOKUP($A1597,[1]Sheet1!$K$9:$K$2584,[1]Sheet1!$L$9:$L$2584,"N/A",0)</f>
        <v>145.25</v>
      </c>
      <c r="N1597">
        <f>_xlfn.XLOOKUP($A1597,[1]Sheet1!$N$9:$N$2584,[1]Sheet1!$O$9:$O$2584,"N/A",0)</f>
        <v>109.77</v>
      </c>
      <c r="O1597">
        <v>106.69</v>
      </c>
      <c r="P1597">
        <v>128.75</v>
      </c>
      <c r="Q1597">
        <v>74.1</v>
      </c>
      <c r="R1597">
        <v>109.77</v>
      </c>
      <c r="S1597">
        <v>145.25</v>
      </c>
    </row>
    <row r="1598" spans="1:19">
      <c r="A1598" s="1">
        <v>44684</v>
      </c>
      <c r="B1598" t="s">
        <v>744</v>
      </c>
      <c r="C1598" t="s">
        <v>753</v>
      </c>
      <c r="D1598">
        <v>28.8864</v>
      </c>
      <c r="E1598">
        <v>29.3377</v>
      </c>
      <c r="F1598" s="2" t="s">
        <v>755</v>
      </c>
      <c r="G1598">
        <f ca="1" t="shared" si="72"/>
        <v>-0.667239571551248</v>
      </c>
      <c r="H1598" t="str">
        <f ca="1" t="shared" si="73"/>
        <v>Risk-On</v>
      </c>
      <c r="I1598">
        <f ca="1" t="shared" si="74"/>
        <v>1</v>
      </c>
      <c r="J1598">
        <f>_xlfn.XLOOKUP($A1598,[1]Sheet1!$B$9:$B$2584,[1]Sheet1!$C$9:$C$2584,"N/A",0)</f>
        <v>106.42</v>
      </c>
      <c r="K1598">
        <f>_xlfn.XLOOKUP($A1598,[1]Sheet1!$E$9:$E$2584,[1]Sheet1!$F$9:$F$2584,"N/A",0)</f>
        <v>128.4</v>
      </c>
      <c r="L1598">
        <f>_xlfn.XLOOKUP($A1598,[1]Sheet1!$H$9:$H$2584,[1]Sheet1!$I$9:$I$2584,"N/A",0)</f>
        <v>74.97</v>
      </c>
      <c r="M1598">
        <f>_xlfn.XLOOKUP($A1598,[1]Sheet1!$K$9:$K$2584,[1]Sheet1!$L$9:$L$2584,"N/A",0)</f>
        <v>146.26</v>
      </c>
      <c r="N1598">
        <f>_xlfn.XLOOKUP($A1598,[1]Sheet1!$N$9:$N$2584,[1]Sheet1!$O$9:$O$2584,"N/A",0)</f>
        <v>109.5</v>
      </c>
      <c r="O1598">
        <v>106.42</v>
      </c>
      <c r="P1598">
        <v>128.4</v>
      </c>
      <c r="Q1598">
        <v>74.97</v>
      </c>
      <c r="R1598">
        <v>109.5</v>
      </c>
      <c r="S1598">
        <v>146.26</v>
      </c>
    </row>
    <row r="1599" spans="1:19">
      <c r="A1599" s="1">
        <v>44685</v>
      </c>
      <c r="B1599" t="s">
        <v>744</v>
      </c>
      <c r="C1599" t="s">
        <v>753</v>
      </c>
      <c r="D1599">
        <v>25.762</v>
      </c>
      <c r="E1599">
        <v>26.9854</v>
      </c>
      <c r="F1599" s="2" t="s">
        <v>756</v>
      </c>
      <c r="G1599">
        <f ca="1" t="shared" si="72"/>
        <v>0.0192591256340656</v>
      </c>
      <c r="H1599" t="str">
        <f ca="1" t="shared" si="73"/>
        <v>Risk-On</v>
      </c>
      <c r="I1599">
        <f ca="1" t="shared" si="74"/>
        <v>1</v>
      </c>
      <c r="J1599">
        <f>_xlfn.XLOOKUP($A1599,[1]Sheet1!$B$9:$B$2584,[1]Sheet1!$C$9:$C$2584,"N/A",0)</f>
        <v>106.74</v>
      </c>
      <c r="K1599">
        <f>_xlfn.XLOOKUP($A1599,[1]Sheet1!$E$9:$E$2584,[1]Sheet1!$F$9:$F$2584,"N/A",0)</f>
        <v>128.23</v>
      </c>
      <c r="L1599">
        <f>_xlfn.XLOOKUP($A1599,[1]Sheet1!$H$9:$H$2584,[1]Sheet1!$I$9:$I$2584,"N/A",0)</f>
        <v>75.8</v>
      </c>
      <c r="M1599">
        <f>_xlfn.XLOOKUP($A1599,[1]Sheet1!$K$9:$K$2584,[1]Sheet1!$L$9:$L$2584,"N/A",0)</f>
        <v>146.74</v>
      </c>
      <c r="N1599">
        <f>_xlfn.XLOOKUP($A1599,[1]Sheet1!$N$9:$N$2584,[1]Sheet1!$O$9:$O$2584,"N/A",0)</f>
        <v>110.31</v>
      </c>
      <c r="O1599">
        <v>106.74</v>
      </c>
      <c r="P1599">
        <v>128.23</v>
      </c>
      <c r="Q1599">
        <v>75.8</v>
      </c>
      <c r="R1599">
        <v>110.31</v>
      </c>
      <c r="S1599">
        <v>146.74</v>
      </c>
    </row>
    <row r="1600" spans="1:19">
      <c r="A1600" s="1">
        <v>44686</v>
      </c>
      <c r="B1600" t="s">
        <v>744</v>
      </c>
      <c r="C1600" t="s">
        <v>753</v>
      </c>
      <c r="D1600">
        <v>31.3271</v>
      </c>
      <c r="E1600">
        <v>31.3722</v>
      </c>
      <c r="F1600">
        <v>0.0014396481002071</v>
      </c>
      <c r="G1600">
        <f ca="1" t="shared" si="72"/>
        <v>-0.95582227785143</v>
      </c>
      <c r="H1600" t="str">
        <f ca="1" t="shared" si="73"/>
        <v>Risk-On</v>
      </c>
      <c r="I1600">
        <f ca="1" t="shared" si="74"/>
        <v>1</v>
      </c>
      <c r="J1600">
        <f>_xlfn.XLOOKUP($A1600,[1]Sheet1!$B$9:$B$2584,[1]Sheet1!$C$9:$C$2584,"N/A",0)</f>
        <v>106.39</v>
      </c>
      <c r="K1600">
        <f>_xlfn.XLOOKUP($A1600,[1]Sheet1!$E$9:$E$2584,[1]Sheet1!$F$9:$F$2584,"N/A",0)</f>
        <v>127.67</v>
      </c>
      <c r="L1600">
        <f>_xlfn.XLOOKUP($A1600,[1]Sheet1!$H$9:$H$2584,[1]Sheet1!$I$9:$I$2584,"N/A",0)</f>
        <v>76.1</v>
      </c>
      <c r="M1600">
        <f>_xlfn.XLOOKUP($A1600,[1]Sheet1!$K$9:$K$2584,[1]Sheet1!$L$9:$L$2584,"N/A",0)</f>
        <v>145.58</v>
      </c>
      <c r="N1600">
        <f>_xlfn.XLOOKUP($A1600,[1]Sheet1!$N$9:$N$2584,[1]Sheet1!$O$9:$O$2584,"N/A",0)</f>
        <v>110.77</v>
      </c>
      <c r="O1600">
        <v>106.39</v>
      </c>
      <c r="P1600">
        <v>127.67</v>
      </c>
      <c r="Q1600">
        <v>76.1</v>
      </c>
      <c r="R1600">
        <v>110.77</v>
      </c>
      <c r="S1600">
        <v>145.58</v>
      </c>
    </row>
    <row r="1601" spans="1:19">
      <c r="A1601" s="1">
        <v>44687</v>
      </c>
      <c r="B1601" t="s">
        <v>744</v>
      </c>
      <c r="C1601" t="s">
        <v>753</v>
      </c>
      <c r="D1601">
        <v>30.8118</v>
      </c>
      <c r="E1601">
        <v>30.789</v>
      </c>
      <c r="F1601">
        <v>-0.000739976242867997</v>
      </c>
      <c r="G1601">
        <f ca="1" t="shared" si="72"/>
        <v>-0.988042372257531</v>
      </c>
      <c r="H1601" t="str">
        <f ca="1" t="shared" si="73"/>
        <v>Risk-On</v>
      </c>
      <c r="I1601">
        <f ca="1" t="shared" si="74"/>
        <v>1</v>
      </c>
      <c r="J1601">
        <f>_xlfn.XLOOKUP($A1601,[1]Sheet1!$B$9:$B$2584,[1]Sheet1!$C$9:$C$2584,"N/A",0)</f>
        <v>106.76</v>
      </c>
      <c r="K1601">
        <f>_xlfn.XLOOKUP($A1601,[1]Sheet1!$E$9:$E$2584,[1]Sheet1!$F$9:$F$2584,"N/A",0)</f>
        <v>127.86</v>
      </c>
      <c r="L1601">
        <f>_xlfn.XLOOKUP($A1601,[1]Sheet1!$H$9:$H$2584,[1]Sheet1!$I$9:$I$2584,"N/A",0)</f>
        <v>76.44</v>
      </c>
      <c r="M1601">
        <f>_xlfn.XLOOKUP($A1601,[1]Sheet1!$K$9:$K$2584,[1]Sheet1!$L$9:$L$2584,"N/A",0)</f>
        <v>146.68</v>
      </c>
      <c r="N1601">
        <f>_xlfn.XLOOKUP($A1601,[1]Sheet1!$N$9:$N$2584,[1]Sheet1!$O$9:$O$2584,"N/A",0)</f>
        <v>111.78</v>
      </c>
      <c r="O1601">
        <v>106.76</v>
      </c>
      <c r="P1601">
        <v>127.86</v>
      </c>
      <c r="Q1601">
        <v>76.44</v>
      </c>
      <c r="R1601">
        <v>111.78</v>
      </c>
      <c r="S1601">
        <v>146.68</v>
      </c>
    </row>
    <row r="1602" spans="1:19">
      <c r="A1602" s="1">
        <v>44690</v>
      </c>
      <c r="B1602" t="s">
        <v>744</v>
      </c>
      <c r="C1602" t="s">
        <v>753</v>
      </c>
      <c r="D1602">
        <v>33.8168</v>
      </c>
      <c r="E1602">
        <v>33.0703</v>
      </c>
      <c r="F1602">
        <v>-0.0220748267133495</v>
      </c>
      <c r="G1602">
        <f ca="1" t="shared" si="72"/>
        <v>-1.43602695839621</v>
      </c>
      <c r="H1602" t="str">
        <f ca="1" t="shared" si="73"/>
        <v>Risk-On</v>
      </c>
      <c r="I1602">
        <f ca="1" t="shared" si="74"/>
        <v>1</v>
      </c>
      <c r="J1602">
        <f>_xlfn.XLOOKUP($A1602,[1]Sheet1!$B$9:$B$2584,[1]Sheet1!$C$9:$C$2584,"N/A",0)</f>
        <v>106.93</v>
      </c>
      <c r="K1602">
        <f>_xlfn.XLOOKUP($A1602,[1]Sheet1!$E$9:$E$2584,[1]Sheet1!$F$9:$F$2584,"N/A",0)</f>
        <v>126</v>
      </c>
      <c r="L1602">
        <f>_xlfn.XLOOKUP($A1602,[1]Sheet1!$H$9:$H$2584,[1]Sheet1!$I$9:$I$2584,"N/A",0)</f>
        <v>78.22</v>
      </c>
      <c r="M1602">
        <f>_xlfn.XLOOKUP($A1602,[1]Sheet1!$K$9:$K$2584,[1]Sheet1!$L$9:$L$2584,"N/A",0)</f>
        <v>148.24</v>
      </c>
      <c r="N1602">
        <f>_xlfn.XLOOKUP($A1602,[1]Sheet1!$N$9:$N$2584,[1]Sheet1!$O$9:$O$2584,"N/A",0)</f>
        <v>111.74</v>
      </c>
      <c r="O1602">
        <v>106.93</v>
      </c>
      <c r="P1602">
        <v>126</v>
      </c>
      <c r="Q1602">
        <v>78.22</v>
      </c>
      <c r="R1602">
        <v>111.74</v>
      </c>
      <c r="S1602">
        <v>148.24</v>
      </c>
    </row>
    <row r="1603" spans="1:19">
      <c r="A1603" s="1">
        <v>44691</v>
      </c>
      <c r="B1603" t="s">
        <v>744</v>
      </c>
      <c r="C1603" t="s">
        <v>753</v>
      </c>
      <c r="D1603">
        <v>32.254</v>
      </c>
      <c r="E1603">
        <v>31.9614</v>
      </c>
      <c r="F1603">
        <v>-0.00907174303962288</v>
      </c>
      <c r="G1603">
        <f ca="1" t="shared" ref="G1603:G1666" si="75">IF(ROW()-ROW($A$3)+1&gt;252,(F1603-AVERAGE(OFFSET(F1603,-252,0,252,1)))/_xlfn.STDEV.S(OFFSET(F1603,-252,0,252,1)),"N/A")</f>
        <v>-1.13617132347341</v>
      </c>
      <c r="H1603" t="str">
        <f ca="1" t="shared" ref="H1603:H1666" si="76">IF(G1603&lt;&gt;"N/A",IF(G1853&gt;-0.5,"Risk-On","Risk-Off"),"N/A")</f>
        <v>Risk-On</v>
      </c>
      <c r="I1603">
        <f ca="1" t="shared" si="74"/>
        <v>1</v>
      </c>
      <c r="J1603">
        <f>_xlfn.XLOOKUP($A1603,[1]Sheet1!$B$9:$B$2584,[1]Sheet1!$C$9:$C$2584,"N/A",0)</f>
        <v>106.62</v>
      </c>
      <c r="K1603">
        <f>_xlfn.XLOOKUP($A1603,[1]Sheet1!$E$9:$E$2584,[1]Sheet1!$F$9:$F$2584,"N/A",0)</f>
        <v>128.27</v>
      </c>
      <c r="L1603">
        <f>_xlfn.XLOOKUP($A1603,[1]Sheet1!$H$9:$H$2584,[1]Sheet1!$I$9:$I$2584,"N/A",0)</f>
        <v>77.79</v>
      </c>
      <c r="M1603">
        <f>_xlfn.XLOOKUP($A1603,[1]Sheet1!$K$9:$K$2584,[1]Sheet1!$L$9:$L$2584,"N/A",0)</f>
        <v>148.41</v>
      </c>
      <c r="N1603">
        <f>_xlfn.XLOOKUP($A1603,[1]Sheet1!$N$9:$N$2584,[1]Sheet1!$O$9:$O$2584,"N/A",0)</f>
        <v>112.32</v>
      </c>
      <c r="O1603">
        <v>106.62</v>
      </c>
      <c r="P1603">
        <v>128.27</v>
      </c>
      <c r="Q1603">
        <v>77.79</v>
      </c>
      <c r="R1603">
        <v>112.32</v>
      </c>
      <c r="S1603">
        <v>148.41</v>
      </c>
    </row>
    <row r="1604" spans="1:19">
      <c r="A1604" s="1">
        <v>44692</v>
      </c>
      <c r="B1604" t="s">
        <v>744</v>
      </c>
      <c r="C1604" t="s">
        <v>753</v>
      </c>
      <c r="D1604">
        <v>32.1627</v>
      </c>
      <c r="E1604">
        <v>31.7389</v>
      </c>
      <c r="F1604">
        <v>-0.0131767544391484</v>
      </c>
      <c r="G1604">
        <f ca="1" t="shared" si="75"/>
        <v>-1.20630582410031</v>
      </c>
      <c r="H1604" t="str">
        <f ca="1" t="shared" si="76"/>
        <v>Risk-On</v>
      </c>
      <c r="I1604">
        <f ca="1" t="shared" ref="I1604:I1667" si="77">IF(H1604&lt;&gt;"N/A",IF(H1854&gt;-0.5,1,0),0)</f>
        <v>1</v>
      </c>
      <c r="J1604">
        <f>_xlfn.XLOOKUP($A1604,[1]Sheet1!$B$9:$B$2584,[1]Sheet1!$C$9:$C$2584,"N/A",0)</f>
        <v>106.24</v>
      </c>
      <c r="K1604">
        <f>_xlfn.XLOOKUP($A1604,[1]Sheet1!$E$9:$E$2584,[1]Sheet1!$F$9:$F$2584,"N/A",0)</f>
        <v>128.98</v>
      </c>
      <c r="L1604">
        <f>_xlfn.XLOOKUP($A1604,[1]Sheet1!$H$9:$H$2584,[1]Sheet1!$I$9:$I$2584,"N/A",0)</f>
        <v>77.46</v>
      </c>
      <c r="M1604">
        <f>_xlfn.XLOOKUP($A1604,[1]Sheet1!$K$9:$K$2584,[1]Sheet1!$L$9:$L$2584,"N/A",0)</f>
        <v>148.84</v>
      </c>
      <c r="N1604">
        <f>_xlfn.XLOOKUP($A1604,[1]Sheet1!$N$9:$N$2584,[1]Sheet1!$O$9:$O$2584,"N/A",0)</f>
        <v>112.81</v>
      </c>
      <c r="O1604">
        <v>106.24</v>
      </c>
      <c r="P1604">
        <v>128.98</v>
      </c>
      <c r="Q1604">
        <v>77.46</v>
      </c>
      <c r="R1604">
        <v>112.81</v>
      </c>
      <c r="S1604">
        <v>148.84</v>
      </c>
    </row>
    <row r="1605" spans="1:19">
      <c r="A1605" s="1">
        <v>44693</v>
      </c>
      <c r="B1605" t="s">
        <v>744</v>
      </c>
      <c r="C1605" t="s">
        <v>753</v>
      </c>
      <c r="D1605">
        <v>31.2544</v>
      </c>
      <c r="E1605">
        <v>31.261</v>
      </c>
      <c r="F1605">
        <v>0.000211170267226337</v>
      </c>
      <c r="G1605">
        <f ca="1" t="shared" si="75"/>
        <v>-0.913583863685951</v>
      </c>
      <c r="H1605" t="str">
        <f ca="1" t="shared" si="76"/>
        <v>Risk-On</v>
      </c>
      <c r="I1605">
        <f ca="1" t="shared" si="77"/>
        <v>1</v>
      </c>
      <c r="J1605">
        <f>_xlfn.XLOOKUP($A1605,[1]Sheet1!$B$9:$B$2584,[1]Sheet1!$C$9:$C$2584,"N/A",0)</f>
        <v>106.77</v>
      </c>
      <c r="K1605">
        <f>_xlfn.XLOOKUP($A1605,[1]Sheet1!$E$9:$E$2584,[1]Sheet1!$F$9:$F$2584,"N/A",0)</f>
        <v>127.75</v>
      </c>
      <c r="L1605">
        <f>_xlfn.XLOOKUP($A1605,[1]Sheet1!$H$9:$H$2584,[1]Sheet1!$I$9:$I$2584,"N/A",0)</f>
        <v>77.41</v>
      </c>
      <c r="M1605">
        <f>_xlfn.XLOOKUP($A1605,[1]Sheet1!$K$9:$K$2584,[1]Sheet1!$L$9:$L$2584,"N/A",0)</f>
        <v>149.43</v>
      </c>
      <c r="N1605">
        <f>_xlfn.XLOOKUP($A1605,[1]Sheet1!$N$9:$N$2584,[1]Sheet1!$O$9:$O$2584,"N/A",0)</f>
        <v>111.62</v>
      </c>
      <c r="O1605">
        <v>106.77</v>
      </c>
      <c r="P1605">
        <v>127.75</v>
      </c>
      <c r="Q1605">
        <v>77.41</v>
      </c>
      <c r="R1605">
        <v>111.62</v>
      </c>
      <c r="S1605">
        <v>149.43</v>
      </c>
    </row>
    <row r="1606" spans="1:19">
      <c r="A1606" s="1">
        <v>44694</v>
      </c>
      <c r="B1606" t="s">
        <v>744</v>
      </c>
      <c r="C1606" t="s">
        <v>753</v>
      </c>
      <c r="D1606">
        <v>28.8191</v>
      </c>
      <c r="E1606">
        <v>29.3959</v>
      </c>
      <c r="F1606" s="2" t="s">
        <v>757</v>
      </c>
      <c r="G1606">
        <f ca="1" t="shared" si="75"/>
        <v>-0.489001183372004</v>
      </c>
      <c r="H1606" t="str">
        <f ca="1" t="shared" si="76"/>
        <v>Risk-On</v>
      </c>
      <c r="I1606">
        <f ca="1" t="shared" si="77"/>
        <v>1</v>
      </c>
      <c r="J1606">
        <f>_xlfn.XLOOKUP($A1606,[1]Sheet1!$B$9:$B$2584,[1]Sheet1!$C$9:$C$2584,"N/A",0)</f>
        <v>107.07</v>
      </c>
      <c r="K1606">
        <f>_xlfn.XLOOKUP($A1606,[1]Sheet1!$E$9:$E$2584,[1]Sheet1!$F$9:$F$2584,"N/A",0)</f>
        <v>127.63</v>
      </c>
      <c r="L1606">
        <f>_xlfn.XLOOKUP($A1606,[1]Sheet1!$H$9:$H$2584,[1]Sheet1!$I$9:$I$2584,"N/A",0)</f>
        <v>76.79</v>
      </c>
      <c r="M1606">
        <f>_xlfn.XLOOKUP($A1606,[1]Sheet1!$K$9:$K$2584,[1]Sheet1!$L$9:$L$2584,"N/A",0)</f>
        <v>147.82</v>
      </c>
      <c r="N1606">
        <f>_xlfn.XLOOKUP($A1606,[1]Sheet1!$N$9:$N$2584,[1]Sheet1!$O$9:$O$2584,"N/A",0)</f>
        <v>111.17</v>
      </c>
      <c r="O1606">
        <v>107.07</v>
      </c>
      <c r="P1606">
        <v>127.63</v>
      </c>
      <c r="Q1606">
        <v>76.79</v>
      </c>
      <c r="R1606">
        <v>111.17</v>
      </c>
      <c r="S1606">
        <v>147.82</v>
      </c>
    </row>
    <row r="1607" spans="1:19">
      <c r="A1607" s="1">
        <v>44697</v>
      </c>
      <c r="B1607" t="s">
        <v>744</v>
      </c>
      <c r="C1607" t="s">
        <v>753</v>
      </c>
      <c r="D1607">
        <v>27.5856</v>
      </c>
      <c r="E1607">
        <v>28.0855</v>
      </c>
      <c r="F1607" s="2" t="s">
        <v>758</v>
      </c>
      <c r="G1607">
        <f ca="1" t="shared" si="75"/>
        <v>-0.528989988967099</v>
      </c>
      <c r="H1607" t="str">
        <f ca="1" t="shared" si="76"/>
        <v>Risk-On</v>
      </c>
      <c r="I1607">
        <f ca="1" t="shared" si="77"/>
        <v>1</v>
      </c>
      <c r="J1607">
        <f>_xlfn.XLOOKUP($A1607,[1]Sheet1!$B$9:$B$2584,[1]Sheet1!$C$9:$C$2584,"N/A",0)</f>
        <v>106.82</v>
      </c>
      <c r="K1607">
        <f>_xlfn.XLOOKUP($A1607,[1]Sheet1!$E$9:$E$2584,[1]Sheet1!$F$9:$F$2584,"N/A",0)</f>
        <v>127.76</v>
      </c>
      <c r="L1607">
        <f>_xlfn.XLOOKUP($A1607,[1]Sheet1!$H$9:$H$2584,[1]Sheet1!$I$9:$I$2584,"N/A",0)</f>
        <v>77.42</v>
      </c>
      <c r="M1607">
        <f>_xlfn.XLOOKUP($A1607,[1]Sheet1!$K$9:$K$2584,[1]Sheet1!$L$9:$L$2584,"N/A",0)</f>
        <v>148.49</v>
      </c>
      <c r="N1607">
        <f>_xlfn.XLOOKUP($A1607,[1]Sheet1!$N$9:$N$2584,[1]Sheet1!$O$9:$O$2584,"N/A",0)</f>
        <v>111.14</v>
      </c>
      <c r="O1607">
        <v>106.82</v>
      </c>
      <c r="P1607">
        <v>127.76</v>
      </c>
      <c r="Q1607">
        <v>77.42</v>
      </c>
      <c r="R1607">
        <v>111.14</v>
      </c>
      <c r="S1607">
        <v>148.49</v>
      </c>
    </row>
    <row r="1608" spans="1:19">
      <c r="A1608" s="1">
        <v>44698</v>
      </c>
      <c r="B1608" t="s">
        <v>744</v>
      </c>
      <c r="C1608" t="s">
        <v>753</v>
      </c>
      <c r="D1608">
        <v>26.5988</v>
      </c>
      <c r="E1608">
        <v>27.4896</v>
      </c>
      <c r="F1608">
        <v>0.033490232642074</v>
      </c>
      <c r="G1608">
        <f ca="1" t="shared" si="75"/>
        <v>-0.204291735140625</v>
      </c>
      <c r="H1608" t="str">
        <f ca="1" t="shared" si="76"/>
        <v>Risk-On</v>
      </c>
      <c r="I1608">
        <f ca="1" t="shared" si="77"/>
        <v>1</v>
      </c>
      <c r="J1608">
        <f>_xlfn.XLOOKUP($A1608,[1]Sheet1!$B$9:$B$2584,[1]Sheet1!$C$9:$C$2584,"N/A",0)</f>
        <v>107.03</v>
      </c>
      <c r="K1608">
        <f>_xlfn.XLOOKUP($A1608,[1]Sheet1!$E$9:$E$2584,[1]Sheet1!$F$9:$F$2584,"N/A",0)</f>
        <v>126.81</v>
      </c>
      <c r="L1608">
        <f>_xlfn.XLOOKUP($A1608,[1]Sheet1!$H$9:$H$2584,[1]Sheet1!$I$9:$I$2584,"N/A",0)</f>
        <v>78.46</v>
      </c>
      <c r="M1608">
        <f>_xlfn.XLOOKUP($A1608,[1]Sheet1!$K$9:$K$2584,[1]Sheet1!$L$9:$L$2584,"N/A",0)</f>
        <v>148.17</v>
      </c>
      <c r="N1608">
        <f>_xlfn.XLOOKUP($A1608,[1]Sheet1!$N$9:$N$2584,[1]Sheet1!$O$9:$O$2584,"N/A",0)</f>
        <v>110.44</v>
      </c>
      <c r="O1608">
        <v>107.03</v>
      </c>
      <c r="P1608">
        <v>126.81</v>
      </c>
      <c r="Q1608">
        <v>78.46</v>
      </c>
      <c r="R1608">
        <v>110.44</v>
      </c>
      <c r="S1608">
        <v>148.17</v>
      </c>
    </row>
    <row r="1609" spans="1:19">
      <c r="A1609" s="1">
        <v>44699</v>
      </c>
      <c r="B1609" t="s">
        <v>744</v>
      </c>
      <c r="C1609" t="s">
        <v>753</v>
      </c>
      <c r="D1609">
        <v>27.68</v>
      </c>
      <c r="E1609">
        <v>31.5195</v>
      </c>
      <c r="F1609" s="2" t="s">
        <v>759</v>
      </c>
      <c r="G1609">
        <f ca="1" t="shared" si="75"/>
        <v>2.02314361653033</v>
      </c>
      <c r="H1609" t="str">
        <f ca="1" t="shared" si="76"/>
        <v>Risk-On</v>
      </c>
      <c r="I1609">
        <f ca="1" t="shared" si="77"/>
        <v>1</v>
      </c>
      <c r="J1609">
        <f>_xlfn.XLOOKUP($A1609,[1]Sheet1!$B$9:$B$2584,[1]Sheet1!$C$9:$C$2584,"N/A",0)</f>
        <v>107.32</v>
      </c>
      <c r="K1609">
        <f>_xlfn.XLOOKUP($A1609,[1]Sheet1!$E$9:$E$2584,[1]Sheet1!$F$9:$F$2584,"N/A",0)</f>
        <v>125.25</v>
      </c>
      <c r="L1609">
        <f>_xlfn.XLOOKUP($A1609,[1]Sheet1!$H$9:$H$2584,[1]Sheet1!$I$9:$I$2584,"N/A",0)</f>
        <v>78.38</v>
      </c>
      <c r="M1609">
        <f>_xlfn.XLOOKUP($A1609,[1]Sheet1!$K$9:$K$2584,[1]Sheet1!$L$9:$L$2584,"N/A",0)</f>
        <v>146.8</v>
      </c>
      <c r="N1609">
        <f>_xlfn.XLOOKUP($A1609,[1]Sheet1!$N$9:$N$2584,[1]Sheet1!$O$9:$O$2584,"N/A",0)</f>
        <v>109.8</v>
      </c>
      <c r="O1609">
        <v>107.32</v>
      </c>
      <c r="P1609">
        <v>125.25</v>
      </c>
      <c r="Q1609">
        <v>78.38</v>
      </c>
      <c r="R1609">
        <v>109.8</v>
      </c>
      <c r="S1609">
        <v>146.8</v>
      </c>
    </row>
    <row r="1610" spans="1:19">
      <c r="A1610" s="1">
        <v>44700</v>
      </c>
      <c r="B1610" t="s">
        <v>753</v>
      </c>
      <c r="C1610" t="s">
        <v>760</v>
      </c>
      <c r="D1610">
        <v>29.286</v>
      </c>
      <c r="E1610">
        <v>29.7555</v>
      </c>
      <c r="F1610" s="2" t="s">
        <v>761</v>
      </c>
      <c r="G1610">
        <f ca="1" t="shared" si="75"/>
        <v>-0.598899240954882</v>
      </c>
      <c r="H1610" t="str">
        <f ca="1" t="shared" si="76"/>
        <v>Risk-On</v>
      </c>
      <c r="I1610">
        <f ca="1" t="shared" si="77"/>
        <v>1</v>
      </c>
      <c r="J1610">
        <f>_xlfn.XLOOKUP($A1610,[1]Sheet1!$B$9:$B$2584,[1]Sheet1!$C$9:$C$2584,"N/A",0)</f>
        <v>107.48</v>
      </c>
      <c r="K1610">
        <f>_xlfn.XLOOKUP($A1610,[1]Sheet1!$E$9:$E$2584,[1]Sheet1!$F$9:$F$2584,"N/A",0)</f>
        <v>124.38</v>
      </c>
      <c r="L1610">
        <f>_xlfn.XLOOKUP($A1610,[1]Sheet1!$H$9:$H$2584,[1]Sheet1!$I$9:$I$2584,"N/A",0)</f>
        <v>77.81</v>
      </c>
      <c r="M1610">
        <f>_xlfn.XLOOKUP($A1610,[1]Sheet1!$K$9:$K$2584,[1]Sheet1!$L$9:$L$2584,"N/A",0)</f>
        <v>145.59</v>
      </c>
      <c r="N1610">
        <f>_xlfn.XLOOKUP($A1610,[1]Sheet1!$N$9:$N$2584,[1]Sheet1!$O$9:$O$2584,"N/A",0)</f>
        <v>109.38</v>
      </c>
      <c r="O1610">
        <v>107.48</v>
      </c>
      <c r="P1610">
        <v>124.38</v>
      </c>
      <c r="Q1610">
        <v>77.81</v>
      </c>
      <c r="R1610">
        <v>109.38</v>
      </c>
      <c r="S1610">
        <v>145.59</v>
      </c>
    </row>
    <row r="1611" spans="1:19">
      <c r="A1611" s="1">
        <v>44701</v>
      </c>
      <c r="B1611" t="s">
        <v>753</v>
      </c>
      <c r="C1611" t="s">
        <v>760</v>
      </c>
      <c r="D1611">
        <v>29.4224</v>
      </c>
      <c r="E1611">
        <v>29.9611</v>
      </c>
      <c r="F1611">
        <v>0.0183091794007286</v>
      </c>
      <c r="G1611">
        <f ca="1" t="shared" si="75"/>
        <v>-0.544281224053717</v>
      </c>
      <c r="H1611" t="str">
        <f ca="1" t="shared" si="76"/>
        <v>Risk-On</v>
      </c>
      <c r="I1611">
        <f ca="1" t="shared" si="77"/>
        <v>1</v>
      </c>
      <c r="J1611">
        <f>_xlfn.XLOOKUP($A1611,[1]Sheet1!$B$9:$B$2584,[1]Sheet1!$C$9:$C$2584,"N/A",0)</f>
        <v>107.7</v>
      </c>
      <c r="K1611">
        <f>_xlfn.XLOOKUP($A1611,[1]Sheet1!$E$9:$E$2584,[1]Sheet1!$F$9:$F$2584,"N/A",0)</f>
        <v>124.43</v>
      </c>
      <c r="L1611">
        <f>_xlfn.XLOOKUP($A1611,[1]Sheet1!$H$9:$H$2584,[1]Sheet1!$I$9:$I$2584,"N/A",0)</f>
        <v>77.56</v>
      </c>
      <c r="M1611">
        <f>_xlfn.XLOOKUP($A1611,[1]Sheet1!$K$9:$K$2584,[1]Sheet1!$L$9:$L$2584,"N/A",0)</f>
        <v>145.24</v>
      </c>
      <c r="N1611">
        <f>_xlfn.XLOOKUP($A1611,[1]Sheet1!$N$9:$N$2584,[1]Sheet1!$O$9:$O$2584,"N/A",0)</f>
        <v>109.84</v>
      </c>
      <c r="O1611">
        <v>107.7</v>
      </c>
      <c r="P1611">
        <v>124.43</v>
      </c>
      <c r="Q1611">
        <v>77.56</v>
      </c>
      <c r="R1611">
        <v>109.84</v>
      </c>
      <c r="S1611">
        <v>145.24</v>
      </c>
    </row>
    <row r="1612" spans="1:19">
      <c r="A1612" s="1">
        <v>44704</v>
      </c>
      <c r="B1612" t="s">
        <v>753</v>
      </c>
      <c r="C1612" t="s">
        <v>760</v>
      </c>
      <c r="D1612">
        <v>29.0797</v>
      </c>
      <c r="E1612">
        <v>29.828</v>
      </c>
      <c r="F1612" s="2" t="s">
        <v>762</v>
      </c>
      <c r="G1612">
        <f ca="1" t="shared" si="75"/>
        <v>-0.377054887065899</v>
      </c>
      <c r="H1612" t="str">
        <f ca="1" t="shared" si="76"/>
        <v>Risk-On</v>
      </c>
      <c r="I1612">
        <f ca="1" t="shared" si="77"/>
        <v>1</v>
      </c>
      <c r="J1612">
        <f>_xlfn.XLOOKUP($A1612,[1]Sheet1!$B$9:$B$2584,[1]Sheet1!$C$9:$C$2584,"N/A",0)</f>
        <v>108.19</v>
      </c>
      <c r="K1612">
        <f>_xlfn.XLOOKUP($A1612,[1]Sheet1!$E$9:$E$2584,[1]Sheet1!$F$9:$F$2584,"N/A",0)</f>
        <v>124.9</v>
      </c>
      <c r="L1612">
        <f>_xlfn.XLOOKUP($A1612,[1]Sheet1!$H$9:$H$2584,[1]Sheet1!$I$9:$I$2584,"N/A",0)</f>
        <v>77.64</v>
      </c>
      <c r="M1612">
        <f>_xlfn.XLOOKUP($A1612,[1]Sheet1!$K$9:$K$2584,[1]Sheet1!$L$9:$L$2584,"N/A",0)</f>
        <v>146.1</v>
      </c>
      <c r="N1612">
        <f>_xlfn.XLOOKUP($A1612,[1]Sheet1!$N$9:$N$2584,[1]Sheet1!$O$9:$O$2584,"N/A",0)</f>
        <v>110.47</v>
      </c>
      <c r="O1612">
        <v>108.19</v>
      </c>
      <c r="P1612">
        <v>124.9</v>
      </c>
      <c r="Q1612">
        <v>77.64</v>
      </c>
      <c r="R1612">
        <v>110.47</v>
      </c>
      <c r="S1612">
        <v>146.1</v>
      </c>
    </row>
    <row r="1613" spans="1:19">
      <c r="A1613" s="1">
        <v>44705</v>
      </c>
      <c r="B1613" t="s">
        <v>753</v>
      </c>
      <c r="C1613" t="s">
        <v>760</v>
      </c>
      <c r="D1613">
        <v>29.1855</v>
      </c>
      <c r="E1613">
        <v>29.8518</v>
      </c>
      <c r="F1613">
        <v>0.0228298298812766</v>
      </c>
      <c r="G1613">
        <f ca="1" t="shared" si="75"/>
        <v>-0.43252094078407</v>
      </c>
      <c r="H1613" t="str">
        <f ca="1" t="shared" si="76"/>
        <v>Risk-On</v>
      </c>
      <c r="I1613">
        <f ca="1" t="shared" si="77"/>
        <v>1</v>
      </c>
      <c r="J1613">
        <f>_xlfn.XLOOKUP($A1613,[1]Sheet1!$B$9:$B$2584,[1]Sheet1!$C$9:$C$2584,"N/A",0)</f>
        <v>108.2</v>
      </c>
      <c r="K1613">
        <f>_xlfn.XLOOKUP($A1613,[1]Sheet1!$E$9:$E$2584,[1]Sheet1!$F$9:$F$2584,"N/A",0)</f>
        <v>126.34</v>
      </c>
      <c r="L1613">
        <f>_xlfn.XLOOKUP($A1613,[1]Sheet1!$H$9:$H$2584,[1]Sheet1!$I$9:$I$2584,"N/A",0)</f>
        <v>78.29</v>
      </c>
      <c r="M1613">
        <f>_xlfn.XLOOKUP($A1613,[1]Sheet1!$K$9:$K$2584,[1]Sheet1!$L$9:$L$2584,"N/A",0)</f>
        <v>146.05</v>
      </c>
      <c r="N1613">
        <f>_xlfn.XLOOKUP($A1613,[1]Sheet1!$N$9:$N$2584,[1]Sheet1!$O$9:$O$2584,"N/A",0)</f>
        <v>111.02</v>
      </c>
      <c r="O1613">
        <v>108.2</v>
      </c>
      <c r="P1613">
        <v>126.34</v>
      </c>
      <c r="Q1613">
        <v>78.29</v>
      </c>
      <c r="R1613">
        <v>111.02</v>
      </c>
      <c r="S1613">
        <v>146.05</v>
      </c>
    </row>
    <row r="1614" spans="1:19">
      <c r="A1614" s="1">
        <v>44706</v>
      </c>
      <c r="B1614" t="s">
        <v>753</v>
      </c>
      <c r="C1614" t="s">
        <v>760</v>
      </c>
      <c r="D1614">
        <v>28.4859</v>
      </c>
      <c r="E1614">
        <v>29.1357</v>
      </c>
      <c r="F1614" s="2" t="s">
        <v>763</v>
      </c>
      <c r="G1614">
        <f ca="1" t="shared" si="75"/>
        <v>-0.423002845758518</v>
      </c>
      <c r="H1614" t="str">
        <f ca="1" t="shared" si="76"/>
        <v>Risk-On</v>
      </c>
      <c r="I1614">
        <f ca="1" t="shared" si="77"/>
        <v>1</v>
      </c>
      <c r="J1614">
        <f>_xlfn.XLOOKUP($A1614,[1]Sheet1!$B$9:$B$2584,[1]Sheet1!$C$9:$C$2584,"N/A",0)</f>
        <v>107.79</v>
      </c>
      <c r="K1614">
        <f>_xlfn.XLOOKUP($A1614,[1]Sheet1!$E$9:$E$2584,[1]Sheet1!$F$9:$F$2584,"N/A",0)</f>
        <v>126.15</v>
      </c>
      <c r="L1614">
        <f>_xlfn.XLOOKUP($A1614,[1]Sheet1!$H$9:$H$2584,[1]Sheet1!$I$9:$I$2584,"N/A",0)</f>
        <v>78.97</v>
      </c>
      <c r="M1614">
        <f>_xlfn.XLOOKUP($A1614,[1]Sheet1!$K$9:$K$2584,[1]Sheet1!$L$9:$L$2584,"N/A",0)</f>
        <v>146.24</v>
      </c>
      <c r="N1614">
        <f>_xlfn.XLOOKUP($A1614,[1]Sheet1!$N$9:$N$2584,[1]Sheet1!$O$9:$O$2584,"N/A",0)</f>
        <v>110.08</v>
      </c>
      <c r="O1614">
        <v>107.79</v>
      </c>
      <c r="P1614">
        <v>126.15</v>
      </c>
      <c r="Q1614">
        <v>78.97</v>
      </c>
      <c r="R1614">
        <v>110.08</v>
      </c>
      <c r="S1614">
        <v>146.24</v>
      </c>
    </row>
    <row r="1615" spans="1:19">
      <c r="A1615" s="1">
        <v>44707</v>
      </c>
      <c r="B1615" t="s">
        <v>753</v>
      </c>
      <c r="C1615" t="s">
        <v>760</v>
      </c>
      <c r="D1615">
        <v>28.0636</v>
      </c>
      <c r="E1615">
        <v>29.0604</v>
      </c>
      <c r="F1615">
        <v>0.0355193204008039</v>
      </c>
      <c r="G1615">
        <f ca="1" t="shared" si="75"/>
        <v>-0.149258806683485</v>
      </c>
      <c r="H1615" t="str">
        <f ca="1" t="shared" si="76"/>
        <v>Risk-On</v>
      </c>
      <c r="I1615">
        <f ca="1" t="shared" si="77"/>
        <v>1</v>
      </c>
      <c r="J1615">
        <f>_xlfn.XLOOKUP($A1615,[1]Sheet1!$B$9:$B$2584,[1]Sheet1!$C$9:$C$2584,"N/A",0)</f>
        <v>107.33</v>
      </c>
      <c r="K1615">
        <f>_xlfn.XLOOKUP($A1615,[1]Sheet1!$E$9:$E$2584,[1]Sheet1!$F$9:$F$2584,"N/A",0)</f>
        <v>126.6</v>
      </c>
      <c r="L1615">
        <f>_xlfn.XLOOKUP($A1615,[1]Sheet1!$H$9:$H$2584,[1]Sheet1!$I$9:$I$2584,"N/A",0)</f>
        <v>78.87</v>
      </c>
      <c r="M1615">
        <f>_xlfn.XLOOKUP($A1615,[1]Sheet1!$K$9:$K$2584,[1]Sheet1!$L$9:$L$2584,"N/A",0)</f>
        <v>146.54</v>
      </c>
      <c r="N1615">
        <f>_xlfn.XLOOKUP($A1615,[1]Sheet1!$N$9:$N$2584,[1]Sheet1!$O$9:$O$2584,"N/A",0)</f>
        <v>110.26</v>
      </c>
      <c r="O1615">
        <v>107.33</v>
      </c>
      <c r="P1615">
        <v>126.6</v>
      </c>
      <c r="Q1615">
        <v>78.87</v>
      </c>
      <c r="R1615">
        <v>110.26</v>
      </c>
      <c r="S1615">
        <v>146.54</v>
      </c>
    </row>
    <row r="1616" spans="1:19">
      <c r="A1616" s="1">
        <v>44708</v>
      </c>
      <c r="B1616" t="s">
        <v>753</v>
      </c>
      <c r="C1616" t="s">
        <v>760</v>
      </c>
      <c r="D1616">
        <v>26.8678</v>
      </c>
      <c r="E1616">
        <v>28.174</v>
      </c>
      <c r="F1616">
        <v>0.0486158152137503</v>
      </c>
      <c r="G1616">
        <f ca="1" t="shared" si="75"/>
        <v>0.134474339690131</v>
      </c>
      <c r="H1616" t="str">
        <f ca="1" t="shared" si="76"/>
        <v>Risk-On</v>
      </c>
      <c r="I1616">
        <f ca="1" t="shared" si="77"/>
        <v>1</v>
      </c>
      <c r="J1616">
        <f>_xlfn.XLOOKUP($A1616,[1]Sheet1!$B$9:$B$2584,[1]Sheet1!$C$9:$C$2584,"N/A",0)</f>
        <v>107.51</v>
      </c>
      <c r="K1616">
        <f>_xlfn.XLOOKUP($A1616,[1]Sheet1!$E$9:$E$2584,[1]Sheet1!$F$9:$F$2584,"N/A",0)</f>
        <v>127.55</v>
      </c>
      <c r="L1616">
        <f>_xlfn.XLOOKUP($A1616,[1]Sheet1!$H$9:$H$2584,[1]Sheet1!$I$9:$I$2584,"N/A",0)</f>
        <v>78.39</v>
      </c>
      <c r="M1616">
        <f>_xlfn.XLOOKUP($A1616,[1]Sheet1!$K$9:$K$2584,[1]Sheet1!$L$9:$L$2584,"N/A",0)</f>
        <v>146.5</v>
      </c>
      <c r="N1616">
        <f>_xlfn.XLOOKUP($A1616,[1]Sheet1!$N$9:$N$2584,[1]Sheet1!$O$9:$O$2584,"N/A",0)</f>
        <v>110.12</v>
      </c>
      <c r="O1616">
        <v>107.51</v>
      </c>
      <c r="P1616">
        <v>127.55</v>
      </c>
      <c r="Q1616">
        <v>78.39</v>
      </c>
      <c r="R1616">
        <v>110.12</v>
      </c>
      <c r="S1616">
        <v>146.5</v>
      </c>
    </row>
    <row r="1617" spans="1:19">
      <c r="A1617" s="1">
        <v>44712</v>
      </c>
      <c r="B1617" t="s">
        <v>753</v>
      </c>
      <c r="C1617" t="s">
        <v>760</v>
      </c>
      <c r="D1617">
        <v>26.4123</v>
      </c>
      <c r="E1617">
        <v>27.7908</v>
      </c>
      <c r="F1617">
        <v>0.0521915925534695</v>
      </c>
      <c r="G1617">
        <f ca="1" t="shared" si="75"/>
        <v>0.219329315497733</v>
      </c>
      <c r="H1617" t="str">
        <f ca="1" t="shared" si="76"/>
        <v>Risk-On</v>
      </c>
      <c r="I1617">
        <f ca="1" t="shared" si="77"/>
        <v>1</v>
      </c>
      <c r="J1617">
        <f>_xlfn.XLOOKUP($A1617,[1]Sheet1!$B$9:$B$2584,[1]Sheet1!$C$9:$C$2584,"N/A",0)</f>
        <v>107.11</v>
      </c>
      <c r="K1617">
        <f>_xlfn.XLOOKUP($A1617,[1]Sheet1!$E$9:$E$2584,[1]Sheet1!$F$9:$F$2584,"N/A",0)</f>
        <v>127.72</v>
      </c>
      <c r="L1617">
        <f>_xlfn.XLOOKUP($A1617,[1]Sheet1!$H$9:$H$2584,[1]Sheet1!$I$9:$I$2584,"N/A",0)</f>
        <v>79.32</v>
      </c>
      <c r="M1617">
        <f>_xlfn.XLOOKUP($A1617,[1]Sheet1!$K$9:$K$2584,[1]Sheet1!$L$9:$L$2584,"N/A",0)</f>
        <v>146.88</v>
      </c>
      <c r="N1617">
        <f>_xlfn.XLOOKUP($A1617,[1]Sheet1!$N$9:$N$2584,[1]Sheet1!$O$9:$O$2584,"N/A",0)</f>
        <v>110.65</v>
      </c>
      <c r="O1617">
        <v>107.11</v>
      </c>
      <c r="P1617">
        <v>127.72</v>
      </c>
      <c r="Q1617">
        <v>79.32</v>
      </c>
      <c r="R1617">
        <v>110.65</v>
      </c>
      <c r="S1617">
        <v>146.88</v>
      </c>
    </row>
    <row r="1618" spans="1:19">
      <c r="A1618" s="1">
        <v>44713</v>
      </c>
      <c r="B1618" t="s">
        <v>753</v>
      </c>
      <c r="C1618" t="s">
        <v>760</v>
      </c>
      <c r="D1618">
        <v>26.1937</v>
      </c>
      <c r="E1618">
        <v>27.5714</v>
      </c>
      <c r="F1618">
        <v>0.0525966167437208</v>
      </c>
      <c r="G1618">
        <f ca="1" t="shared" si="75"/>
        <v>0.23580691366933</v>
      </c>
      <c r="H1618" t="str">
        <f ca="1" t="shared" si="76"/>
        <v>Risk-On</v>
      </c>
      <c r="I1618">
        <f ca="1" t="shared" si="77"/>
        <v>1</v>
      </c>
      <c r="J1618">
        <f>_xlfn.XLOOKUP($A1618,[1]Sheet1!$B$9:$B$2584,[1]Sheet1!$C$9:$C$2584,"N/A",0)</f>
        <v>107.17</v>
      </c>
      <c r="K1618">
        <f>_xlfn.XLOOKUP($A1618,[1]Sheet1!$E$9:$E$2584,[1]Sheet1!$F$9:$F$2584,"N/A",0)</f>
        <v>128.58</v>
      </c>
      <c r="L1618">
        <f>_xlfn.XLOOKUP($A1618,[1]Sheet1!$H$9:$H$2584,[1]Sheet1!$I$9:$I$2584,"N/A",0)</f>
        <v>79.56</v>
      </c>
      <c r="M1618">
        <f>_xlfn.XLOOKUP($A1618,[1]Sheet1!$K$9:$K$2584,[1]Sheet1!$L$9:$L$2584,"N/A",0)</f>
        <v>147.18</v>
      </c>
      <c r="N1618">
        <f>_xlfn.XLOOKUP($A1618,[1]Sheet1!$N$9:$N$2584,[1]Sheet1!$O$9:$O$2584,"N/A",0)</f>
        <v>110.13</v>
      </c>
      <c r="O1618">
        <v>107.17</v>
      </c>
      <c r="P1618">
        <v>128.58</v>
      </c>
      <c r="Q1618">
        <v>79.56</v>
      </c>
      <c r="R1618">
        <v>110.13</v>
      </c>
      <c r="S1618">
        <v>147.18</v>
      </c>
    </row>
    <row r="1619" spans="1:19">
      <c r="A1619" s="1">
        <v>44714</v>
      </c>
      <c r="B1619" t="s">
        <v>753</v>
      </c>
      <c r="C1619" t="s">
        <v>760</v>
      </c>
      <c r="D1619">
        <v>25.6001</v>
      </c>
      <c r="E1619">
        <v>27.0828</v>
      </c>
      <c r="F1619">
        <v>0.0579177425088182</v>
      </c>
      <c r="G1619">
        <f ca="1" t="shared" si="75"/>
        <v>0.35131642518497</v>
      </c>
      <c r="H1619" t="str">
        <f ca="1" t="shared" si="76"/>
        <v>Risk-On</v>
      </c>
      <c r="I1619">
        <f ca="1" t="shared" si="77"/>
        <v>1</v>
      </c>
      <c r="J1619">
        <f>_xlfn.XLOOKUP($A1619,[1]Sheet1!$B$9:$B$2584,[1]Sheet1!$C$9:$C$2584,"N/A",0)</f>
        <v>107.33</v>
      </c>
      <c r="K1619">
        <f>_xlfn.XLOOKUP($A1619,[1]Sheet1!$E$9:$E$2584,[1]Sheet1!$F$9:$F$2584,"N/A",0)</f>
        <v>128.12</v>
      </c>
      <c r="L1619">
        <f>_xlfn.XLOOKUP($A1619,[1]Sheet1!$H$9:$H$2584,[1]Sheet1!$I$9:$I$2584,"N/A",0)</f>
        <v>78.44</v>
      </c>
      <c r="M1619">
        <f>_xlfn.XLOOKUP($A1619,[1]Sheet1!$K$9:$K$2584,[1]Sheet1!$L$9:$L$2584,"N/A",0)</f>
        <v>146.05</v>
      </c>
      <c r="N1619">
        <f>_xlfn.XLOOKUP($A1619,[1]Sheet1!$N$9:$N$2584,[1]Sheet1!$O$9:$O$2584,"N/A",0)</f>
        <v>109.28</v>
      </c>
      <c r="O1619">
        <v>107.33</v>
      </c>
      <c r="P1619">
        <v>128.12</v>
      </c>
      <c r="Q1619">
        <v>78.44</v>
      </c>
      <c r="R1619">
        <v>109.28</v>
      </c>
      <c r="S1619">
        <v>146.05</v>
      </c>
    </row>
    <row r="1620" spans="1:19">
      <c r="A1620" s="1">
        <v>44715</v>
      </c>
      <c r="B1620" t="s">
        <v>753</v>
      </c>
      <c r="C1620" t="s">
        <v>760</v>
      </c>
      <c r="D1620">
        <v>25.9627</v>
      </c>
      <c r="E1620">
        <v>27.3039</v>
      </c>
      <c r="F1620">
        <v>0.0516587257873794</v>
      </c>
      <c r="G1620">
        <f ca="1" t="shared" si="75"/>
        <v>0.212455021565049</v>
      </c>
      <c r="H1620" t="str">
        <f ca="1" t="shared" si="76"/>
        <v>Risk-On</v>
      </c>
      <c r="I1620">
        <f ca="1" t="shared" si="77"/>
        <v>1</v>
      </c>
      <c r="J1620">
        <f>_xlfn.XLOOKUP($A1620,[1]Sheet1!$B$9:$B$2584,[1]Sheet1!$C$9:$C$2584,"N/A",0)</f>
        <v>107.59</v>
      </c>
      <c r="K1620">
        <f>_xlfn.XLOOKUP($A1620,[1]Sheet1!$E$9:$E$2584,[1]Sheet1!$F$9:$F$2584,"N/A",0)</f>
        <v>129.74</v>
      </c>
      <c r="L1620">
        <f>_xlfn.XLOOKUP($A1620,[1]Sheet1!$H$9:$H$2584,[1]Sheet1!$I$9:$I$2584,"N/A",0)</f>
        <v>78.65</v>
      </c>
      <c r="M1620">
        <f>_xlfn.XLOOKUP($A1620,[1]Sheet1!$K$9:$K$2584,[1]Sheet1!$L$9:$L$2584,"N/A",0)</f>
        <v>146.52</v>
      </c>
      <c r="N1620">
        <f>_xlfn.XLOOKUP($A1620,[1]Sheet1!$N$9:$N$2584,[1]Sheet1!$O$9:$O$2584,"N/A",0)</f>
        <v>109.03</v>
      </c>
      <c r="O1620">
        <v>107.59</v>
      </c>
      <c r="P1620">
        <v>129.74</v>
      </c>
      <c r="Q1620">
        <v>78.65</v>
      </c>
      <c r="R1620">
        <v>109.03</v>
      </c>
      <c r="S1620">
        <v>146.52</v>
      </c>
    </row>
    <row r="1621" spans="1:19">
      <c r="A1621" s="1">
        <v>44718</v>
      </c>
      <c r="B1621" t="s">
        <v>753</v>
      </c>
      <c r="C1621" t="s">
        <v>760</v>
      </c>
      <c r="D1621">
        <v>25.5854</v>
      </c>
      <c r="E1621">
        <v>26.9709</v>
      </c>
      <c r="F1621">
        <v>0.0541519772995536</v>
      </c>
      <c r="G1621">
        <f ca="1" t="shared" si="75"/>
        <v>0.266572851698558</v>
      </c>
      <c r="H1621" t="str">
        <f ca="1" t="shared" si="76"/>
        <v>Risk-On</v>
      </c>
      <c r="I1621">
        <f ca="1" t="shared" si="77"/>
        <v>1</v>
      </c>
      <c r="J1621">
        <f>_xlfn.XLOOKUP($A1621,[1]Sheet1!$B$9:$B$2584,[1]Sheet1!$C$9:$C$2584,"N/A",0)</f>
        <v>108.04</v>
      </c>
      <c r="K1621">
        <f>_xlfn.XLOOKUP($A1621,[1]Sheet1!$E$9:$E$2584,[1]Sheet1!$F$9:$F$2584,"N/A",0)</f>
        <v>129.47</v>
      </c>
      <c r="L1621">
        <f>_xlfn.XLOOKUP($A1621,[1]Sheet1!$H$9:$H$2584,[1]Sheet1!$I$9:$I$2584,"N/A",0)</f>
        <v>78.89</v>
      </c>
      <c r="M1621">
        <f>_xlfn.XLOOKUP($A1621,[1]Sheet1!$K$9:$K$2584,[1]Sheet1!$L$9:$L$2584,"N/A",0)</f>
        <v>146.59</v>
      </c>
      <c r="N1621">
        <f>_xlfn.XLOOKUP($A1621,[1]Sheet1!$N$9:$N$2584,[1]Sheet1!$O$9:$O$2584,"N/A",0)</f>
        <v>108.93</v>
      </c>
      <c r="O1621">
        <v>108.04</v>
      </c>
      <c r="P1621">
        <v>129.47</v>
      </c>
      <c r="Q1621">
        <v>78.89</v>
      </c>
      <c r="R1621">
        <v>108.93</v>
      </c>
      <c r="S1621">
        <v>146.59</v>
      </c>
    </row>
    <row r="1622" spans="1:19">
      <c r="A1622" s="1">
        <v>44719</v>
      </c>
      <c r="B1622" t="s">
        <v>753</v>
      </c>
      <c r="C1622" t="s">
        <v>760</v>
      </c>
      <c r="D1622">
        <v>24.6805</v>
      </c>
      <c r="E1622">
        <v>26.3045</v>
      </c>
      <c r="F1622">
        <v>0.0658009359615892</v>
      </c>
      <c r="G1622">
        <f ca="1" t="shared" si="75"/>
        <v>0.523060861956032</v>
      </c>
      <c r="H1622" t="str">
        <f ca="1" t="shared" si="76"/>
        <v>Risk-On</v>
      </c>
      <c r="I1622">
        <f ca="1" t="shared" si="77"/>
        <v>1</v>
      </c>
      <c r="J1622">
        <f>_xlfn.XLOOKUP($A1622,[1]Sheet1!$B$9:$B$2584,[1]Sheet1!$C$9:$C$2584,"N/A",0)</f>
        <v>107.41</v>
      </c>
      <c r="K1622">
        <f>_xlfn.XLOOKUP($A1622,[1]Sheet1!$E$9:$E$2584,[1]Sheet1!$F$9:$F$2584,"N/A",0)</f>
        <v>130.12</v>
      </c>
      <c r="L1622">
        <f>_xlfn.XLOOKUP($A1622,[1]Sheet1!$H$9:$H$2584,[1]Sheet1!$I$9:$I$2584,"N/A",0)</f>
        <v>78.74</v>
      </c>
      <c r="M1622">
        <f>_xlfn.XLOOKUP($A1622,[1]Sheet1!$K$9:$K$2584,[1]Sheet1!$L$9:$L$2584,"N/A",0)</f>
        <v>146.46</v>
      </c>
      <c r="N1622">
        <f>_xlfn.XLOOKUP($A1622,[1]Sheet1!$N$9:$N$2584,[1]Sheet1!$O$9:$O$2584,"N/A",0)</f>
        <v>108.77</v>
      </c>
      <c r="O1622">
        <v>107.41</v>
      </c>
      <c r="P1622">
        <v>130.12</v>
      </c>
      <c r="Q1622">
        <v>78.74</v>
      </c>
      <c r="R1622">
        <v>108.77</v>
      </c>
      <c r="S1622">
        <v>146.46</v>
      </c>
    </row>
    <row r="1623" spans="1:19">
      <c r="A1623" s="1">
        <v>44720</v>
      </c>
      <c r="B1623" t="s">
        <v>753</v>
      </c>
      <c r="C1623" t="s">
        <v>760</v>
      </c>
      <c r="D1623">
        <v>24.6993</v>
      </c>
      <c r="E1623">
        <v>26.256</v>
      </c>
      <c r="F1623">
        <v>0.0630260776621199</v>
      </c>
      <c r="G1623">
        <f ca="1" t="shared" si="75"/>
        <v>0.459148661285921</v>
      </c>
      <c r="H1623" t="str">
        <f ca="1" t="shared" si="76"/>
        <v>Risk-On</v>
      </c>
      <c r="I1623">
        <f ca="1" t="shared" si="77"/>
        <v>1</v>
      </c>
      <c r="J1623">
        <f>_xlfn.XLOOKUP($A1623,[1]Sheet1!$B$9:$B$2584,[1]Sheet1!$C$9:$C$2584,"N/A",0)</f>
        <v>107.62</v>
      </c>
      <c r="K1623">
        <f>_xlfn.XLOOKUP($A1623,[1]Sheet1!$E$9:$E$2584,[1]Sheet1!$F$9:$F$2584,"N/A",0)</f>
        <v>128.99</v>
      </c>
      <c r="L1623">
        <f>_xlfn.XLOOKUP($A1623,[1]Sheet1!$H$9:$H$2584,[1]Sheet1!$I$9:$I$2584,"N/A",0)</f>
        <v>78.36</v>
      </c>
      <c r="M1623">
        <f>_xlfn.XLOOKUP($A1623,[1]Sheet1!$K$9:$K$2584,[1]Sheet1!$L$9:$L$2584,"N/A",0)</f>
        <v>146.35</v>
      </c>
      <c r="N1623">
        <f>_xlfn.XLOOKUP($A1623,[1]Sheet1!$N$9:$N$2584,[1]Sheet1!$O$9:$O$2584,"N/A",0)</f>
        <v>109.07</v>
      </c>
      <c r="O1623">
        <v>107.62</v>
      </c>
      <c r="P1623">
        <v>128.99</v>
      </c>
      <c r="Q1623">
        <v>78.36</v>
      </c>
      <c r="R1623">
        <v>109.07</v>
      </c>
      <c r="S1623">
        <v>146.35</v>
      </c>
    </row>
    <row r="1624" spans="1:19">
      <c r="A1624" s="1">
        <v>44721</v>
      </c>
      <c r="B1624" t="s">
        <v>753</v>
      </c>
      <c r="C1624" t="s">
        <v>760</v>
      </c>
      <c r="D1624">
        <v>26.4245</v>
      </c>
      <c r="E1624">
        <v>27.4994</v>
      </c>
      <c r="F1624" s="2" t="s">
        <v>764</v>
      </c>
      <c r="G1624">
        <f ca="1" t="shared" si="75"/>
        <v>-0.0396349199779087</v>
      </c>
      <c r="H1624" t="str">
        <f ca="1" t="shared" si="76"/>
        <v>Risk-On</v>
      </c>
      <c r="I1624">
        <f ca="1" t="shared" si="77"/>
        <v>1</v>
      </c>
      <c r="J1624">
        <f>_xlfn.XLOOKUP($A1624,[1]Sheet1!$B$9:$B$2584,[1]Sheet1!$C$9:$C$2584,"N/A",0)</f>
        <v>107.72</v>
      </c>
      <c r="K1624">
        <f>_xlfn.XLOOKUP($A1624,[1]Sheet1!$E$9:$E$2584,[1]Sheet1!$F$9:$F$2584,"N/A",0)</f>
        <v>129.76</v>
      </c>
      <c r="L1624">
        <f>_xlfn.XLOOKUP($A1624,[1]Sheet1!$H$9:$H$2584,[1]Sheet1!$I$9:$I$2584,"N/A",0)</f>
        <v>78.81</v>
      </c>
      <c r="M1624">
        <f>_xlfn.XLOOKUP($A1624,[1]Sheet1!$K$9:$K$2584,[1]Sheet1!$L$9:$L$2584,"N/A",0)</f>
        <v>147.11</v>
      </c>
      <c r="N1624">
        <f>_xlfn.XLOOKUP($A1624,[1]Sheet1!$N$9:$N$2584,[1]Sheet1!$O$9:$O$2584,"N/A",0)</f>
        <v>109.09</v>
      </c>
      <c r="O1624">
        <v>107.72</v>
      </c>
      <c r="P1624">
        <v>129.76</v>
      </c>
      <c r="Q1624">
        <v>78.81</v>
      </c>
      <c r="R1624">
        <v>109.09</v>
      </c>
      <c r="S1624">
        <v>147.11</v>
      </c>
    </row>
    <row r="1625" spans="1:19">
      <c r="A1625" s="1">
        <v>44722</v>
      </c>
      <c r="B1625" t="s">
        <v>753</v>
      </c>
      <c r="C1625" t="s">
        <v>760</v>
      </c>
      <c r="D1625">
        <v>28.2892</v>
      </c>
      <c r="E1625">
        <v>29.0858</v>
      </c>
      <c r="F1625" s="2" t="s">
        <v>765</v>
      </c>
      <c r="G1625">
        <f ca="1" t="shared" si="75"/>
        <v>-0.317931043164958</v>
      </c>
      <c r="H1625" t="str">
        <f ca="1" t="shared" si="76"/>
        <v>Risk-On</v>
      </c>
      <c r="I1625">
        <f ca="1" t="shared" si="77"/>
        <v>1</v>
      </c>
      <c r="J1625">
        <f>_xlfn.XLOOKUP($A1625,[1]Sheet1!$B$9:$B$2584,[1]Sheet1!$C$9:$C$2584,"N/A",0)</f>
        <v>107.82</v>
      </c>
      <c r="K1625">
        <f>_xlfn.XLOOKUP($A1625,[1]Sheet1!$E$9:$E$2584,[1]Sheet1!$F$9:$F$2584,"N/A",0)</f>
        <v>130.29</v>
      </c>
      <c r="L1625">
        <f>_xlfn.XLOOKUP($A1625,[1]Sheet1!$H$9:$H$2584,[1]Sheet1!$I$9:$I$2584,"N/A",0)</f>
        <v>78.14</v>
      </c>
      <c r="M1625">
        <f>_xlfn.XLOOKUP($A1625,[1]Sheet1!$K$9:$K$2584,[1]Sheet1!$L$9:$L$2584,"N/A",0)</f>
        <v>146.25</v>
      </c>
      <c r="N1625">
        <f>_xlfn.XLOOKUP($A1625,[1]Sheet1!$N$9:$N$2584,[1]Sheet1!$O$9:$O$2584,"N/A",0)</f>
        <v>108.53</v>
      </c>
      <c r="O1625">
        <v>107.82</v>
      </c>
      <c r="P1625">
        <v>130.29</v>
      </c>
      <c r="Q1625">
        <v>78.14</v>
      </c>
      <c r="R1625">
        <v>108.53</v>
      </c>
      <c r="S1625">
        <v>146.25</v>
      </c>
    </row>
    <row r="1626" spans="1:19">
      <c r="A1626" s="1">
        <v>44725</v>
      </c>
      <c r="B1626" t="s">
        <v>753</v>
      </c>
      <c r="C1626" t="s">
        <v>760</v>
      </c>
      <c r="D1626">
        <v>33.4687</v>
      </c>
      <c r="E1626">
        <v>32.8934</v>
      </c>
      <c r="F1626">
        <v>-0.0171891946804028</v>
      </c>
      <c r="G1626">
        <f ca="1" t="shared" si="75"/>
        <v>-1.32602017372353</v>
      </c>
      <c r="H1626" t="str">
        <f ca="1" t="shared" si="76"/>
        <v>Risk-On</v>
      </c>
      <c r="I1626">
        <f ca="1" t="shared" si="77"/>
        <v>1</v>
      </c>
      <c r="J1626">
        <f>_xlfn.XLOOKUP($A1626,[1]Sheet1!$B$9:$B$2584,[1]Sheet1!$C$9:$C$2584,"N/A",0)</f>
        <v>108.6</v>
      </c>
      <c r="K1626">
        <f>_xlfn.XLOOKUP($A1626,[1]Sheet1!$E$9:$E$2584,[1]Sheet1!$F$9:$F$2584,"N/A",0)</f>
        <v>130.99</v>
      </c>
      <c r="L1626">
        <f>_xlfn.XLOOKUP($A1626,[1]Sheet1!$H$9:$H$2584,[1]Sheet1!$I$9:$I$2584,"N/A",0)</f>
        <v>77.52</v>
      </c>
      <c r="M1626">
        <f>_xlfn.XLOOKUP($A1626,[1]Sheet1!$K$9:$K$2584,[1]Sheet1!$L$9:$L$2584,"N/A",0)</f>
        <v>147.27</v>
      </c>
      <c r="N1626">
        <f>_xlfn.XLOOKUP($A1626,[1]Sheet1!$N$9:$N$2584,[1]Sheet1!$O$9:$O$2584,"N/A",0)</f>
        <v>109.16</v>
      </c>
      <c r="O1626">
        <v>108.6</v>
      </c>
      <c r="P1626">
        <v>130.99</v>
      </c>
      <c r="Q1626">
        <v>77.52</v>
      </c>
      <c r="R1626">
        <v>109.16</v>
      </c>
      <c r="S1626">
        <v>147.27</v>
      </c>
    </row>
    <row r="1627" spans="1:19">
      <c r="A1627" s="1">
        <v>44726</v>
      </c>
      <c r="B1627" t="s">
        <v>753</v>
      </c>
      <c r="C1627" t="s">
        <v>760</v>
      </c>
      <c r="D1627">
        <v>32.5815</v>
      </c>
      <c r="E1627">
        <v>31.8115</v>
      </c>
      <c r="F1627">
        <v>-0.0236330432914383</v>
      </c>
      <c r="G1627">
        <f ca="1" t="shared" si="75"/>
        <v>-1.4558942915414</v>
      </c>
      <c r="H1627" t="str">
        <f ca="1" t="shared" si="76"/>
        <v>Risk-On</v>
      </c>
      <c r="I1627">
        <f ca="1" t="shared" si="77"/>
        <v>1</v>
      </c>
      <c r="J1627">
        <f>_xlfn.XLOOKUP($A1627,[1]Sheet1!$B$9:$B$2584,[1]Sheet1!$C$9:$C$2584,"N/A",0)</f>
        <v>108.9</v>
      </c>
      <c r="K1627">
        <f>_xlfn.XLOOKUP($A1627,[1]Sheet1!$E$9:$E$2584,[1]Sheet1!$F$9:$F$2584,"N/A",0)</f>
        <v>132.34</v>
      </c>
      <c r="L1627">
        <f>_xlfn.XLOOKUP($A1627,[1]Sheet1!$H$9:$H$2584,[1]Sheet1!$I$9:$I$2584,"N/A",0)</f>
        <v>78.21</v>
      </c>
      <c r="M1627">
        <f>_xlfn.XLOOKUP($A1627,[1]Sheet1!$K$9:$K$2584,[1]Sheet1!$L$9:$L$2584,"N/A",0)</f>
        <v>148.01</v>
      </c>
      <c r="N1627">
        <f>_xlfn.XLOOKUP($A1627,[1]Sheet1!$N$9:$N$2584,[1]Sheet1!$O$9:$O$2584,"N/A",0)</f>
        <v>109.32</v>
      </c>
      <c r="O1627">
        <v>108.9</v>
      </c>
      <c r="P1627">
        <v>132.34</v>
      </c>
      <c r="Q1627">
        <v>78.21</v>
      </c>
      <c r="R1627">
        <v>109.32</v>
      </c>
      <c r="S1627">
        <v>148.01</v>
      </c>
    </row>
    <row r="1628" spans="1:19">
      <c r="A1628" s="1">
        <v>44727</v>
      </c>
      <c r="B1628" t="s">
        <v>753</v>
      </c>
      <c r="C1628" t="s">
        <v>760</v>
      </c>
      <c r="D1628">
        <v>31</v>
      </c>
      <c r="E1628">
        <v>30.0306</v>
      </c>
      <c r="F1628">
        <v>-0.0312709677419354</v>
      </c>
      <c r="G1628">
        <f ca="1" t="shared" si="75"/>
        <v>-1.60857208618637</v>
      </c>
      <c r="H1628" t="str">
        <f ca="1" t="shared" si="76"/>
        <v>Risk-On</v>
      </c>
      <c r="I1628">
        <f ca="1" t="shared" si="77"/>
        <v>1</v>
      </c>
      <c r="J1628">
        <f>_xlfn.XLOOKUP($A1628,[1]Sheet1!$B$9:$B$2584,[1]Sheet1!$C$9:$C$2584,"N/A",0)</f>
        <v>108.79</v>
      </c>
      <c r="K1628">
        <f>_xlfn.XLOOKUP($A1628,[1]Sheet1!$E$9:$E$2584,[1]Sheet1!$F$9:$F$2584,"N/A",0)</f>
        <v>131.61</v>
      </c>
      <c r="L1628">
        <f>_xlfn.XLOOKUP($A1628,[1]Sheet1!$H$9:$H$2584,[1]Sheet1!$I$9:$I$2584,"N/A",0)</f>
        <v>78.09</v>
      </c>
      <c r="M1628">
        <f>_xlfn.XLOOKUP($A1628,[1]Sheet1!$K$9:$K$2584,[1]Sheet1!$L$9:$L$2584,"N/A",0)</f>
        <v>147.17</v>
      </c>
      <c r="N1628">
        <f>_xlfn.XLOOKUP($A1628,[1]Sheet1!$N$9:$N$2584,[1]Sheet1!$O$9:$O$2584,"N/A",0)</f>
        <v>108.98</v>
      </c>
      <c r="O1628">
        <v>108.79</v>
      </c>
      <c r="P1628">
        <v>131.61</v>
      </c>
      <c r="Q1628">
        <v>78.09</v>
      </c>
      <c r="R1628">
        <v>108.98</v>
      </c>
      <c r="S1628">
        <v>147.17</v>
      </c>
    </row>
    <row r="1629" spans="1:19">
      <c r="A1629" s="1">
        <v>44728</v>
      </c>
      <c r="B1629" t="s">
        <v>760</v>
      </c>
      <c r="C1629" t="s">
        <v>766</v>
      </c>
      <c r="D1629">
        <v>31.9206</v>
      </c>
      <c r="E1629">
        <v>31.4868</v>
      </c>
      <c r="F1629">
        <v>-0.0135899701133437</v>
      </c>
      <c r="G1629">
        <f ca="1" t="shared" si="75"/>
        <v>-1.20012486224037</v>
      </c>
      <c r="H1629" t="str">
        <f ca="1" t="shared" si="76"/>
        <v>Risk-On</v>
      </c>
      <c r="I1629">
        <f ca="1" t="shared" si="77"/>
        <v>1</v>
      </c>
      <c r="J1629">
        <f>_xlfn.XLOOKUP($A1629,[1]Sheet1!$B$9:$B$2584,[1]Sheet1!$C$9:$C$2584,"N/A",0)</f>
        <v>108.73</v>
      </c>
      <c r="K1629">
        <f>_xlfn.XLOOKUP($A1629,[1]Sheet1!$E$9:$E$2584,[1]Sheet1!$F$9:$F$2584,"N/A",0)</f>
        <v>131.49</v>
      </c>
      <c r="L1629">
        <f>_xlfn.XLOOKUP($A1629,[1]Sheet1!$H$9:$H$2584,[1]Sheet1!$I$9:$I$2584,"N/A",0)</f>
        <v>77.35</v>
      </c>
      <c r="M1629">
        <f>_xlfn.XLOOKUP($A1629,[1]Sheet1!$K$9:$K$2584,[1]Sheet1!$L$9:$L$2584,"N/A",0)</f>
        <v>147.09</v>
      </c>
      <c r="N1629">
        <f>_xlfn.XLOOKUP($A1629,[1]Sheet1!$N$9:$N$2584,[1]Sheet1!$O$9:$O$2584,"N/A",0)</f>
        <v>109.61</v>
      </c>
      <c r="O1629">
        <v>108.73</v>
      </c>
      <c r="P1629">
        <v>131.49</v>
      </c>
      <c r="Q1629">
        <v>77.35</v>
      </c>
      <c r="R1629">
        <v>109.61</v>
      </c>
      <c r="S1629">
        <v>147.09</v>
      </c>
    </row>
    <row r="1630" spans="1:19">
      <c r="A1630" s="1">
        <v>44729</v>
      </c>
      <c r="B1630" t="s">
        <v>760</v>
      </c>
      <c r="C1630" t="s">
        <v>766</v>
      </c>
      <c r="D1630">
        <v>30.902</v>
      </c>
      <c r="E1630">
        <v>30.6829</v>
      </c>
      <c r="F1630">
        <v>-0.00709015597695945</v>
      </c>
      <c r="G1630">
        <f ca="1" t="shared" si="75"/>
        <v>-1.04065792895833</v>
      </c>
      <c r="H1630" t="str">
        <f ca="1" t="shared" si="76"/>
        <v>Risk-On</v>
      </c>
      <c r="I1630">
        <f ca="1" t="shared" si="77"/>
        <v>1</v>
      </c>
      <c r="J1630">
        <f>_xlfn.XLOOKUP($A1630,[1]Sheet1!$B$9:$B$2584,[1]Sheet1!$C$9:$C$2584,"N/A",0)</f>
        <v>108.98</v>
      </c>
      <c r="K1630">
        <f>_xlfn.XLOOKUP($A1630,[1]Sheet1!$E$9:$E$2584,[1]Sheet1!$F$9:$F$2584,"N/A",0)</f>
        <v>130.08</v>
      </c>
      <c r="L1630">
        <f>_xlfn.XLOOKUP($A1630,[1]Sheet1!$H$9:$H$2584,[1]Sheet1!$I$9:$I$2584,"N/A",0)</f>
        <v>76.93</v>
      </c>
      <c r="M1630">
        <f>_xlfn.XLOOKUP($A1630,[1]Sheet1!$K$9:$K$2584,[1]Sheet1!$L$9:$L$2584,"N/A",0)</f>
        <v>145.72</v>
      </c>
      <c r="N1630">
        <f>_xlfn.XLOOKUP($A1630,[1]Sheet1!$N$9:$N$2584,[1]Sheet1!$O$9:$O$2584,"N/A",0)</f>
        <v>108.51</v>
      </c>
      <c r="O1630">
        <v>108.98</v>
      </c>
      <c r="P1630">
        <v>130.08</v>
      </c>
      <c r="Q1630">
        <v>76.93</v>
      </c>
      <c r="R1630">
        <v>108.51</v>
      </c>
      <c r="S1630">
        <v>145.72</v>
      </c>
    </row>
    <row r="1631" spans="1:19">
      <c r="A1631" s="1">
        <v>44733</v>
      </c>
      <c r="B1631" t="s">
        <v>760</v>
      </c>
      <c r="C1631" t="s">
        <v>766</v>
      </c>
      <c r="D1631">
        <v>30.3228</v>
      </c>
      <c r="E1631">
        <v>30.1912</v>
      </c>
      <c r="F1631">
        <v>-0.00433996860448251</v>
      </c>
      <c r="G1631">
        <f ca="1" t="shared" si="75"/>
        <v>-0.969047909704111</v>
      </c>
      <c r="H1631" t="str">
        <f ca="1" t="shared" si="76"/>
        <v>Risk-On</v>
      </c>
      <c r="I1631">
        <f ca="1" t="shared" si="77"/>
        <v>1</v>
      </c>
      <c r="J1631">
        <f>_xlfn.XLOOKUP($A1631,[1]Sheet1!$B$9:$B$2584,[1]Sheet1!$C$9:$C$2584,"N/A",0)</f>
        <v>108.5</v>
      </c>
      <c r="K1631">
        <f>_xlfn.XLOOKUP($A1631,[1]Sheet1!$E$9:$E$2584,[1]Sheet1!$F$9:$F$2584,"N/A",0)</f>
        <v>131</v>
      </c>
      <c r="L1631">
        <f>_xlfn.XLOOKUP($A1631,[1]Sheet1!$H$9:$H$2584,[1]Sheet1!$I$9:$I$2584,"N/A",0)</f>
        <v>77.05</v>
      </c>
      <c r="M1631">
        <f>_xlfn.XLOOKUP($A1631,[1]Sheet1!$K$9:$K$2584,[1]Sheet1!$L$9:$L$2584,"N/A",0)</f>
        <v>144.73</v>
      </c>
      <c r="N1631">
        <f>_xlfn.XLOOKUP($A1631,[1]Sheet1!$N$9:$N$2584,[1]Sheet1!$O$9:$O$2584,"N/A",0)</f>
        <v>109.32</v>
      </c>
      <c r="O1631">
        <v>108.5</v>
      </c>
      <c r="P1631">
        <v>131</v>
      </c>
      <c r="Q1631">
        <v>77.05</v>
      </c>
      <c r="R1631">
        <v>109.32</v>
      </c>
      <c r="S1631">
        <v>144.73</v>
      </c>
    </row>
    <row r="1632" spans="1:19">
      <c r="A1632" s="1">
        <v>44734</v>
      </c>
      <c r="B1632" t="s">
        <v>760</v>
      </c>
      <c r="C1632" t="s">
        <v>766</v>
      </c>
      <c r="D1632">
        <v>29.0105</v>
      </c>
      <c r="E1632">
        <v>29.1196</v>
      </c>
      <c r="F1632">
        <v>0.00376070733010454</v>
      </c>
      <c r="G1632">
        <f ca="1" t="shared" si="75"/>
        <v>-0.780133267164323</v>
      </c>
      <c r="H1632" t="str">
        <f ca="1" t="shared" si="76"/>
        <v>Risk-On</v>
      </c>
      <c r="I1632">
        <f ca="1" t="shared" si="77"/>
        <v>1</v>
      </c>
      <c r="J1632">
        <f>_xlfn.XLOOKUP($A1632,[1]Sheet1!$B$9:$B$2584,[1]Sheet1!$C$9:$C$2584,"N/A",0)</f>
        <v>108.5</v>
      </c>
      <c r="K1632">
        <f>_xlfn.XLOOKUP($A1632,[1]Sheet1!$E$9:$E$2584,[1]Sheet1!$F$9:$F$2584,"N/A",0)</f>
        <v>129.03</v>
      </c>
      <c r="L1632">
        <f>_xlfn.XLOOKUP($A1632,[1]Sheet1!$H$9:$H$2584,[1]Sheet1!$I$9:$I$2584,"N/A",0)</f>
        <v>76.12</v>
      </c>
      <c r="M1632">
        <f>_xlfn.XLOOKUP($A1632,[1]Sheet1!$K$9:$K$2584,[1]Sheet1!$L$9:$L$2584,"N/A",0)</f>
        <v>144.14</v>
      </c>
      <c r="N1632">
        <f>_xlfn.XLOOKUP($A1632,[1]Sheet1!$N$9:$N$2584,[1]Sheet1!$O$9:$O$2584,"N/A",0)</f>
        <v>109.49</v>
      </c>
      <c r="O1632">
        <v>108.5</v>
      </c>
      <c r="P1632">
        <v>129.03</v>
      </c>
      <c r="Q1632">
        <v>76.12</v>
      </c>
      <c r="R1632">
        <v>109.49</v>
      </c>
      <c r="S1632">
        <v>144.14</v>
      </c>
    </row>
    <row r="1633" spans="1:19">
      <c r="A1633" s="1">
        <v>44735</v>
      </c>
      <c r="B1633" t="s">
        <v>760</v>
      </c>
      <c r="C1633" t="s">
        <v>766</v>
      </c>
      <c r="D1633">
        <v>29.0073</v>
      </c>
      <c r="E1633">
        <v>29.1839</v>
      </c>
      <c r="F1633">
        <v>0.00608812264498938</v>
      </c>
      <c r="G1633">
        <f ca="1" t="shared" si="75"/>
        <v>-0.717851676634817</v>
      </c>
      <c r="H1633" t="str">
        <f ca="1" t="shared" si="76"/>
        <v>Risk-On</v>
      </c>
      <c r="I1633">
        <f ca="1" t="shared" si="77"/>
        <v>1</v>
      </c>
      <c r="J1633">
        <f>_xlfn.XLOOKUP($A1633,[1]Sheet1!$B$9:$B$2584,[1]Sheet1!$C$9:$C$2584,"N/A",0)</f>
        <v>108.96</v>
      </c>
      <c r="K1633">
        <f>_xlfn.XLOOKUP($A1633,[1]Sheet1!$E$9:$E$2584,[1]Sheet1!$F$9:$F$2584,"N/A",0)</f>
        <v>125.19</v>
      </c>
      <c r="L1633">
        <f>_xlfn.XLOOKUP($A1633,[1]Sheet1!$H$9:$H$2584,[1]Sheet1!$I$9:$I$2584,"N/A",0)</f>
        <v>75.18</v>
      </c>
      <c r="M1633">
        <f>_xlfn.XLOOKUP($A1633,[1]Sheet1!$K$9:$K$2584,[1]Sheet1!$L$9:$L$2584,"N/A",0)</f>
        <v>143.4</v>
      </c>
      <c r="N1633">
        <f>_xlfn.XLOOKUP($A1633,[1]Sheet1!$N$9:$N$2584,[1]Sheet1!$O$9:$O$2584,"N/A",0)</f>
        <v>109.05</v>
      </c>
      <c r="O1633">
        <v>108.96</v>
      </c>
      <c r="P1633">
        <v>125.19</v>
      </c>
      <c r="Q1633">
        <v>75.18</v>
      </c>
      <c r="R1633">
        <v>109.05</v>
      </c>
      <c r="S1633">
        <v>143.4</v>
      </c>
    </row>
    <row r="1634" spans="1:19">
      <c r="A1634" s="1">
        <v>44736</v>
      </c>
      <c r="B1634" t="s">
        <v>760</v>
      </c>
      <c r="C1634" t="s">
        <v>766</v>
      </c>
      <c r="D1634">
        <v>28.4774</v>
      </c>
      <c r="E1634">
        <v>28.7909</v>
      </c>
      <c r="F1634">
        <v>0.0110087297295399</v>
      </c>
      <c r="G1634">
        <f ca="1" t="shared" si="75"/>
        <v>-0.599050727049842</v>
      </c>
      <c r="H1634" t="str">
        <f ca="1" t="shared" si="76"/>
        <v>Risk-On</v>
      </c>
      <c r="I1634">
        <f ca="1" t="shared" si="77"/>
        <v>1</v>
      </c>
      <c r="J1634">
        <f>_xlfn.XLOOKUP($A1634,[1]Sheet1!$B$9:$B$2584,[1]Sheet1!$C$9:$C$2584,"N/A",0)</f>
        <v>108.23</v>
      </c>
      <c r="K1634">
        <f>_xlfn.XLOOKUP($A1634,[1]Sheet1!$E$9:$E$2584,[1]Sheet1!$F$9:$F$2584,"N/A",0)</f>
        <v>124.65</v>
      </c>
      <c r="L1634">
        <f>_xlfn.XLOOKUP($A1634,[1]Sheet1!$H$9:$H$2584,[1]Sheet1!$I$9:$I$2584,"N/A",0)</f>
        <v>74.97</v>
      </c>
      <c r="M1634">
        <f>_xlfn.XLOOKUP($A1634,[1]Sheet1!$K$9:$K$2584,[1]Sheet1!$L$9:$L$2584,"N/A",0)</f>
        <v>143.49</v>
      </c>
      <c r="N1634">
        <f>_xlfn.XLOOKUP($A1634,[1]Sheet1!$N$9:$N$2584,[1]Sheet1!$O$9:$O$2584,"N/A",0)</f>
        <v>109.52</v>
      </c>
      <c r="O1634">
        <v>108.23</v>
      </c>
      <c r="P1634">
        <v>124.65</v>
      </c>
      <c r="Q1634">
        <v>74.97</v>
      </c>
      <c r="R1634">
        <v>109.52</v>
      </c>
      <c r="S1634">
        <v>143.49</v>
      </c>
    </row>
    <row r="1635" spans="1:19">
      <c r="A1635" s="1">
        <v>44739</v>
      </c>
      <c r="B1635" t="s">
        <v>760</v>
      </c>
      <c r="C1635" t="s">
        <v>766</v>
      </c>
      <c r="D1635">
        <v>27.4118</v>
      </c>
      <c r="E1635">
        <v>28.0439</v>
      </c>
      <c r="F1635" s="2" t="s">
        <v>767</v>
      </c>
      <c r="G1635">
        <f ca="1" t="shared" si="75"/>
        <v>-0.324019429017389</v>
      </c>
      <c r="H1635" t="str">
        <f ca="1" t="shared" si="76"/>
        <v>Risk-On</v>
      </c>
      <c r="I1635">
        <f ca="1" t="shared" si="77"/>
        <v>1</v>
      </c>
      <c r="J1635">
        <f>_xlfn.XLOOKUP($A1635,[1]Sheet1!$B$9:$B$2584,[1]Sheet1!$C$9:$C$2584,"N/A",0)</f>
        <v>108.34</v>
      </c>
      <c r="K1635">
        <f>_xlfn.XLOOKUP($A1635,[1]Sheet1!$E$9:$E$2584,[1]Sheet1!$F$9:$F$2584,"N/A",0)</f>
        <v>126.33</v>
      </c>
      <c r="L1635">
        <f>_xlfn.XLOOKUP($A1635,[1]Sheet1!$H$9:$H$2584,[1]Sheet1!$I$9:$I$2584,"N/A",0)</f>
        <v>75.04</v>
      </c>
      <c r="M1635">
        <f>_xlfn.XLOOKUP($A1635,[1]Sheet1!$K$9:$K$2584,[1]Sheet1!$L$9:$L$2584,"N/A",0)</f>
        <v>143.19</v>
      </c>
      <c r="N1635">
        <f>_xlfn.XLOOKUP($A1635,[1]Sheet1!$N$9:$N$2584,[1]Sheet1!$O$9:$O$2584,"N/A",0)</f>
        <v>108.49</v>
      </c>
      <c r="O1635">
        <v>108.34</v>
      </c>
      <c r="P1635">
        <v>126.33</v>
      </c>
      <c r="Q1635">
        <v>75.04</v>
      </c>
      <c r="R1635">
        <v>108.49</v>
      </c>
      <c r="S1635">
        <v>143.19</v>
      </c>
    </row>
    <row r="1636" spans="1:19">
      <c r="A1636" s="1">
        <v>44740</v>
      </c>
      <c r="B1636" t="s">
        <v>760</v>
      </c>
      <c r="C1636" t="s">
        <v>766</v>
      </c>
      <c r="D1636">
        <v>28.3331</v>
      </c>
      <c r="E1636">
        <v>28.7361</v>
      </c>
      <c r="F1636" s="2" t="s">
        <v>768</v>
      </c>
      <c r="G1636">
        <f ca="1" t="shared" si="75"/>
        <v>-0.518094257533115</v>
      </c>
      <c r="H1636" t="str">
        <f ca="1" t="shared" si="76"/>
        <v>Risk-On</v>
      </c>
      <c r="I1636">
        <f ca="1" t="shared" si="77"/>
        <v>1</v>
      </c>
      <c r="J1636">
        <f>_xlfn.XLOOKUP($A1636,[1]Sheet1!$B$9:$B$2584,[1]Sheet1!$C$9:$C$2584,"N/A",0)</f>
        <v>108.07</v>
      </c>
      <c r="K1636">
        <f>_xlfn.XLOOKUP($A1636,[1]Sheet1!$E$9:$E$2584,[1]Sheet1!$F$9:$F$2584,"N/A",0)</f>
        <v>128</v>
      </c>
      <c r="L1636">
        <f>_xlfn.XLOOKUP($A1636,[1]Sheet1!$H$9:$H$2584,[1]Sheet1!$I$9:$I$2584,"N/A",0)</f>
        <v>75.25</v>
      </c>
      <c r="M1636">
        <f>_xlfn.XLOOKUP($A1636,[1]Sheet1!$K$9:$K$2584,[1]Sheet1!$L$9:$L$2584,"N/A",0)</f>
        <v>143.49</v>
      </c>
      <c r="N1636">
        <f>_xlfn.XLOOKUP($A1636,[1]Sheet1!$N$9:$N$2584,[1]Sheet1!$O$9:$O$2584,"N/A",0)</f>
        <v>108.64</v>
      </c>
      <c r="O1636">
        <v>108.07</v>
      </c>
      <c r="P1636">
        <v>128</v>
      </c>
      <c r="Q1636">
        <v>75.25</v>
      </c>
      <c r="R1636">
        <v>108.64</v>
      </c>
      <c r="S1636">
        <v>143.49</v>
      </c>
    </row>
    <row r="1637" spans="1:19">
      <c r="A1637" s="1">
        <v>44741</v>
      </c>
      <c r="B1637" t="s">
        <v>760</v>
      </c>
      <c r="C1637" t="s">
        <v>766</v>
      </c>
      <c r="D1637">
        <v>28.3335</v>
      </c>
      <c r="E1637">
        <v>28.8152</v>
      </c>
      <c r="F1637" s="2" t="s">
        <v>769</v>
      </c>
      <c r="G1637">
        <f ca="1" t="shared" si="75"/>
        <v>-0.457088879434312</v>
      </c>
      <c r="H1637" t="str">
        <f ca="1" t="shared" si="76"/>
        <v>Risk-On</v>
      </c>
      <c r="I1637">
        <f ca="1" t="shared" si="77"/>
        <v>1</v>
      </c>
      <c r="J1637">
        <f>_xlfn.XLOOKUP($A1637,[1]Sheet1!$B$9:$B$2584,[1]Sheet1!$C$9:$C$2584,"N/A",0)</f>
        <v>108.58</v>
      </c>
      <c r="K1637">
        <f>_xlfn.XLOOKUP($A1637,[1]Sheet1!$E$9:$E$2584,[1]Sheet1!$F$9:$F$2584,"N/A",0)</f>
        <v>128.27</v>
      </c>
      <c r="L1637">
        <f>_xlfn.XLOOKUP($A1637,[1]Sheet1!$H$9:$H$2584,[1]Sheet1!$I$9:$I$2584,"N/A",0)</f>
        <v>75.07</v>
      </c>
      <c r="M1637">
        <f>_xlfn.XLOOKUP($A1637,[1]Sheet1!$K$9:$K$2584,[1]Sheet1!$L$9:$L$2584,"N/A",0)</f>
        <v>144.4</v>
      </c>
      <c r="N1637">
        <f>_xlfn.XLOOKUP($A1637,[1]Sheet1!$N$9:$N$2584,[1]Sheet1!$O$9:$O$2584,"N/A",0)</f>
        <v>108.89</v>
      </c>
      <c r="O1637">
        <v>108.58</v>
      </c>
      <c r="P1637">
        <v>128.27</v>
      </c>
      <c r="Q1637">
        <v>75.07</v>
      </c>
      <c r="R1637">
        <v>108.89</v>
      </c>
      <c r="S1637">
        <v>144.4</v>
      </c>
    </row>
    <row r="1638" spans="1:19">
      <c r="A1638" s="1">
        <v>44742</v>
      </c>
      <c r="B1638" t="s">
        <v>760</v>
      </c>
      <c r="C1638" t="s">
        <v>766</v>
      </c>
      <c r="D1638">
        <v>28.5623</v>
      </c>
      <c r="E1638">
        <v>29.1774</v>
      </c>
      <c r="F1638" s="2" t="s">
        <v>770</v>
      </c>
      <c r="G1638">
        <f ca="1" t="shared" si="75"/>
        <v>-0.357494310453852</v>
      </c>
      <c r="H1638" t="str">
        <f ca="1" t="shared" si="76"/>
        <v>Risk-On</v>
      </c>
      <c r="I1638">
        <f ca="1" t="shared" si="77"/>
        <v>1</v>
      </c>
      <c r="J1638">
        <f>_xlfn.XLOOKUP($A1638,[1]Sheet1!$B$9:$B$2584,[1]Sheet1!$C$9:$C$2584,"N/A",0)</f>
        <v>108.12</v>
      </c>
      <c r="K1638">
        <f>_xlfn.XLOOKUP($A1638,[1]Sheet1!$E$9:$E$2584,[1]Sheet1!$F$9:$F$2584,"N/A",0)</f>
        <v>129.9</v>
      </c>
      <c r="L1638">
        <f>_xlfn.XLOOKUP($A1638,[1]Sheet1!$H$9:$H$2584,[1]Sheet1!$I$9:$I$2584,"N/A",0)</f>
        <v>74.6</v>
      </c>
      <c r="M1638">
        <f>_xlfn.XLOOKUP($A1638,[1]Sheet1!$K$9:$K$2584,[1]Sheet1!$L$9:$L$2584,"N/A",0)</f>
        <v>145.11</v>
      </c>
      <c r="N1638">
        <f>_xlfn.XLOOKUP($A1638,[1]Sheet1!$N$9:$N$2584,[1]Sheet1!$O$9:$O$2584,"N/A",0)</f>
        <v>108.94</v>
      </c>
      <c r="O1638">
        <v>108.12</v>
      </c>
      <c r="P1638">
        <v>129.9</v>
      </c>
      <c r="Q1638">
        <v>74.6</v>
      </c>
      <c r="R1638">
        <v>108.94</v>
      </c>
      <c r="S1638">
        <v>145.11</v>
      </c>
    </row>
    <row r="1639" spans="1:19">
      <c r="A1639" s="1">
        <v>44743</v>
      </c>
      <c r="B1639" t="s">
        <v>760</v>
      </c>
      <c r="C1639" t="s">
        <v>766</v>
      </c>
      <c r="D1639">
        <v>27.689</v>
      </c>
      <c r="E1639">
        <v>28.5603</v>
      </c>
      <c r="F1639">
        <v>0.0314673697136047</v>
      </c>
      <c r="G1639">
        <f ca="1" t="shared" si="75"/>
        <v>-0.139341279721045</v>
      </c>
      <c r="H1639" t="str">
        <f ca="1" t="shared" si="76"/>
        <v>Risk-On</v>
      </c>
      <c r="I1639">
        <f ca="1" t="shared" si="77"/>
        <v>1</v>
      </c>
      <c r="J1639">
        <f>_xlfn.XLOOKUP($A1639,[1]Sheet1!$B$9:$B$2584,[1]Sheet1!$C$9:$C$2584,"N/A",0)</f>
        <v>108.58</v>
      </c>
      <c r="K1639">
        <f>_xlfn.XLOOKUP($A1639,[1]Sheet1!$E$9:$E$2584,[1]Sheet1!$F$9:$F$2584,"N/A",0)</f>
        <v>127.82</v>
      </c>
      <c r="L1639">
        <f>_xlfn.XLOOKUP($A1639,[1]Sheet1!$H$9:$H$2584,[1]Sheet1!$I$9:$I$2584,"N/A",0)</f>
        <v>74.09</v>
      </c>
      <c r="M1639">
        <f>_xlfn.XLOOKUP($A1639,[1]Sheet1!$K$9:$K$2584,[1]Sheet1!$L$9:$L$2584,"N/A",0)</f>
        <v>144.74</v>
      </c>
      <c r="N1639">
        <f>_xlfn.XLOOKUP($A1639,[1]Sheet1!$N$9:$N$2584,[1]Sheet1!$O$9:$O$2584,"N/A",0)</f>
        <v>109.26</v>
      </c>
      <c r="O1639">
        <v>108.58</v>
      </c>
      <c r="P1639">
        <v>127.82</v>
      </c>
      <c r="Q1639">
        <v>74.09</v>
      </c>
      <c r="R1639">
        <v>109.26</v>
      </c>
      <c r="S1639">
        <v>144.74</v>
      </c>
    </row>
    <row r="1640" spans="1:19">
      <c r="A1640" s="1">
        <v>44747</v>
      </c>
      <c r="B1640" t="s">
        <v>760</v>
      </c>
      <c r="C1640" t="s">
        <v>766</v>
      </c>
      <c r="D1640">
        <v>27.7261</v>
      </c>
      <c r="E1640">
        <v>28.5555</v>
      </c>
      <c r="F1640">
        <v>0.0299140521025315</v>
      </c>
      <c r="G1640">
        <f ca="1" t="shared" si="75"/>
        <v>-0.173083734960562</v>
      </c>
      <c r="H1640" t="str">
        <f ca="1" t="shared" si="76"/>
        <v>Risk-On</v>
      </c>
      <c r="I1640">
        <f ca="1" t="shared" si="77"/>
        <v>1</v>
      </c>
      <c r="J1640">
        <f>_xlfn.XLOOKUP($A1640,[1]Sheet1!$B$9:$B$2584,[1]Sheet1!$C$9:$C$2584,"N/A",0)</f>
        <v>108.45</v>
      </c>
      <c r="K1640">
        <f>_xlfn.XLOOKUP($A1640,[1]Sheet1!$E$9:$E$2584,[1]Sheet1!$F$9:$F$2584,"N/A",0)</f>
        <v>124.2</v>
      </c>
      <c r="L1640">
        <f>_xlfn.XLOOKUP($A1640,[1]Sheet1!$H$9:$H$2584,[1]Sheet1!$I$9:$I$2584,"N/A",0)</f>
        <v>73.74</v>
      </c>
      <c r="M1640">
        <f>_xlfn.XLOOKUP($A1640,[1]Sheet1!$K$9:$K$2584,[1]Sheet1!$L$9:$L$2584,"N/A",0)</f>
        <v>144.11</v>
      </c>
      <c r="N1640">
        <f>_xlfn.XLOOKUP($A1640,[1]Sheet1!$N$9:$N$2584,[1]Sheet1!$O$9:$O$2584,"N/A",0)</f>
        <v>108.73</v>
      </c>
      <c r="O1640">
        <v>108.45</v>
      </c>
      <c r="P1640">
        <v>124.2</v>
      </c>
      <c r="Q1640">
        <v>73.74</v>
      </c>
      <c r="R1640">
        <v>108.73</v>
      </c>
      <c r="S1640">
        <v>144.11</v>
      </c>
    </row>
    <row r="1641" spans="1:19">
      <c r="A1641" s="1">
        <v>44748</v>
      </c>
      <c r="B1641" t="s">
        <v>760</v>
      </c>
      <c r="C1641" t="s">
        <v>766</v>
      </c>
      <c r="D1641">
        <v>27.1987</v>
      </c>
      <c r="E1641">
        <v>28.1548</v>
      </c>
      <c r="F1641" s="2" t="s">
        <v>771</v>
      </c>
      <c r="G1641">
        <f ca="1" t="shared" si="75"/>
        <v>-0.0566157548904303</v>
      </c>
      <c r="H1641" t="str">
        <f ca="1" t="shared" si="76"/>
        <v>Risk-On</v>
      </c>
      <c r="I1641">
        <f ca="1" t="shared" si="77"/>
        <v>1</v>
      </c>
      <c r="J1641">
        <f>_xlfn.XLOOKUP($A1641,[1]Sheet1!$B$9:$B$2584,[1]Sheet1!$C$9:$C$2584,"N/A",0)</f>
        <v>108.25</v>
      </c>
      <c r="K1641">
        <f>_xlfn.XLOOKUP($A1641,[1]Sheet1!$E$9:$E$2584,[1]Sheet1!$F$9:$F$2584,"N/A",0)</f>
        <v>126</v>
      </c>
      <c r="L1641">
        <f>_xlfn.XLOOKUP($A1641,[1]Sheet1!$H$9:$H$2584,[1]Sheet1!$I$9:$I$2584,"N/A",0)</f>
        <v>73.54</v>
      </c>
      <c r="M1641">
        <f>_xlfn.XLOOKUP($A1641,[1]Sheet1!$K$9:$K$2584,[1]Sheet1!$L$9:$L$2584,"N/A",0)</f>
        <v>145.14</v>
      </c>
      <c r="N1641">
        <f>_xlfn.XLOOKUP($A1641,[1]Sheet1!$N$9:$N$2584,[1]Sheet1!$O$9:$O$2584,"N/A",0)</f>
        <v>109.77</v>
      </c>
      <c r="O1641">
        <v>108.25</v>
      </c>
      <c r="P1641">
        <v>126</v>
      </c>
      <c r="Q1641">
        <v>73.54</v>
      </c>
      <c r="R1641">
        <v>109.77</v>
      </c>
      <c r="S1641">
        <v>145.14</v>
      </c>
    </row>
    <row r="1642" spans="1:19">
      <c r="A1642" s="1">
        <v>44749</v>
      </c>
      <c r="B1642" t="s">
        <v>760</v>
      </c>
      <c r="C1642" t="s">
        <v>766</v>
      </c>
      <c r="D1642">
        <v>26.85</v>
      </c>
      <c r="E1642">
        <v>27.8975</v>
      </c>
      <c r="F1642" s="2" t="s">
        <v>772</v>
      </c>
      <c r="G1642">
        <f ca="1" t="shared" si="75"/>
        <v>0.0287660545219439</v>
      </c>
      <c r="H1642" t="str">
        <f ca="1" t="shared" si="76"/>
        <v>Risk-On</v>
      </c>
      <c r="I1642">
        <f ca="1" t="shared" si="77"/>
        <v>1</v>
      </c>
      <c r="J1642">
        <f>_xlfn.XLOOKUP($A1642,[1]Sheet1!$B$9:$B$2584,[1]Sheet1!$C$9:$C$2584,"N/A",0)</f>
        <v>108.34</v>
      </c>
      <c r="K1642">
        <f>_xlfn.XLOOKUP($A1642,[1]Sheet1!$E$9:$E$2584,[1]Sheet1!$F$9:$F$2584,"N/A",0)</f>
        <v>125.5</v>
      </c>
      <c r="L1642">
        <f>_xlfn.XLOOKUP($A1642,[1]Sheet1!$H$9:$H$2584,[1]Sheet1!$I$9:$I$2584,"N/A",0)</f>
        <v>73.9</v>
      </c>
      <c r="M1642">
        <f>_xlfn.XLOOKUP($A1642,[1]Sheet1!$K$9:$K$2584,[1]Sheet1!$L$9:$L$2584,"N/A",0)</f>
        <v>144.68</v>
      </c>
      <c r="N1642">
        <f>_xlfn.XLOOKUP($A1642,[1]Sheet1!$N$9:$N$2584,[1]Sheet1!$O$9:$O$2584,"N/A",0)</f>
        <v>109.18</v>
      </c>
      <c r="O1642">
        <v>108.34</v>
      </c>
      <c r="P1642">
        <v>125.5</v>
      </c>
      <c r="Q1642">
        <v>73.9</v>
      </c>
      <c r="R1642">
        <v>109.18</v>
      </c>
      <c r="S1642">
        <v>144.68</v>
      </c>
    </row>
    <row r="1643" spans="1:19">
      <c r="A1643" s="1">
        <v>44750</v>
      </c>
      <c r="B1643" t="s">
        <v>760</v>
      </c>
      <c r="C1643" t="s">
        <v>766</v>
      </c>
      <c r="D1643">
        <v>26.049</v>
      </c>
      <c r="E1643">
        <v>27.3988</v>
      </c>
      <c r="F1643">
        <v>0.0518177281277593</v>
      </c>
      <c r="G1643">
        <f ca="1" t="shared" si="75"/>
        <v>0.311955758011866</v>
      </c>
      <c r="H1643" t="str">
        <f ca="1" t="shared" si="76"/>
        <v>Risk-On</v>
      </c>
      <c r="I1643">
        <f ca="1" t="shared" si="77"/>
        <v>1</v>
      </c>
      <c r="J1643">
        <f>_xlfn.XLOOKUP($A1643,[1]Sheet1!$B$9:$B$2584,[1]Sheet1!$C$9:$C$2584,"N/A",0)</f>
        <v>108.65</v>
      </c>
      <c r="K1643">
        <f>_xlfn.XLOOKUP($A1643,[1]Sheet1!$E$9:$E$2584,[1]Sheet1!$F$9:$F$2584,"N/A",0)</f>
        <v>126.73</v>
      </c>
      <c r="L1643">
        <f>_xlfn.XLOOKUP($A1643,[1]Sheet1!$H$9:$H$2584,[1]Sheet1!$I$9:$I$2584,"N/A",0)</f>
        <v>74.1</v>
      </c>
      <c r="M1643">
        <f>_xlfn.XLOOKUP($A1643,[1]Sheet1!$K$9:$K$2584,[1]Sheet1!$L$9:$L$2584,"N/A",0)</f>
        <v>144.41</v>
      </c>
      <c r="N1643">
        <f>_xlfn.XLOOKUP($A1643,[1]Sheet1!$N$9:$N$2584,[1]Sheet1!$O$9:$O$2584,"N/A",0)</f>
        <v>109.3</v>
      </c>
      <c r="O1643">
        <v>108.65</v>
      </c>
      <c r="P1643">
        <v>126.73</v>
      </c>
      <c r="Q1643">
        <v>74.1</v>
      </c>
      <c r="R1643">
        <v>109.3</v>
      </c>
      <c r="S1643">
        <v>144.41</v>
      </c>
    </row>
    <row r="1644" spans="1:19">
      <c r="A1644" s="1">
        <v>44753</v>
      </c>
      <c r="B1644" t="s">
        <v>760</v>
      </c>
      <c r="C1644" t="s">
        <v>766</v>
      </c>
      <c r="D1644">
        <v>27.186</v>
      </c>
      <c r="E1644">
        <v>28.1191</v>
      </c>
      <c r="F1644">
        <v>0.0343228132126829</v>
      </c>
      <c r="G1644">
        <f ca="1" t="shared" si="75"/>
        <v>-0.0716387111687704</v>
      </c>
      <c r="H1644" t="str">
        <f ca="1" t="shared" si="76"/>
        <v>Risk-On</v>
      </c>
      <c r="I1644">
        <f ca="1" t="shared" si="77"/>
        <v>1</v>
      </c>
      <c r="J1644">
        <f>_xlfn.XLOOKUP($A1644,[1]Sheet1!$B$9:$B$2584,[1]Sheet1!$C$9:$C$2584,"N/A",0)</f>
        <v>108.62</v>
      </c>
      <c r="K1644">
        <f>_xlfn.XLOOKUP($A1644,[1]Sheet1!$E$9:$E$2584,[1]Sheet1!$F$9:$F$2584,"N/A",0)</f>
        <v>128.59</v>
      </c>
      <c r="L1644">
        <f>_xlfn.XLOOKUP($A1644,[1]Sheet1!$H$9:$H$2584,[1]Sheet1!$I$9:$I$2584,"N/A",0)</f>
        <v>73.83</v>
      </c>
      <c r="M1644">
        <f>_xlfn.XLOOKUP($A1644,[1]Sheet1!$K$9:$K$2584,[1]Sheet1!$L$9:$L$2584,"N/A",0)</f>
        <v>145.14</v>
      </c>
      <c r="N1644">
        <f>_xlfn.XLOOKUP($A1644,[1]Sheet1!$N$9:$N$2584,[1]Sheet1!$O$9:$O$2584,"N/A",0)</f>
        <v>110.19</v>
      </c>
      <c r="O1644">
        <v>108.62</v>
      </c>
      <c r="P1644">
        <v>128.59</v>
      </c>
      <c r="Q1644">
        <v>73.83</v>
      </c>
      <c r="R1644">
        <v>110.19</v>
      </c>
      <c r="S1644">
        <v>145.14</v>
      </c>
    </row>
    <row r="1645" spans="1:19">
      <c r="A1645" s="1">
        <v>44754</v>
      </c>
      <c r="B1645" t="s">
        <v>760</v>
      </c>
      <c r="C1645" t="s">
        <v>766</v>
      </c>
      <c r="D1645">
        <v>27.3879</v>
      </c>
      <c r="E1645">
        <v>28.2453</v>
      </c>
      <c r="F1645">
        <v>0.0313057956250753</v>
      </c>
      <c r="G1645">
        <f ca="1" t="shared" si="75"/>
        <v>-0.138480020481364</v>
      </c>
      <c r="H1645" t="str">
        <f ca="1" t="shared" si="76"/>
        <v>Risk-On</v>
      </c>
      <c r="I1645">
        <f ca="1" t="shared" si="77"/>
        <v>1</v>
      </c>
      <c r="J1645">
        <f>_xlfn.XLOOKUP($A1645,[1]Sheet1!$B$9:$B$2584,[1]Sheet1!$C$9:$C$2584,"N/A",0)</f>
        <v>107.7</v>
      </c>
      <c r="K1645">
        <f>_xlfn.XLOOKUP($A1645,[1]Sheet1!$E$9:$E$2584,[1]Sheet1!$F$9:$F$2584,"N/A",0)</f>
        <v>126.78</v>
      </c>
      <c r="L1645">
        <f>_xlfn.XLOOKUP($A1645,[1]Sheet1!$H$9:$H$2584,[1]Sheet1!$I$9:$I$2584,"N/A",0)</f>
        <v>74.6</v>
      </c>
      <c r="M1645">
        <f>_xlfn.XLOOKUP($A1645,[1]Sheet1!$K$9:$K$2584,[1]Sheet1!$L$9:$L$2584,"N/A",0)</f>
        <v>144.89</v>
      </c>
      <c r="N1645">
        <f>_xlfn.XLOOKUP($A1645,[1]Sheet1!$N$9:$N$2584,[1]Sheet1!$O$9:$O$2584,"N/A",0)</f>
        <v>110.07</v>
      </c>
      <c r="O1645">
        <v>107.7</v>
      </c>
      <c r="P1645">
        <v>126.78</v>
      </c>
      <c r="Q1645">
        <v>74.6</v>
      </c>
      <c r="R1645">
        <v>110.07</v>
      </c>
      <c r="S1645">
        <v>144.89</v>
      </c>
    </row>
    <row r="1646" spans="1:19">
      <c r="A1646" s="1">
        <v>44755</v>
      </c>
      <c r="B1646" t="s">
        <v>760</v>
      </c>
      <c r="C1646" t="s">
        <v>766</v>
      </c>
      <c r="D1646">
        <v>26.8636</v>
      </c>
      <c r="E1646">
        <v>27.8784</v>
      </c>
      <c r="F1646" s="2" t="s">
        <v>773</v>
      </c>
      <c r="G1646">
        <f ca="1" t="shared" si="75"/>
        <v>0.00636614861945837</v>
      </c>
      <c r="H1646" t="str">
        <f ca="1" t="shared" si="76"/>
        <v>Risk-On</v>
      </c>
      <c r="I1646">
        <f ca="1" t="shared" si="77"/>
        <v>1</v>
      </c>
      <c r="J1646">
        <f>_xlfn.XLOOKUP($A1646,[1]Sheet1!$B$9:$B$2584,[1]Sheet1!$C$9:$C$2584,"N/A",0)</f>
        <v>107.64</v>
      </c>
      <c r="K1646">
        <f>_xlfn.XLOOKUP($A1646,[1]Sheet1!$E$9:$E$2584,[1]Sheet1!$F$9:$F$2584,"N/A",0)</f>
        <v>127.69</v>
      </c>
      <c r="L1646">
        <f>_xlfn.XLOOKUP($A1646,[1]Sheet1!$H$9:$H$2584,[1]Sheet1!$I$9:$I$2584,"N/A",0)</f>
        <v>74.45</v>
      </c>
      <c r="M1646">
        <f>_xlfn.XLOOKUP($A1646,[1]Sheet1!$K$9:$K$2584,[1]Sheet1!$L$9:$L$2584,"N/A",0)</f>
        <v>144.28</v>
      </c>
      <c r="N1646">
        <f>_xlfn.XLOOKUP($A1646,[1]Sheet1!$N$9:$N$2584,[1]Sheet1!$O$9:$O$2584,"N/A",0)</f>
        <v>109.83</v>
      </c>
      <c r="O1646">
        <v>107.64</v>
      </c>
      <c r="P1646">
        <v>127.69</v>
      </c>
      <c r="Q1646">
        <v>74.45</v>
      </c>
      <c r="R1646">
        <v>109.83</v>
      </c>
      <c r="S1646">
        <v>144.28</v>
      </c>
    </row>
    <row r="1647" spans="1:19">
      <c r="A1647" s="1">
        <v>44756</v>
      </c>
      <c r="B1647" t="s">
        <v>760</v>
      </c>
      <c r="C1647" t="s">
        <v>766</v>
      </c>
      <c r="D1647">
        <v>26.8663</v>
      </c>
      <c r="E1647">
        <v>27.9454</v>
      </c>
      <c r="F1647" s="2" t="s">
        <v>774</v>
      </c>
      <c r="G1647">
        <f ca="1" t="shared" si="75"/>
        <v>0.0596820512422975</v>
      </c>
      <c r="H1647" t="str">
        <f ca="1" t="shared" si="76"/>
        <v>Risk-On</v>
      </c>
      <c r="I1647">
        <f ca="1" t="shared" si="77"/>
        <v>1</v>
      </c>
      <c r="J1647">
        <f>_xlfn.XLOOKUP($A1647,[1]Sheet1!$B$9:$B$2584,[1]Sheet1!$C$9:$C$2584,"N/A",0)</f>
        <v>107.45</v>
      </c>
      <c r="K1647">
        <f>_xlfn.XLOOKUP($A1647,[1]Sheet1!$E$9:$E$2584,[1]Sheet1!$F$9:$F$2584,"N/A",0)</f>
        <v>128.73</v>
      </c>
      <c r="L1647">
        <f>_xlfn.XLOOKUP($A1647,[1]Sheet1!$H$9:$H$2584,[1]Sheet1!$I$9:$I$2584,"N/A",0)</f>
        <v>73.67</v>
      </c>
      <c r="M1647">
        <f>_xlfn.XLOOKUP($A1647,[1]Sheet1!$K$9:$K$2584,[1]Sheet1!$L$9:$L$2584,"N/A",0)</f>
        <v>145.46</v>
      </c>
      <c r="N1647">
        <f>_xlfn.XLOOKUP($A1647,[1]Sheet1!$N$9:$N$2584,[1]Sheet1!$O$9:$O$2584,"N/A",0)</f>
        <v>110.05</v>
      </c>
      <c r="O1647">
        <v>107.45</v>
      </c>
      <c r="P1647">
        <v>128.73</v>
      </c>
      <c r="Q1647">
        <v>73.67</v>
      </c>
      <c r="R1647">
        <v>110.05</v>
      </c>
      <c r="S1647">
        <v>145.46</v>
      </c>
    </row>
    <row r="1648" spans="1:19">
      <c r="A1648" s="1">
        <v>44757</v>
      </c>
      <c r="B1648" t="s">
        <v>760</v>
      </c>
      <c r="C1648" t="s">
        <v>766</v>
      </c>
      <c r="D1648">
        <v>25.2066</v>
      </c>
      <c r="E1648">
        <v>26.5589</v>
      </c>
      <c r="F1648">
        <v>0.0536486475764283</v>
      </c>
      <c r="G1648">
        <f ca="1" t="shared" si="75"/>
        <v>0.360519870964312</v>
      </c>
      <c r="H1648" t="str">
        <f ca="1" t="shared" si="76"/>
        <v>Risk-On</v>
      </c>
      <c r="I1648">
        <f ca="1" t="shared" si="77"/>
        <v>1</v>
      </c>
      <c r="J1648">
        <f>_xlfn.XLOOKUP($A1648,[1]Sheet1!$B$9:$B$2584,[1]Sheet1!$C$9:$C$2584,"N/A",0)</f>
        <v>107.41</v>
      </c>
      <c r="K1648">
        <f>_xlfn.XLOOKUP($A1648,[1]Sheet1!$E$9:$E$2584,[1]Sheet1!$F$9:$F$2584,"N/A",0)</f>
        <v>128.65</v>
      </c>
      <c r="L1648">
        <f>_xlfn.XLOOKUP($A1648,[1]Sheet1!$H$9:$H$2584,[1]Sheet1!$I$9:$I$2584,"N/A",0)</f>
        <v>74.06</v>
      </c>
      <c r="M1648">
        <f>_xlfn.XLOOKUP($A1648,[1]Sheet1!$K$9:$K$2584,[1]Sheet1!$L$9:$L$2584,"N/A",0)</f>
        <v>146.22</v>
      </c>
      <c r="N1648">
        <f>_xlfn.XLOOKUP($A1648,[1]Sheet1!$N$9:$N$2584,[1]Sheet1!$O$9:$O$2584,"N/A",0)</f>
        <v>110.03</v>
      </c>
      <c r="O1648">
        <v>107.41</v>
      </c>
      <c r="P1648">
        <v>128.65</v>
      </c>
      <c r="Q1648">
        <v>74.06</v>
      </c>
      <c r="R1648">
        <v>110.03</v>
      </c>
      <c r="S1648">
        <v>146.22</v>
      </c>
    </row>
    <row r="1649" spans="1:19">
      <c r="A1649" s="1">
        <v>44760</v>
      </c>
      <c r="B1649" t="s">
        <v>760</v>
      </c>
      <c r="C1649" t="s">
        <v>766</v>
      </c>
      <c r="D1649">
        <v>25.7016</v>
      </c>
      <c r="E1649">
        <v>27.3971</v>
      </c>
      <c r="F1649">
        <v>0.0659686556478973</v>
      </c>
      <c r="G1649">
        <f ca="1" t="shared" si="75"/>
        <v>0.634850599591155</v>
      </c>
      <c r="H1649" t="str">
        <f ca="1" t="shared" si="76"/>
        <v>Risk-On</v>
      </c>
      <c r="I1649">
        <f ca="1" t="shared" si="77"/>
        <v>1</v>
      </c>
      <c r="J1649">
        <f>_xlfn.XLOOKUP($A1649,[1]Sheet1!$B$9:$B$2584,[1]Sheet1!$C$9:$C$2584,"N/A",0)</f>
        <v>107.75</v>
      </c>
      <c r="K1649">
        <f>_xlfn.XLOOKUP($A1649,[1]Sheet1!$E$9:$E$2584,[1]Sheet1!$F$9:$F$2584,"N/A",0)</f>
        <v>128.17</v>
      </c>
      <c r="L1649">
        <f>_xlfn.XLOOKUP($A1649,[1]Sheet1!$H$9:$H$2584,[1]Sheet1!$I$9:$I$2584,"N/A",0)</f>
        <v>74.6</v>
      </c>
      <c r="M1649">
        <f>_xlfn.XLOOKUP($A1649,[1]Sheet1!$K$9:$K$2584,[1]Sheet1!$L$9:$L$2584,"N/A",0)</f>
        <v>145.37</v>
      </c>
      <c r="N1649">
        <f>_xlfn.XLOOKUP($A1649,[1]Sheet1!$N$9:$N$2584,[1]Sheet1!$O$9:$O$2584,"N/A",0)</f>
        <v>109.53</v>
      </c>
      <c r="O1649">
        <v>107.75</v>
      </c>
      <c r="P1649">
        <v>128.17</v>
      </c>
      <c r="Q1649">
        <v>74.6</v>
      </c>
      <c r="R1649">
        <v>109.53</v>
      </c>
      <c r="S1649">
        <v>145.37</v>
      </c>
    </row>
    <row r="1650" spans="1:19">
      <c r="A1650" s="1">
        <v>44761</v>
      </c>
      <c r="B1650" t="s">
        <v>760</v>
      </c>
      <c r="C1650" t="s">
        <v>766</v>
      </c>
      <c r="D1650">
        <v>24.83</v>
      </c>
      <c r="E1650">
        <v>27.0352</v>
      </c>
      <c r="F1650">
        <v>0.08881192106323</v>
      </c>
      <c r="G1650">
        <f ca="1" t="shared" si="75"/>
        <v>1.14410848679101</v>
      </c>
      <c r="H1650" t="str">
        <f ca="1" t="shared" si="76"/>
        <v>Risk-On</v>
      </c>
      <c r="I1650">
        <f ca="1" t="shared" si="77"/>
        <v>1</v>
      </c>
      <c r="J1650">
        <f>_xlfn.XLOOKUP($A1650,[1]Sheet1!$B$9:$B$2584,[1]Sheet1!$C$9:$C$2584,"N/A",0)</f>
        <v>107.53</v>
      </c>
      <c r="K1650">
        <f>_xlfn.XLOOKUP($A1650,[1]Sheet1!$E$9:$E$2584,[1]Sheet1!$F$9:$F$2584,"N/A",0)</f>
        <v>128.43</v>
      </c>
      <c r="L1650">
        <f>_xlfn.XLOOKUP($A1650,[1]Sheet1!$H$9:$H$2584,[1]Sheet1!$I$9:$I$2584,"N/A",0)</f>
        <v>74.82</v>
      </c>
      <c r="M1650">
        <f>_xlfn.XLOOKUP($A1650,[1]Sheet1!$K$9:$K$2584,[1]Sheet1!$L$9:$L$2584,"N/A",0)</f>
        <v>146.75</v>
      </c>
      <c r="N1650">
        <f>_xlfn.XLOOKUP($A1650,[1]Sheet1!$N$9:$N$2584,[1]Sheet1!$O$9:$O$2584,"N/A",0)</f>
        <v>109.15</v>
      </c>
      <c r="O1650">
        <v>107.53</v>
      </c>
      <c r="P1650">
        <v>128.43</v>
      </c>
      <c r="Q1650">
        <v>74.82</v>
      </c>
      <c r="R1650">
        <v>109.15</v>
      </c>
      <c r="S1650">
        <v>146.75</v>
      </c>
    </row>
    <row r="1651" spans="1:19">
      <c r="A1651" s="1">
        <v>44762</v>
      </c>
      <c r="B1651" t="s">
        <v>760</v>
      </c>
      <c r="C1651" t="s">
        <v>766</v>
      </c>
      <c r="D1651">
        <v>24.37</v>
      </c>
      <c r="E1651">
        <v>26.2684</v>
      </c>
      <c r="F1651">
        <v>0.0778990562166597</v>
      </c>
      <c r="G1651">
        <f ca="1" t="shared" si="75"/>
        <v>0.888218105822283</v>
      </c>
      <c r="H1651" t="str">
        <f ca="1" t="shared" si="76"/>
        <v>Risk-On</v>
      </c>
      <c r="I1651">
        <f ca="1" t="shared" si="77"/>
        <v>1</v>
      </c>
      <c r="J1651">
        <f>_xlfn.XLOOKUP($A1651,[1]Sheet1!$B$9:$B$2584,[1]Sheet1!$C$9:$C$2584,"N/A",0)</f>
        <v>107.36</v>
      </c>
      <c r="K1651">
        <f>_xlfn.XLOOKUP($A1651,[1]Sheet1!$E$9:$E$2584,[1]Sheet1!$F$9:$F$2584,"N/A",0)</f>
        <v>126.68</v>
      </c>
      <c r="L1651">
        <f>_xlfn.XLOOKUP($A1651,[1]Sheet1!$H$9:$H$2584,[1]Sheet1!$I$9:$I$2584,"N/A",0)</f>
        <v>74.38</v>
      </c>
      <c r="M1651">
        <f>_xlfn.XLOOKUP($A1651,[1]Sheet1!$K$9:$K$2584,[1]Sheet1!$L$9:$L$2584,"N/A",0)</f>
        <v>146.64</v>
      </c>
      <c r="N1651">
        <f>_xlfn.XLOOKUP($A1651,[1]Sheet1!$N$9:$N$2584,[1]Sheet1!$O$9:$O$2584,"N/A",0)</f>
        <v>108.37</v>
      </c>
      <c r="O1651">
        <v>107.36</v>
      </c>
      <c r="P1651">
        <v>126.68</v>
      </c>
      <c r="Q1651">
        <v>74.38</v>
      </c>
      <c r="R1651">
        <v>108.37</v>
      </c>
      <c r="S1651">
        <v>146.64</v>
      </c>
    </row>
    <row r="1652" spans="1:19">
      <c r="A1652" s="1">
        <v>44763</v>
      </c>
      <c r="B1652" t="s">
        <v>766</v>
      </c>
      <c r="C1652" t="s">
        <v>775</v>
      </c>
      <c r="D1652">
        <v>25.7437</v>
      </c>
      <c r="E1652">
        <v>27.2669</v>
      </c>
      <c r="F1652">
        <v>0.0591678740818141</v>
      </c>
      <c r="G1652">
        <f ca="1" t="shared" si="75"/>
        <v>0.46974176704904</v>
      </c>
      <c r="H1652" t="str">
        <f ca="1" t="shared" si="76"/>
        <v>Risk-On</v>
      </c>
      <c r="I1652">
        <f ca="1" t="shared" si="77"/>
        <v>1</v>
      </c>
      <c r="J1652">
        <f>_xlfn.XLOOKUP($A1652,[1]Sheet1!$B$9:$B$2584,[1]Sheet1!$C$9:$C$2584,"N/A",0)</f>
        <v>107.72</v>
      </c>
      <c r="K1652">
        <f>_xlfn.XLOOKUP($A1652,[1]Sheet1!$E$9:$E$2584,[1]Sheet1!$F$9:$F$2584,"N/A",0)</f>
        <v>125.99</v>
      </c>
      <c r="L1652">
        <f>_xlfn.XLOOKUP($A1652,[1]Sheet1!$H$9:$H$2584,[1]Sheet1!$I$9:$I$2584,"N/A",0)</f>
        <v>73.98</v>
      </c>
      <c r="M1652">
        <f>_xlfn.XLOOKUP($A1652,[1]Sheet1!$K$9:$K$2584,[1]Sheet1!$L$9:$L$2584,"N/A",0)</f>
        <v>146.52</v>
      </c>
      <c r="N1652">
        <f>_xlfn.XLOOKUP($A1652,[1]Sheet1!$N$9:$N$2584,[1]Sheet1!$O$9:$O$2584,"N/A",0)</f>
        <v>108.74</v>
      </c>
      <c r="O1652">
        <v>107.72</v>
      </c>
      <c r="P1652">
        <v>125.99</v>
      </c>
      <c r="Q1652">
        <v>73.98</v>
      </c>
      <c r="R1652">
        <v>108.74</v>
      </c>
      <c r="S1652">
        <v>146.52</v>
      </c>
    </row>
    <row r="1653" spans="1:19">
      <c r="A1653" s="1">
        <v>44764</v>
      </c>
      <c r="B1653" t="s">
        <v>766</v>
      </c>
      <c r="C1653" t="s">
        <v>775</v>
      </c>
      <c r="D1653">
        <v>25.5044</v>
      </c>
      <c r="E1653">
        <v>27.1502</v>
      </c>
      <c r="F1653">
        <v>0.0645300418751274</v>
      </c>
      <c r="G1653">
        <f ca="1" t="shared" si="75"/>
        <v>0.59038156552802</v>
      </c>
      <c r="H1653" t="str">
        <f ca="1" t="shared" si="76"/>
        <v>Risk-On</v>
      </c>
      <c r="I1653">
        <f ca="1" t="shared" si="77"/>
        <v>1</v>
      </c>
      <c r="J1653">
        <f>_xlfn.XLOOKUP($A1653,[1]Sheet1!$B$9:$B$2584,[1]Sheet1!$C$9:$C$2584,"N/A",0)</f>
        <v>107.86</v>
      </c>
      <c r="K1653">
        <f>_xlfn.XLOOKUP($A1653,[1]Sheet1!$E$9:$E$2584,[1]Sheet1!$F$9:$F$2584,"N/A",0)</f>
        <v>127.52</v>
      </c>
      <c r="L1653">
        <f>_xlfn.XLOOKUP($A1653,[1]Sheet1!$H$9:$H$2584,[1]Sheet1!$I$9:$I$2584,"N/A",0)</f>
        <v>74.04</v>
      </c>
      <c r="M1653">
        <f>_xlfn.XLOOKUP($A1653,[1]Sheet1!$K$9:$K$2584,[1]Sheet1!$L$9:$L$2584,"N/A",0)</f>
        <v>146.32</v>
      </c>
      <c r="N1653">
        <f>_xlfn.XLOOKUP($A1653,[1]Sheet1!$N$9:$N$2584,[1]Sheet1!$O$9:$O$2584,"N/A",0)</f>
        <v>109.33</v>
      </c>
      <c r="O1653">
        <v>107.86</v>
      </c>
      <c r="P1653">
        <v>127.52</v>
      </c>
      <c r="Q1653">
        <v>74.04</v>
      </c>
      <c r="R1653">
        <v>109.33</v>
      </c>
      <c r="S1653">
        <v>146.32</v>
      </c>
    </row>
    <row r="1654" spans="1:19">
      <c r="A1654" s="1">
        <v>44767</v>
      </c>
      <c r="B1654" t="s">
        <v>766</v>
      </c>
      <c r="C1654" t="s">
        <v>775</v>
      </c>
      <c r="D1654">
        <v>25.2141</v>
      </c>
      <c r="E1654">
        <v>27.0384</v>
      </c>
      <c r="F1654">
        <v>0.0723523742667793</v>
      </c>
      <c r="G1654">
        <f ca="1" t="shared" si="75"/>
        <v>0.76278881197346</v>
      </c>
      <c r="H1654" t="str">
        <f ca="1" t="shared" si="76"/>
        <v>Risk-On</v>
      </c>
      <c r="I1654">
        <f ca="1" t="shared" si="77"/>
        <v>1</v>
      </c>
      <c r="J1654">
        <f>_xlfn.XLOOKUP($A1654,[1]Sheet1!$B$9:$B$2584,[1]Sheet1!$C$9:$C$2584,"N/A",0)</f>
        <v>107.71</v>
      </c>
      <c r="K1654">
        <f>_xlfn.XLOOKUP($A1654,[1]Sheet1!$E$9:$E$2584,[1]Sheet1!$F$9:$F$2584,"N/A",0)</f>
        <v>129.94</v>
      </c>
      <c r="L1654">
        <f>_xlfn.XLOOKUP($A1654,[1]Sheet1!$H$9:$H$2584,[1]Sheet1!$I$9:$I$2584,"N/A",0)</f>
        <v>74.18</v>
      </c>
      <c r="M1654">
        <f>_xlfn.XLOOKUP($A1654,[1]Sheet1!$K$9:$K$2584,[1]Sheet1!$L$9:$L$2584,"N/A",0)</f>
        <v>146.42</v>
      </c>
      <c r="N1654">
        <f>_xlfn.XLOOKUP($A1654,[1]Sheet1!$N$9:$N$2584,[1]Sheet1!$O$9:$O$2584,"N/A",0)</f>
        <v>108.88</v>
      </c>
      <c r="O1654">
        <v>107.71</v>
      </c>
      <c r="P1654">
        <v>129.94</v>
      </c>
      <c r="Q1654">
        <v>74.18</v>
      </c>
      <c r="R1654">
        <v>108.88</v>
      </c>
      <c r="S1654">
        <v>146.42</v>
      </c>
    </row>
    <row r="1655" spans="1:19">
      <c r="A1655" s="1">
        <v>44768</v>
      </c>
      <c r="B1655" t="s">
        <v>766</v>
      </c>
      <c r="C1655" t="s">
        <v>775</v>
      </c>
      <c r="D1655">
        <v>25.9513</v>
      </c>
      <c r="E1655">
        <v>27.4397</v>
      </c>
      <c r="F1655">
        <v>0.0573535815161475</v>
      </c>
      <c r="G1655">
        <f ca="1" t="shared" si="75"/>
        <v>0.425303451208918</v>
      </c>
      <c r="H1655" t="str">
        <f ca="1" t="shared" si="76"/>
        <v>Risk-On</v>
      </c>
      <c r="I1655">
        <f ca="1" t="shared" si="77"/>
        <v>1</v>
      </c>
      <c r="J1655">
        <f>_xlfn.XLOOKUP($A1655,[1]Sheet1!$B$9:$B$2584,[1]Sheet1!$C$9:$C$2584,"N/A",0)</f>
        <v>107.63</v>
      </c>
      <c r="K1655">
        <f>_xlfn.XLOOKUP($A1655,[1]Sheet1!$E$9:$E$2584,[1]Sheet1!$F$9:$F$2584,"N/A",0)</f>
        <v>131.39</v>
      </c>
      <c r="L1655">
        <f>_xlfn.XLOOKUP($A1655,[1]Sheet1!$H$9:$H$2584,[1]Sheet1!$I$9:$I$2584,"N/A",0)</f>
        <v>73.72</v>
      </c>
      <c r="M1655">
        <f>_xlfn.XLOOKUP($A1655,[1]Sheet1!$K$9:$K$2584,[1]Sheet1!$L$9:$L$2584,"N/A",0)</f>
        <v>145.54</v>
      </c>
      <c r="N1655">
        <f>_xlfn.XLOOKUP($A1655,[1]Sheet1!$N$9:$N$2584,[1]Sheet1!$O$9:$O$2584,"N/A",0)</f>
        <v>108.76</v>
      </c>
      <c r="O1655">
        <v>107.63</v>
      </c>
      <c r="P1655">
        <v>131.39</v>
      </c>
      <c r="Q1655">
        <v>73.72</v>
      </c>
      <c r="R1655">
        <v>108.76</v>
      </c>
      <c r="S1655">
        <v>145.54</v>
      </c>
    </row>
    <row r="1656" spans="1:19">
      <c r="A1656" s="1">
        <v>44769</v>
      </c>
      <c r="B1656" t="s">
        <v>766</v>
      </c>
      <c r="C1656" t="s">
        <v>775</v>
      </c>
      <c r="D1656">
        <v>25.0001</v>
      </c>
      <c r="E1656">
        <v>26.6903</v>
      </c>
      <c r="F1656">
        <v>0.0676077295690817</v>
      </c>
      <c r="G1656">
        <f ca="1" t="shared" si="75"/>
        <v>0.658723142075751</v>
      </c>
      <c r="H1656" t="str">
        <f ca="1" t="shared" si="76"/>
        <v>Risk-On</v>
      </c>
      <c r="I1656">
        <f ca="1" t="shared" si="77"/>
        <v>1</v>
      </c>
      <c r="J1656">
        <f>_xlfn.XLOOKUP($A1656,[1]Sheet1!$B$9:$B$2584,[1]Sheet1!$C$9:$C$2584,"N/A",0)</f>
        <v>107.73</v>
      </c>
      <c r="K1656">
        <f>_xlfn.XLOOKUP($A1656,[1]Sheet1!$E$9:$E$2584,[1]Sheet1!$F$9:$F$2584,"N/A",0)</f>
        <v>131.83</v>
      </c>
      <c r="L1656">
        <f>_xlfn.XLOOKUP($A1656,[1]Sheet1!$H$9:$H$2584,[1]Sheet1!$I$9:$I$2584,"N/A",0)</f>
        <v>73.82</v>
      </c>
      <c r="M1656">
        <f>_xlfn.XLOOKUP($A1656,[1]Sheet1!$K$9:$K$2584,[1]Sheet1!$L$9:$L$2584,"N/A",0)</f>
        <v>146.23</v>
      </c>
      <c r="N1656">
        <f>_xlfn.XLOOKUP($A1656,[1]Sheet1!$N$9:$N$2584,[1]Sheet1!$O$9:$O$2584,"N/A",0)</f>
        <v>108.3</v>
      </c>
      <c r="O1656">
        <v>107.73</v>
      </c>
      <c r="P1656">
        <v>131.83</v>
      </c>
      <c r="Q1656">
        <v>73.82</v>
      </c>
      <c r="R1656">
        <v>108.3</v>
      </c>
      <c r="S1656">
        <v>146.23</v>
      </c>
    </row>
    <row r="1657" spans="1:19">
      <c r="A1657" s="1">
        <v>44770</v>
      </c>
      <c r="B1657" t="s">
        <v>766</v>
      </c>
      <c r="C1657" t="s">
        <v>775</v>
      </c>
      <c r="D1657">
        <v>23.667</v>
      </c>
      <c r="E1657">
        <v>25.5516</v>
      </c>
      <c r="F1657">
        <v>0.0796298643681074</v>
      </c>
      <c r="G1657">
        <f ca="1" t="shared" si="75"/>
        <v>0.929071855123642</v>
      </c>
      <c r="H1657" t="str">
        <f ca="1" t="shared" si="76"/>
        <v>Risk-On</v>
      </c>
      <c r="I1657">
        <f ca="1" t="shared" si="77"/>
        <v>1</v>
      </c>
      <c r="J1657">
        <f>_xlfn.XLOOKUP($A1657,[1]Sheet1!$B$9:$B$2584,[1]Sheet1!$C$9:$C$2584,"N/A",0)</f>
        <v>107.12</v>
      </c>
      <c r="K1657">
        <f>_xlfn.XLOOKUP($A1657,[1]Sheet1!$E$9:$E$2584,[1]Sheet1!$F$9:$F$2584,"N/A",0)</f>
        <v>132.31</v>
      </c>
      <c r="L1657">
        <f>_xlfn.XLOOKUP($A1657,[1]Sheet1!$H$9:$H$2584,[1]Sheet1!$I$9:$I$2584,"N/A",0)</f>
        <v>72.75</v>
      </c>
      <c r="M1657">
        <f>_xlfn.XLOOKUP($A1657,[1]Sheet1!$K$9:$K$2584,[1]Sheet1!$L$9:$L$2584,"N/A",0)</f>
        <v>146.46</v>
      </c>
      <c r="N1657">
        <f>_xlfn.XLOOKUP($A1657,[1]Sheet1!$N$9:$N$2584,[1]Sheet1!$O$9:$O$2584,"N/A",0)</f>
        <v>108.07</v>
      </c>
      <c r="O1657">
        <v>107.12</v>
      </c>
      <c r="P1657">
        <v>132.31</v>
      </c>
      <c r="Q1657">
        <v>72.75</v>
      </c>
      <c r="R1657">
        <v>108.07</v>
      </c>
      <c r="S1657">
        <v>146.46</v>
      </c>
    </row>
    <row r="1658" spans="1:19">
      <c r="A1658" s="1">
        <v>44771</v>
      </c>
      <c r="B1658" t="s">
        <v>766</v>
      </c>
      <c r="C1658" t="s">
        <v>775</v>
      </c>
      <c r="D1658">
        <v>23.4158</v>
      </c>
      <c r="E1658">
        <v>25.3817</v>
      </c>
      <c r="F1658">
        <v>0.0839561321842515</v>
      </c>
      <c r="G1658">
        <f ca="1" t="shared" si="75"/>
        <v>1.02738325187234</v>
      </c>
      <c r="H1658" t="str">
        <f ca="1" t="shared" si="76"/>
        <v>Risk-On</v>
      </c>
      <c r="I1658">
        <f ca="1" t="shared" si="77"/>
        <v>1</v>
      </c>
      <c r="J1658">
        <f>_xlfn.XLOOKUP($A1658,[1]Sheet1!$B$9:$B$2584,[1]Sheet1!$C$9:$C$2584,"N/A",0)</f>
        <v>107.35</v>
      </c>
      <c r="K1658">
        <f>_xlfn.XLOOKUP($A1658,[1]Sheet1!$E$9:$E$2584,[1]Sheet1!$F$9:$F$2584,"N/A",0)</f>
        <v>134.39</v>
      </c>
      <c r="L1658">
        <f>_xlfn.XLOOKUP($A1658,[1]Sheet1!$H$9:$H$2584,[1]Sheet1!$I$9:$I$2584,"N/A",0)</f>
        <v>73.13</v>
      </c>
      <c r="M1658">
        <f>_xlfn.XLOOKUP($A1658,[1]Sheet1!$K$9:$K$2584,[1]Sheet1!$L$9:$L$2584,"N/A",0)</f>
        <v>146.83</v>
      </c>
      <c r="N1658">
        <f>_xlfn.XLOOKUP($A1658,[1]Sheet1!$N$9:$N$2584,[1]Sheet1!$O$9:$O$2584,"N/A",0)</f>
        <v>108.26</v>
      </c>
      <c r="O1658">
        <v>107.35</v>
      </c>
      <c r="P1658">
        <v>134.39</v>
      </c>
      <c r="Q1658">
        <v>73.13</v>
      </c>
      <c r="R1658">
        <v>108.26</v>
      </c>
      <c r="S1658">
        <v>146.83</v>
      </c>
    </row>
    <row r="1659" spans="1:19">
      <c r="A1659" s="1">
        <v>44774</v>
      </c>
      <c r="B1659" t="s">
        <v>766</v>
      </c>
      <c r="C1659" t="s">
        <v>775</v>
      </c>
      <c r="D1659">
        <v>24.2144</v>
      </c>
      <c r="E1659">
        <v>26.0517</v>
      </c>
      <c r="F1659">
        <v>0.075876338046782</v>
      </c>
      <c r="G1659">
        <f ca="1" t="shared" si="75"/>
        <v>0.848952323093613</v>
      </c>
      <c r="H1659" t="str">
        <f ca="1" t="shared" si="76"/>
        <v>Risk-On</v>
      </c>
      <c r="I1659">
        <f ca="1" t="shared" si="77"/>
        <v>1</v>
      </c>
      <c r="J1659">
        <f>_xlfn.XLOOKUP($A1659,[1]Sheet1!$B$9:$B$2584,[1]Sheet1!$C$9:$C$2584,"N/A",0)</f>
        <v>107.26</v>
      </c>
      <c r="K1659">
        <f>_xlfn.XLOOKUP($A1659,[1]Sheet1!$E$9:$E$2584,[1]Sheet1!$F$9:$F$2584,"N/A",0)</f>
        <v>132.83</v>
      </c>
      <c r="L1659">
        <f>_xlfn.XLOOKUP($A1659,[1]Sheet1!$H$9:$H$2584,[1]Sheet1!$I$9:$I$2584,"N/A",0)</f>
        <v>73.3</v>
      </c>
      <c r="M1659">
        <f>_xlfn.XLOOKUP($A1659,[1]Sheet1!$K$9:$K$2584,[1]Sheet1!$L$9:$L$2584,"N/A",0)</f>
        <v>146.72</v>
      </c>
      <c r="N1659">
        <f>_xlfn.XLOOKUP($A1659,[1]Sheet1!$N$9:$N$2584,[1]Sheet1!$O$9:$O$2584,"N/A",0)</f>
        <v>107.92</v>
      </c>
      <c r="O1659">
        <v>107.26</v>
      </c>
      <c r="P1659">
        <v>132.83</v>
      </c>
      <c r="Q1659">
        <v>73.3</v>
      </c>
      <c r="R1659">
        <v>107.92</v>
      </c>
      <c r="S1659">
        <v>146.72</v>
      </c>
    </row>
    <row r="1660" spans="1:19">
      <c r="A1660" s="1">
        <v>44775</v>
      </c>
      <c r="B1660" t="s">
        <v>766</v>
      </c>
      <c r="C1660" t="s">
        <v>775</v>
      </c>
      <c r="D1660">
        <v>24.6115</v>
      </c>
      <c r="E1660">
        <v>26.3001</v>
      </c>
      <c r="F1660">
        <v>0.0686102025475895</v>
      </c>
      <c r="G1660">
        <f ca="1" t="shared" si="75"/>
        <v>0.689036033178047</v>
      </c>
      <c r="H1660" t="str">
        <f ca="1" t="shared" si="76"/>
        <v>Risk-On</v>
      </c>
      <c r="I1660">
        <f ca="1" t="shared" si="77"/>
        <v>1</v>
      </c>
      <c r="J1660">
        <f>_xlfn.XLOOKUP($A1660,[1]Sheet1!$B$9:$B$2584,[1]Sheet1!$C$9:$C$2584,"N/A",0)</f>
        <v>107.87</v>
      </c>
      <c r="K1660">
        <f>_xlfn.XLOOKUP($A1660,[1]Sheet1!$E$9:$E$2584,[1]Sheet1!$F$9:$F$2584,"N/A",0)</f>
        <v>131.16</v>
      </c>
      <c r="L1660">
        <f>_xlfn.XLOOKUP($A1660,[1]Sheet1!$H$9:$H$2584,[1]Sheet1!$I$9:$I$2584,"N/A",0)</f>
        <v>71.43</v>
      </c>
      <c r="M1660">
        <f>_xlfn.XLOOKUP($A1660,[1]Sheet1!$K$9:$K$2584,[1]Sheet1!$L$9:$L$2584,"N/A",0)</f>
        <v>145.38</v>
      </c>
      <c r="N1660">
        <f>_xlfn.XLOOKUP($A1660,[1]Sheet1!$N$9:$N$2584,[1]Sheet1!$O$9:$O$2584,"N/A",0)</f>
        <v>107.45</v>
      </c>
      <c r="O1660">
        <v>107.87</v>
      </c>
      <c r="P1660">
        <v>131.16</v>
      </c>
      <c r="Q1660">
        <v>71.43</v>
      </c>
      <c r="R1660">
        <v>107.45</v>
      </c>
      <c r="S1660">
        <v>145.38</v>
      </c>
    </row>
    <row r="1661" spans="1:19">
      <c r="A1661" s="1">
        <v>44776</v>
      </c>
      <c r="B1661" t="s">
        <v>766</v>
      </c>
      <c r="C1661" t="s">
        <v>775</v>
      </c>
      <c r="D1661">
        <v>23.1634</v>
      </c>
      <c r="E1661">
        <v>25.1488</v>
      </c>
      <c r="F1661">
        <v>0.0857128055466815</v>
      </c>
      <c r="G1661">
        <f ca="1" t="shared" si="75"/>
        <v>1.07550710082721</v>
      </c>
      <c r="H1661" t="str">
        <f ca="1" t="shared" si="76"/>
        <v>Risk-On</v>
      </c>
      <c r="I1661">
        <f ca="1" t="shared" si="77"/>
        <v>1</v>
      </c>
      <c r="J1661">
        <f>_xlfn.XLOOKUP($A1661,[1]Sheet1!$B$9:$B$2584,[1]Sheet1!$C$9:$C$2584,"N/A",0)</f>
        <v>107.74</v>
      </c>
      <c r="K1661">
        <f>_xlfn.XLOOKUP($A1661,[1]Sheet1!$E$9:$E$2584,[1]Sheet1!$F$9:$F$2584,"N/A",0)</f>
        <v>128.39</v>
      </c>
      <c r="L1661">
        <f>_xlfn.XLOOKUP($A1661,[1]Sheet1!$H$9:$H$2584,[1]Sheet1!$I$9:$I$2584,"N/A",0)</f>
        <v>70.96</v>
      </c>
      <c r="M1661">
        <f>_xlfn.XLOOKUP($A1661,[1]Sheet1!$K$9:$K$2584,[1]Sheet1!$L$9:$L$2584,"N/A",0)</f>
        <v>144.71</v>
      </c>
      <c r="N1661">
        <f>_xlfn.XLOOKUP($A1661,[1]Sheet1!$N$9:$N$2584,[1]Sheet1!$O$9:$O$2584,"N/A",0)</f>
        <v>107.61</v>
      </c>
      <c r="O1661">
        <v>107.74</v>
      </c>
      <c r="P1661">
        <v>128.39</v>
      </c>
      <c r="Q1661">
        <v>70.96</v>
      </c>
      <c r="R1661">
        <v>107.61</v>
      </c>
      <c r="S1661">
        <v>144.71</v>
      </c>
    </row>
    <row r="1662" spans="1:19">
      <c r="A1662" s="1">
        <v>44777</v>
      </c>
      <c r="B1662" t="s">
        <v>766</v>
      </c>
      <c r="C1662" t="s">
        <v>775</v>
      </c>
      <c r="D1662">
        <v>23.2001</v>
      </c>
      <c r="E1662">
        <v>25.2502</v>
      </c>
      <c r="F1662">
        <v>0.0883659984224206</v>
      </c>
      <c r="G1662">
        <f ca="1" t="shared" si="75"/>
        <v>1.12752727311295</v>
      </c>
      <c r="H1662" t="str">
        <f ca="1" t="shared" si="76"/>
        <v>Risk-On</v>
      </c>
      <c r="I1662">
        <f ca="1" t="shared" si="77"/>
        <v>1</v>
      </c>
      <c r="J1662">
        <f>_xlfn.XLOOKUP($A1662,[1]Sheet1!$B$9:$B$2584,[1]Sheet1!$C$9:$C$2584,"N/A",0)</f>
        <v>107.94</v>
      </c>
      <c r="K1662">
        <f>_xlfn.XLOOKUP($A1662,[1]Sheet1!$E$9:$E$2584,[1]Sheet1!$F$9:$F$2584,"N/A",0)</f>
        <v>127.18</v>
      </c>
      <c r="L1662">
        <f>_xlfn.XLOOKUP($A1662,[1]Sheet1!$H$9:$H$2584,[1]Sheet1!$I$9:$I$2584,"N/A",0)</f>
        <v>70.73</v>
      </c>
      <c r="M1662">
        <f>_xlfn.XLOOKUP($A1662,[1]Sheet1!$K$9:$K$2584,[1]Sheet1!$L$9:$L$2584,"N/A",0)</f>
        <v>144.73</v>
      </c>
      <c r="N1662">
        <f>_xlfn.XLOOKUP($A1662,[1]Sheet1!$N$9:$N$2584,[1]Sheet1!$O$9:$O$2584,"N/A",0)</f>
        <v>108.32</v>
      </c>
      <c r="O1662">
        <v>107.94</v>
      </c>
      <c r="P1662">
        <v>127.18</v>
      </c>
      <c r="Q1662">
        <v>70.73</v>
      </c>
      <c r="R1662">
        <v>108.32</v>
      </c>
      <c r="S1662">
        <v>144.73</v>
      </c>
    </row>
    <row r="1663" spans="1:19">
      <c r="A1663" s="1">
        <v>44778</v>
      </c>
      <c r="B1663" t="s">
        <v>766</v>
      </c>
      <c r="C1663" t="s">
        <v>775</v>
      </c>
      <c r="D1663">
        <v>22.4476</v>
      </c>
      <c r="E1663">
        <v>24.7969</v>
      </c>
      <c r="F1663" s="2" t="s">
        <v>776</v>
      </c>
      <c r="G1663">
        <f ca="1" t="shared" si="75"/>
        <v>1.49750840094316</v>
      </c>
      <c r="H1663" t="str">
        <f ca="1" t="shared" si="76"/>
        <v>Risk-On</v>
      </c>
      <c r="I1663">
        <f ca="1" t="shared" si="77"/>
        <v>1</v>
      </c>
      <c r="J1663">
        <f>_xlfn.XLOOKUP($A1663,[1]Sheet1!$B$9:$B$2584,[1]Sheet1!$C$9:$C$2584,"N/A",0)</f>
        <v>108.07</v>
      </c>
      <c r="K1663">
        <f>_xlfn.XLOOKUP($A1663,[1]Sheet1!$E$9:$E$2584,[1]Sheet1!$F$9:$F$2584,"N/A",0)</f>
        <v>127.21</v>
      </c>
      <c r="L1663">
        <f>_xlfn.XLOOKUP($A1663,[1]Sheet1!$H$9:$H$2584,[1]Sheet1!$I$9:$I$2584,"N/A",0)</f>
        <v>69.54</v>
      </c>
      <c r="M1663">
        <f>_xlfn.XLOOKUP($A1663,[1]Sheet1!$K$9:$K$2584,[1]Sheet1!$L$9:$L$2584,"N/A",0)</f>
        <v>143.98</v>
      </c>
      <c r="N1663">
        <f>_xlfn.XLOOKUP($A1663,[1]Sheet1!$N$9:$N$2584,[1]Sheet1!$O$9:$O$2584,"N/A",0)</f>
        <v>107.85</v>
      </c>
      <c r="O1663">
        <v>108.07</v>
      </c>
      <c r="P1663">
        <v>127.21</v>
      </c>
      <c r="Q1663">
        <v>69.54</v>
      </c>
      <c r="R1663">
        <v>107.85</v>
      </c>
      <c r="S1663">
        <v>143.98</v>
      </c>
    </row>
    <row r="1664" spans="1:19">
      <c r="A1664" s="1">
        <v>44781</v>
      </c>
      <c r="B1664" t="s">
        <v>766</v>
      </c>
      <c r="C1664" t="s">
        <v>775</v>
      </c>
      <c r="D1664">
        <v>22.6589</v>
      </c>
      <c r="E1664">
        <v>24.8737</v>
      </c>
      <c r="F1664">
        <v>0.0977452568306493</v>
      </c>
      <c r="G1664">
        <f ca="1" t="shared" si="75"/>
        <v>1.34170210409977</v>
      </c>
      <c r="H1664" t="str">
        <f ca="1" t="shared" si="76"/>
        <v>Risk-On</v>
      </c>
      <c r="I1664">
        <f ca="1" t="shared" si="77"/>
        <v>1</v>
      </c>
      <c r="J1664">
        <f>_xlfn.XLOOKUP($A1664,[1]Sheet1!$B$9:$B$2584,[1]Sheet1!$C$9:$C$2584,"N/A",0)</f>
        <v>108.12</v>
      </c>
      <c r="K1664">
        <f>_xlfn.XLOOKUP($A1664,[1]Sheet1!$E$9:$E$2584,[1]Sheet1!$F$9:$F$2584,"N/A",0)</f>
        <v>125.25</v>
      </c>
      <c r="L1664">
        <f>_xlfn.XLOOKUP($A1664,[1]Sheet1!$H$9:$H$2584,[1]Sheet1!$I$9:$I$2584,"N/A",0)</f>
        <v>69.59</v>
      </c>
      <c r="M1664">
        <f>_xlfn.XLOOKUP($A1664,[1]Sheet1!$K$9:$K$2584,[1]Sheet1!$L$9:$L$2584,"N/A",0)</f>
        <v>143.82</v>
      </c>
      <c r="N1664">
        <f>_xlfn.XLOOKUP($A1664,[1]Sheet1!$N$9:$N$2584,[1]Sheet1!$O$9:$O$2584,"N/A",0)</f>
        <v>106.71</v>
      </c>
      <c r="O1664">
        <v>108.12</v>
      </c>
      <c r="P1664">
        <v>125.25</v>
      </c>
      <c r="Q1664">
        <v>69.59</v>
      </c>
      <c r="R1664">
        <v>106.71</v>
      </c>
      <c r="S1664">
        <v>143.82</v>
      </c>
    </row>
    <row r="1665" spans="1:19">
      <c r="A1665" s="1">
        <v>44782</v>
      </c>
      <c r="B1665" t="s">
        <v>766</v>
      </c>
      <c r="C1665" t="s">
        <v>775</v>
      </c>
      <c r="D1665">
        <v>22.989</v>
      </c>
      <c r="E1665">
        <v>25.0329</v>
      </c>
      <c r="F1665">
        <v>0.0889077384836226</v>
      </c>
      <c r="G1665">
        <f ca="1" t="shared" si="75"/>
        <v>1.13063418052861</v>
      </c>
      <c r="H1665" t="str">
        <f ca="1" t="shared" si="76"/>
        <v>Risk-On</v>
      </c>
      <c r="I1665">
        <f ca="1" t="shared" si="77"/>
        <v>1</v>
      </c>
      <c r="J1665">
        <f>_xlfn.XLOOKUP($A1665,[1]Sheet1!$B$9:$B$2584,[1]Sheet1!$C$9:$C$2584,"N/A",0)</f>
        <v>108.18</v>
      </c>
      <c r="K1665">
        <f>_xlfn.XLOOKUP($A1665,[1]Sheet1!$E$9:$E$2584,[1]Sheet1!$F$9:$F$2584,"N/A",0)</f>
        <v>129.03</v>
      </c>
      <c r="L1665">
        <f>_xlfn.XLOOKUP($A1665,[1]Sheet1!$H$9:$H$2584,[1]Sheet1!$I$9:$I$2584,"N/A",0)</f>
        <v>69.42</v>
      </c>
      <c r="M1665">
        <f>_xlfn.XLOOKUP($A1665,[1]Sheet1!$K$9:$K$2584,[1]Sheet1!$L$9:$L$2584,"N/A",0)</f>
        <v>143.4</v>
      </c>
      <c r="N1665">
        <f>_xlfn.XLOOKUP($A1665,[1]Sheet1!$N$9:$N$2584,[1]Sheet1!$O$9:$O$2584,"N/A",0)</f>
        <v>107.25</v>
      </c>
      <c r="O1665">
        <v>108.18</v>
      </c>
      <c r="P1665">
        <v>129.03</v>
      </c>
      <c r="Q1665">
        <v>69.42</v>
      </c>
      <c r="R1665">
        <v>107.25</v>
      </c>
      <c r="S1665">
        <v>143.4</v>
      </c>
    </row>
    <row r="1666" spans="1:19">
      <c r="A1666" s="1">
        <v>44783</v>
      </c>
      <c r="B1666" t="s">
        <v>766</v>
      </c>
      <c r="C1666" t="s">
        <v>775</v>
      </c>
      <c r="D1666">
        <v>21.3507</v>
      </c>
      <c r="E1666">
        <v>23.5999</v>
      </c>
      <c r="F1666" s="2" t="s">
        <v>777</v>
      </c>
      <c r="G1666">
        <f ca="1" t="shared" si="75"/>
        <v>1.49143403964622</v>
      </c>
      <c r="H1666" t="str">
        <f ca="1" t="shared" si="76"/>
        <v>Risk-On</v>
      </c>
      <c r="I1666">
        <f ca="1" t="shared" si="77"/>
        <v>1</v>
      </c>
      <c r="J1666">
        <f>_xlfn.XLOOKUP($A1666,[1]Sheet1!$B$9:$B$2584,[1]Sheet1!$C$9:$C$2584,"N/A",0)</f>
        <v>108.6</v>
      </c>
      <c r="K1666">
        <f>_xlfn.XLOOKUP($A1666,[1]Sheet1!$E$9:$E$2584,[1]Sheet1!$F$9:$F$2584,"N/A",0)</f>
        <v>126.95</v>
      </c>
      <c r="L1666">
        <f>_xlfn.XLOOKUP($A1666,[1]Sheet1!$H$9:$H$2584,[1]Sheet1!$I$9:$I$2584,"N/A",0)</f>
        <v>69.37</v>
      </c>
      <c r="M1666">
        <f>_xlfn.XLOOKUP($A1666,[1]Sheet1!$K$9:$K$2584,[1]Sheet1!$L$9:$L$2584,"N/A",0)</f>
        <v>142.28</v>
      </c>
      <c r="N1666">
        <f>_xlfn.XLOOKUP($A1666,[1]Sheet1!$N$9:$N$2584,[1]Sheet1!$O$9:$O$2584,"N/A",0)</f>
        <v>106.56</v>
      </c>
      <c r="O1666">
        <v>108.6</v>
      </c>
      <c r="P1666">
        <v>126.95</v>
      </c>
      <c r="Q1666">
        <v>69.37</v>
      </c>
      <c r="R1666">
        <v>106.56</v>
      </c>
      <c r="S1666">
        <v>142.28</v>
      </c>
    </row>
    <row r="1667" spans="1:19">
      <c r="A1667" s="1">
        <v>44784</v>
      </c>
      <c r="B1667" t="s">
        <v>766</v>
      </c>
      <c r="C1667" t="s">
        <v>775</v>
      </c>
      <c r="D1667">
        <v>21.4995</v>
      </c>
      <c r="E1667">
        <v>23.8495</v>
      </c>
      <c r="F1667" s="2" t="s">
        <v>778</v>
      </c>
      <c r="G1667">
        <f ca="1" t="shared" ref="G1667:G1730" si="78">IF(ROW()-ROW($A$3)+1&gt;252,(F1667-AVERAGE(OFFSET(F1667,-252,0,252,1)))/_xlfn.STDEV.S(OFFSET(F1667,-252,0,252,1)),"N/A")</f>
        <v>1.58037337632259</v>
      </c>
      <c r="H1667" t="str">
        <f ca="1" t="shared" ref="H1667:H1730" si="79">IF(G1667&lt;&gt;"N/A",IF(G1917&gt;-0.5,"Risk-On","Risk-Off"),"N/A")</f>
        <v>Risk-On</v>
      </c>
      <c r="I1667">
        <f ca="1" t="shared" si="77"/>
        <v>1</v>
      </c>
      <c r="J1667">
        <f>_xlfn.XLOOKUP($A1667,[1]Sheet1!$B$9:$B$2584,[1]Sheet1!$C$9:$C$2584,"N/A",0)</f>
        <v>108.24</v>
      </c>
      <c r="K1667">
        <f>_xlfn.XLOOKUP($A1667,[1]Sheet1!$E$9:$E$2584,[1]Sheet1!$F$9:$F$2584,"N/A",0)</f>
        <v>128.33</v>
      </c>
      <c r="L1667">
        <f>_xlfn.XLOOKUP($A1667,[1]Sheet1!$H$9:$H$2584,[1]Sheet1!$I$9:$I$2584,"N/A",0)</f>
        <v>70.36</v>
      </c>
      <c r="M1667">
        <f>_xlfn.XLOOKUP($A1667,[1]Sheet1!$K$9:$K$2584,[1]Sheet1!$L$9:$L$2584,"N/A",0)</f>
        <v>142.47</v>
      </c>
      <c r="N1667">
        <f>_xlfn.XLOOKUP($A1667,[1]Sheet1!$N$9:$N$2584,[1]Sheet1!$O$9:$O$2584,"N/A",0)</f>
        <v>106.31</v>
      </c>
      <c r="O1667">
        <v>108.24</v>
      </c>
      <c r="P1667">
        <v>128.33</v>
      </c>
      <c r="Q1667">
        <v>70.36</v>
      </c>
      <c r="R1667">
        <v>106.31</v>
      </c>
      <c r="S1667">
        <v>142.47</v>
      </c>
    </row>
    <row r="1668" spans="1:19">
      <c r="A1668" s="1">
        <v>44785</v>
      </c>
      <c r="B1668" t="s">
        <v>766</v>
      </c>
      <c r="C1668" t="s">
        <v>775</v>
      </c>
      <c r="D1668">
        <v>21.1867</v>
      </c>
      <c r="E1668">
        <v>23.6234</v>
      </c>
      <c r="F1668" s="2" t="s">
        <v>779</v>
      </c>
      <c r="G1668">
        <f ca="1" t="shared" si="78"/>
        <v>1.70854629988208</v>
      </c>
      <c r="H1668" t="str">
        <f ca="1" t="shared" si="79"/>
        <v>Risk-On</v>
      </c>
      <c r="I1668">
        <f ca="1" t="shared" ref="I1668:I1731" si="80">IF(H1668&lt;&gt;"N/A",IF(H1918&gt;-0.5,1,0),0)</f>
        <v>1</v>
      </c>
      <c r="J1668">
        <f>_xlfn.XLOOKUP($A1668,[1]Sheet1!$B$9:$B$2584,[1]Sheet1!$C$9:$C$2584,"N/A",0)</f>
        <v>107.88</v>
      </c>
      <c r="K1668">
        <f>_xlfn.XLOOKUP($A1668,[1]Sheet1!$E$9:$E$2584,[1]Sheet1!$F$9:$F$2584,"N/A",0)</f>
        <v>128.19</v>
      </c>
      <c r="L1668">
        <f>_xlfn.XLOOKUP($A1668,[1]Sheet1!$H$9:$H$2584,[1]Sheet1!$I$9:$I$2584,"N/A",0)</f>
        <v>69.76</v>
      </c>
      <c r="M1668">
        <f>_xlfn.XLOOKUP($A1668,[1]Sheet1!$K$9:$K$2584,[1]Sheet1!$L$9:$L$2584,"N/A",0)</f>
        <v>142.4</v>
      </c>
      <c r="N1668">
        <f>_xlfn.XLOOKUP($A1668,[1]Sheet1!$N$9:$N$2584,[1]Sheet1!$O$9:$O$2584,"N/A",0)</f>
        <v>106.01</v>
      </c>
      <c r="O1668">
        <v>107.88</v>
      </c>
      <c r="P1668">
        <v>128.19</v>
      </c>
      <c r="Q1668">
        <v>69.76</v>
      </c>
      <c r="R1668">
        <v>106.01</v>
      </c>
      <c r="S1668">
        <v>142.4</v>
      </c>
    </row>
    <row r="1669" spans="1:19">
      <c r="A1669" s="1">
        <v>44788</v>
      </c>
      <c r="B1669" t="s">
        <v>766</v>
      </c>
      <c r="C1669" t="s">
        <v>775</v>
      </c>
      <c r="D1669">
        <v>20.426</v>
      </c>
      <c r="E1669">
        <v>23.2003</v>
      </c>
      <c r="F1669" s="2" t="s">
        <v>780</v>
      </c>
      <c r="G1669">
        <f ca="1" t="shared" si="78"/>
        <v>2.1760267814734</v>
      </c>
      <c r="H1669" t="str">
        <f ca="1" t="shared" si="79"/>
        <v>Risk-On</v>
      </c>
      <c r="I1669">
        <f ca="1" t="shared" si="80"/>
        <v>1</v>
      </c>
      <c r="J1669">
        <f>_xlfn.XLOOKUP($A1669,[1]Sheet1!$B$9:$B$2584,[1]Sheet1!$C$9:$C$2584,"N/A",0)</f>
        <v>107.67</v>
      </c>
      <c r="K1669">
        <f>_xlfn.XLOOKUP($A1669,[1]Sheet1!$E$9:$E$2584,[1]Sheet1!$F$9:$F$2584,"N/A",0)</f>
        <v>127.99</v>
      </c>
      <c r="L1669">
        <f>_xlfn.XLOOKUP($A1669,[1]Sheet1!$H$9:$H$2584,[1]Sheet1!$I$9:$I$2584,"N/A",0)</f>
        <v>69.05</v>
      </c>
      <c r="M1669">
        <f>_xlfn.XLOOKUP($A1669,[1]Sheet1!$K$9:$K$2584,[1]Sheet1!$L$9:$L$2584,"N/A",0)</f>
        <v>142.86</v>
      </c>
      <c r="N1669">
        <f>_xlfn.XLOOKUP($A1669,[1]Sheet1!$N$9:$N$2584,[1]Sheet1!$O$9:$O$2584,"N/A",0)</f>
        <v>106.02</v>
      </c>
      <c r="O1669">
        <v>107.67</v>
      </c>
      <c r="P1669">
        <v>127.99</v>
      </c>
      <c r="Q1669">
        <v>69.05</v>
      </c>
      <c r="R1669">
        <v>106.02</v>
      </c>
      <c r="S1669">
        <v>142.86</v>
      </c>
    </row>
    <row r="1670" spans="1:19">
      <c r="A1670" s="1">
        <v>44789</v>
      </c>
      <c r="B1670" t="s">
        <v>766</v>
      </c>
      <c r="C1670" t="s">
        <v>775</v>
      </c>
      <c r="D1670">
        <v>20.0006</v>
      </c>
      <c r="E1670">
        <v>23.4392</v>
      </c>
      <c r="F1670" s="2" t="s">
        <v>781</v>
      </c>
      <c r="G1670">
        <f ca="1" t="shared" si="78"/>
        <v>2.98700409261507</v>
      </c>
      <c r="H1670" t="str">
        <f ca="1" t="shared" si="79"/>
        <v>Risk-On</v>
      </c>
      <c r="I1670">
        <f ca="1" t="shared" si="80"/>
        <v>1</v>
      </c>
      <c r="J1670">
        <f>_xlfn.XLOOKUP($A1670,[1]Sheet1!$B$9:$B$2584,[1]Sheet1!$C$9:$C$2584,"N/A",0)</f>
        <v>107.75</v>
      </c>
      <c r="K1670">
        <f>_xlfn.XLOOKUP($A1670,[1]Sheet1!$E$9:$E$2584,[1]Sheet1!$F$9:$F$2584,"N/A",0)</f>
        <v>127.79</v>
      </c>
      <c r="L1670">
        <f>_xlfn.XLOOKUP($A1670,[1]Sheet1!$H$9:$H$2584,[1]Sheet1!$I$9:$I$2584,"N/A",0)</f>
        <v>69.06</v>
      </c>
      <c r="M1670">
        <f>_xlfn.XLOOKUP($A1670,[1]Sheet1!$K$9:$K$2584,[1]Sheet1!$L$9:$L$2584,"N/A",0)</f>
        <v>143.18</v>
      </c>
      <c r="N1670">
        <f>_xlfn.XLOOKUP($A1670,[1]Sheet1!$N$9:$N$2584,[1]Sheet1!$O$9:$O$2584,"N/A",0)</f>
        <v>105.98</v>
      </c>
      <c r="O1670">
        <v>107.75</v>
      </c>
      <c r="P1670">
        <v>127.79</v>
      </c>
      <c r="Q1670">
        <v>69.06</v>
      </c>
      <c r="R1670">
        <v>105.98</v>
      </c>
      <c r="S1670">
        <v>143.18</v>
      </c>
    </row>
    <row r="1671" spans="1:19">
      <c r="A1671" s="1">
        <v>44790</v>
      </c>
      <c r="B1671" t="s">
        <v>766</v>
      </c>
      <c r="C1671" t="s">
        <v>775</v>
      </c>
      <c r="D1671">
        <v>20.11</v>
      </c>
      <c r="E1671">
        <v>23.2813</v>
      </c>
      <c r="F1671" s="2" t="s">
        <v>782</v>
      </c>
      <c r="G1671">
        <f ca="1" t="shared" si="78"/>
        <v>2.66741936510871</v>
      </c>
      <c r="H1671" t="str">
        <f ca="1" t="shared" si="79"/>
        <v>Risk-On</v>
      </c>
      <c r="I1671">
        <f ca="1" t="shared" si="80"/>
        <v>1</v>
      </c>
      <c r="J1671">
        <f>_xlfn.XLOOKUP($A1671,[1]Sheet1!$B$9:$B$2584,[1]Sheet1!$C$9:$C$2584,"N/A",0)</f>
        <v>107.88</v>
      </c>
      <c r="K1671">
        <f>_xlfn.XLOOKUP($A1671,[1]Sheet1!$E$9:$E$2584,[1]Sheet1!$F$9:$F$2584,"N/A",0)</f>
        <v>130.82</v>
      </c>
      <c r="L1671">
        <f>_xlfn.XLOOKUP($A1671,[1]Sheet1!$H$9:$H$2584,[1]Sheet1!$I$9:$I$2584,"N/A",0)</f>
        <v>69</v>
      </c>
      <c r="M1671">
        <f>_xlfn.XLOOKUP($A1671,[1]Sheet1!$K$9:$K$2584,[1]Sheet1!$L$9:$L$2584,"N/A",0)</f>
        <v>144.04</v>
      </c>
      <c r="N1671">
        <f>_xlfn.XLOOKUP($A1671,[1]Sheet1!$N$9:$N$2584,[1]Sheet1!$O$9:$O$2584,"N/A",0)</f>
        <v>106.41</v>
      </c>
      <c r="O1671">
        <v>107.88</v>
      </c>
      <c r="P1671">
        <v>130.82</v>
      </c>
      <c r="Q1671">
        <v>69</v>
      </c>
      <c r="R1671">
        <v>106.41</v>
      </c>
      <c r="S1671">
        <v>144.04</v>
      </c>
    </row>
    <row r="1672" spans="1:19">
      <c r="A1672" s="1">
        <v>44791</v>
      </c>
      <c r="B1672" t="s">
        <v>775</v>
      </c>
      <c r="C1672" t="s">
        <v>783</v>
      </c>
      <c r="D1672">
        <v>22.9999</v>
      </c>
      <c r="E1672">
        <v>24.9003</v>
      </c>
      <c r="F1672">
        <v>0.08262644620194</v>
      </c>
      <c r="G1672">
        <f ca="1" t="shared" si="78"/>
        <v>0.981096753847587</v>
      </c>
      <c r="H1672" t="str">
        <f ca="1" t="shared" si="79"/>
        <v>Risk-Off</v>
      </c>
      <c r="I1672">
        <f ca="1" t="shared" si="80"/>
        <v>1</v>
      </c>
      <c r="J1672">
        <f>_xlfn.XLOOKUP($A1672,[1]Sheet1!$B$9:$B$2584,[1]Sheet1!$C$9:$C$2584,"N/A",0)</f>
        <v>107.88</v>
      </c>
      <c r="K1672">
        <f>_xlfn.XLOOKUP($A1672,[1]Sheet1!$E$9:$E$2584,[1]Sheet1!$F$9:$F$2584,"N/A",0)</f>
        <v>132.45</v>
      </c>
      <c r="L1672">
        <f>_xlfn.XLOOKUP($A1672,[1]Sheet1!$H$9:$H$2584,[1]Sheet1!$I$9:$I$2584,"N/A",0)</f>
        <v>69.57</v>
      </c>
      <c r="M1672">
        <f>_xlfn.XLOOKUP($A1672,[1]Sheet1!$K$9:$K$2584,[1]Sheet1!$L$9:$L$2584,"N/A",0)</f>
        <v>144.81</v>
      </c>
      <c r="N1672">
        <f>_xlfn.XLOOKUP($A1672,[1]Sheet1!$N$9:$N$2584,[1]Sheet1!$O$9:$O$2584,"N/A",0)</f>
        <v>105.77</v>
      </c>
      <c r="O1672">
        <v>107.88</v>
      </c>
      <c r="P1672">
        <v>132.45</v>
      </c>
      <c r="Q1672">
        <v>69.57</v>
      </c>
      <c r="R1672">
        <v>105.77</v>
      </c>
      <c r="S1672">
        <v>144.81</v>
      </c>
    </row>
    <row r="1673" spans="1:19">
      <c r="A1673" s="1">
        <v>44792</v>
      </c>
      <c r="B1673" t="s">
        <v>775</v>
      </c>
      <c r="C1673" t="s">
        <v>783</v>
      </c>
      <c r="D1673">
        <v>24.1028</v>
      </c>
      <c r="E1673">
        <v>25.8998</v>
      </c>
      <c r="F1673">
        <v>0.0745556532850955</v>
      </c>
      <c r="G1673">
        <f ca="1" t="shared" si="78"/>
        <v>0.793504544086765</v>
      </c>
      <c r="H1673" t="str">
        <f ca="1" t="shared" si="79"/>
        <v>Risk-Off</v>
      </c>
      <c r="I1673">
        <f ca="1" t="shared" si="80"/>
        <v>1</v>
      </c>
      <c r="J1673">
        <f>_xlfn.XLOOKUP($A1673,[1]Sheet1!$B$9:$B$2584,[1]Sheet1!$C$9:$C$2584,"N/A",0)</f>
        <v>107.54</v>
      </c>
      <c r="K1673">
        <f>_xlfn.XLOOKUP($A1673,[1]Sheet1!$E$9:$E$2584,[1]Sheet1!$F$9:$F$2584,"N/A",0)</f>
        <v>134.54</v>
      </c>
      <c r="L1673">
        <f>_xlfn.XLOOKUP($A1673,[1]Sheet1!$H$9:$H$2584,[1]Sheet1!$I$9:$I$2584,"N/A",0)</f>
        <v>70.04</v>
      </c>
      <c r="M1673">
        <f>_xlfn.XLOOKUP($A1673,[1]Sheet1!$K$9:$K$2584,[1]Sheet1!$L$9:$L$2584,"N/A",0)</f>
        <v>144.84</v>
      </c>
      <c r="N1673">
        <f>_xlfn.XLOOKUP($A1673,[1]Sheet1!$N$9:$N$2584,[1]Sheet1!$O$9:$O$2584,"N/A",0)</f>
        <v>106.17</v>
      </c>
      <c r="O1673">
        <v>107.54</v>
      </c>
      <c r="P1673">
        <v>134.54</v>
      </c>
      <c r="Q1673">
        <v>70.04</v>
      </c>
      <c r="R1673">
        <v>106.17</v>
      </c>
      <c r="S1673">
        <v>144.84</v>
      </c>
    </row>
    <row r="1674" spans="1:19">
      <c r="A1674" s="1">
        <v>44795</v>
      </c>
      <c r="B1674" t="s">
        <v>775</v>
      </c>
      <c r="C1674" t="s">
        <v>783</v>
      </c>
      <c r="D1674">
        <v>25.8208</v>
      </c>
      <c r="E1674">
        <v>27.0156</v>
      </c>
      <c r="F1674">
        <v>0.0462727723385797</v>
      </c>
      <c r="G1674">
        <f ca="1" t="shared" si="78"/>
        <v>0.15229875075982</v>
      </c>
      <c r="H1674" t="str">
        <f ca="1" t="shared" si="79"/>
        <v>Risk-On</v>
      </c>
      <c r="I1674">
        <f ca="1" t="shared" si="80"/>
        <v>1</v>
      </c>
      <c r="J1674">
        <f>_xlfn.XLOOKUP($A1674,[1]Sheet1!$B$9:$B$2584,[1]Sheet1!$C$9:$C$2584,"N/A",0)</f>
        <v>107.94</v>
      </c>
      <c r="K1674">
        <f>_xlfn.XLOOKUP($A1674,[1]Sheet1!$E$9:$E$2584,[1]Sheet1!$F$9:$F$2584,"N/A",0)</f>
        <v>135.45</v>
      </c>
      <c r="L1674">
        <f>_xlfn.XLOOKUP($A1674,[1]Sheet1!$H$9:$H$2584,[1]Sheet1!$I$9:$I$2584,"N/A",0)</f>
        <v>69.75</v>
      </c>
      <c r="M1674">
        <f>_xlfn.XLOOKUP($A1674,[1]Sheet1!$K$9:$K$2584,[1]Sheet1!$L$9:$L$2584,"N/A",0)</f>
        <v>144.39</v>
      </c>
      <c r="N1674">
        <f>_xlfn.XLOOKUP($A1674,[1]Sheet1!$N$9:$N$2584,[1]Sheet1!$O$9:$O$2584,"N/A",0)</f>
        <v>105.86</v>
      </c>
      <c r="O1674">
        <v>107.94</v>
      </c>
      <c r="P1674">
        <v>135.45</v>
      </c>
      <c r="Q1674">
        <v>69.75</v>
      </c>
      <c r="R1674">
        <v>105.86</v>
      </c>
      <c r="S1674">
        <v>144.39</v>
      </c>
    </row>
    <row r="1675" spans="1:19">
      <c r="A1675" s="1">
        <v>44796</v>
      </c>
      <c r="B1675" t="s">
        <v>775</v>
      </c>
      <c r="C1675" t="s">
        <v>783</v>
      </c>
      <c r="D1675">
        <v>25.3302</v>
      </c>
      <c r="E1675">
        <v>26.6492</v>
      </c>
      <c r="F1675" s="2" t="s">
        <v>784</v>
      </c>
      <c r="G1675">
        <f ca="1" t="shared" si="78"/>
        <v>0.287901200700943</v>
      </c>
      <c r="H1675" t="str">
        <f ca="1" t="shared" si="79"/>
        <v>Risk-On</v>
      </c>
      <c r="I1675">
        <f ca="1" t="shared" si="80"/>
        <v>1</v>
      </c>
      <c r="J1675">
        <f>_xlfn.XLOOKUP($A1675,[1]Sheet1!$B$9:$B$2584,[1]Sheet1!$C$9:$C$2584,"N/A",0)</f>
        <v>108.33</v>
      </c>
      <c r="K1675">
        <f>_xlfn.XLOOKUP($A1675,[1]Sheet1!$E$9:$E$2584,[1]Sheet1!$F$9:$F$2584,"N/A",0)</f>
        <v>137.15</v>
      </c>
      <c r="L1675">
        <f>_xlfn.XLOOKUP($A1675,[1]Sheet1!$H$9:$H$2584,[1]Sheet1!$I$9:$I$2584,"N/A",0)</f>
        <v>70.53</v>
      </c>
      <c r="M1675">
        <f>_xlfn.XLOOKUP($A1675,[1]Sheet1!$K$9:$K$2584,[1]Sheet1!$L$9:$L$2584,"N/A",0)</f>
        <v>143.75</v>
      </c>
      <c r="N1675">
        <f>_xlfn.XLOOKUP($A1675,[1]Sheet1!$N$9:$N$2584,[1]Sheet1!$O$9:$O$2584,"N/A",0)</f>
        <v>105.63</v>
      </c>
      <c r="O1675">
        <v>108.33</v>
      </c>
      <c r="P1675">
        <v>137.15</v>
      </c>
      <c r="Q1675">
        <v>70.53</v>
      </c>
      <c r="R1675">
        <v>105.63</v>
      </c>
      <c r="S1675">
        <v>143.75</v>
      </c>
    </row>
    <row r="1676" spans="1:19">
      <c r="A1676" s="1">
        <v>44797</v>
      </c>
      <c r="B1676" t="s">
        <v>775</v>
      </c>
      <c r="C1676" t="s">
        <v>783</v>
      </c>
      <c r="D1676">
        <v>24.3501</v>
      </c>
      <c r="E1676">
        <v>25.9673</v>
      </c>
      <c r="F1676">
        <v>0.066414511644716</v>
      </c>
      <c r="G1676">
        <f ca="1" t="shared" si="78"/>
        <v>0.618797127898055</v>
      </c>
      <c r="H1676" t="str">
        <f ca="1" t="shared" si="79"/>
        <v>Risk-On</v>
      </c>
      <c r="I1676">
        <f ca="1" t="shared" si="80"/>
        <v>1</v>
      </c>
      <c r="J1676">
        <f>_xlfn.XLOOKUP($A1676,[1]Sheet1!$B$9:$B$2584,[1]Sheet1!$C$9:$C$2584,"N/A",0)</f>
        <v>108.44</v>
      </c>
      <c r="K1676">
        <f>_xlfn.XLOOKUP($A1676,[1]Sheet1!$E$9:$E$2584,[1]Sheet1!$F$9:$F$2584,"N/A",0)</f>
        <v>136.81</v>
      </c>
      <c r="L1676">
        <f>_xlfn.XLOOKUP($A1676,[1]Sheet1!$H$9:$H$2584,[1]Sheet1!$I$9:$I$2584,"N/A",0)</f>
        <v>69.57</v>
      </c>
      <c r="M1676">
        <f>_xlfn.XLOOKUP($A1676,[1]Sheet1!$K$9:$K$2584,[1]Sheet1!$L$9:$L$2584,"N/A",0)</f>
        <v>142.56</v>
      </c>
      <c r="N1676">
        <f>_xlfn.XLOOKUP($A1676,[1]Sheet1!$N$9:$N$2584,[1]Sheet1!$O$9:$O$2584,"N/A",0)</f>
        <v>105.66</v>
      </c>
      <c r="O1676">
        <v>108.44</v>
      </c>
      <c r="P1676">
        <v>136.81</v>
      </c>
      <c r="Q1676">
        <v>69.57</v>
      </c>
      <c r="R1676">
        <v>105.66</v>
      </c>
      <c r="S1676">
        <v>142.56</v>
      </c>
    </row>
    <row r="1677" spans="1:19">
      <c r="A1677" s="1">
        <v>44798</v>
      </c>
      <c r="B1677" t="s">
        <v>775</v>
      </c>
      <c r="C1677" t="s">
        <v>783</v>
      </c>
      <c r="D1677">
        <v>23.5977</v>
      </c>
      <c r="E1677">
        <v>25.3689</v>
      </c>
      <c r="F1677">
        <v>0.0750581624480352</v>
      </c>
      <c r="G1677">
        <f ca="1" t="shared" si="78"/>
        <v>0.821705471396618</v>
      </c>
      <c r="H1677" t="str">
        <f ca="1" t="shared" si="79"/>
        <v>Risk-On</v>
      </c>
      <c r="I1677">
        <f ca="1" t="shared" si="80"/>
        <v>1</v>
      </c>
      <c r="J1677">
        <f>_xlfn.XLOOKUP($A1677,[1]Sheet1!$B$9:$B$2584,[1]Sheet1!$C$9:$C$2584,"N/A",0)</f>
        <v>108.21</v>
      </c>
      <c r="K1677">
        <f>_xlfn.XLOOKUP($A1677,[1]Sheet1!$E$9:$E$2584,[1]Sheet1!$F$9:$F$2584,"N/A",0)</f>
        <v>137.26</v>
      </c>
      <c r="L1677">
        <f>_xlfn.XLOOKUP($A1677,[1]Sheet1!$H$9:$H$2584,[1]Sheet1!$I$9:$I$2584,"N/A",0)</f>
        <v>70.3</v>
      </c>
      <c r="M1677">
        <f>_xlfn.XLOOKUP($A1677,[1]Sheet1!$K$9:$K$2584,[1]Sheet1!$L$9:$L$2584,"N/A",0)</f>
        <v>143.02</v>
      </c>
      <c r="N1677">
        <f>_xlfn.XLOOKUP($A1677,[1]Sheet1!$N$9:$N$2584,[1]Sheet1!$O$9:$O$2584,"N/A",0)</f>
        <v>105.68</v>
      </c>
      <c r="O1677">
        <v>108.21</v>
      </c>
      <c r="P1677">
        <v>137.26</v>
      </c>
      <c r="Q1677">
        <v>70.3</v>
      </c>
      <c r="R1677">
        <v>105.68</v>
      </c>
      <c r="S1677">
        <v>143.02</v>
      </c>
    </row>
    <row r="1678" spans="1:19">
      <c r="A1678" s="1">
        <v>44799</v>
      </c>
      <c r="B1678" t="s">
        <v>775</v>
      </c>
      <c r="C1678" t="s">
        <v>783</v>
      </c>
      <c r="D1678">
        <v>26.1802</v>
      </c>
      <c r="E1678">
        <v>27.1727</v>
      </c>
      <c r="F1678">
        <v>0.0379103291800673</v>
      </c>
      <c r="G1678">
        <f ca="1" t="shared" si="78"/>
        <v>-0.0235838495971241</v>
      </c>
      <c r="H1678" t="str">
        <f ca="1" t="shared" si="79"/>
        <v>Risk-On</v>
      </c>
      <c r="I1678">
        <f ca="1" t="shared" si="80"/>
        <v>1</v>
      </c>
      <c r="J1678">
        <f>_xlfn.XLOOKUP($A1678,[1]Sheet1!$B$9:$B$2584,[1]Sheet1!$C$9:$C$2584,"N/A",0)</f>
        <v>108.72</v>
      </c>
      <c r="K1678">
        <f>_xlfn.XLOOKUP($A1678,[1]Sheet1!$E$9:$E$2584,[1]Sheet1!$F$9:$F$2584,"N/A",0)</f>
        <v>138.39</v>
      </c>
      <c r="L1678">
        <f>_xlfn.XLOOKUP($A1678,[1]Sheet1!$H$9:$H$2584,[1]Sheet1!$I$9:$I$2584,"N/A",0)</f>
        <v>69.84</v>
      </c>
      <c r="M1678">
        <f>_xlfn.XLOOKUP($A1678,[1]Sheet1!$K$9:$K$2584,[1]Sheet1!$L$9:$L$2584,"N/A",0)</f>
        <v>143.07</v>
      </c>
      <c r="N1678">
        <f>_xlfn.XLOOKUP($A1678,[1]Sheet1!$N$9:$N$2584,[1]Sheet1!$O$9:$O$2584,"N/A",0)</f>
        <v>105.53</v>
      </c>
      <c r="O1678">
        <v>108.72</v>
      </c>
      <c r="P1678">
        <v>138.39</v>
      </c>
      <c r="Q1678">
        <v>69.84</v>
      </c>
      <c r="R1678">
        <v>105.53</v>
      </c>
      <c r="S1678">
        <v>143.07</v>
      </c>
    </row>
    <row r="1679" spans="1:19">
      <c r="A1679" s="1">
        <v>44802</v>
      </c>
      <c r="B1679" t="s">
        <v>775</v>
      </c>
      <c r="C1679" t="s">
        <v>783</v>
      </c>
      <c r="D1679">
        <v>26.0278</v>
      </c>
      <c r="E1679">
        <v>27.0047</v>
      </c>
      <c r="F1679">
        <v>0.0375329455428426</v>
      </c>
      <c r="G1679">
        <f ca="1" t="shared" si="78"/>
        <v>-0.0244126001727339</v>
      </c>
      <c r="H1679" t="str">
        <f ca="1" t="shared" si="79"/>
        <v>Risk-On</v>
      </c>
      <c r="I1679">
        <f ca="1" t="shared" si="80"/>
        <v>1</v>
      </c>
      <c r="J1679">
        <f>_xlfn.XLOOKUP($A1679,[1]Sheet1!$B$9:$B$2584,[1]Sheet1!$C$9:$C$2584,"N/A",0)</f>
        <v>108.97</v>
      </c>
      <c r="K1679">
        <f>_xlfn.XLOOKUP($A1679,[1]Sheet1!$E$9:$E$2584,[1]Sheet1!$F$9:$F$2584,"N/A",0)</f>
        <v>138.42</v>
      </c>
      <c r="L1679">
        <f>_xlfn.XLOOKUP($A1679,[1]Sheet1!$H$9:$H$2584,[1]Sheet1!$I$9:$I$2584,"N/A",0)</f>
        <v>69.66</v>
      </c>
      <c r="M1679">
        <f>_xlfn.XLOOKUP($A1679,[1]Sheet1!$K$9:$K$2584,[1]Sheet1!$L$9:$L$2584,"N/A",0)</f>
        <v>142.93</v>
      </c>
      <c r="N1679">
        <f>_xlfn.XLOOKUP($A1679,[1]Sheet1!$N$9:$N$2584,[1]Sheet1!$O$9:$O$2584,"N/A",0)</f>
        <v>105.9</v>
      </c>
      <c r="O1679">
        <v>108.97</v>
      </c>
      <c r="P1679">
        <v>138.42</v>
      </c>
      <c r="Q1679">
        <v>69.66</v>
      </c>
      <c r="R1679">
        <v>105.9</v>
      </c>
      <c r="S1679">
        <v>142.93</v>
      </c>
    </row>
    <row r="1680" spans="1:19">
      <c r="A1680" s="1">
        <v>44803</v>
      </c>
      <c r="B1680" t="s">
        <v>775</v>
      </c>
      <c r="C1680" t="s">
        <v>783</v>
      </c>
      <c r="D1680">
        <v>26.4608</v>
      </c>
      <c r="E1680">
        <v>27.4382</v>
      </c>
      <c r="F1680">
        <v>0.0369376587253597</v>
      </c>
      <c r="G1680">
        <f ca="1" t="shared" si="78"/>
        <v>-0.0379136869761091</v>
      </c>
      <c r="H1680" t="str">
        <f ca="1" t="shared" si="79"/>
        <v>Risk-On</v>
      </c>
      <c r="I1680">
        <f ca="1" t="shared" si="80"/>
        <v>1</v>
      </c>
      <c r="J1680">
        <f>_xlfn.XLOOKUP($A1680,[1]Sheet1!$B$9:$B$2584,[1]Sheet1!$C$9:$C$2584,"N/A",0)</f>
        <v>108.77</v>
      </c>
      <c r="K1680">
        <f>_xlfn.XLOOKUP($A1680,[1]Sheet1!$E$9:$E$2584,[1]Sheet1!$F$9:$F$2584,"N/A",0)</f>
        <v>137.4</v>
      </c>
      <c r="L1680">
        <f>_xlfn.XLOOKUP($A1680,[1]Sheet1!$H$9:$H$2584,[1]Sheet1!$I$9:$I$2584,"N/A",0)</f>
        <v>69.25</v>
      </c>
      <c r="M1680">
        <f>_xlfn.XLOOKUP($A1680,[1]Sheet1!$K$9:$K$2584,[1]Sheet1!$L$9:$L$2584,"N/A",0)</f>
        <v>142.97</v>
      </c>
      <c r="N1680">
        <f>_xlfn.XLOOKUP($A1680,[1]Sheet1!$N$9:$N$2584,[1]Sheet1!$O$9:$O$2584,"N/A",0)</f>
        <v>106.48</v>
      </c>
      <c r="O1680">
        <v>108.77</v>
      </c>
      <c r="P1680">
        <v>137.4</v>
      </c>
      <c r="Q1680">
        <v>69.25</v>
      </c>
      <c r="R1680">
        <v>106.48</v>
      </c>
      <c r="S1680">
        <v>142.97</v>
      </c>
    </row>
    <row r="1681" spans="1:19">
      <c r="A1681" s="1">
        <v>44804</v>
      </c>
      <c r="B1681" t="s">
        <v>775</v>
      </c>
      <c r="C1681" t="s">
        <v>783</v>
      </c>
      <c r="D1681">
        <v>25.7939</v>
      </c>
      <c r="E1681">
        <v>26.9681</v>
      </c>
      <c r="F1681">
        <v>0.0455223909528996</v>
      </c>
      <c r="G1681">
        <f ca="1" t="shared" si="78"/>
        <v>0.158685792070737</v>
      </c>
      <c r="H1681" t="str">
        <f ca="1" t="shared" si="79"/>
        <v>Risk-On</v>
      </c>
      <c r="I1681">
        <f ca="1" t="shared" si="80"/>
        <v>1</v>
      </c>
      <c r="J1681">
        <f>_xlfn.XLOOKUP($A1681,[1]Sheet1!$B$9:$B$2584,[1]Sheet1!$C$9:$C$2584,"N/A",0)</f>
        <v>108.82</v>
      </c>
      <c r="K1681">
        <f>_xlfn.XLOOKUP($A1681,[1]Sheet1!$E$9:$E$2584,[1]Sheet1!$F$9:$F$2584,"N/A",0)</f>
        <v>136.73</v>
      </c>
      <c r="L1681">
        <f>_xlfn.XLOOKUP($A1681,[1]Sheet1!$H$9:$H$2584,[1]Sheet1!$I$9:$I$2584,"N/A",0)</f>
        <v>68.9</v>
      </c>
      <c r="M1681">
        <f>_xlfn.XLOOKUP($A1681,[1]Sheet1!$K$9:$K$2584,[1]Sheet1!$L$9:$L$2584,"N/A",0)</f>
        <v>143.31</v>
      </c>
      <c r="N1681">
        <f>_xlfn.XLOOKUP($A1681,[1]Sheet1!$N$9:$N$2584,[1]Sheet1!$O$9:$O$2584,"N/A",0)</f>
        <v>106.47</v>
      </c>
      <c r="O1681">
        <v>108.82</v>
      </c>
      <c r="P1681">
        <v>136.73</v>
      </c>
      <c r="Q1681">
        <v>68.9</v>
      </c>
      <c r="R1681">
        <v>106.47</v>
      </c>
      <c r="S1681">
        <v>143.31</v>
      </c>
    </row>
    <row r="1682" spans="1:19">
      <c r="A1682" s="1">
        <v>44805</v>
      </c>
      <c r="B1682" t="s">
        <v>775</v>
      </c>
      <c r="C1682" t="s">
        <v>783</v>
      </c>
      <c r="D1682">
        <v>25.6212</v>
      </c>
      <c r="E1682">
        <v>26.7581</v>
      </c>
      <c r="F1682" s="2" t="s">
        <v>785</v>
      </c>
      <c r="G1682">
        <f ca="1" t="shared" si="78"/>
        <v>0.131787130854763</v>
      </c>
      <c r="H1682" t="str">
        <f ca="1" t="shared" si="79"/>
        <v>Risk-On</v>
      </c>
      <c r="I1682">
        <f ca="1" t="shared" si="80"/>
        <v>1</v>
      </c>
      <c r="J1682">
        <f>_xlfn.XLOOKUP($A1682,[1]Sheet1!$B$9:$B$2584,[1]Sheet1!$C$9:$C$2584,"N/A",0)</f>
        <v>109.23</v>
      </c>
      <c r="K1682">
        <f>_xlfn.XLOOKUP($A1682,[1]Sheet1!$E$9:$E$2584,[1]Sheet1!$F$9:$F$2584,"N/A",0)</f>
        <v>135.63</v>
      </c>
      <c r="L1682">
        <f>_xlfn.XLOOKUP($A1682,[1]Sheet1!$H$9:$H$2584,[1]Sheet1!$I$9:$I$2584,"N/A",0)</f>
        <v>68.18</v>
      </c>
      <c r="M1682">
        <f>_xlfn.XLOOKUP($A1682,[1]Sheet1!$K$9:$K$2584,[1]Sheet1!$L$9:$L$2584,"N/A",0)</f>
        <v>144.84</v>
      </c>
      <c r="N1682">
        <f>_xlfn.XLOOKUP($A1682,[1]Sheet1!$N$9:$N$2584,[1]Sheet1!$O$9:$O$2584,"N/A",0)</f>
        <v>107.9</v>
      </c>
      <c r="O1682">
        <v>109.23</v>
      </c>
      <c r="P1682">
        <v>135.63</v>
      </c>
      <c r="Q1682">
        <v>68.18</v>
      </c>
      <c r="R1682">
        <v>107.9</v>
      </c>
      <c r="S1682">
        <v>144.84</v>
      </c>
    </row>
    <row r="1683" spans="1:19">
      <c r="A1683" s="1">
        <v>44806</v>
      </c>
      <c r="B1683" t="s">
        <v>775</v>
      </c>
      <c r="C1683" t="s">
        <v>783</v>
      </c>
      <c r="D1683">
        <v>25.9363</v>
      </c>
      <c r="E1683">
        <v>26.8979</v>
      </c>
      <c r="F1683" s="2" t="s">
        <v>786</v>
      </c>
      <c r="G1683">
        <f ca="1" t="shared" si="78"/>
        <v>-0.0357680798142719</v>
      </c>
      <c r="H1683" t="str">
        <f ca="1" t="shared" si="79"/>
        <v>Risk-On</v>
      </c>
      <c r="I1683">
        <f ca="1" t="shared" si="80"/>
        <v>1</v>
      </c>
      <c r="J1683">
        <f>_xlfn.XLOOKUP($A1683,[1]Sheet1!$B$9:$B$2584,[1]Sheet1!$C$9:$C$2584,"N/A",0)</f>
        <v>109.29</v>
      </c>
      <c r="K1683">
        <f>_xlfn.XLOOKUP($A1683,[1]Sheet1!$E$9:$E$2584,[1]Sheet1!$F$9:$F$2584,"N/A",0)</f>
        <v>136.12</v>
      </c>
      <c r="L1683">
        <f>_xlfn.XLOOKUP($A1683,[1]Sheet1!$H$9:$H$2584,[1]Sheet1!$I$9:$I$2584,"N/A",0)</f>
        <v>68.79</v>
      </c>
      <c r="M1683">
        <f>_xlfn.XLOOKUP($A1683,[1]Sheet1!$K$9:$K$2584,[1]Sheet1!$L$9:$L$2584,"N/A",0)</f>
        <v>144.21</v>
      </c>
      <c r="N1683">
        <f>_xlfn.XLOOKUP($A1683,[1]Sheet1!$N$9:$N$2584,[1]Sheet1!$O$9:$O$2584,"N/A",0)</f>
        <v>107.9</v>
      </c>
      <c r="O1683">
        <v>109.29</v>
      </c>
      <c r="P1683">
        <v>136.12</v>
      </c>
      <c r="Q1683">
        <v>68.79</v>
      </c>
      <c r="R1683">
        <v>107.9</v>
      </c>
      <c r="S1683">
        <v>144.21</v>
      </c>
    </row>
    <row r="1684" spans="1:19">
      <c r="A1684" s="1">
        <v>44810</v>
      </c>
      <c r="B1684" t="s">
        <v>775</v>
      </c>
      <c r="C1684" t="s">
        <v>783</v>
      </c>
      <c r="D1684">
        <v>26.7579</v>
      </c>
      <c r="E1684">
        <v>27.429</v>
      </c>
      <c r="F1684" s="2" t="s">
        <v>787</v>
      </c>
      <c r="G1684">
        <f ca="1" t="shared" si="78"/>
        <v>-0.311163679822984</v>
      </c>
      <c r="H1684" t="str">
        <f ca="1" t="shared" si="79"/>
        <v>Risk-On</v>
      </c>
      <c r="I1684">
        <f ca="1" t="shared" si="80"/>
        <v>1</v>
      </c>
      <c r="J1684">
        <f>_xlfn.XLOOKUP($A1684,[1]Sheet1!$B$9:$B$2584,[1]Sheet1!$C$9:$C$2584,"N/A",0)</f>
        <v>108.52</v>
      </c>
      <c r="K1684">
        <f>_xlfn.XLOOKUP($A1684,[1]Sheet1!$E$9:$E$2584,[1]Sheet1!$F$9:$F$2584,"N/A",0)</f>
        <v>136.6</v>
      </c>
      <c r="L1684">
        <f>_xlfn.XLOOKUP($A1684,[1]Sheet1!$H$9:$H$2584,[1]Sheet1!$I$9:$I$2584,"N/A",0)</f>
        <v>68.36</v>
      </c>
      <c r="M1684">
        <f>_xlfn.XLOOKUP($A1684,[1]Sheet1!$K$9:$K$2584,[1]Sheet1!$L$9:$L$2584,"N/A",0)</f>
        <v>144.55</v>
      </c>
      <c r="N1684">
        <f>_xlfn.XLOOKUP($A1684,[1]Sheet1!$N$9:$N$2584,[1]Sheet1!$O$9:$O$2584,"N/A",0)</f>
        <v>108.77</v>
      </c>
      <c r="O1684">
        <v>108.52</v>
      </c>
      <c r="P1684">
        <v>136.6</v>
      </c>
      <c r="Q1684">
        <v>68.36</v>
      </c>
      <c r="R1684">
        <v>108.77</v>
      </c>
      <c r="S1684">
        <v>144.55</v>
      </c>
    </row>
    <row r="1685" spans="1:19">
      <c r="A1685" s="1">
        <v>44811</v>
      </c>
      <c r="B1685" t="s">
        <v>775</v>
      </c>
      <c r="C1685" t="s">
        <v>783</v>
      </c>
      <c r="D1685">
        <v>24.8966</v>
      </c>
      <c r="E1685">
        <v>26.0503</v>
      </c>
      <c r="F1685">
        <v>0.0463396608372227</v>
      </c>
      <c r="G1685">
        <f ca="1" t="shared" si="78"/>
        <v>0.176930662202383</v>
      </c>
      <c r="H1685" t="str">
        <f ca="1" t="shared" si="79"/>
        <v>Risk-On</v>
      </c>
      <c r="I1685">
        <f ca="1" t="shared" si="80"/>
        <v>1</v>
      </c>
      <c r="J1685">
        <f>_xlfn.XLOOKUP($A1685,[1]Sheet1!$B$9:$B$2584,[1]Sheet1!$C$9:$C$2584,"N/A",0)</f>
        <v>108.49</v>
      </c>
      <c r="K1685">
        <f>_xlfn.XLOOKUP($A1685,[1]Sheet1!$E$9:$E$2584,[1]Sheet1!$F$9:$F$2584,"N/A",0)</f>
        <v>135.05</v>
      </c>
      <c r="L1685">
        <f>_xlfn.XLOOKUP($A1685,[1]Sheet1!$H$9:$H$2584,[1]Sheet1!$I$9:$I$2584,"N/A",0)</f>
        <v>67.39</v>
      </c>
      <c r="M1685">
        <f>_xlfn.XLOOKUP($A1685,[1]Sheet1!$K$9:$K$2584,[1]Sheet1!$L$9:$L$2584,"N/A",0)</f>
        <v>143.9</v>
      </c>
      <c r="N1685">
        <f>_xlfn.XLOOKUP($A1685,[1]Sheet1!$N$9:$N$2584,[1]Sheet1!$O$9:$O$2584,"N/A",0)</f>
        <v>108.59</v>
      </c>
      <c r="O1685">
        <v>108.49</v>
      </c>
      <c r="P1685">
        <v>135.05</v>
      </c>
      <c r="Q1685">
        <v>67.39</v>
      </c>
      <c r="R1685">
        <v>108.59</v>
      </c>
      <c r="S1685">
        <v>143.9</v>
      </c>
    </row>
    <row r="1686" spans="1:19">
      <c r="A1686" s="1">
        <v>44812</v>
      </c>
      <c r="B1686" t="s">
        <v>775</v>
      </c>
      <c r="C1686" t="s">
        <v>783</v>
      </c>
      <c r="D1686">
        <v>24.3161</v>
      </c>
      <c r="E1686">
        <v>25.7286</v>
      </c>
      <c r="F1686">
        <v>0.0580890850095205</v>
      </c>
      <c r="G1686">
        <f ca="1" t="shared" si="78"/>
        <v>0.4469510783093</v>
      </c>
      <c r="H1686" t="str">
        <f ca="1" t="shared" si="79"/>
        <v>Risk-On</v>
      </c>
      <c r="I1686">
        <f ca="1" t="shared" si="80"/>
        <v>1</v>
      </c>
      <c r="J1686">
        <f>_xlfn.XLOOKUP($A1686,[1]Sheet1!$B$9:$B$2584,[1]Sheet1!$C$9:$C$2584,"N/A",0)</f>
        <v>109.09</v>
      </c>
      <c r="K1686">
        <f>_xlfn.XLOOKUP($A1686,[1]Sheet1!$E$9:$E$2584,[1]Sheet1!$F$9:$F$2584,"N/A",0)</f>
        <v>134.68</v>
      </c>
      <c r="L1686">
        <f>_xlfn.XLOOKUP($A1686,[1]Sheet1!$H$9:$H$2584,[1]Sheet1!$I$9:$I$2584,"N/A",0)</f>
        <v>67.31</v>
      </c>
      <c r="M1686">
        <f>_xlfn.XLOOKUP($A1686,[1]Sheet1!$K$9:$K$2584,[1]Sheet1!$L$9:$L$2584,"N/A",0)</f>
        <v>143.24</v>
      </c>
      <c r="N1686">
        <f>_xlfn.XLOOKUP($A1686,[1]Sheet1!$N$9:$N$2584,[1]Sheet1!$O$9:$O$2584,"N/A",0)</f>
        <v>109</v>
      </c>
      <c r="O1686">
        <v>109.09</v>
      </c>
      <c r="P1686">
        <v>134.68</v>
      </c>
      <c r="Q1686">
        <v>67.31</v>
      </c>
      <c r="R1686">
        <v>109</v>
      </c>
      <c r="S1686">
        <v>143.24</v>
      </c>
    </row>
    <row r="1687" spans="1:19">
      <c r="A1687" s="1">
        <v>44813</v>
      </c>
      <c r="B1687" t="s">
        <v>775</v>
      </c>
      <c r="C1687" t="s">
        <v>783</v>
      </c>
      <c r="D1687">
        <v>23.9496</v>
      </c>
      <c r="E1687">
        <v>25.5941</v>
      </c>
      <c r="F1687">
        <v>0.0686650298961152</v>
      </c>
      <c r="G1687">
        <f ca="1" t="shared" si="78"/>
        <v>0.689457067106461</v>
      </c>
      <c r="H1687" t="str">
        <f ca="1" t="shared" si="79"/>
        <v>Risk-On</v>
      </c>
      <c r="I1687">
        <f ca="1" t="shared" si="80"/>
        <v>1</v>
      </c>
      <c r="J1687">
        <f>_xlfn.XLOOKUP($A1687,[1]Sheet1!$B$9:$B$2584,[1]Sheet1!$C$9:$C$2584,"N/A",0)</f>
        <v>109.3</v>
      </c>
      <c r="K1687">
        <f>_xlfn.XLOOKUP($A1687,[1]Sheet1!$E$9:$E$2584,[1]Sheet1!$F$9:$F$2584,"N/A",0)</f>
        <v>133.5</v>
      </c>
      <c r="L1687">
        <f>_xlfn.XLOOKUP($A1687,[1]Sheet1!$H$9:$H$2584,[1]Sheet1!$I$9:$I$2584,"N/A",0)</f>
        <v>67.86</v>
      </c>
      <c r="M1687">
        <f>_xlfn.XLOOKUP($A1687,[1]Sheet1!$K$9:$K$2584,[1]Sheet1!$L$9:$L$2584,"N/A",0)</f>
        <v>142.52</v>
      </c>
      <c r="N1687">
        <f>_xlfn.XLOOKUP($A1687,[1]Sheet1!$N$9:$N$2584,[1]Sheet1!$O$9:$O$2584,"N/A",0)</f>
        <v>108.72</v>
      </c>
      <c r="O1687">
        <v>109.3</v>
      </c>
      <c r="P1687">
        <v>133.5</v>
      </c>
      <c r="Q1687">
        <v>67.86</v>
      </c>
      <c r="R1687">
        <v>108.72</v>
      </c>
      <c r="S1687">
        <v>142.52</v>
      </c>
    </row>
    <row r="1688" spans="1:19">
      <c r="A1688" s="1">
        <v>44816</v>
      </c>
      <c r="B1688" t="s">
        <v>775</v>
      </c>
      <c r="C1688" t="s">
        <v>783</v>
      </c>
      <c r="D1688">
        <v>23.9193</v>
      </c>
      <c r="E1688">
        <v>25.3904</v>
      </c>
      <c r="F1688">
        <v>0.0615026359467041</v>
      </c>
      <c r="G1688">
        <f ca="1" t="shared" si="78"/>
        <v>0.520612400740408</v>
      </c>
      <c r="H1688" t="str">
        <f ca="1" t="shared" si="79"/>
        <v>Risk-On</v>
      </c>
      <c r="I1688">
        <f ca="1" t="shared" si="80"/>
        <v>1</v>
      </c>
      <c r="J1688">
        <f>_xlfn.XLOOKUP($A1688,[1]Sheet1!$B$9:$B$2584,[1]Sheet1!$C$9:$C$2584,"N/A",0)</f>
        <v>109.07</v>
      </c>
      <c r="K1688">
        <f>_xlfn.XLOOKUP($A1688,[1]Sheet1!$E$9:$E$2584,[1]Sheet1!$F$9:$F$2584,"N/A",0)</f>
        <v>132.45</v>
      </c>
      <c r="L1688">
        <f>_xlfn.XLOOKUP($A1688,[1]Sheet1!$H$9:$H$2584,[1]Sheet1!$I$9:$I$2584,"N/A",0)</f>
        <v>68.25</v>
      </c>
      <c r="M1688">
        <f>_xlfn.XLOOKUP($A1688,[1]Sheet1!$K$9:$K$2584,[1]Sheet1!$L$9:$L$2584,"N/A",0)</f>
        <v>140.97</v>
      </c>
      <c r="N1688">
        <f>_xlfn.XLOOKUP($A1688,[1]Sheet1!$N$9:$N$2584,[1]Sheet1!$O$9:$O$2584,"N/A",0)</f>
        <v>108.42</v>
      </c>
      <c r="O1688">
        <v>109.07</v>
      </c>
      <c r="P1688">
        <v>132.45</v>
      </c>
      <c r="Q1688">
        <v>68.25</v>
      </c>
      <c r="R1688">
        <v>108.42</v>
      </c>
      <c r="S1688">
        <v>140.97</v>
      </c>
    </row>
    <row r="1689" spans="1:19">
      <c r="A1689" s="1">
        <v>44817</v>
      </c>
      <c r="B1689" t="s">
        <v>775</v>
      </c>
      <c r="C1689" t="s">
        <v>783</v>
      </c>
      <c r="D1689">
        <v>26.745</v>
      </c>
      <c r="E1689">
        <v>27.5215</v>
      </c>
      <c r="F1689" s="2" t="s">
        <v>788</v>
      </c>
      <c r="G1689">
        <f ca="1" t="shared" si="78"/>
        <v>-0.228793245456765</v>
      </c>
      <c r="H1689" t="str">
        <f ca="1" t="shared" si="79"/>
        <v>Risk-On</v>
      </c>
      <c r="I1689">
        <f ca="1" t="shared" si="80"/>
        <v>1</v>
      </c>
      <c r="J1689">
        <f>_xlfn.XLOOKUP($A1689,[1]Sheet1!$B$9:$B$2584,[1]Sheet1!$C$9:$C$2584,"N/A",0)</f>
        <v>109.41</v>
      </c>
      <c r="K1689">
        <f>_xlfn.XLOOKUP($A1689,[1]Sheet1!$E$9:$E$2584,[1]Sheet1!$F$9:$F$2584,"N/A",0)</f>
        <v>133.75</v>
      </c>
      <c r="L1689">
        <f>_xlfn.XLOOKUP($A1689,[1]Sheet1!$H$9:$H$2584,[1]Sheet1!$I$9:$I$2584,"N/A",0)</f>
        <v>67.57</v>
      </c>
      <c r="M1689">
        <f>_xlfn.XLOOKUP($A1689,[1]Sheet1!$K$9:$K$2584,[1]Sheet1!$L$9:$L$2584,"N/A",0)</f>
        <v>140.42</v>
      </c>
      <c r="N1689">
        <f>_xlfn.XLOOKUP($A1689,[1]Sheet1!$N$9:$N$2584,[1]Sheet1!$O$9:$O$2584,"N/A",0)</f>
        <v>108.19</v>
      </c>
      <c r="O1689">
        <v>109.41</v>
      </c>
      <c r="P1689">
        <v>133.75</v>
      </c>
      <c r="Q1689">
        <v>67.57</v>
      </c>
      <c r="R1689">
        <v>108.19</v>
      </c>
      <c r="S1689">
        <v>140.42</v>
      </c>
    </row>
    <row r="1690" spans="1:19">
      <c r="A1690" s="1">
        <v>44818</v>
      </c>
      <c r="B1690" t="s">
        <v>775</v>
      </c>
      <c r="C1690" t="s">
        <v>783</v>
      </c>
      <c r="D1690">
        <v>26.4161</v>
      </c>
      <c r="E1690">
        <v>27.4742</v>
      </c>
      <c r="F1690">
        <v>0.0400551179015827</v>
      </c>
      <c r="G1690">
        <f ca="1" t="shared" si="78"/>
        <v>0.026436719572916</v>
      </c>
      <c r="H1690" t="str">
        <f ca="1" t="shared" si="79"/>
        <v>Risk-On</v>
      </c>
      <c r="I1690">
        <f ca="1" t="shared" si="80"/>
        <v>1</v>
      </c>
      <c r="J1690">
        <f>_xlfn.XLOOKUP($A1690,[1]Sheet1!$B$9:$B$2584,[1]Sheet1!$C$9:$C$2584,"N/A",0)</f>
        <v>109.59</v>
      </c>
      <c r="K1690">
        <f>_xlfn.XLOOKUP($A1690,[1]Sheet1!$E$9:$E$2584,[1]Sheet1!$F$9:$F$2584,"N/A",0)</f>
        <v>134.16</v>
      </c>
      <c r="L1690">
        <f>_xlfn.XLOOKUP($A1690,[1]Sheet1!$H$9:$H$2584,[1]Sheet1!$I$9:$I$2584,"N/A",0)</f>
        <v>66.91</v>
      </c>
      <c r="M1690">
        <f>_xlfn.XLOOKUP($A1690,[1]Sheet1!$K$9:$K$2584,[1]Sheet1!$L$9:$L$2584,"N/A",0)</f>
        <v>139.19</v>
      </c>
      <c r="N1690">
        <f>_xlfn.XLOOKUP($A1690,[1]Sheet1!$N$9:$N$2584,[1]Sheet1!$O$9:$O$2584,"N/A",0)</f>
        <v>108.32</v>
      </c>
      <c r="O1690">
        <v>109.59</v>
      </c>
      <c r="P1690">
        <v>134.16</v>
      </c>
      <c r="Q1690">
        <v>66.91</v>
      </c>
      <c r="R1690">
        <v>108.32</v>
      </c>
      <c r="S1690">
        <v>139.19</v>
      </c>
    </row>
    <row r="1691" spans="1:19">
      <c r="A1691" s="1">
        <v>44819</v>
      </c>
      <c r="B1691" t="s">
        <v>775</v>
      </c>
      <c r="C1691" t="s">
        <v>783</v>
      </c>
      <c r="D1691">
        <v>26.3637</v>
      </c>
      <c r="E1691">
        <v>27.3471</v>
      </c>
      <c r="F1691">
        <v>0.03730128927275</v>
      </c>
      <c r="G1691">
        <f ca="1" t="shared" si="78"/>
        <v>-0.029686309463704</v>
      </c>
      <c r="H1691" t="str">
        <f ca="1" t="shared" si="79"/>
        <v>Risk-On</v>
      </c>
      <c r="I1691">
        <f ca="1" t="shared" si="80"/>
        <v>1</v>
      </c>
      <c r="J1691">
        <f>_xlfn.XLOOKUP($A1691,[1]Sheet1!$B$9:$B$2584,[1]Sheet1!$C$9:$C$2584,"N/A",0)</f>
        <v>109.78</v>
      </c>
      <c r="K1691">
        <f>_xlfn.XLOOKUP($A1691,[1]Sheet1!$E$9:$E$2584,[1]Sheet1!$F$9:$F$2584,"N/A",0)</f>
        <v>133.54</v>
      </c>
      <c r="L1691">
        <f>_xlfn.XLOOKUP($A1691,[1]Sheet1!$H$9:$H$2584,[1]Sheet1!$I$9:$I$2584,"N/A",0)</f>
        <v>66.99</v>
      </c>
      <c r="M1691">
        <f>_xlfn.XLOOKUP($A1691,[1]Sheet1!$K$9:$K$2584,[1]Sheet1!$L$9:$L$2584,"N/A",0)</f>
        <v>138.78</v>
      </c>
      <c r="N1691">
        <f>_xlfn.XLOOKUP($A1691,[1]Sheet1!$N$9:$N$2584,[1]Sheet1!$O$9:$O$2584,"N/A",0)</f>
        <v>108.25</v>
      </c>
      <c r="O1691">
        <v>109.78</v>
      </c>
      <c r="P1691">
        <v>133.54</v>
      </c>
      <c r="Q1691">
        <v>66.99</v>
      </c>
      <c r="R1691">
        <v>108.25</v>
      </c>
      <c r="S1691">
        <v>138.78</v>
      </c>
    </row>
    <row r="1692" spans="1:19">
      <c r="A1692" s="1">
        <v>44820</v>
      </c>
      <c r="B1692" t="s">
        <v>775</v>
      </c>
      <c r="C1692" t="s">
        <v>783</v>
      </c>
      <c r="D1692">
        <v>26.2206</v>
      </c>
      <c r="E1692">
        <v>27.2494</v>
      </c>
      <c r="F1692">
        <v>0.0392363256370945</v>
      </c>
      <c r="G1692">
        <f ca="1" t="shared" si="78"/>
        <v>0.0155887186505532</v>
      </c>
      <c r="H1692" t="str">
        <f ca="1" t="shared" si="79"/>
        <v>Risk-On</v>
      </c>
      <c r="I1692">
        <f ca="1" t="shared" si="80"/>
        <v>1</v>
      </c>
      <c r="J1692">
        <f>_xlfn.XLOOKUP($A1692,[1]Sheet1!$B$9:$B$2584,[1]Sheet1!$C$9:$C$2584,"N/A",0)</f>
        <v>109.61</v>
      </c>
      <c r="K1692">
        <f>_xlfn.XLOOKUP($A1692,[1]Sheet1!$E$9:$E$2584,[1]Sheet1!$F$9:$F$2584,"N/A",0)</f>
        <v>134.89</v>
      </c>
      <c r="L1692">
        <f>_xlfn.XLOOKUP($A1692,[1]Sheet1!$H$9:$H$2584,[1]Sheet1!$I$9:$I$2584,"N/A",0)</f>
        <v>67.35</v>
      </c>
      <c r="M1692">
        <f>_xlfn.XLOOKUP($A1692,[1]Sheet1!$K$9:$K$2584,[1]Sheet1!$L$9:$L$2584,"N/A",0)</f>
        <v>139.54</v>
      </c>
      <c r="N1692">
        <f>_xlfn.XLOOKUP($A1692,[1]Sheet1!$N$9:$N$2584,[1]Sheet1!$O$9:$O$2584,"N/A",0)</f>
        <v>108.98</v>
      </c>
      <c r="O1692">
        <v>109.61</v>
      </c>
      <c r="P1692">
        <v>134.89</v>
      </c>
      <c r="Q1692">
        <v>67.35</v>
      </c>
      <c r="R1692">
        <v>108.98</v>
      </c>
      <c r="S1692">
        <v>139.54</v>
      </c>
    </row>
    <row r="1693" spans="1:19">
      <c r="A1693" s="1">
        <v>44823</v>
      </c>
      <c r="B1693" t="s">
        <v>775</v>
      </c>
      <c r="C1693" t="s">
        <v>783</v>
      </c>
      <c r="D1693">
        <v>25.7761</v>
      </c>
      <c r="E1693">
        <v>26.5139</v>
      </c>
      <c r="F1693" s="2" t="s">
        <v>789</v>
      </c>
      <c r="G1693">
        <f ca="1" t="shared" si="78"/>
        <v>-0.228074569995694</v>
      </c>
      <c r="H1693" t="str">
        <f ca="1" t="shared" si="79"/>
        <v>Risk-On</v>
      </c>
      <c r="I1693">
        <f ca="1" t="shared" si="80"/>
        <v>1</v>
      </c>
      <c r="J1693">
        <f>_xlfn.XLOOKUP($A1693,[1]Sheet1!$B$9:$B$2584,[1]Sheet1!$C$9:$C$2584,"N/A",0)</f>
        <v>109.97</v>
      </c>
      <c r="K1693">
        <f>_xlfn.XLOOKUP($A1693,[1]Sheet1!$E$9:$E$2584,[1]Sheet1!$F$9:$F$2584,"N/A",0)</f>
        <v>135.6</v>
      </c>
      <c r="L1693">
        <f>_xlfn.XLOOKUP($A1693,[1]Sheet1!$H$9:$H$2584,[1]Sheet1!$I$9:$I$2584,"N/A",0)</f>
        <v>67.55</v>
      </c>
      <c r="M1693">
        <f>_xlfn.XLOOKUP($A1693,[1]Sheet1!$K$9:$K$2584,[1]Sheet1!$L$9:$L$2584,"N/A",0)</f>
        <v>139.49</v>
      </c>
      <c r="N1693">
        <f>_xlfn.XLOOKUP($A1693,[1]Sheet1!$N$9:$N$2584,[1]Sheet1!$O$9:$O$2584,"N/A",0)</f>
        <v>108.59</v>
      </c>
      <c r="O1693">
        <v>109.97</v>
      </c>
      <c r="P1693">
        <v>135.6</v>
      </c>
      <c r="Q1693">
        <v>67.55</v>
      </c>
      <c r="R1693">
        <v>108.59</v>
      </c>
      <c r="S1693">
        <v>139.49</v>
      </c>
    </row>
    <row r="1694" spans="1:19">
      <c r="A1694" s="1">
        <v>44824</v>
      </c>
      <c r="B1694" t="s">
        <v>775</v>
      </c>
      <c r="C1694" t="s">
        <v>783</v>
      </c>
      <c r="D1694">
        <v>26.9999</v>
      </c>
      <c r="E1694">
        <v>27.3749</v>
      </c>
      <c r="F1694" s="2" t="s">
        <v>790</v>
      </c>
      <c r="G1694">
        <f ca="1" t="shared" si="78"/>
        <v>-0.572722304612619</v>
      </c>
      <c r="H1694" t="str">
        <f ca="1" t="shared" si="79"/>
        <v>Risk-On</v>
      </c>
      <c r="I1694">
        <f ca="1" t="shared" si="80"/>
        <v>1</v>
      </c>
      <c r="J1694">
        <f>_xlfn.XLOOKUP($A1694,[1]Sheet1!$B$9:$B$2584,[1]Sheet1!$C$9:$C$2584,"N/A",0)</f>
        <v>109.63</v>
      </c>
      <c r="K1694">
        <f>_xlfn.XLOOKUP($A1694,[1]Sheet1!$E$9:$E$2584,[1]Sheet1!$F$9:$F$2584,"N/A",0)</f>
        <v>136.36</v>
      </c>
      <c r="L1694">
        <f>_xlfn.XLOOKUP($A1694,[1]Sheet1!$H$9:$H$2584,[1]Sheet1!$I$9:$I$2584,"N/A",0)</f>
        <v>67.07</v>
      </c>
      <c r="M1694">
        <f>_xlfn.XLOOKUP($A1694,[1]Sheet1!$K$9:$K$2584,[1]Sheet1!$L$9:$L$2584,"N/A",0)</f>
        <v>139.86</v>
      </c>
      <c r="N1694">
        <f>_xlfn.XLOOKUP($A1694,[1]Sheet1!$N$9:$N$2584,[1]Sheet1!$O$9:$O$2584,"N/A",0)</f>
        <v>108.56</v>
      </c>
      <c r="O1694">
        <v>109.63</v>
      </c>
      <c r="P1694">
        <v>136.36</v>
      </c>
      <c r="Q1694">
        <v>67.07</v>
      </c>
      <c r="R1694">
        <v>108.56</v>
      </c>
      <c r="S1694">
        <v>139.86</v>
      </c>
    </row>
    <row r="1695" spans="1:19">
      <c r="A1695" s="1">
        <v>44825</v>
      </c>
      <c r="B1695" t="s">
        <v>775</v>
      </c>
      <c r="C1695" t="s">
        <v>783</v>
      </c>
      <c r="D1695">
        <v>26.65</v>
      </c>
      <c r="E1695">
        <v>28.1968</v>
      </c>
      <c r="F1695">
        <v>0.0580412757973734</v>
      </c>
      <c r="G1695">
        <f ca="1" t="shared" si="78"/>
        <v>0.455009072204098</v>
      </c>
      <c r="H1695" t="str">
        <f ca="1" t="shared" si="79"/>
        <v>Risk-On</v>
      </c>
      <c r="I1695">
        <f ca="1" t="shared" si="80"/>
        <v>1</v>
      </c>
      <c r="J1695">
        <f>_xlfn.XLOOKUP($A1695,[1]Sheet1!$B$9:$B$2584,[1]Sheet1!$C$9:$C$2584,"N/A",0)</f>
        <v>109.9</v>
      </c>
      <c r="K1695">
        <f>_xlfn.XLOOKUP($A1695,[1]Sheet1!$E$9:$E$2584,[1]Sheet1!$F$9:$F$2584,"N/A",0)</f>
        <v>135.78</v>
      </c>
      <c r="L1695">
        <f>_xlfn.XLOOKUP($A1695,[1]Sheet1!$H$9:$H$2584,[1]Sheet1!$I$9:$I$2584,"N/A",0)</f>
        <v>67.16</v>
      </c>
      <c r="M1695">
        <f>_xlfn.XLOOKUP($A1695,[1]Sheet1!$K$9:$K$2584,[1]Sheet1!$L$9:$L$2584,"N/A",0)</f>
        <v>139.83</v>
      </c>
      <c r="N1695">
        <f>_xlfn.XLOOKUP($A1695,[1]Sheet1!$N$9:$N$2584,[1]Sheet1!$O$9:$O$2584,"N/A",0)</f>
        <v>107.6</v>
      </c>
      <c r="O1695">
        <v>109.9</v>
      </c>
      <c r="P1695">
        <v>135.78</v>
      </c>
      <c r="Q1695">
        <v>67.16</v>
      </c>
      <c r="R1695">
        <v>107.6</v>
      </c>
      <c r="S1695">
        <v>139.83</v>
      </c>
    </row>
    <row r="1696" spans="1:19">
      <c r="A1696" s="1">
        <v>44826</v>
      </c>
      <c r="B1696" t="s">
        <v>783</v>
      </c>
      <c r="C1696" t="s">
        <v>791</v>
      </c>
      <c r="D1696">
        <v>28.0956</v>
      </c>
      <c r="E1696">
        <v>27.8839</v>
      </c>
      <c r="F1696">
        <v>-0.00753498768490441</v>
      </c>
      <c r="G1696">
        <f ca="1" t="shared" si="78"/>
        <v>-1.08177308047115</v>
      </c>
      <c r="H1696" t="str">
        <f ca="1" t="shared" si="79"/>
        <v>Risk-Off</v>
      </c>
      <c r="I1696">
        <f ca="1" t="shared" si="80"/>
        <v>1</v>
      </c>
      <c r="J1696">
        <f>_xlfn.XLOOKUP($A1696,[1]Sheet1!$B$9:$B$2584,[1]Sheet1!$C$9:$C$2584,"N/A",0)</f>
        <v>110.12</v>
      </c>
      <c r="K1696">
        <f>_xlfn.XLOOKUP($A1696,[1]Sheet1!$E$9:$E$2584,[1]Sheet1!$F$9:$F$2584,"N/A",0)</f>
        <v>136.3</v>
      </c>
      <c r="L1696">
        <f>_xlfn.XLOOKUP($A1696,[1]Sheet1!$H$9:$H$2584,[1]Sheet1!$I$9:$I$2584,"N/A",0)</f>
        <v>67.63</v>
      </c>
      <c r="M1696">
        <f>_xlfn.XLOOKUP($A1696,[1]Sheet1!$K$9:$K$2584,[1]Sheet1!$L$9:$L$2584,"N/A",0)</f>
        <v>140.01</v>
      </c>
      <c r="N1696">
        <f>_xlfn.XLOOKUP($A1696,[1]Sheet1!$N$9:$N$2584,[1]Sheet1!$O$9:$O$2584,"N/A",0)</f>
        <v>108.54</v>
      </c>
      <c r="O1696">
        <v>110.12</v>
      </c>
      <c r="P1696">
        <v>136.3</v>
      </c>
      <c r="Q1696">
        <v>67.63</v>
      </c>
      <c r="R1696">
        <v>108.54</v>
      </c>
      <c r="S1696">
        <v>140.01</v>
      </c>
    </row>
    <row r="1697" spans="1:19">
      <c r="A1697" s="1">
        <v>44827</v>
      </c>
      <c r="B1697" t="s">
        <v>783</v>
      </c>
      <c r="C1697" t="s">
        <v>791</v>
      </c>
      <c r="D1697">
        <v>29.8592</v>
      </c>
      <c r="E1697">
        <v>29.1893</v>
      </c>
      <c r="F1697">
        <v>-0.022435296324081</v>
      </c>
      <c r="G1697">
        <f ca="1" t="shared" si="78"/>
        <v>-1.4176175435115</v>
      </c>
      <c r="H1697" t="str">
        <f ca="1" t="shared" si="79"/>
        <v>Risk-Off</v>
      </c>
      <c r="I1697">
        <f ca="1" t="shared" si="80"/>
        <v>1</v>
      </c>
      <c r="J1697">
        <f>_xlfn.XLOOKUP($A1697,[1]Sheet1!$B$9:$B$2584,[1]Sheet1!$C$9:$C$2584,"N/A",0)</f>
        <v>110.04</v>
      </c>
      <c r="K1697">
        <f>_xlfn.XLOOKUP($A1697,[1]Sheet1!$E$9:$E$2584,[1]Sheet1!$F$9:$F$2584,"N/A",0)</f>
        <v>135.78</v>
      </c>
      <c r="L1697">
        <f>_xlfn.XLOOKUP($A1697,[1]Sheet1!$H$9:$H$2584,[1]Sheet1!$I$9:$I$2584,"N/A",0)</f>
        <v>66.86</v>
      </c>
      <c r="M1697">
        <f>_xlfn.XLOOKUP($A1697,[1]Sheet1!$K$9:$K$2584,[1]Sheet1!$L$9:$L$2584,"N/A",0)</f>
        <v>141.07</v>
      </c>
      <c r="N1697">
        <f>_xlfn.XLOOKUP($A1697,[1]Sheet1!$N$9:$N$2584,[1]Sheet1!$O$9:$O$2584,"N/A",0)</f>
        <v>108.9</v>
      </c>
      <c r="O1697">
        <v>110.04</v>
      </c>
      <c r="P1697">
        <v>135.78</v>
      </c>
      <c r="Q1697">
        <v>66.86</v>
      </c>
      <c r="R1697">
        <v>108.9</v>
      </c>
      <c r="S1697">
        <v>141.07</v>
      </c>
    </row>
    <row r="1698" spans="1:19">
      <c r="A1698" s="1">
        <v>44830</v>
      </c>
      <c r="B1698" t="s">
        <v>783</v>
      </c>
      <c r="C1698" t="s">
        <v>791</v>
      </c>
      <c r="D1698">
        <v>30.9247</v>
      </c>
      <c r="E1698">
        <v>30.0988</v>
      </c>
      <c r="F1698">
        <v>-0.0267068071800211</v>
      </c>
      <c r="G1698">
        <f ca="1" t="shared" si="78"/>
        <v>-1.49733897304503</v>
      </c>
      <c r="H1698" t="str">
        <f ca="1" t="shared" si="79"/>
        <v>Risk-Off</v>
      </c>
      <c r="I1698">
        <f ca="1" t="shared" si="80"/>
        <v>1</v>
      </c>
      <c r="J1698">
        <f>_xlfn.XLOOKUP($A1698,[1]Sheet1!$B$9:$B$2584,[1]Sheet1!$C$9:$C$2584,"N/A",0)</f>
        <v>109.94</v>
      </c>
      <c r="K1698">
        <f>_xlfn.XLOOKUP($A1698,[1]Sheet1!$E$9:$E$2584,[1]Sheet1!$F$9:$F$2584,"N/A",0)</f>
        <v>136.5</v>
      </c>
      <c r="L1698">
        <f>_xlfn.XLOOKUP($A1698,[1]Sheet1!$H$9:$H$2584,[1]Sheet1!$I$9:$I$2584,"N/A",0)</f>
        <v>66.44</v>
      </c>
      <c r="M1698">
        <f>_xlfn.XLOOKUP($A1698,[1]Sheet1!$K$9:$K$2584,[1]Sheet1!$L$9:$L$2584,"N/A",0)</f>
        <v>141.34</v>
      </c>
      <c r="N1698">
        <f>_xlfn.XLOOKUP($A1698,[1]Sheet1!$N$9:$N$2584,[1]Sheet1!$O$9:$O$2584,"N/A",0)</f>
        <v>109.24</v>
      </c>
      <c r="O1698">
        <v>109.94</v>
      </c>
      <c r="P1698">
        <v>136.5</v>
      </c>
      <c r="Q1698">
        <v>66.44</v>
      </c>
      <c r="R1698">
        <v>109.24</v>
      </c>
      <c r="S1698">
        <v>141.34</v>
      </c>
    </row>
    <row r="1699" spans="1:19">
      <c r="A1699" s="1">
        <v>44831</v>
      </c>
      <c r="B1699" t="s">
        <v>783</v>
      </c>
      <c r="C1699" t="s">
        <v>791</v>
      </c>
      <c r="D1699">
        <v>31.383</v>
      </c>
      <c r="E1699">
        <v>30.5638</v>
      </c>
      <c r="F1699">
        <v>-0.0261033043367427</v>
      </c>
      <c r="G1699">
        <f ca="1" t="shared" si="78"/>
        <v>-1.46333449788593</v>
      </c>
      <c r="H1699" t="str">
        <f ca="1" t="shared" si="79"/>
        <v>Risk-Off</v>
      </c>
      <c r="I1699">
        <f ca="1" t="shared" si="80"/>
        <v>1</v>
      </c>
      <c r="J1699">
        <f>_xlfn.XLOOKUP($A1699,[1]Sheet1!$B$9:$B$2584,[1]Sheet1!$C$9:$C$2584,"N/A",0)</f>
        <v>110.16</v>
      </c>
      <c r="K1699">
        <f>_xlfn.XLOOKUP($A1699,[1]Sheet1!$E$9:$E$2584,[1]Sheet1!$F$9:$F$2584,"N/A",0)</f>
        <v>137.63</v>
      </c>
      <c r="L1699">
        <f>_xlfn.XLOOKUP($A1699,[1]Sheet1!$H$9:$H$2584,[1]Sheet1!$I$9:$I$2584,"N/A",0)</f>
        <v>66.57</v>
      </c>
      <c r="M1699">
        <f>_xlfn.XLOOKUP($A1699,[1]Sheet1!$K$9:$K$2584,[1]Sheet1!$L$9:$L$2584,"N/A",0)</f>
        <v>141.42</v>
      </c>
      <c r="N1699">
        <f>_xlfn.XLOOKUP($A1699,[1]Sheet1!$N$9:$N$2584,[1]Sheet1!$O$9:$O$2584,"N/A",0)</f>
        <v>108.49</v>
      </c>
      <c r="O1699">
        <v>110.16</v>
      </c>
      <c r="P1699">
        <v>137.63</v>
      </c>
      <c r="Q1699">
        <v>66.57</v>
      </c>
      <c r="R1699">
        <v>108.49</v>
      </c>
      <c r="S1699">
        <v>141.42</v>
      </c>
    </row>
    <row r="1700" spans="1:19">
      <c r="A1700" s="1">
        <v>44832</v>
      </c>
      <c r="B1700" t="s">
        <v>783</v>
      </c>
      <c r="C1700" t="s">
        <v>791</v>
      </c>
      <c r="D1700">
        <v>29.8919</v>
      </c>
      <c r="E1700">
        <v>29.6506</v>
      </c>
      <c r="F1700">
        <v>-0.0080724209568478</v>
      </c>
      <c r="G1700">
        <f ca="1" t="shared" si="78"/>
        <v>-1.02603394027248</v>
      </c>
      <c r="H1700" t="str">
        <f ca="1" t="shared" si="79"/>
        <v>Risk-Off</v>
      </c>
      <c r="I1700">
        <f ca="1" t="shared" si="80"/>
        <v>1</v>
      </c>
      <c r="J1700">
        <f>_xlfn.XLOOKUP($A1700,[1]Sheet1!$B$9:$B$2584,[1]Sheet1!$C$9:$C$2584,"N/A",0)</f>
        <v>109.98</v>
      </c>
      <c r="K1700">
        <f>_xlfn.XLOOKUP($A1700,[1]Sheet1!$E$9:$E$2584,[1]Sheet1!$F$9:$F$2584,"N/A",0)</f>
        <v>136.42</v>
      </c>
      <c r="L1700">
        <f>_xlfn.XLOOKUP($A1700,[1]Sheet1!$H$9:$H$2584,[1]Sheet1!$I$9:$I$2584,"N/A",0)</f>
        <v>66.74</v>
      </c>
      <c r="M1700">
        <f>_xlfn.XLOOKUP($A1700,[1]Sheet1!$K$9:$K$2584,[1]Sheet1!$L$9:$L$2584,"N/A",0)</f>
        <v>140.19</v>
      </c>
      <c r="N1700">
        <f>_xlfn.XLOOKUP($A1700,[1]Sheet1!$N$9:$N$2584,[1]Sheet1!$O$9:$O$2584,"N/A",0)</f>
        <v>107.96</v>
      </c>
      <c r="O1700">
        <v>109.98</v>
      </c>
      <c r="P1700">
        <v>136.42</v>
      </c>
      <c r="Q1700">
        <v>66.74</v>
      </c>
      <c r="R1700">
        <v>107.96</v>
      </c>
      <c r="S1700">
        <v>140.19</v>
      </c>
    </row>
    <row r="1701" spans="1:19">
      <c r="A1701" s="1">
        <v>44833</v>
      </c>
      <c r="B1701" t="s">
        <v>783</v>
      </c>
      <c r="C1701" t="s">
        <v>791</v>
      </c>
      <c r="D1701">
        <v>30.9432</v>
      </c>
      <c r="E1701">
        <v>30.3747</v>
      </c>
      <c r="F1701">
        <v>-0.0183723726052896</v>
      </c>
      <c r="G1701">
        <f ca="1" t="shared" si="78"/>
        <v>-1.2529458607977</v>
      </c>
      <c r="H1701" t="str">
        <f ca="1" t="shared" si="79"/>
        <v>Risk-On</v>
      </c>
      <c r="I1701">
        <f ca="1" t="shared" si="80"/>
        <v>1</v>
      </c>
      <c r="J1701">
        <f>_xlfn.XLOOKUP($A1701,[1]Sheet1!$B$9:$B$2584,[1]Sheet1!$C$9:$C$2584,"N/A",0)</f>
        <v>110.57</v>
      </c>
      <c r="K1701">
        <f>_xlfn.XLOOKUP($A1701,[1]Sheet1!$E$9:$E$2584,[1]Sheet1!$F$9:$F$2584,"N/A",0)</f>
        <v>137.34</v>
      </c>
      <c r="L1701">
        <f>_xlfn.XLOOKUP($A1701,[1]Sheet1!$H$9:$H$2584,[1]Sheet1!$I$9:$I$2584,"N/A",0)</f>
        <v>66.86</v>
      </c>
      <c r="M1701">
        <f>_xlfn.XLOOKUP($A1701,[1]Sheet1!$K$9:$K$2584,[1]Sheet1!$L$9:$L$2584,"N/A",0)</f>
        <v>140.44</v>
      </c>
      <c r="N1701">
        <f>_xlfn.XLOOKUP($A1701,[1]Sheet1!$N$9:$N$2584,[1]Sheet1!$O$9:$O$2584,"N/A",0)</f>
        <v>108.27</v>
      </c>
      <c r="O1701">
        <v>110.57</v>
      </c>
      <c r="P1701">
        <v>137.34</v>
      </c>
      <c r="Q1701">
        <v>66.86</v>
      </c>
      <c r="R1701">
        <v>108.27</v>
      </c>
      <c r="S1701">
        <v>140.44</v>
      </c>
    </row>
    <row r="1702" spans="1:19">
      <c r="A1702" s="1">
        <v>44834</v>
      </c>
      <c r="B1702" t="s">
        <v>783</v>
      </c>
      <c r="C1702" t="s">
        <v>791</v>
      </c>
      <c r="D1702">
        <v>31.516</v>
      </c>
      <c r="E1702">
        <v>31.0717</v>
      </c>
      <c r="F1702">
        <v>-0.0140976012184286</v>
      </c>
      <c r="G1702">
        <f ca="1" t="shared" si="78"/>
        <v>-1.14127171201638</v>
      </c>
      <c r="H1702" t="str">
        <f ca="1" t="shared" si="79"/>
        <v>Risk-Off</v>
      </c>
      <c r="I1702">
        <f ca="1" t="shared" si="80"/>
        <v>1</v>
      </c>
      <c r="J1702">
        <f>_xlfn.XLOOKUP($A1702,[1]Sheet1!$B$9:$B$2584,[1]Sheet1!$C$9:$C$2584,"N/A",0)</f>
        <v>110.75</v>
      </c>
      <c r="K1702">
        <f>_xlfn.XLOOKUP($A1702,[1]Sheet1!$E$9:$E$2584,[1]Sheet1!$F$9:$F$2584,"N/A",0)</f>
        <v>137.58</v>
      </c>
      <c r="L1702">
        <f>_xlfn.XLOOKUP($A1702,[1]Sheet1!$H$9:$H$2584,[1]Sheet1!$I$9:$I$2584,"N/A",0)</f>
        <v>67.32</v>
      </c>
      <c r="M1702">
        <f>_xlfn.XLOOKUP($A1702,[1]Sheet1!$K$9:$K$2584,[1]Sheet1!$L$9:$L$2584,"N/A",0)</f>
        <v>139.84</v>
      </c>
      <c r="N1702">
        <f>_xlfn.XLOOKUP($A1702,[1]Sheet1!$N$9:$N$2584,[1]Sheet1!$O$9:$O$2584,"N/A",0)</f>
        <v>107.49</v>
      </c>
      <c r="O1702">
        <v>110.75</v>
      </c>
      <c r="P1702">
        <v>137.58</v>
      </c>
      <c r="Q1702">
        <v>67.32</v>
      </c>
      <c r="R1702">
        <v>107.49</v>
      </c>
      <c r="S1702">
        <v>139.84</v>
      </c>
    </row>
    <row r="1703" spans="1:19">
      <c r="A1703" s="1">
        <v>44837</v>
      </c>
      <c r="B1703" t="s">
        <v>783</v>
      </c>
      <c r="C1703" t="s">
        <v>791</v>
      </c>
      <c r="D1703">
        <v>29.9893</v>
      </c>
      <c r="E1703">
        <v>29.8482</v>
      </c>
      <c r="F1703">
        <v>-0.00470501145408534</v>
      </c>
      <c r="G1703">
        <f ca="1" t="shared" si="78"/>
        <v>-0.915055133957039</v>
      </c>
      <c r="H1703" t="str">
        <f ca="1" t="shared" si="79"/>
        <v>Risk-Off</v>
      </c>
      <c r="I1703">
        <f ca="1" t="shared" si="80"/>
        <v>1</v>
      </c>
      <c r="J1703">
        <f>_xlfn.XLOOKUP($A1703,[1]Sheet1!$B$9:$B$2584,[1]Sheet1!$C$9:$C$2584,"N/A",0)</f>
        <v>111.31</v>
      </c>
      <c r="K1703">
        <f>_xlfn.XLOOKUP($A1703,[1]Sheet1!$E$9:$E$2584,[1]Sheet1!$F$9:$F$2584,"N/A",0)</f>
        <v>138.3</v>
      </c>
      <c r="L1703">
        <f>_xlfn.XLOOKUP($A1703,[1]Sheet1!$H$9:$H$2584,[1]Sheet1!$I$9:$I$2584,"N/A",0)</f>
        <v>68.39</v>
      </c>
      <c r="M1703">
        <f>_xlfn.XLOOKUP($A1703,[1]Sheet1!$K$9:$K$2584,[1]Sheet1!$L$9:$L$2584,"N/A",0)</f>
        <v>140.58</v>
      </c>
      <c r="N1703">
        <f>_xlfn.XLOOKUP($A1703,[1]Sheet1!$N$9:$N$2584,[1]Sheet1!$O$9:$O$2584,"N/A",0)</f>
        <v>107.98</v>
      </c>
      <c r="O1703">
        <v>111.31</v>
      </c>
      <c r="P1703">
        <v>138.3</v>
      </c>
      <c r="Q1703">
        <v>68.39</v>
      </c>
      <c r="R1703">
        <v>107.98</v>
      </c>
      <c r="S1703">
        <v>140.58</v>
      </c>
    </row>
    <row r="1704" spans="1:19">
      <c r="A1704" s="1">
        <v>44838</v>
      </c>
      <c r="B1704" t="s">
        <v>783</v>
      </c>
      <c r="C1704" t="s">
        <v>791</v>
      </c>
      <c r="D1704">
        <v>28.7999</v>
      </c>
      <c r="E1704">
        <v>28.8294</v>
      </c>
      <c r="F1704">
        <v>0.00102430911218437</v>
      </c>
      <c r="G1704">
        <f ca="1" t="shared" si="78"/>
        <v>-0.774134158341926</v>
      </c>
      <c r="H1704" t="str">
        <f ca="1" t="shared" si="79"/>
        <v>Risk-Off</v>
      </c>
      <c r="I1704">
        <f ca="1" t="shared" si="80"/>
        <v>1</v>
      </c>
      <c r="J1704">
        <f>_xlfn.XLOOKUP($A1704,[1]Sheet1!$B$9:$B$2584,[1]Sheet1!$C$9:$C$2584,"N/A",0)</f>
        <v>110.61</v>
      </c>
      <c r="K1704">
        <f>_xlfn.XLOOKUP($A1704,[1]Sheet1!$E$9:$E$2584,[1]Sheet1!$F$9:$F$2584,"N/A",0)</f>
        <v>137.42</v>
      </c>
      <c r="L1704">
        <f>_xlfn.XLOOKUP($A1704,[1]Sheet1!$H$9:$H$2584,[1]Sheet1!$I$9:$I$2584,"N/A",0)</f>
        <v>68.46</v>
      </c>
      <c r="M1704">
        <f>_xlfn.XLOOKUP($A1704,[1]Sheet1!$K$9:$K$2584,[1]Sheet1!$L$9:$L$2584,"N/A",0)</f>
        <v>139.49</v>
      </c>
      <c r="N1704">
        <f>_xlfn.XLOOKUP($A1704,[1]Sheet1!$N$9:$N$2584,[1]Sheet1!$O$9:$O$2584,"N/A",0)</f>
        <v>107.67</v>
      </c>
      <c r="O1704">
        <v>110.61</v>
      </c>
      <c r="P1704">
        <v>137.42</v>
      </c>
      <c r="Q1704">
        <v>68.46</v>
      </c>
      <c r="R1704">
        <v>107.67</v>
      </c>
      <c r="S1704">
        <v>139.49</v>
      </c>
    </row>
    <row r="1705" spans="1:19">
      <c r="A1705" s="1">
        <v>44839</v>
      </c>
      <c r="B1705" t="s">
        <v>783</v>
      </c>
      <c r="C1705" t="s">
        <v>791</v>
      </c>
      <c r="D1705">
        <v>28.9643</v>
      </c>
      <c r="E1705">
        <v>29.0451</v>
      </c>
      <c r="F1705">
        <v>0.00278964104086755</v>
      </c>
      <c r="G1705">
        <f ca="1" t="shared" si="78"/>
        <v>-0.726413849321984</v>
      </c>
      <c r="H1705" t="str">
        <f ca="1" t="shared" si="79"/>
        <v>Risk-Off</v>
      </c>
      <c r="I1705">
        <f ca="1" t="shared" si="80"/>
        <v>1</v>
      </c>
      <c r="J1705">
        <f>_xlfn.XLOOKUP($A1705,[1]Sheet1!$B$9:$B$2584,[1]Sheet1!$C$9:$C$2584,"N/A",0)</f>
        <v>110.55</v>
      </c>
      <c r="K1705">
        <f>_xlfn.XLOOKUP($A1705,[1]Sheet1!$E$9:$E$2584,[1]Sheet1!$F$9:$F$2584,"N/A",0)</f>
        <v>138.73</v>
      </c>
      <c r="L1705">
        <f>_xlfn.XLOOKUP($A1705,[1]Sheet1!$H$9:$H$2584,[1]Sheet1!$I$9:$I$2584,"N/A",0)</f>
        <v>68.57</v>
      </c>
      <c r="M1705">
        <f>_xlfn.XLOOKUP($A1705,[1]Sheet1!$K$9:$K$2584,[1]Sheet1!$L$9:$L$2584,"N/A",0)</f>
        <v>140.05</v>
      </c>
      <c r="N1705">
        <f>_xlfn.XLOOKUP($A1705,[1]Sheet1!$N$9:$N$2584,[1]Sheet1!$O$9:$O$2584,"N/A",0)</f>
        <v>108.05</v>
      </c>
      <c r="O1705">
        <v>110.55</v>
      </c>
      <c r="P1705">
        <v>138.73</v>
      </c>
      <c r="Q1705">
        <v>68.57</v>
      </c>
      <c r="R1705">
        <v>108.05</v>
      </c>
      <c r="S1705">
        <v>140.05</v>
      </c>
    </row>
    <row r="1706" spans="1:19">
      <c r="A1706" s="1">
        <v>44840</v>
      </c>
      <c r="B1706" t="s">
        <v>783</v>
      </c>
      <c r="C1706" t="s">
        <v>791</v>
      </c>
      <c r="D1706">
        <v>29.9193</v>
      </c>
      <c r="E1706">
        <v>29.8446</v>
      </c>
      <c r="F1706">
        <v>-0.00249671616648785</v>
      </c>
      <c r="G1706">
        <f ca="1" t="shared" si="78"/>
        <v>-0.843434575272699</v>
      </c>
      <c r="H1706" t="str">
        <f ca="1" t="shared" si="79"/>
        <v>Risk-Off</v>
      </c>
      <c r="I1706">
        <f ca="1" t="shared" si="80"/>
        <v>1</v>
      </c>
      <c r="J1706">
        <f>_xlfn.XLOOKUP($A1706,[1]Sheet1!$B$9:$B$2584,[1]Sheet1!$C$9:$C$2584,"N/A",0)</f>
        <v>110.94</v>
      </c>
      <c r="K1706">
        <f>_xlfn.XLOOKUP($A1706,[1]Sheet1!$E$9:$E$2584,[1]Sheet1!$F$9:$F$2584,"N/A",0)</f>
        <v>139.17</v>
      </c>
      <c r="L1706">
        <f>_xlfn.XLOOKUP($A1706,[1]Sheet1!$H$9:$H$2584,[1]Sheet1!$I$9:$I$2584,"N/A",0)</f>
        <v>68.59</v>
      </c>
      <c r="M1706">
        <f>_xlfn.XLOOKUP($A1706,[1]Sheet1!$K$9:$K$2584,[1]Sheet1!$L$9:$L$2584,"N/A",0)</f>
        <v>140.25</v>
      </c>
      <c r="N1706">
        <f>_xlfn.XLOOKUP($A1706,[1]Sheet1!$N$9:$N$2584,[1]Sheet1!$O$9:$O$2584,"N/A",0)</f>
        <v>107.65</v>
      </c>
      <c r="O1706">
        <v>110.94</v>
      </c>
      <c r="P1706">
        <v>139.17</v>
      </c>
      <c r="Q1706">
        <v>68.59</v>
      </c>
      <c r="R1706">
        <v>107.65</v>
      </c>
      <c r="S1706">
        <v>140.25</v>
      </c>
    </row>
    <row r="1707" spans="1:19">
      <c r="A1707" s="1">
        <v>44841</v>
      </c>
      <c r="B1707" t="s">
        <v>783</v>
      </c>
      <c r="C1707" t="s">
        <v>791</v>
      </c>
      <c r="D1707">
        <v>31.1984</v>
      </c>
      <c r="E1707">
        <v>31.0177</v>
      </c>
      <c r="F1707">
        <v>-0.0057919636904456</v>
      </c>
      <c r="G1707">
        <f ca="1" t="shared" si="78"/>
        <v>-0.908224917141782</v>
      </c>
      <c r="H1707" t="str">
        <f ca="1" t="shared" si="79"/>
        <v>Risk-Off</v>
      </c>
      <c r="I1707">
        <f ca="1" t="shared" si="80"/>
        <v>1</v>
      </c>
      <c r="J1707">
        <f>_xlfn.XLOOKUP($A1707,[1]Sheet1!$B$9:$B$2584,[1]Sheet1!$C$9:$C$2584,"N/A",0)</f>
        <v>111.03</v>
      </c>
      <c r="K1707">
        <f>_xlfn.XLOOKUP($A1707,[1]Sheet1!$E$9:$E$2584,[1]Sheet1!$F$9:$F$2584,"N/A",0)</f>
        <v>140.77</v>
      </c>
      <c r="L1707">
        <f>_xlfn.XLOOKUP($A1707,[1]Sheet1!$H$9:$H$2584,[1]Sheet1!$I$9:$I$2584,"N/A",0)</f>
        <v>69.04</v>
      </c>
      <c r="M1707">
        <f>_xlfn.XLOOKUP($A1707,[1]Sheet1!$K$9:$K$2584,[1]Sheet1!$L$9:$L$2584,"N/A",0)</f>
        <v>140.61</v>
      </c>
      <c r="N1707">
        <f>_xlfn.XLOOKUP($A1707,[1]Sheet1!$N$9:$N$2584,[1]Sheet1!$O$9:$O$2584,"N/A",0)</f>
        <v>107.77</v>
      </c>
      <c r="O1707">
        <v>111.03</v>
      </c>
      <c r="P1707">
        <v>140.77</v>
      </c>
      <c r="Q1707">
        <v>69.04</v>
      </c>
      <c r="R1707">
        <v>107.77</v>
      </c>
      <c r="S1707">
        <v>140.61</v>
      </c>
    </row>
    <row r="1708" spans="1:19">
      <c r="A1708" s="1">
        <v>44844</v>
      </c>
      <c r="B1708" t="s">
        <v>783</v>
      </c>
      <c r="C1708" t="s">
        <v>791</v>
      </c>
      <c r="D1708">
        <v>32.1078</v>
      </c>
      <c r="E1708">
        <v>31.7382</v>
      </c>
      <c r="F1708">
        <v>-0.0115112215723281</v>
      </c>
      <c r="G1708">
        <f ca="1" t="shared" si="78"/>
        <v>-1.02814867268405</v>
      </c>
      <c r="H1708" t="str">
        <f ca="1" t="shared" si="79"/>
        <v>Risk-Off</v>
      </c>
      <c r="I1708">
        <f ca="1" t="shared" si="80"/>
        <v>1</v>
      </c>
      <c r="J1708">
        <f>_xlfn.XLOOKUP($A1708,[1]Sheet1!$B$9:$B$2584,[1]Sheet1!$C$9:$C$2584,"N/A",0)</f>
        <v>111.34</v>
      </c>
      <c r="K1708">
        <f>_xlfn.XLOOKUP($A1708,[1]Sheet1!$E$9:$E$2584,[1]Sheet1!$F$9:$F$2584,"N/A",0)</f>
        <v>140.66</v>
      </c>
      <c r="L1708">
        <f>_xlfn.XLOOKUP($A1708,[1]Sheet1!$H$9:$H$2584,[1]Sheet1!$I$9:$I$2584,"N/A",0)</f>
        <v>69.25</v>
      </c>
      <c r="M1708">
        <f>_xlfn.XLOOKUP($A1708,[1]Sheet1!$K$9:$K$2584,[1]Sheet1!$L$9:$L$2584,"N/A",0)</f>
        <v>141.32</v>
      </c>
      <c r="N1708">
        <f>_xlfn.XLOOKUP($A1708,[1]Sheet1!$N$9:$N$2584,[1]Sheet1!$O$9:$O$2584,"N/A",0)</f>
        <v>107.47</v>
      </c>
      <c r="O1708">
        <v>111.34</v>
      </c>
      <c r="P1708">
        <v>140.66</v>
      </c>
      <c r="Q1708">
        <v>69.25</v>
      </c>
      <c r="R1708">
        <v>107.47</v>
      </c>
      <c r="S1708">
        <v>141.32</v>
      </c>
    </row>
    <row r="1709" spans="1:19">
      <c r="A1709" s="1">
        <v>44845</v>
      </c>
      <c r="B1709" t="s">
        <v>783</v>
      </c>
      <c r="C1709" t="s">
        <v>791</v>
      </c>
      <c r="D1709">
        <v>32.754</v>
      </c>
      <c r="E1709">
        <v>32.1758</v>
      </c>
      <c r="F1709">
        <v>-0.0176528057641813</v>
      </c>
      <c r="G1709">
        <f ca="1" t="shared" si="78"/>
        <v>-1.15709999320746</v>
      </c>
      <c r="H1709" t="str">
        <f ca="1" t="shared" si="79"/>
        <v>Risk-Off</v>
      </c>
      <c r="I1709">
        <f ca="1" t="shared" si="80"/>
        <v>1</v>
      </c>
      <c r="J1709">
        <f>_xlfn.XLOOKUP($A1709,[1]Sheet1!$B$9:$B$2584,[1]Sheet1!$C$9:$C$2584,"N/A",0)</f>
        <v>110.9</v>
      </c>
      <c r="K1709">
        <f>_xlfn.XLOOKUP($A1709,[1]Sheet1!$E$9:$E$2584,[1]Sheet1!$F$9:$F$2584,"N/A",0)</f>
        <v>141.39</v>
      </c>
      <c r="L1709">
        <f>_xlfn.XLOOKUP($A1709,[1]Sheet1!$H$9:$H$2584,[1]Sheet1!$I$9:$I$2584,"N/A",0)</f>
        <v>69.66</v>
      </c>
      <c r="M1709">
        <f>_xlfn.XLOOKUP($A1709,[1]Sheet1!$K$9:$K$2584,[1]Sheet1!$L$9:$L$2584,"N/A",0)</f>
        <v>142.22</v>
      </c>
      <c r="N1709">
        <f>_xlfn.XLOOKUP($A1709,[1]Sheet1!$N$9:$N$2584,[1]Sheet1!$O$9:$O$2584,"N/A",0)</f>
        <v>106.76</v>
      </c>
      <c r="O1709">
        <v>110.9</v>
      </c>
      <c r="P1709">
        <v>141.39</v>
      </c>
      <c r="Q1709">
        <v>69.66</v>
      </c>
      <c r="R1709">
        <v>106.76</v>
      </c>
      <c r="S1709">
        <v>142.22</v>
      </c>
    </row>
    <row r="1710" spans="1:19">
      <c r="A1710" s="1">
        <v>44846</v>
      </c>
      <c r="B1710" t="s">
        <v>783</v>
      </c>
      <c r="C1710" t="s">
        <v>791</v>
      </c>
      <c r="D1710">
        <v>32.1735</v>
      </c>
      <c r="E1710">
        <v>31.7784</v>
      </c>
      <c r="F1710">
        <v>-0.0122802927875424</v>
      </c>
      <c r="G1710">
        <f ca="1" t="shared" si="78"/>
        <v>-1.01957515171688</v>
      </c>
      <c r="H1710" t="str">
        <f ca="1" t="shared" si="79"/>
        <v>Risk-On</v>
      </c>
      <c r="I1710">
        <f ca="1" t="shared" si="80"/>
        <v>1</v>
      </c>
      <c r="J1710">
        <f>_xlfn.XLOOKUP($A1710,[1]Sheet1!$B$9:$B$2584,[1]Sheet1!$C$9:$C$2584,"N/A",0)</f>
        <v>110.49</v>
      </c>
      <c r="K1710">
        <f>_xlfn.XLOOKUP($A1710,[1]Sheet1!$E$9:$E$2584,[1]Sheet1!$F$9:$F$2584,"N/A",0)</f>
        <v>140.52</v>
      </c>
      <c r="L1710">
        <f>_xlfn.XLOOKUP($A1710,[1]Sheet1!$H$9:$H$2584,[1]Sheet1!$I$9:$I$2584,"N/A",0)</f>
        <v>70.25</v>
      </c>
      <c r="M1710">
        <f>_xlfn.XLOOKUP($A1710,[1]Sheet1!$K$9:$K$2584,[1]Sheet1!$L$9:$L$2584,"N/A",0)</f>
        <v>141.78</v>
      </c>
      <c r="N1710">
        <f>_xlfn.XLOOKUP($A1710,[1]Sheet1!$N$9:$N$2584,[1]Sheet1!$O$9:$O$2584,"N/A",0)</f>
        <v>106.8</v>
      </c>
      <c r="O1710">
        <v>110.49</v>
      </c>
      <c r="P1710">
        <v>140.52</v>
      </c>
      <c r="Q1710">
        <v>70.25</v>
      </c>
      <c r="R1710">
        <v>106.8</v>
      </c>
      <c r="S1710">
        <v>141.78</v>
      </c>
    </row>
    <row r="1711" spans="1:19">
      <c r="A1711" s="1">
        <v>44847</v>
      </c>
      <c r="B1711" t="s">
        <v>783</v>
      </c>
      <c r="C1711" t="s">
        <v>791</v>
      </c>
      <c r="D1711">
        <v>31.0521</v>
      </c>
      <c r="E1711">
        <v>30.9996</v>
      </c>
      <c r="F1711">
        <v>-0.00169070690871143</v>
      </c>
      <c r="G1711">
        <f ca="1" t="shared" si="78"/>
        <v>-0.763675138412718</v>
      </c>
      <c r="H1711" t="str">
        <f ca="1" t="shared" si="79"/>
        <v>Risk-On</v>
      </c>
      <c r="I1711">
        <f ca="1" t="shared" si="80"/>
        <v>1</v>
      </c>
      <c r="J1711">
        <f>_xlfn.XLOOKUP($A1711,[1]Sheet1!$B$9:$B$2584,[1]Sheet1!$C$9:$C$2584,"N/A",0)</f>
        <v>110.37</v>
      </c>
      <c r="K1711">
        <f>_xlfn.XLOOKUP($A1711,[1]Sheet1!$E$9:$E$2584,[1]Sheet1!$F$9:$F$2584,"N/A",0)</f>
        <v>141.8</v>
      </c>
      <c r="L1711">
        <f>_xlfn.XLOOKUP($A1711,[1]Sheet1!$H$9:$H$2584,[1]Sheet1!$I$9:$I$2584,"N/A",0)</f>
        <v>71.03</v>
      </c>
      <c r="M1711">
        <f>_xlfn.XLOOKUP($A1711,[1]Sheet1!$K$9:$K$2584,[1]Sheet1!$L$9:$L$2584,"N/A",0)</f>
        <v>142.64</v>
      </c>
      <c r="N1711">
        <f>_xlfn.XLOOKUP($A1711,[1]Sheet1!$N$9:$N$2584,[1]Sheet1!$O$9:$O$2584,"N/A",0)</f>
        <v>107.16</v>
      </c>
      <c r="O1711">
        <v>110.37</v>
      </c>
      <c r="P1711">
        <v>141.8</v>
      </c>
      <c r="Q1711">
        <v>71.03</v>
      </c>
      <c r="R1711">
        <v>107.16</v>
      </c>
      <c r="S1711">
        <v>142.64</v>
      </c>
    </row>
    <row r="1712" spans="1:19">
      <c r="A1712" s="1">
        <v>44848</v>
      </c>
      <c r="B1712" t="s">
        <v>783</v>
      </c>
      <c r="C1712" t="s">
        <v>791</v>
      </c>
      <c r="D1712">
        <v>31.9297</v>
      </c>
      <c r="E1712">
        <v>31.5866</v>
      </c>
      <c r="F1712">
        <v>-0.0107454814796255</v>
      </c>
      <c r="G1712">
        <f ca="1" t="shared" si="78"/>
        <v>-0.963463749903507</v>
      </c>
      <c r="H1712" t="str">
        <f ca="1" t="shared" si="79"/>
        <v>Risk-Off</v>
      </c>
      <c r="I1712">
        <f ca="1" t="shared" si="80"/>
        <v>1</v>
      </c>
      <c r="J1712">
        <f>_xlfn.XLOOKUP($A1712,[1]Sheet1!$B$9:$B$2584,[1]Sheet1!$C$9:$C$2584,"N/A",0)</f>
        <v>109.69</v>
      </c>
      <c r="K1712">
        <f>_xlfn.XLOOKUP($A1712,[1]Sheet1!$E$9:$E$2584,[1]Sheet1!$F$9:$F$2584,"N/A",0)</f>
        <v>140.2</v>
      </c>
      <c r="L1712">
        <f>_xlfn.XLOOKUP($A1712,[1]Sheet1!$H$9:$H$2584,[1]Sheet1!$I$9:$I$2584,"N/A",0)</f>
        <v>71.34</v>
      </c>
      <c r="M1712">
        <f>_xlfn.XLOOKUP($A1712,[1]Sheet1!$K$9:$K$2584,[1]Sheet1!$L$9:$L$2584,"N/A",0)</f>
        <v>142.76</v>
      </c>
      <c r="N1712">
        <f>_xlfn.XLOOKUP($A1712,[1]Sheet1!$N$9:$N$2584,[1]Sheet1!$O$9:$O$2584,"N/A",0)</f>
        <v>107.31</v>
      </c>
      <c r="O1712">
        <v>109.69</v>
      </c>
      <c r="P1712">
        <v>140.2</v>
      </c>
      <c r="Q1712">
        <v>71.34</v>
      </c>
      <c r="R1712">
        <v>107.31</v>
      </c>
      <c r="S1712">
        <v>142.76</v>
      </c>
    </row>
    <row r="1713" spans="1:19">
      <c r="A1713" s="1">
        <v>44851</v>
      </c>
      <c r="B1713" t="s">
        <v>783</v>
      </c>
      <c r="C1713" t="s">
        <v>791</v>
      </c>
      <c r="D1713">
        <v>31.1798</v>
      </c>
      <c r="E1713">
        <v>30.879</v>
      </c>
      <c r="F1713">
        <v>-0.00964727163099182</v>
      </c>
      <c r="G1713">
        <f ca="1" t="shared" si="78"/>
        <v>-0.932309883926652</v>
      </c>
      <c r="H1713" t="str">
        <f ca="1" t="shared" si="79"/>
        <v>Risk-On</v>
      </c>
      <c r="I1713">
        <f ca="1" t="shared" si="80"/>
        <v>1</v>
      </c>
      <c r="J1713">
        <f>_xlfn.XLOOKUP($A1713,[1]Sheet1!$B$9:$B$2584,[1]Sheet1!$C$9:$C$2584,"N/A",0)</f>
        <v>108.97</v>
      </c>
      <c r="K1713">
        <f>_xlfn.XLOOKUP($A1713,[1]Sheet1!$E$9:$E$2584,[1]Sheet1!$F$9:$F$2584,"N/A",0)</f>
        <v>138.81</v>
      </c>
      <c r="L1713">
        <f>_xlfn.XLOOKUP($A1713,[1]Sheet1!$H$9:$H$2584,[1]Sheet1!$I$9:$I$2584,"N/A",0)</f>
        <v>70.59</v>
      </c>
      <c r="M1713">
        <f>_xlfn.XLOOKUP($A1713,[1]Sheet1!$K$9:$K$2584,[1]Sheet1!$L$9:$L$2584,"N/A",0)</f>
        <v>142.56</v>
      </c>
      <c r="N1713">
        <f>_xlfn.XLOOKUP($A1713,[1]Sheet1!$N$9:$N$2584,[1]Sheet1!$O$9:$O$2584,"N/A",0)</f>
        <v>106.55</v>
      </c>
      <c r="O1713">
        <v>108.97</v>
      </c>
      <c r="P1713">
        <v>138.81</v>
      </c>
      <c r="Q1713">
        <v>70.59</v>
      </c>
      <c r="R1713">
        <v>106.55</v>
      </c>
      <c r="S1713">
        <v>142.56</v>
      </c>
    </row>
    <row r="1714" spans="1:19">
      <c r="A1714" s="1">
        <v>44852</v>
      </c>
      <c r="B1714" t="s">
        <v>783</v>
      </c>
      <c r="C1714" t="s">
        <v>791</v>
      </c>
      <c r="D1714">
        <v>30.8564</v>
      </c>
      <c r="E1714">
        <v>30.1507</v>
      </c>
      <c r="F1714">
        <v>-0.0228704579925072</v>
      </c>
      <c r="G1714">
        <f ca="1" t="shared" si="78"/>
        <v>-1.23338717832219</v>
      </c>
      <c r="H1714" t="str">
        <f ca="1" t="shared" si="79"/>
        <v>Risk-Off</v>
      </c>
      <c r="I1714">
        <f ca="1" t="shared" si="80"/>
        <v>1</v>
      </c>
      <c r="J1714">
        <f>_xlfn.XLOOKUP($A1714,[1]Sheet1!$B$9:$B$2584,[1]Sheet1!$C$9:$C$2584,"N/A",0)</f>
        <v>108.65</v>
      </c>
      <c r="K1714">
        <f>_xlfn.XLOOKUP($A1714,[1]Sheet1!$E$9:$E$2584,[1]Sheet1!$F$9:$F$2584,"N/A",0)</f>
        <v>139.36</v>
      </c>
      <c r="L1714">
        <f>_xlfn.XLOOKUP($A1714,[1]Sheet1!$H$9:$H$2584,[1]Sheet1!$I$9:$I$2584,"N/A",0)</f>
        <v>69.9</v>
      </c>
      <c r="M1714">
        <f>_xlfn.XLOOKUP($A1714,[1]Sheet1!$K$9:$K$2584,[1]Sheet1!$L$9:$L$2584,"N/A",0)</f>
        <v>142.01</v>
      </c>
      <c r="N1714">
        <f>_xlfn.XLOOKUP($A1714,[1]Sheet1!$N$9:$N$2584,[1]Sheet1!$O$9:$O$2584,"N/A",0)</f>
        <v>106.69</v>
      </c>
      <c r="O1714">
        <v>108.65</v>
      </c>
      <c r="P1714">
        <v>139.36</v>
      </c>
      <c r="Q1714">
        <v>69.9</v>
      </c>
      <c r="R1714">
        <v>106.69</v>
      </c>
      <c r="S1714">
        <v>142.01</v>
      </c>
    </row>
    <row r="1715" spans="1:19">
      <c r="A1715" s="1">
        <v>44853</v>
      </c>
      <c r="B1715" t="s">
        <v>783</v>
      </c>
      <c r="C1715" t="s">
        <v>791</v>
      </c>
      <c r="D1715">
        <v>31.77</v>
      </c>
      <c r="E1715">
        <v>30.3978</v>
      </c>
      <c r="F1715">
        <v>-0.0431916902738432</v>
      </c>
      <c r="G1715">
        <f ca="1" t="shared" si="78"/>
        <v>-1.69409133399381</v>
      </c>
      <c r="H1715" t="str">
        <f ca="1" t="shared" si="79"/>
        <v>Risk-On</v>
      </c>
      <c r="I1715">
        <f ca="1" t="shared" si="80"/>
        <v>1</v>
      </c>
      <c r="J1715">
        <f>_xlfn.XLOOKUP($A1715,[1]Sheet1!$B$9:$B$2584,[1]Sheet1!$C$9:$C$2584,"N/A",0)</f>
        <v>107.9</v>
      </c>
      <c r="K1715">
        <f>_xlfn.XLOOKUP($A1715,[1]Sheet1!$E$9:$E$2584,[1]Sheet1!$F$9:$F$2584,"N/A",0)</f>
        <v>141.76</v>
      </c>
      <c r="L1715">
        <f>_xlfn.XLOOKUP($A1715,[1]Sheet1!$H$9:$H$2584,[1]Sheet1!$I$9:$I$2584,"N/A",0)</f>
        <v>70.18</v>
      </c>
      <c r="M1715">
        <f>_xlfn.XLOOKUP($A1715,[1]Sheet1!$K$9:$K$2584,[1]Sheet1!$L$9:$L$2584,"N/A",0)</f>
        <v>142.33</v>
      </c>
      <c r="N1715">
        <f>_xlfn.XLOOKUP($A1715,[1]Sheet1!$N$9:$N$2584,[1]Sheet1!$O$9:$O$2584,"N/A",0)</f>
        <v>107.59</v>
      </c>
      <c r="O1715">
        <v>107.9</v>
      </c>
      <c r="P1715">
        <v>141.76</v>
      </c>
      <c r="Q1715">
        <v>70.18</v>
      </c>
      <c r="R1715">
        <v>107.59</v>
      </c>
      <c r="S1715">
        <v>142.33</v>
      </c>
    </row>
    <row r="1716" spans="1:19">
      <c r="A1716" s="1">
        <v>44854</v>
      </c>
      <c r="B1716" t="s">
        <v>791</v>
      </c>
      <c r="C1716" t="s">
        <v>792</v>
      </c>
      <c r="D1716">
        <v>29.9629</v>
      </c>
      <c r="E1716">
        <v>29.739</v>
      </c>
      <c r="F1716">
        <v>-0.00747257441702907</v>
      </c>
      <c r="G1716">
        <f ca="1" t="shared" si="78"/>
        <v>-0.852636024453669</v>
      </c>
      <c r="H1716" t="str">
        <f ca="1" t="shared" si="79"/>
        <v>Risk-Off</v>
      </c>
      <c r="I1716">
        <f ca="1" t="shared" si="80"/>
        <v>1</v>
      </c>
      <c r="J1716">
        <f>_xlfn.XLOOKUP($A1716,[1]Sheet1!$B$9:$B$2584,[1]Sheet1!$C$9:$C$2584,"N/A",0)</f>
        <v>107.87</v>
      </c>
      <c r="K1716">
        <f>_xlfn.XLOOKUP($A1716,[1]Sheet1!$E$9:$E$2584,[1]Sheet1!$F$9:$F$2584,"N/A",0)</f>
        <v>141.91</v>
      </c>
      <c r="L1716">
        <f>_xlfn.XLOOKUP($A1716,[1]Sheet1!$H$9:$H$2584,[1]Sheet1!$I$9:$I$2584,"N/A",0)</f>
        <v>70.27</v>
      </c>
      <c r="M1716">
        <f>_xlfn.XLOOKUP($A1716,[1]Sheet1!$K$9:$K$2584,[1]Sheet1!$L$9:$L$2584,"N/A",0)</f>
        <v>141.75</v>
      </c>
      <c r="N1716">
        <f>_xlfn.XLOOKUP($A1716,[1]Sheet1!$N$9:$N$2584,[1]Sheet1!$O$9:$O$2584,"N/A",0)</f>
        <v>108.26</v>
      </c>
      <c r="O1716">
        <v>107.87</v>
      </c>
      <c r="P1716">
        <v>141.91</v>
      </c>
      <c r="Q1716">
        <v>70.27</v>
      </c>
      <c r="R1716">
        <v>108.26</v>
      </c>
      <c r="S1716">
        <v>141.75</v>
      </c>
    </row>
    <row r="1717" spans="1:19">
      <c r="A1717" s="1">
        <v>44855</v>
      </c>
      <c r="B1717" t="s">
        <v>791</v>
      </c>
      <c r="C1717" t="s">
        <v>792</v>
      </c>
      <c r="D1717">
        <v>29.9854</v>
      </c>
      <c r="E1717">
        <v>29.6699</v>
      </c>
      <c r="F1717">
        <v>-0.0105217872698046</v>
      </c>
      <c r="G1717">
        <f ca="1" t="shared" si="78"/>
        <v>-0.918422497390025</v>
      </c>
      <c r="H1717" t="str">
        <f ca="1" t="shared" si="79"/>
        <v>Risk-Off</v>
      </c>
      <c r="I1717">
        <f ca="1" t="shared" si="80"/>
        <v>1</v>
      </c>
      <c r="J1717">
        <f>_xlfn.XLOOKUP($A1717,[1]Sheet1!$B$9:$B$2584,[1]Sheet1!$C$9:$C$2584,"N/A",0)</f>
        <v>107.83</v>
      </c>
      <c r="K1717">
        <f>_xlfn.XLOOKUP($A1717,[1]Sheet1!$E$9:$E$2584,[1]Sheet1!$F$9:$F$2584,"N/A",0)</f>
        <v>143.63</v>
      </c>
      <c r="L1717">
        <f>_xlfn.XLOOKUP($A1717,[1]Sheet1!$H$9:$H$2584,[1]Sheet1!$I$9:$I$2584,"N/A",0)</f>
        <v>71.03</v>
      </c>
      <c r="M1717">
        <f>_xlfn.XLOOKUP($A1717,[1]Sheet1!$K$9:$K$2584,[1]Sheet1!$L$9:$L$2584,"N/A",0)</f>
        <v>142.04</v>
      </c>
      <c r="N1717">
        <f>_xlfn.XLOOKUP($A1717,[1]Sheet1!$N$9:$N$2584,[1]Sheet1!$O$9:$O$2584,"N/A",0)</f>
        <v>108.56</v>
      </c>
      <c r="O1717">
        <v>107.83</v>
      </c>
      <c r="P1717">
        <v>143.63</v>
      </c>
      <c r="Q1717">
        <v>71.03</v>
      </c>
      <c r="R1717">
        <v>108.56</v>
      </c>
      <c r="S1717">
        <v>142.04</v>
      </c>
    </row>
    <row r="1718" spans="1:19">
      <c r="A1718" s="1">
        <v>44858</v>
      </c>
      <c r="B1718" t="s">
        <v>791</v>
      </c>
      <c r="C1718" t="s">
        <v>792</v>
      </c>
      <c r="D1718">
        <v>29.3523</v>
      </c>
      <c r="E1718">
        <v>29.333</v>
      </c>
      <c r="F1718">
        <v>-0.00065752939292666</v>
      </c>
      <c r="G1718">
        <f ca="1" t="shared" si="78"/>
        <v>-0.686127786614756</v>
      </c>
      <c r="H1718" t="str">
        <f ca="1" t="shared" si="79"/>
        <v>Risk-Off</v>
      </c>
      <c r="I1718">
        <f ca="1" t="shared" si="80"/>
        <v>1</v>
      </c>
      <c r="J1718">
        <f>_xlfn.XLOOKUP($A1718,[1]Sheet1!$B$9:$B$2584,[1]Sheet1!$C$9:$C$2584,"N/A",0)</f>
        <v>107.82</v>
      </c>
      <c r="K1718">
        <f>_xlfn.XLOOKUP($A1718,[1]Sheet1!$E$9:$E$2584,[1]Sheet1!$F$9:$F$2584,"N/A",0)</f>
        <v>143.66</v>
      </c>
      <c r="L1718">
        <f>_xlfn.XLOOKUP($A1718,[1]Sheet1!$H$9:$H$2584,[1]Sheet1!$I$9:$I$2584,"N/A",0)</f>
        <v>71.53</v>
      </c>
      <c r="M1718">
        <f>_xlfn.XLOOKUP($A1718,[1]Sheet1!$K$9:$K$2584,[1]Sheet1!$L$9:$L$2584,"N/A",0)</f>
        <v>142.98</v>
      </c>
      <c r="N1718">
        <f>_xlfn.XLOOKUP($A1718,[1]Sheet1!$N$9:$N$2584,[1]Sheet1!$O$9:$O$2584,"N/A",0)</f>
        <v>109.06</v>
      </c>
      <c r="O1718">
        <v>107.82</v>
      </c>
      <c r="P1718">
        <v>143.66</v>
      </c>
      <c r="Q1718">
        <v>71.53</v>
      </c>
      <c r="R1718">
        <v>109.06</v>
      </c>
      <c r="S1718">
        <v>142.98</v>
      </c>
    </row>
    <row r="1719" spans="1:19">
      <c r="A1719" s="1">
        <v>44859</v>
      </c>
      <c r="B1719" t="s">
        <v>791</v>
      </c>
      <c r="C1719" t="s">
        <v>792</v>
      </c>
      <c r="D1719">
        <v>28.1854</v>
      </c>
      <c r="E1719">
        <v>28.3979</v>
      </c>
      <c r="F1719">
        <v>0.00753936435175653</v>
      </c>
      <c r="G1719">
        <f ca="1" t="shared" si="78"/>
        <v>-0.49400202212151</v>
      </c>
      <c r="H1719" t="str">
        <f ca="1" t="shared" si="79"/>
        <v>Risk-Off</v>
      </c>
      <c r="I1719">
        <f ca="1" t="shared" si="80"/>
        <v>1</v>
      </c>
      <c r="J1719">
        <f>_xlfn.XLOOKUP($A1719,[1]Sheet1!$B$9:$B$2584,[1]Sheet1!$C$9:$C$2584,"N/A",0)</f>
        <v>107.67</v>
      </c>
      <c r="K1719">
        <f>_xlfn.XLOOKUP($A1719,[1]Sheet1!$E$9:$E$2584,[1]Sheet1!$F$9:$F$2584,"N/A",0)</f>
        <v>141.48</v>
      </c>
      <c r="L1719">
        <f>_xlfn.XLOOKUP($A1719,[1]Sheet1!$H$9:$H$2584,[1]Sheet1!$I$9:$I$2584,"N/A",0)</f>
        <v>70.98</v>
      </c>
      <c r="M1719">
        <f>_xlfn.XLOOKUP($A1719,[1]Sheet1!$K$9:$K$2584,[1]Sheet1!$L$9:$L$2584,"N/A",0)</f>
        <v>142.19</v>
      </c>
      <c r="N1719">
        <f>_xlfn.XLOOKUP($A1719,[1]Sheet1!$N$9:$N$2584,[1]Sheet1!$O$9:$O$2584,"N/A",0)</f>
        <v>107.76</v>
      </c>
      <c r="O1719">
        <v>107.67</v>
      </c>
      <c r="P1719">
        <v>141.48</v>
      </c>
      <c r="Q1719">
        <v>70.98</v>
      </c>
      <c r="R1719">
        <v>107.76</v>
      </c>
      <c r="S1719">
        <v>142.19</v>
      </c>
    </row>
    <row r="1720" spans="1:19">
      <c r="A1720" s="1">
        <v>44860</v>
      </c>
      <c r="B1720" t="s">
        <v>791</v>
      </c>
      <c r="C1720" t="s">
        <v>792</v>
      </c>
      <c r="D1720">
        <v>27.4876</v>
      </c>
      <c r="E1720">
        <v>27.8973</v>
      </c>
      <c r="F1720" s="2" t="s">
        <v>793</v>
      </c>
      <c r="G1720">
        <f ca="1" t="shared" si="78"/>
        <v>-0.321856821079929</v>
      </c>
      <c r="H1720" t="str">
        <f ca="1" t="shared" si="79"/>
        <v>Risk-Off</v>
      </c>
      <c r="I1720">
        <f ca="1" t="shared" si="80"/>
        <v>1</v>
      </c>
      <c r="J1720">
        <f>_xlfn.XLOOKUP($A1720,[1]Sheet1!$B$9:$B$2584,[1]Sheet1!$C$9:$C$2584,"N/A",0)</f>
        <v>107.43</v>
      </c>
      <c r="K1720">
        <f>_xlfn.XLOOKUP($A1720,[1]Sheet1!$E$9:$E$2584,[1]Sheet1!$F$9:$F$2584,"N/A",0)</f>
        <v>141.21</v>
      </c>
      <c r="L1720">
        <f>_xlfn.XLOOKUP($A1720,[1]Sheet1!$H$9:$H$2584,[1]Sheet1!$I$9:$I$2584,"N/A",0)</f>
        <v>72.02</v>
      </c>
      <c r="M1720">
        <f>_xlfn.XLOOKUP($A1720,[1]Sheet1!$K$9:$K$2584,[1]Sheet1!$L$9:$L$2584,"N/A",0)</f>
        <v>141.49</v>
      </c>
      <c r="N1720">
        <f>_xlfn.XLOOKUP($A1720,[1]Sheet1!$N$9:$N$2584,[1]Sheet1!$O$9:$O$2584,"N/A",0)</f>
        <v>107.81</v>
      </c>
      <c r="O1720">
        <v>107.43</v>
      </c>
      <c r="P1720">
        <v>141.21</v>
      </c>
      <c r="Q1720">
        <v>72.02</v>
      </c>
      <c r="R1720">
        <v>107.81</v>
      </c>
      <c r="S1720">
        <v>141.49</v>
      </c>
    </row>
    <row r="1721" spans="1:19">
      <c r="A1721" s="1">
        <v>44861</v>
      </c>
      <c r="B1721" t="s">
        <v>791</v>
      </c>
      <c r="C1721" t="s">
        <v>792</v>
      </c>
      <c r="D1721">
        <v>26.9184</v>
      </c>
      <c r="E1721">
        <v>27.4362</v>
      </c>
      <c r="F1721">
        <v>0.0192359129814551</v>
      </c>
      <c r="G1721">
        <f ca="1" t="shared" si="78"/>
        <v>-0.213067938034885</v>
      </c>
      <c r="H1721" t="str">
        <f ca="1" t="shared" si="79"/>
        <v>Risk-Off</v>
      </c>
      <c r="I1721">
        <f ca="1" t="shared" si="80"/>
        <v>1</v>
      </c>
      <c r="J1721">
        <f>_xlfn.XLOOKUP($A1721,[1]Sheet1!$B$9:$B$2584,[1]Sheet1!$C$9:$C$2584,"N/A",0)</f>
        <v>107.33</v>
      </c>
      <c r="K1721">
        <f>_xlfn.XLOOKUP($A1721,[1]Sheet1!$E$9:$E$2584,[1]Sheet1!$F$9:$F$2584,"N/A",0)</f>
        <v>142.06</v>
      </c>
      <c r="L1721">
        <f>_xlfn.XLOOKUP($A1721,[1]Sheet1!$H$9:$H$2584,[1]Sheet1!$I$9:$I$2584,"N/A",0)</f>
        <v>71.39</v>
      </c>
      <c r="M1721">
        <f>_xlfn.XLOOKUP($A1721,[1]Sheet1!$K$9:$K$2584,[1]Sheet1!$L$9:$L$2584,"N/A",0)</f>
        <v>140.83</v>
      </c>
      <c r="N1721">
        <f>_xlfn.XLOOKUP($A1721,[1]Sheet1!$N$9:$N$2584,[1]Sheet1!$O$9:$O$2584,"N/A",0)</f>
        <v>107.65</v>
      </c>
      <c r="O1721">
        <v>107.33</v>
      </c>
      <c r="P1721">
        <v>142.06</v>
      </c>
      <c r="Q1721">
        <v>71.39</v>
      </c>
      <c r="R1721">
        <v>107.65</v>
      </c>
      <c r="S1721">
        <v>140.83</v>
      </c>
    </row>
    <row r="1722" spans="1:19">
      <c r="A1722" s="1">
        <v>44862</v>
      </c>
      <c r="B1722" t="s">
        <v>791</v>
      </c>
      <c r="C1722" t="s">
        <v>792</v>
      </c>
      <c r="D1722">
        <v>26.2602</v>
      </c>
      <c r="E1722">
        <v>26.9064</v>
      </c>
      <c r="F1722" s="2" t="s">
        <v>794</v>
      </c>
      <c r="G1722">
        <f ca="1" t="shared" si="78"/>
        <v>-0.0872055874351662</v>
      </c>
      <c r="H1722" t="str">
        <f ca="1" t="shared" si="79"/>
        <v>Risk-Off</v>
      </c>
      <c r="I1722">
        <f ca="1" t="shared" si="80"/>
        <v>1</v>
      </c>
      <c r="J1722">
        <f>_xlfn.XLOOKUP($A1722,[1]Sheet1!$B$9:$B$2584,[1]Sheet1!$C$9:$C$2584,"N/A",0)</f>
        <v>107.29</v>
      </c>
      <c r="K1722">
        <f>_xlfn.XLOOKUP($A1722,[1]Sheet1!$E$9:$E$2584,[1]Sheet1!$F$9:$F$2584,"N/A",0)</f>
        <v>142.39</v>
      </c>
      <c r="L1722">
        <f>_xlfn.XLOOKUP($A1722,[1]Sheet1!$H$9:$H$2584,[1]Sheet1!$I$9:$I$2584,"N/A",0)</f>
        <v>70.87</v>
      </c>
      <c r="M1722">
        <f>_xlfn.XLOOKUP($A1722,[1]Sheet1!$K$9:$K$2584,[1]Sheet1!$L$9:$L$2584,"N/A",0)</f>
        <v>141.85</v>
      </c>
      <c r="N1722">
        <f>_xlfn.XLOOKUP($A1722,[1]Sheet1!$N$9:$N$2584,[1]Sheet1!$O$9:$O$2584,"N/A",0)</f>
        <v>107.8</v>
      </c>
      <c r="O1722">
        <v>107.29</v>
      </c>
      <c r="P1722">
        <v>142.39</v>
      </c>
      <c r="Q1722">
        <v>70.87</v>
      </c>
      <c r="R1722">
        <v>107.8</v>
      </c>
      <c r="S1722">
        <v>141.85</v>
      </c>
    </row>
    <row r="1723" spans="1:19">
      <c r="A1723" s="1">
        <v>44865</v>
      </c>
      <c r="B1723" t="s">
        <v>791</v>
      </c>
      <c r="C1723" t="s">
        <v>792</v>
      </c>
      <c r="D1723">
        <v>25.8753</v>
      </c>
      <c r="E1723">
        <v>26.3996</v>
      </c>
      <c r="F1723">
        <v>0.020262567004054</v>
      </c>
      <c r="G1723">
        <f ca="1" t="shared" si="78"/>
        <v>-0.18848181364995</v>
      </c>
      <c r="H1723" t="str">
        <f ca="1" t="shared" si="79"/>
        <v>Risk-Off</v>
      </c>
      <c r="I1723">
        <f ca="1" t="shared" si="80"/>
        <v>1</v>
      </c>
      <c r="J1723">
        <f>_xlfn.XLOOKUP($A1723,[1]Sheet1!$B$9:$B$2584,[1]Sheet1!$C$9:$C$2584,"N/A",0)</f>
        <v>107.09</v>
      </c>
      <c r="K1723">
        <f>_xlfn.XLOOKUP($A1723,[1]Sheet1!$E$9:$E$2584,[1]Sheet1!$F$9:$F$2584,"N/A",0)</f>
        <v>143.06</v>
      </c>
      <c r="L1723">
        <f>_xlfn.XLOOKUP($A1723,[1]Sheet1!$H$9:$H$2584,[1]Sheet1!$I$9:$I$2584,"N/A",0)</f>
        <v>70.58</v>
      </c>
      <c r="M1723">
        <f>_xlfn.XLOOKUP($A1723,[1]Sheet1!$K$9:$K$2584,[1]Sheet1!$L$9:$L$2584,"N/A",0)</f>
        <v>141.45</v>
      </c>
      <c r="N1723">
        <f>_xlfn.XLOOKUP($A1723,[1]Sheet1!$N$9:$N$2584,[1]Sheet1!$O$9:$O$2584,"N/A",0)</f>
        <v>107.07</v>
      </c>
      <c r="O1723">
        <v>107.09</v>
      </c>
      <c r="P1723">
        <v>143.06</v>
      </c>
      <c r="Q1723">
        <v>70.58</v>
      </c>
      <c r="R1723">
        <v>107.07</v>
      </c>
      <c r="S1723">
        <v>141.45</v>
      </c>
    </row>
    <row r="1724" spans="1:19">
      <c r="A1724" s="1">
        <v>44866</v>
      </c>
      <c r="B1724" t="s">
        <v>791</v>
      </c>
      <c r="C1724" t="s">
        <v>792</v>
      </c>
      <c r="D1724">
        <v>25.634</v>
      </c>
      <c r="E1724">
        <v>26.0041</v>
      </c>
      <c r="F1724" s="2" t="s">
        <v>795</v>
      </c>
      <c r="G1724">
        <f ca="1" t="shared" si="78"/>
        <v>-0.324065235309787</v>
      </c>
      <c r="H1724" t="str">
        <f ca="1" t="shared" si="79"/>
        <v>Risk-Off</v>
      </c>
      <c r="I1724">
        <f ca="1" t="shared" si="80"/>
        <v>1</v>
      </c>
      <c r="J1724">
        <f>_xlfn.XLOOKUP($A1724,[1]Sheet1!$B$9:$B$2584,[1]Sheet1!$C$9:$C$2584,"N/A",0)</f>
        <v>107.31</v>
      </c>
      <c r="K1724">
        <f>_xlfn.XLOOKUP($A1724,[1]Sheet1!$E$9:$E$2584,[1]Sheet1!$F$9:$F$2584,"N/A",0)</f>
        <v>143.27</v>
      </c>
      <c r="L1724">
        <f>_xlfn.XLOOKUP($A1724,[1]Sheet1!$H$9:$H$2584,[1]Sheet1!$I$9:$I$2584,"N/A",0)</f>
        <v>71.28</v>
      </c>
      <c r="M1724">
        <f>_xlfn.XLOOKUP($A1724,[1]Sheet1!$K$9:$K$2584,[1]Sheet1!$L$9:$L$2584,"N/A",0)</f>
        <v>141.69</v>
      </c>
      <c r="N1724">
        <f>_xlfn.XLOOKUP($A1724,[1]Sheet1!$N$9:$N$2584,[1]Sheet1!$O$9:$O$2584,"N/A",0)</f>
        <v>107.02</v>
      </c>
      <c r="O1724">
        <v>107.31</v>
      </c>
      <c r="P1724">
        <v>143.27</v>
      </c>
      <c r="Q1724">
        <v>71.28</v>
      </c>
      <c r="R1724">
        <v>107.02</v>
      </c>
      <c r="S1724">
        <v>141.69</v>
      </c>
    </row>
    <row r="1725" spans="1:19">
      <c r="A1725" s="1">
        <v>44867</v>
      </c>
      <c r="B1725" t="s">
        <v>791</v>
      </c>
      <c r="C1725" t="s">
        <v>792</v>
      </c>
      <c r="D1725">
        <v>26.4475</v>
      </c>
      <c r="E1725">
        <v>26.6968</v>
      </c>
      <c r="F1725">
        <v>0.00942622176009067</v>
      </c>
      <c r="G1725">
        <f ca="1" t="shared" si="78"/>
        <v>-0.441214281936486</v>
      </c>
      <c r="H1725" t="str">
        <f ca="1" t="shared" si="79"/>
        <v>Risk-Off</v>
      </c>
      <c r="I1725">
        <f ca="1" t="shared" si="80"/>
        <v>1</v>
      </c>
      <c r="J1725">
        <f>_xlfn.XLOOKUP($A1725,[1]Sheet1!$B$9:$B$2584,[1]Sheet1!$C$9:$C$2584,"N/A",0)</f>
        <v>107.35</v>
      </c>
      <c r="K1725">
        <f>_xlfn.XLOOKUP($A1725,[1]Sheet1!$E$9:$E$2584,[1]Sheet1!$F$9:$F$2584,"N/A",0)</f>
        <v>143.66</v>
      </c>
      <c r="L1725">
        <f>_xlfn.XLOOKUP($A1725,[1]Sheet1!$H$9:$H$2584,[1]Sheet1!$I$9:$I$2584,"N/A",0)</f>
        <v>71.45</v>
      </c>
      <c r="M1725">
        <f>_xlfn.XLOOKUP($A1725,[1]Sheet1!$K$9:$K$2584,[1]Sheet1!$L$9:$L$2584,"N/A",0)</f>
        <v>140.21</v>
      </c>
      <c r="N1725">
        <f>_xlfn.XLOOKUP($A1725,[1]Sheet1!$N$9:$N$2584,[1]Sheet1!$O$9:$O$2584,"N/A",0)</f>
        <v>107.97</v>
      </c>
      <c r="O1725">
        <v>107.35</v>
      </c>
      <c r="P1725">
        <v>143.66</v>
      </c>
      <c r="Q1725">
        <v>71.45</v>
      </c>
      <c r="R1725">
        <v>107.97</v>
      </c>
      <c r="S1725">
        <v>140.21</v>
      </c>
    </row>
    <row r="1726" spans="1:19">
      <c r="A1726" s="1">
        <v>44868</v>
      </c>
      <c r="B1726" t="s">
        <v>791</v>
      </c>
      <c r="C1726" t="s">
        <v>792</v>
      </c>
      <c r="D1726">
        <v>25.6701</v>
      </c>
      <c r="E1726">
        <v>26.0972</v>
      </c>
      <c r="F1726" s="2" t="s">
        <v>796</v>
      </c>
      <c r="G1726">
        <f ca="1" t="shared" si="78"/>
        <v>-0.270697798995377</v>
      </c>
      <c r="H1726" t="str">
        <f ca="1" t="shared" si="79"/>
        <v>Risk-On</v>
      </c>
      <c r="I1726">
        <f ca="1" t="shared" si="80"/>
        <v>1</v>
      </c>
      <c r="J1726">
        <f>_xlfn.XLOOKUP($A1726,[1]Sheet1!$B$9:$B$2584,[1]Sheet1!$C$9:$C$2584,"N/A",0)</f>
        <v>107.29</v>
      </c>
      <c r="K1726">
        <f>_xlfn.XLOOKUP($A1726,[1]Sheet1!$E$9:$E$2584,[1]Sheet1!$F$9:$F$2584,"N/A",0)</f>
        <v>144.97</v>
      </c>
      <c r="L1726">
        <f>_xlfn.XLOOKUP($A1726,[1]Sheet1!$H$9:$H$2584,[1]Sheet1!$I$9:$I$2584,"N/A",0)</f>
        <v>70.54</v>
      </c>
      <c r="M1726">
        <f>_xlfn.XLOOKUP($A1726,[1]Sheet1!$K$9:$K$2584,[1]Sheet1!$L$9:$L$2584,"N/A",0)</f>
        <v>139.85</v>
      </c>
      <c r="N1726">
        <f>_xlfn.XLOOKUP($A1726,[1]Sheet1!$N$9:$N$2584,[1]Sheet1!$O$9:$O$2584,"N/A",0)</f>
        <v>108.09</v>
      </c>
      <c r="O1726">
        <v>107.29</v>
      </c>
      <c r="P1726">
        <v>144.97</v>
      </c>
      <c r="Q1726">
        <v>70.54</v>
      </c>
      <c r="R1726">
        <v>108.09</v>
      </c>
      <c r="S1726">
        <v>139.85</v>
      </c>
    </row>
    <row r="1727" spans="1:19">
      <c r="A1727" s="1">
        <v>44869</v>
      </c>
      <c r="B1727" t="s">
        <v>791</v>
      </c>
      <c r="C1727" t="s">
        <v>792</v>
      </c>
      <c r="D1727">
        <v>25.5286</v>
      </c>
      <c r="E1727">
        <v>25.8355</v>
      </c>
      <c r="F1727" s="2" t="s">
        <v>797</v>
      </c>
      <c r="G1727">
        <f ca="1" t="shared" si="78"/>
        <v>-0.378860814104507</v>
      </c>
      <c r="H1727" t="str">
        <f ca="1" t="shared" si="79"/>
        <v>Risk-On</v>
      </c>
      <c r="I1727">
        <f ca="1" t="shared" si="80"/>
        <v>1</v>
      </c>
      <c r="J1727">
        <f>_xlfn.XLOOKUP($A1727,[1]Sheet1!$B$9:$B$2584,[1]Sheet1!$C$9:$C$2584,"N/A",0)</f>
        <v>107.03</v>
      </c>
      <c r="K1727">
        <f>_xlfn.XLOOKUP($A1727,[1]Sheet1!$E$9:$E$2584,[1]Sheet1!$F$9:$F$2584,"N/A",0)</f>
        <v>144.15</v>
      </c>
      <c r="L1727">
        <f>_xlfn.XLOOKUP($A1727,[1]Sheet1!$H$9:$H$2584,[1]Sheet1!$I$9:$I$2584,"N/A",0)</f>
        <v>72.16</v>
      </c>
      <c r="M1727">
        <f>_xlfn.XLOOKUP($A1727,[1]Sheet1!$K$9:$K$2584,[1]Sheet1!$L$9:$L$2584,"N/A",0)</f>
        <v>139.89</v>
      </c>
      <c r="N1727">
        <f>_xlfn.XLOOKUP($A1727,[1]Sheet1!$N$9:$N$2584,[1]Sheet1!$O$9:$O$2584,"N/A",0)</f>
        <v>108.68</v>
      </c>
      <c r="O1727">
        <v>107.03</v>
      </c>
      <c r="P1727">
        <v>144.15</v>
      </c>
      <c r="Q1727">
        <v>72.16</v>
      </c>
      <c r="R1727">
        <v>108.68</v>
      </c>
      <c r="S1727">
        <v>139.89</v>
      </c>
    </row>
    <row r="1728" spans="1:19">
      <c r="A1728" s="1">
        <v>44872</v>
      </c>
      <c r="B1728" t="s">
        <v>791</v>
      </c>
      <c r="C1728" t="s">
        <v>792</v>
      </c>
      <c r="D1728">
        <v>25.1559</v>
      </c>
      <c r="E1728">
        <v>25.5002</v>
      </c>
      <c r="F1728" s="2" t="s">
        <v>798</v>
      </c>
      <c r="G1728">
        <f ca="1" t="shared" si="78"/>
        <v>-0.339851862892221</v>
      </c>
      <c r="H1728" t="str">
        <f ca="1" t="shared" si="79"/>
        <v>Risk-On</v>
      </c>
      <c r="I1728">
        <f ca="1" t="shared" si="80"/>
        <v>1</v>
      </c>
      <c r="J1728">
        <f>_xlfn.XLOOKUP($A1728,[1]Sheet1!$B$9:$B$2584,[1]Sheet1!$C$9:$C$2584,"N/A",0)</f>
        <v>106.88</v>
      </c>
      <c r="K1728">
        <f>_xlfn.XLOOKUP($A1728,[1]Sheet1!$E$9:$E$2584,[1]Sheet1!$F$9:$F$2584,"N/A",0)</f>
        <v>143.97</v>
      </c>
      <c r="L1728">
        <f>_xlfn.XLOOKUP($A1728,[1]Sheet1!$H$9:$H$2584,[1]Sheet1!$I$9:$I$2584,"N/A",0)</f>
        <v>72.72</v>
      </c>
      <c r="M1728">
        <f>_xlfn.XLOOKUP($A1728,[1]Sheet1!$K$9:$K$2584,[1]Sheet1!$L$9:$L$2584,"N/A",0)</f>
        <v>140.8</v>
      </c>
      <c r="N1728">
        <f>_xlfn.XLOOKUP($A1728,[1]Sheet1!$N$9:$N$2584,[1]Sheet1!$O$9:$O$2584,"N/A",0)</f>
        <v>109.32</v>
      </c>
      <c r="O1728">
        <v>106.88</v>
      </c>
      <c r="P1728">
        <v>143.97</v>
      </c>
      <c r="Q1728">
        <v>72.72</v>
      </c>
      <c r="R1728">
        <v>109.32</v>
      </c>
      <c r="S1728">
        <v>140.8</v>
      </c>
    </row>
    <row r="1729" spans="1:19">
      <c r="A1729" s="1">
        <v>44873</v>
      </c>
      <c r="B1729" t="s">
        <v>791</v>
      </c>
      <c r="C1729" t="s">
        <v>792</v>
      </c>
      <c r="D1729">
        <v>26.1017</v>
      </c>
      <c r="E1729">
        <v>26.1902</v>
      </c>
      <c r="F1729">
        <v>0.00339058375508107</v>
      </c>
      <c r="G1729">
        <f ca="1" t="shared" si="78"/>
        <v>-0.58109963223943</v>
      </c>
      <c r="H1729" t="str">
        <f ca="1" t="shared" si="79"/>
        <v>Risk-On</v>
      </c>
      <c r="I1729">
        <f ca="1" t="shared" si="80"/>
        <v>1</v>
      </c>
      <c r="J1729">
        <f>_xlfn.XLOOKUP($A1729,[1]Sheet1!$B$9:$B$2584,[1]Sheet1!$C$9:$C$2584,"N/A",0)</f>
        <v>107.12</v>
      </c>
      <c r="K1729">
        <f>_xlfn.XLOOKUP($A1729,[1]Sheet1!$E$9:$E$2584,[1]Sheet1!$F$9:$F$2584,"N/A",0)</f>
        <v>145.48</v>
      </c>
      <c r="L1729">
        <f>_xlfn.XLOOKUP($A1729,[1]Sheet1!$H$9:$H$2584,[1]Sheet1!$I$9:$I$2584,"N/A",0)</f>
        <v>72.66</v>
      </c>
      <c r="M1729">
        <f>_xlfn.XLOOKUP($A1729,[1]Sheet1!$K$9:$K$2584,[1]Sheet1!$L$9:$L$2584,"N/A",0)</f>
        <v>139.96</v>
      </c>
      <c r="N1729">
        <f>_xlfn.XLOOKUP($A1729,[1]Sheet1!$N$9:$N$2584,[1]Sheet1!$O$9:$O$2584,"N/A",0)</f>
        <v>109.85</v>
      </c>
      <c r="O1729">
        <v>107.12</v>
      </c>
      <c r="P1729">
        <v>145.48</v>
      </c>
      <c r="Q1729">
        <v>72.66</v>
      </c>
      <c r="R1729">
        <v>109.85</v>
      </c>
      <c r="S1729">
        <v>139.96</v>
      </c>
    </row>
    <row r="1730" spans="1:19">
      <c r="A1730" s="1">
        <v>44874</v>
      </c>
      <c r="B1730" t="s">
        <v>791</v>
      </c>
      <c r="C1730" t="s">
        <v>792</v>
      </c>
      <c r="D1730">
        <v>26.857</v>
      </c>
      <c r="E1730">
        <v>27.0025</v>
      </c>
      <c r="F1730">
        <v>0.00541758200841501</v>
      </c>
      <c r="G1730">
        <f ca="1" t="shared" si="78"/>
        <v>-0.531259323870618</v>
      </c>
      <c r="H1730" t="str">
        <f ca="1" t="shared" si="79"/>
        <v>Risk-On</v>
      </c>
      <c r="I1730">
        <f ca="1" t="shared" si="80"/>
        <v>1</v>
      </c>
      <c r="J1730">
        <f>_xlfn.XLOOKUP($A1730,[1]Sheet1!$B$9:$B$2584,[1]Sheet1!$C$9:$C$2584,"N/A",0)</f>
        <v>106.78</v>
      </c>
      <c r="K1730">
        <f>_xlfn.XLOOKUP($A1730,[1]Sheet1!$E$9:$E$2584,[1]Sheet1!$F$9:$F$2584,"N/A",0)</f>
        <v>145.74</v>
      </c>
      <c r="L1730">
        <f>_xlfn.XLOOKUP($A1730,[1]Sheet1!$H$9:$H$2584,[1]Sheet1!$I$9:$I$2584,"N/A",0)</f>
        <v>71.95</v>
      </c>
      <c r="M1730">
        <f>_xlfn.XLOOKUP($A1730,[1]Sheet1!$K$9:$K$2584,[1]Sheet1!$L$9:$L$2584,"N/A",0)</f>
        <v>141.23</v>
      </c>
      <c r="N1730">
        <f>_xlfn.XLOOKUP($A1730,[1]Sheet1!$N$9:$N$2584,[1]Sheet1!$O$9:$O$2584,"N/A",0)</f>
        <v>110.44</v>
      </c>
      <c r="O1730">
        <v>106.78</v>
      </c>
      <c r="P1730">
        <v>145.74</v>
      </c>
      <c r="Q1730">
        <v>71.95</v>
      </c>
      <c r="R1730">
        <v>110.44</v>
      </c>
      <c r="S1730">
        <v>141.23</v>
      </c>
    </row>
    <row r="1731" spans="1:19">
      <c r="A1731" s="1">
        <v>44875</v>
      </c>
      <c r="B1731" t="s">
        <v>791</v>
      </c>
      <c r="C1731" t="s">
        <v>792</v>
      </c>
      <c r="D1731">
        <v>24.6297</v>
      </c>
      <c r="E1731">
        <v>25.6828</v>
      </c>
      <c r="F1731">
        <v>0.042757321445247</v>
      </c>
      <c r="G1731">
        <f ca="1" t="shared" ref="G1731:G1794" si="81">IF(ROW()-ROW($A$3)+1&gt;252,(F1731-AVERAGE(OFFSET(F1731,-252,0,252,1)))/_xlfn.STDEV.S(OFFSET(F1731,-252,0,252,1)),"N/A")</f>
        <v>0.34915659416638</v>
      </c>
      <c r="H1731" t="str">
        <f ca="1" t="shared" ref="H1731:H1794" si="82">IF(G1731&lt;&gt;"N/A",IF(G1981&gt;-0.5,"Risk-On","Risk-Off"),"N/A")</f>
        <v>Risk-On</v>
      </c>
      <c r="I1731">
        <f ca="1" t="shared" si="80"/>
        <v>1</v>
      </c>
      <c r="J1731">
        <f>_xlfn.XLOOKUP($A1731,[1]Sheet1!$B$9:$B$2584,[1]Sheet1!$C$9:$C$2584,"N/A",0)</f>
        <v>106.35</v>
      </c>
      <c r="K1731">
        <f>_xlfn.XLOOKUP($A1731,[1]Sheet1!$E$9:$E$2584,[1]Sheet1!$F$9:$F$2584,"N/A",0)</f>
        <v>142.19</v>
      </c>
      <c r="L1731">
        <f>_xlfn.XLOOKUP($A1731,[1]Sheet1!$H$9:$H$2584,[1]Sheet1!$I$9:$I$2584,"N/A",0)</f>
        <v>71.92</v>
      </c>
      <c r="M1731">
        <f>_xlfn.XLOOKUP($A1731,[1]Sheet1!$K$9:$K$2584,[1]Sheet1!$L$9:$L$2584,"N/A",0)</f>
        <v>142.11</v>
      </c>
      <c r="N1731">
        <f>_xlfn.XLOOKUP($A1731,[1]Sheet1!$N$9:$N$2584,[1]Sheet1!$O$9:$O$2584,"N/A",0)</f>
        <v>109.82</v>
      </c>
      <c r="O1731">
        <v>106.35</v>
      </c>
      <c r="P1731">
        <v>142.19</v>
      </c>
      <c r="Q1731">
        <v>71.92</v>
      </c>
      <c r="R1731">
        <v>109.82</v>
      </c>
      <c r="S1731">
        <v>142.11</v>
      </c>
    </row>
    <row r="1732" spans="1:19">
      <c r="A1732" s="1">
        <v>44876</v>
      </c>
      <c r="B1732" t="s">
        <v>791</v>
      </c>
      <c r="C1732" t="s">
        <v>792</v>
      </c>
      <c r="D1732">
        <v>23.95</v>
      </c>
      <c r="E1732">
        <v>25.4502</v>
      </c>
      <c r="F1732">
        <v>0.0626388308977035</v>
      </c>
      <c r="G1732">
        <f ca="1" t="shared" si="81"/>
        <v>0.824109847894686</v>
      </c>
      <c r="H1732" t="str">
        <f ca="1" t="shared" si="82"/>
        <v>Risk-On</v>
      </c>
      <c r="I1732">
        <f ca="1" t="shared" ref="I1732:I1795" si="83">IF(H1732&lt;&gt;"N/A",IF(H1982&gt;-0.5,1,0),0)</f>
        <v>1</v>
      </c>
      <c r="J1732">
        <f>_xlfn.XLOOKUP($A1732,[1]Sheet1!$B$9:$B$2584,[1]Sheet1!$C$9:$C$2584,"N/A",0)</f>
        <v>106.68</v>
      </c>
      <c r="K1732">
        <f>_xlfn.XLOOKUP($A1732,[1]Sheet1!$E$9:$E$2584,[1]Sheet1!$F$9:$F$2584,"N/A",0)</f>
        <v>136.93</v>
      </c>
      <c r="L1732">
        <f>_xlfn.XLOOKUP($A1732,[1]Sheet1!$H$9:$H$2584,[1]Sheet1!$I$9:$I$2584,"N/A",0)</f>
        <v>73.07</v>
      </c>
      <c r="M1732">
        <f>_xlfn.XLOOKUP($A1732,[1]Sheet1!$K$9:$K$2584,[1]Sheet1!$L$9:$L$2584,"N/A",0)</f>
        <v>141.78</v>
      </c>
      <c r="N1732">
        <f>_xlfn.XLOOKUP($A1732,[1]Sheet1!$N$9:$N$2584,[1]Sheet1!$O$9:$O$2584,"N/A",0)</f>
        <v>109.65</v>
      </c>
      <c r="O1732">
        <v>106.68</v>
      </c>
      <c r="P1732">
        <v>136.93</v>
      </c>
      <c r="Q1732">
        <v>73.07</v>
      </c>
      <c r="R1732">
        <v>109.65</v>
      </c>
      <c r="S1732">
        <v>141.78</v>
      </c>
    </row>
    <row r="1733" spans="1:19">
      <c r="A1733" s="1">
        <v>44879</v>
      </c>
      <c r="B1733" t="s">
        <v>791</v>
      </c>
      <c r="C1733" t="s">
        <v>792</v>
      </c>
      <c r="D1733">
        <v>24.237</v>
      </c>
      <c r="E1733">
        <v>25.3841</v>
      </c>
      <c r="F1733">
        <v>0.0473284647439865</v>
      </c>
      <c r="G1733">
        <f ca="1" t="shared" si="81"/>
        <v>0.458409157704728</v>
      </c>
      <c r="H1733" t="str">
        <f ca="1" t="shared" si="82"/>
        <v>Risk-On</v>
      </c>
      <c r="I1733">
        <f ca="1" t="shared" si="83"/>
        <v>1</v>
      </c>
      <c r="J1733">
        <f>_xlfn.XLOOKUP($A1733,[1]Sheet1!$B$9:$B$2584,[1]Sheet1!$C$9:$C$2584,"N/A",0)</f>
        <v>106.82</v>
      </c>
      <c r="K1733">
        <f>_xlfn.XLOOKUP($A1733,[1]Sheet1!$E$9:$E$2584,[1]Sheet1!$F$9:$F$2584,"N/A",0)</f>
        <v>139.57</v>
      </c>
      <c r="L1733">
        <f>_xlfn.XLOOKUP($A1733,[1]Sheet1!$H$9:$H$2584,[1]Sheet1!$I$9:$I$2584,"N/A",0)</f>
        <v>73.12</v>
      </c>
      <c r="M1733">
        <f>_xlfn.XLOOKUP($A1733,[1]Sheet1!$K$9:$K$2584,[1]Sheet1!$L$9:$L$2584,"N/A",0)</f>
        <v>142.27</v>
      </c>
      <c r="N1733">
        <f>_xlfn.XLOOKUP($A1733,[1]Sheet1!$N$9:$N$2584,[1]Sheet1!$O$9:$O$2584,"N/A",0)</f>
        <v>109.5</v>
      </c>
      <c r="O1733">
        <v>106.82</v>
      </c>
      <c r="P1733">
        <v>139.57</v>
      </c>
      <c r="Q1733">
        <v>73.12</v>
      </c>
      <c r="R1733">
        <v>109.5</v>
      </c>
      <c r="S1733">
        <v>142.27</v>
      </c>
    </row>
    <row r="1734" spans="1:19">
      <c r="A1734" s="1">
        <v>44880</v>
      </c>
      <c r="B1734" t="s">
        <v>791</v>
      </c>
      <c r="C1734" t="s">
        <v>792</v>
      </c>
      <c r="D1734">
        <v>24.584</v>
      </c>
      <c r="E1734">
        <v>25.75</v>
      </c>
      <c r="F1734">
        <v>0.0474292222583794</v>
      </c>
      <c r="G1734">
        <f ca="1" t="shared" si="81"/>
        <v>0.45921531365411</v>
      </c>
      <c r="H1734" t="str">
        <f ca="1" t="shared" si="82"/>
        <v>Risk-On</v>
      </c>
      <c r="I1734">
        <f ca="1" t="shared" si="83"/>
        <v>1</v>
      </c>
      <c r="J1734">
        <f>_xlfn.XLOOKUP($A1734,[1]Sheet1!$B$9:$B$2584,[1]Sheet1!$C$9:$C$2584,"N/A",0)</f>
        <v>106.73</v>
      </c>
      <c r="K1734">
        <f>_xlfn.XLOOKUP($A1734,[1]Sheet1!$E$9:$E$2584,[1]Sheet1!$F$9:$F$2584,"N/A",0)</f>
        <v>139.09</v>
      </c>
      <c r="L1734">
        <f>_xlfn.XLOOKUP($A1734,[1]Sheet1!$H$9:$H$2584,[1]Sheet1!$I$9:$I$2584,"N/A",0)</f>
        <v>72.57</v>
      </c>
      <c r="M1734">
        <f>_xlfn.XLOOKUP($A1734,[1]Sheet1!$K$9:$K$2584,[1]Sheet1!$L$9:$L$2584,"N/A",0)</f>
        <v>143.21</v>
      </c>
      <c r="N1734">
        <f>_xlfn.XLOOKUP($A1734,[1]Sheet1!$N$9:$N$2584,[1]Sheet1!$O$9:$O$2584,"N/A",0)</f>
        <v>108.82</v>
      </c>
      <c r="O1734">
        <v>106.73</v>
      </c>
      <c r="P1734">
        <v>139.09</v>
      </c>
      <c r="Q1734">
        <v>72.57</v>
      </c>
      <c r="R1734">
        <v>108.82</v>
      </c>
      <c r="S1734">
        <v>143.21</v>
      </c>
    </row>
    <row r="1735" spans="1:19">
      <c r="A1735" s="1">
        <v>44881</v>
      </c>
      <c r="B1735" t="s">
        <v>791</v>
      </c>
      <c r="C1735" t="s">
        <v>792</v>
      </c>
      <c r="D1735">
        <v>24.93</v>
      </c>
      <c r="E1735">
        <v>25.0542</v>
      </c>
      <c r="F1735">
        <v>0.00498194945848382</v>
      </c>
      <c r="G1735">
        <f ca="1" t="shared" si="81"/>
        <v>-0.549816427223975</v>
      </c>
      <c r="H1735" t="str">
        <f ca="1" t="shared" si="82"/>
        <v>Risk-On</v>
      </c>
      <c r="I1735">
        <f ca="1" t="shared" si="83"/>
        <v>1</v>
      </c>
      <c r="J1735">
        <f>_xlfn.XLOOKUP($A1735,[1]Sheet1!$B$9:$B$2584,[1]Sheet1!$C$9:$C$2584,"N/A",0)</f>
        <v>106.5</v>
      </c>
      <c r="K1735">
        <f>_xlfn.XLOOKUP($A1735,[1]Sheet1!$E$9:$E$2584,[1]Sheet1!$F$9:$F$2584,"N/A",0)</f>
        <v>140.47</v>
      </c>
      <c r="L1735">
        <f>_xlfn.XLOOKUP($A1735,[1]Sheet1!$H$9:$H$2584,[1]Sheet1!$I$9:$I$2584,"N/A",0)</f>
        <v>71.64</v>
      </c>
      <c r="M1735">
        <f>_xlfn.XLOOKUP($A1735,[1]Sheet1!$K$9:$K$2584,[1]Sheet1!$L$9:$L$2584,"N/A",0)</f>
        <v>143.18</v>
      </c>
      <c r="N1735">
        <f>_xlfn.XLOOKUP($A1735,[1]Sheet1!$N$9:$N$2584,[1]Sheet1!$O$9:$O$2584,"N/A",0)</f>
        <v>109.47</v>
      </c>
      <c r="O1735">
        <v>106.5</v>
      </c>
      <c r="P1735">
        <v>140.47</v>
      </c>
      <c r="Q1735">
        <v>71.64</v>
      </c>
      <c r="R1735">
        <v>109.47</v>
      </c>
      <c r="S1735">
        <v>143.18</v>
      </c>
    </row>
    <row r="1736" spans="1:19">
      <c r="A1736" s="1">
        <v>44882</v>
      </c>
      <c r="B1736" t="s">
        <v>792</v>
      </c>
      <c r="C1736" t="s">
        <v>799</v>
      </c>
      <c r="D1736">
        <v>24.7666</v>
      </c>
      <c r="E1736">
        <v>26.6705</v>
      </c>
      <c r="F1736">
        <v>0.0768736927959429</v>
      </c>
      <c r="G1736">
        <f ca="1" t="shared" si="81"/>
        <v>1.16190239658099</v>
      </c>
      <c r="H1736" t="str">
        <f ca="1" t="shared" si="82"/>
        <v>Risk-On</v>
      </c>
      <c r="I1736">
        <f ca="1" t="shared" si="83"/>
        <v>1</v>
      </c>
      <c r="J1736">
        <f>_xlfn.XLOOKUP($A1736,[1]Sheet1!$B$9:$B$2584,[1]Sheet1!$C$9:$C$2584,"N/A",0)</f>
        <v>106.5</v>
      </c>
      <c r="K1736">
        <f>_xlfn.XLOOKUP($A1736,[1]Sheet1!$E$9:$E$2584,[1]Sheet1!$F$9:$F$2584,"N/A",0)</f>
        <v>142.39</v>
      </c>
      <c r="L1736">
        <f>_xlfn.XLOOKUP($A1736,[1]Sheet1!$H$9:$H$2584,[1]Sheet1!$I$9:$I$2584,"N/A",0)</f>
        <v>72.34</v>
      </c>
      <c r="M1736">
        <f>_xlfn.XLOOKUP($A1736,[1]Sheet1!$K$9:$K$2584,[1]Sheet1!$L$9:$L$2584,"N/A",0)</f>
        <v>143.61</v>
      </c>
      <c r="N1736">
        <f>_xlfn.XLOOKUP($A1736,[1]Sheet1!$N$9:$N$2584,[1]Sheet1!$O$9:$O$2584,"N/A",0)</f>
        <v>109.64</v>
      </c>
      <c r="O1736">
        <v>106.5</v>
      </c>
      <c r="P1736">
        <v>142.39</v>
      </c>
      <c r="Q1736">
        <v>72.34</v>
      </c>
      <c r="R1736">
        <v>109.64</v>
      </c>
      <c r="S1736">
        <v>143.61</v>
      </c>
    </row>
    <row r="1737" spans="1:19">
      <c r="A1737" s="1">
        <v>44883</v>
      </c>
      <c r="B1737" t="s">
        <v>792</v>
      </c>
      <c r="C1737" t="s">
        <v>799</v>
      </c>
      <c r="D1737">
        <v>24.515</v>
      </c>
      <c r="E1737">
        <v>26.5116</v>
      </c>
      <c r="F1737">
        <v>0.0814440138690597</v>
      </c>
      <c r="G1737">
        <f ca="1" t="shared" si="81"/>
        <v>1.2628435009154</v>
      </c>
      <c r="H1737" t="str">
        <f ca="1" t="shared" si="82"/>
        <v>Risk-On</v>
      </c>
      <c r="I1737">
        <f ca="1" t="shared" si="83"/>
        <v>1</v>
      </c>
      <c r="J1737">
        <f>_xlfn.XLOOKUP($A1737,[1]Sheet1!$B$9:$B$2584,[1]Sheet1!$C$9:$C$2584,"N/A",0)</f>
        <v>106.59</v>
      </c>
      <c r="K1737">
        <f>_xlfn.XLOOKUP($A1737,[1]Sheet1!$E$9:$E$2584,[1]Sheet1!$F$9:$F$2584,"N/A",0)</f>
        <v>143.16</v>
      </c>
      <c r="L1737">
        <f>_xlfn.XLOOKUP($A1737,[1]Sheet1!$H$9:$H$2584,[1]Sheet1!$I$9:$I$2584,"N/A",0)</f>
        <v>72.04</v>
      </c>
      <c r="M1737">
        <f>_xlfn.XLOOKUP($A1737,[1]Sheet1!$K$9:$K$2584,[1]Sheet1!$L$9:$L$2584,"N/A",0)</f>
        <v>143.29</v>
      </c>
      <c r="N1737">
        <f>_xlfn.XLOOKUP($A1737,[1]Sheet1!$N$9:$N$2584,[1]Sheet1!$O$9:$O$2584,"N/A",0)</f>
        <v>109.56</v>
      </c>
      <c r="O1737">
        <v>106.59</v>
      </c>
      <c r="P1737">
        <v>143.16</v>
      </c>
      <c r="Q1737">
        <v>72.04</v>
      </c>
      <c r="R1737">
        <v>109.56</v>
      </c>
      <c r="S1737">
        <v>143.29</v>
      </c>
    </row>
    <row r="1738" spans="1:19">
      <c r="A1738" s="1">
        <v>44886</v>
      </c>
      <c r="B1738" t="s">
        <v>792</v>
      </c>
      <c r="C1738" t="s">
        <v>799</v>
      </c>
      <c r="D1738">
        <v>23.8139</v>
      </c>
      <c r="E1738">
        <v>25.9522</v>
      </c>
      <c r="F1738">
        <v>0.0897920962127161</v>
      </c>
      <c r="G1738">
        <f ca="1" t="shared" si="81"/>
        <v>1.45174051114651</v>
      </c>
      <c r="H1738" t="str">
        <f ca="1" t="shared" si="82"/>
        <v>Risk-On</v>
      </c>
      <c r="I1738">
        <f ca="1" t="shared" si="83"/>
        <v>1</v>
      </c>
      <c r="J1738">
        <f>_xlfn.XLOOKUP($A1738,[1]Sheet1!$B$9:$B$2584,[1]Sheet1!$C$9:$C$2584,"N/A",0)</f>
        <v>106.54</v>
      </c>
      <c r="K1738">
        <f>_xlfn.XLOOKUP($A1738,[1]Sheet1!$E$9:$E$2584,[1]Sheet1!$F$9:$F$2584,"N/A",0)</f>
        <v>143.53</v>
      </c>
      <c r="L1738">
        <f>_xlfn.XLOOKUP($A1738,[1]Sheet1!$H$9:$H$2584,[1]Sheet1!$I$9:$I$2584,"N/A",0)</f>
        <v>72.13</v>
      </c>
      <c r="M1738">
        <f>_xlfn.XLOOKUP($A1738,[1]Sheet1!$K$9:$K$2584,[1]Sheet1!$L$9:$L$2584,"N/A",0)</f>
        <v>143.9</v>
      </c>
      <c r="N1738">
        <f>_xlfn.XLOOKUP($A1738,[1]Sheet1!$N$9:$N$2584,[1]Sheet1!$O$9:$O$2584,"N/A",0)</f>
        <v>109.42</v>
      </c>
      <c r="O1738">
        <v>106.54</v>
      </c>
      <c r="P1738">
        <v>143.53</v>
      </c>
      <c r="Q1738">
        <v>72.13</v>
      </c>
      <c r="R1738">
        <v>109.42</v>
      </c>
      <c r="S1738">
        <v>143.9</v>
      </c>
    </row>
    <row r="1739" spans="1:19">
      <c r="A1739" s="1">
        <v>44887</v>
      </c>
      <c r="B1739" t="s">
        <v>792</v>
      </c>
      <c r="C1739" t="s">
        <v>799</v>
      </c>
      <c r="D1739">
        <v>22.9505</v>
      </c>
      <c r="E1739">
        <v>25.2737</v>
      </c>
      <c r="F1739" s="2" t="s">
        <v>800</v>
      </c>
      <c r="G1739">
        <f ca="1" t="shared" si="81"/>
        <v>1.72485874738927</v>
      </c>
      <c r="H1739" t="str">
        <f ca="1" t="shared" si="82"/>
        <v>Risk-On</v>
      </c>
      <c r="I1739">
        <f ca="1" t="shared" si="83"/>
        <v>1</v>
      </c>
      <c r="J1739">
        <f>_xlfn.XLOOKUP($A1739,[1]Sheet1!$B$9:$B$2584,[1]Sheet1!$C$9:$C$2584,"N/A",0)</f>
        <v>106.72</v>
      </c>
      <c r="K1739">
        <f>_xlfn.XLOOKUP($A1739,[1]Sheet1!$E$9:$E$2584,[1]Sheet1!$F$9:$F$2584,"N/A",0)</f>
        <v>143.92</v>
      </c>
      <c r="L1739">
        <f>_xlfn.XLOOKUP($A1739,[1]Sheet1!$H$9:$H$2584,[1]Sheet1!$I$9:$I$2584,"N/A",0)</f>
        <v>72.89</v>
      </c>
      <c r="M1739">
        <f>_xlfn.XLOOKUP($A1739,[1]Sheet1!$K$9:$K$2584,[1]Sheet1!$L$9:$L$2584,"N/A",0)</f>
        <v>143.7</v>
      </c>
      <c r="N1739">
        <f>_xlfn.XLOOKUP($A1739,[1]Sheet1!$N$9:$N$2584,[1]Sheet1!$O$9:$O$2584,"N/A",0)</f>
        <v>109.63</v>
      </c>
      <c r="O1739">
        <v>106.72</v>
      </c>
      <c r="P1739">
        <v>143.92</v>
      </c>
      <c r="Q1739">
        <v>72.89</v>
      </c>
      <c r="R1739">
        <v>109.63</v>
      </c>
      <c r="S1739">
        <v>143.7</v>
      </c>
    </row>
    <row r="1740" spans="1:19">
      <c r="A1740" s="1">
        <v>44888</v>
      </c>
      <c r="B1740" t="s">
        <v>792</v>
      </c>
      <c r="C1740" t="s">
        <v>799</v>
      </c>
      <c r="D1740">
        <v>22.4026</v>
      </c>
      <c r="E1740">
        <v>24.8493</v>
      </c>
      <c r="F1740" s="2" t="s">
        <v>801</v>
      </c>
      <c r="G1740">
        <f ca="1" t="shared" si="81"/>
        <v>1.92996564131059</v>
      </c>
      <c r="H1740" t="str">
        <f ca="1" t="shared" si="82"/>
        <v>Risk-On</v>
      </c>
      <c r="I1740">
        <f ca="1" t="shared" si="83"/>
        <v>1</v>
      </c>
      <c r="J1740">
        <f>_xlfn.XLOOKUP($A1740,[1]Sheet1!$B$9:$B$2584,[1]Sheet1!$C$9:$C$2584,"N/A",0)</f>
        <v>106.87</v>
      </c>
      <c r="K1740">
        <f>_xlfn.XLOOKUP($A1740,[1]Sheet1!$E$9:$E$2584,[1]Sheet1!$F$9:$F$2584,"N/A",0)</f>
        <v>142.75</v>
      </c>
      <c r="L1740">
        <f>_xlfn.XLOOKUP($A1740,[1]Sheet1!$H$9:$H$2584,[1]Sheet1!$I$9:$I$2584,"N/A",0)</f>
        <v>72.28</v>
      </c>
      <c r="M1740">
        <f>_xlfn.XLOOKUP($A1740,[1]Sheet1!$K$9:$K$2584,[1]Sheet1!$L$9:$L$2584,"N/A",0)</f>
        <v>142.53</v>
      </c>
      <c r="N1740">
        <f>_xlfn.XLOOKUP($A1740,[1]Sheet1!$N$9:$N$2584,[1]Sheet1!$O$9:$O$2584,"N/A",0)</f>
        <v>109.73</v>
      </c>
      <c r="O1740">
        <v>106.87</v>
      </c>
      <c r="P1740">
        <v>142.75</v>
      </c>
      <c r="Q1740">
        <v>72.28</v>
      </c>
      <c r="R1740">
        <v>109.73</v>
      </c>
      <c r="S1740">
        <v>142.53</v>
      </c>
    </row>
    <row r="1741" spans="1:19">
      <c r="A1741" s="1">
        <v>44890</v>
      </c>
      <c r="B1741" t="s">
        <v>792</v>
      </c>
      <c r="C1741" t="s">
        <v>799</v>
      </c>
      <c r="D1741">
        <v>22.4869</v>
      </c>
      <c r="E1741">
        <v>25.1004</v>
      </c>
      <c r="F1741" s="2" t="s">
        <v>802</v>
      </c>
      <c r="G1741">
        <f ca="1" t="shared" si="81"/>
        <v>2.11976609408753</v>
      </c>
      <c r="H1741" t="str">
        <f ca="1" t="shared" si="82"/>
        <v>Risk-On</v>
      </c>
      <c r="I1741">
        <f ca="1" t="shared" si="83"/>
        <v>1</v>
      </c>
      <c r="J1741">
        <f>_xlfn.XLOOKUP($A1741,[1]Sheet1!$B$9:$B$2584,[1]Sheet1!$C$9:$C$2584,"N/A",0)</f>
        <v>107.06</v>
      </c>
      <c r="K1741">
        <f>_xlfn.XLOOKUP($A1741,[1]Sheet1!$E$9:$E$2584,[1]Sheet1!$F$9:$F$2584,"N/A",0)</f>
        <v>142.88</v>
      </c>
      <c r="L1741">
        <f>_xlfn.XLOOKUP($A1741,[1]Sheet1!$H$9:$H$2584,[1]Sheet1!$I$9:$I$2584,"N/A",0)</f>
        <v>72.64</v>
      </c>
      <c r="M1741">
        <f>_xlfn.XLOOKUP($A1741,[1]Sheet1!$K$9:$K$2584,[1]Sheet1!$L$9:$L$2584,"N/A",0)</f>
        <v>142.47</v>
      </c>
      <c r="N1741">
        <f>_xlfn.XLOOKUP($A1741,[1]Sheet1!$N$9:$N$2584,[1]Sheet1!$O$9:$O$2584,"N/A",0)</f>
        <v>109.34</v>
      </c>
      <c r="O1741">
        <v>107.06</v>
      </c>
      <c r="P1741">
        <v>142.88</v>
      </c>
      <c r="Q1741">
        <v>72.64</v>
      </c>
      <c r="R1741">
        <v>109.34</v>
      </c>
      <c r="S1741">
        <v>142.47</v>
      </c>
    </row>
    <row r="1742" spans="1:19">
      <c r="A1742" s="1">
        <v>44893</v>
      </c>
      <c r="B1742" t="s">
        <v>792</v>
      </c>
      <c r="C1742" t="s">
        <v>799</v>
      </c>
      <c r="D1742">
        <v>23.4033</v>
      </c>
      <c r="E1742">
        <v>25.8527</v>
      </c>
      <c r="F1742" s="2" t="s">
        <v>803</v>
      </c>
      <c r="G1742">
        <f ca="1" t="shared" si="81"/>
        <v>1.84260105284011</v>
      </c>
      <c r="H1742" t="str">
        <f ca="1" t="shared" si="82"/>
        <v>Risk-On</v>
      </c>
      <c r="I1742">
        <f ca="1" t="shared" si="83"/>
        <v>1</v>
      </c>
      <c r="J1742">
        <f>_xlfn.XLOOKUP($A1742,[1]Sheet1!$B$9:$B$2584,[1]Sheet1!$C$9:$C$2584,"N/A",0)</f>
        <v>107.13</v>
      </c>
      <c r="K1742">
        <f>_xlfn.XLOOKUP($A1742,[1]Sheet1!$E$9:$E$2584,[1]Sheet1!$F$9:$F$2584,"N/A",0)</f>
        <v>143.59</v>
      </c>
      <c r="L1742">
        <f>_xlfn.XLOOKUP($A1742,[1]Sheet1!$H$9:$H$2584,[1]Sheet1!$I$9:$I$2584,"N/A",0)</f>
        <v>72.06</v>
      </c>
      <c r="M1742">
        <f>_xlfn.XLOOKUP($A1742,[1]Sheet1!$K$9:$K$2584,[1]Sheet1!$L$9:$L$2584,"N/A",0)</f>
        <v>142.74</v>
      </c>
      <c r="N1742">
        <f>_xlfn.XLOOKUP($A1742,[1]Sheet1!$N$9:$N$2584,[1]Sheet1!$O$9:$O$2584,"N/A",0)</f>
        <v>109.74</v>
      </c>
      <c r="O1742">
        <v>107.13</v>
      </c>
      <c r="P1742">
        <v>143.59</v>
      </c>
      <c r="Q1742">
        <v>72.06</v>
      </c>
      <c r="R1742">
        <v>109.74</v>
      </c>
      <c r="S1742">
        <v>142.74</v>
      </c>
    </row>
    <row r="1743" spans="1:19">
      <c r="A1743" s="1">
        <v>44894</v>
      </c>
      <c r="B1743" t="s">
        <v>792</v>
      </c>
      <c r="C1743" t="s">
        <v>799</v>
      </c>
      <c r="D1743">
        <v>23.0397</v>
      </c>
      <c r="E1743">
        <v>25.4652</v>
      </c>
      <c r="F1743" s="2" t="s">
        <v>804</v>
      </c>
      <c r="G1743">
        <f ca="1" t="shared" si="81"/>
        <v>1.85732741775695</v>
      </c>
      <c r="H1743" t="str">
        <f ca="1" t="shared" si="82"/>
        <v>Risk-On</v>
      </c>
      <c r="I1743">
        <f ca="1" t="shared" si="83"/>
        <v>1</v>
      </c>
      <c r="J1743">
        <f>_xlfn.XLOOKUP($A1743,[1]Sheet1!$B$9:$B$2584,[1]Sheet1!$C$9:$C$2584,"N/A",0)</f>
        <v>106.97</v>
      </c>
      <c r="K1743">
        <f>_xlfn.XLOOKUP($A1743,[1]Sheet1!$E$9:$E$2584,[1]Sheet1!$F$9:$F$2584,"N/A",0)</f>
        <v>143.53</v>
      </c>
      <c r="L1743">
        <f>_xlfn.XLOOKUP($A1743,[1]Sheet1!$H$9:$H$2584,[1]Sheet1!$I$9:$I$2584,"N/A",0)</f>
        <v>72.75</v>
      </c>
      <c r="M1743">
        <f>_xlfn.XLOOKUP($A1743,[1]Sheet1!$K$9:$K$2584,[1]Sheet1!$L$9:$L$2584,"N/A",0)</f>
        <v>142.78</v>
      </c>
      <c r="N1743">
        <f>_xlfn.XLOOKUP($A1743,[1]Sheet1!$N$9:$N$2584,[1]Sheet1!$O$9:$O$2584,"N/A",0)</f>
        <v>110.01</v>
      </c>
      <c r="O1743">
        <v>106.97</v>
      </c>
      <c r="P1743">
        <v>143.53</v>
      </c>
      <c r="Q1743">
        <v>72.75</v>
      </c>
      <c r="R1743">
        <v>110.01</v>
      </c>
      <c r="S1743">
        <v>142.78</v>
      </c>
    </row>
    <row r="1744" spans="1:19">
      <c r="A1744" s="1">
        <v>44895</v>
      </c>
      <c r="B1744" t="s">
        <v>792</v>
      </c>
      <c r="C1744" t="s">
        <v>799</v>
      </c>
      <c r="D1744">
        <v>22.122</v>
      </c>
      <c r="E1744">
        <v>24.6671</v>
      </c>
      <c r="F1744" s="2" t="s">
        <v>805</v>
      </c>
      <c r="G1744">
        <f ca="1" t="shared" si="81"/>
        <v>2.0973185768643</v>
      </c>
      <c r="H1744" t="str">
        <f ca="1" t="shared" si="82"/>
        <v>Risk-On</v>
      </c>
      <c r="I1744">
        <f ca="1" t="shared" si="83"/>
        <v>1</v>
      </c>
      <c r="J1744">
        <f>_xlfn.XLOOKUP($A1744,[1]Sheet1!$B$9:$B$2584,[1]Sheet1!$C$9:$C$2584,"N/A",0)</f>
        <v>107.31</v>
      </c>
      <c r="K1744">
        <f>_xlfn.XLOOKUP($A1744,[1]Sheet1!$E$9:$E$2584,[1]Sheet1!$F$9:$F$2584,"N/A",0)</f>
        <v>142.31</v>
      </c>
      <c r="L1744">
        <f>_xlfn.XLOOKUP($A1744,[1]Sheet1!$H$9:$H$2584,[1]Sheet1!$I$9:$I$2584,"N/A",0)</f>
        <v>71.63</v>
      </c>
      <c r="M1744">
        <f>_xlfn.XLOOKUP($A1744,[1]Sheet1!$K$9:$K$2584,[1]Sheet1!$L$9:$L$2584,"N/A",0)</f>
        <v>144.18</v>
      </c>
      <c r="N1744">
        <f>_xlfn.XLOOKUP($A1744,[1]Sheet1!$N$9:$N$2584,[1]Sheet1!$O$9:$O$2584,"N/A",0)</f>
        <v>110.02</v>
      </c>
      <c r="O1744">
        <v>107.31</v>
      </c>
      <c r="P1744">
        <v>142.31</v>
      </c>
      <c r="Q1744">
        <v>71.63</v>
      </c>
      <c r="R1744">
        <v>110.02</v>
      </c>
      <c r="S1744">
        <v>144.18</v>
      </c>
    </row>
    <row r="1745" spans="1:19">
      <c r="A1745" s="1">
        <v>44896</v>
      </c>
      <c r="B1745" t="s">
        <v>792</v>
      </c>
      <c r="C1745" t="s">
        <v>799</v>
      </c>
      <c r="D1745">
        <v>21.5747</v>
      </c>
      <c r="E1745">
        <v>24.3418</v>
      </c>
      <c r="F1745" s="2" t="s">
        <v>806</v>
      </c>
      <c r="G1745">
        <f ca="1" t="shared" si="81"/>
        <v>2.41393370100393</v>
      </c>
      <c r="H1745" t="str">
        <f ca="1" t="shared" si="82"/>
        <v>Risk-On</v>
      </c>
      <c r="I1745">
        <f ca="1" t="shared" si="83"/>
        <v>1</v>
      </c>
      <c r="J1745">
        <f>_xlfn.XLOOKUP($A1745,[1]Sheet1!$B$9:$B$2584,[1]Sheet1!$C$9:$C$2584,"N/A",0)</f>
        <v>107.2</v>
      </c>
      <c r="K1745">
        <f>_xlfn.XLOOKUP($A1745,[1]Sheet1!$E$9:$E$2584,[1]Sheet1!$F$9:$F$2584,"N/A",0)</f>
        <v>140.67</v>
      </c>
      <c r="L1745">
        <f>_xlfn.XLOOKUP($A1745,[1]Sheet1!$H$9:$H$2584,[1]Sheet1!$I$9:$I$2584,"N/A",0)</f>
        <v>71.12</v>
      </c>
      <c r="M1745">
        <f>_xlfn.XLOOKUP($A1745,[1]Sheet1!$K$9:$K$2584,[1]Sheet1!$L$9:$L$2584,"N/A",0)</f>
        <v>143.28</v>
      </c>
      <c r="N1745">
        <f>_xlfn.XLOOKUP($A1745,[1]Sheet1!$N$9:$N$2584,[1]Sheet1!$O$9:$O$2584,"N/A",0)</f>
        <v>110.07</v>
      </c>
      <c r="O1745">
        <v>107.2</v>
      </c>
      <c r="P1745">
        <v>140.67</v>
      </c>
      <c r="Q1745">
        <v>71.12</v>
      </c>
      <c r="R1745">
        <v>110.07</v>
      </c>
      <c r="S1745">
        <v>143.28</v>
      </c>
    </row>
    <row r="1746" spans="1:19">
      <c r="A1746" s="1">
        <v>44897</v>
      </c>
      <c r="B1746" t="s">
        <v>792</v>
      </c>
      <c r="C1746" t="s">
        <v>799</v>
      </c>
      <c r="D1746">
        <v>21.2041</v>
      </c>
      <c r="E1746">
        <v>23.878</v>
      </c>
      <c r="F1746" s="2" t="s">
        <v>807</v>
      </c>
      <c r="G1746">
        <f ca="1" t="shared" si="81"/>
        <v>2.35445336080717</v>
      </c>
      <c r="H1746" t="str">
        <f ca="1" t="shared" si="82"/>
        <v>Risk-On</v>
      </c>
      <c r="I1746">
        <f ca="1" t="shared" si="83"/>
        <v>1</v>
      </c>
      <c r="J1746">
        <f>_xlfn.XLOOKUP($A1746,[1]Sheet1!$B$9:$B$2584,[1]Sheet1!$C$9:$C$2584,"N/A",0)</f>
        <v>107.61</v>
      </c>
      <c r="K1746">
        <f>_xlfn.XLOOKUP($A1746,[1]Sheet1!$E$9:$E$2584,[1]Sheet1!$F$9:$F$2584,"N/A",0)</f>
        <v>141.21</v>
      </c>
      <c r="L1746">
        <f>_xlfn.XLOOKUP($A1746,[1]Sheet1!$H$9:$H$2584,[1]Sheet1!$I$9:$I$2584,"N/A",0)</f>
        <v>70.5</v>
      </c>
      <c r="M1746">
        <f>_xlfn.XLOOKUP($A1746,[1]Sheet1!$K$9:$K$2584,[1]Sheet1!$L$9:$L$2584,"N/A",0)</f>
        <v>143.84</v>
      </c>
      <c r="N1746">
        <f>_xlfn.XLOOKUP($A1746,[1]Sheet1!$N$9:$N$2584,[1]Sheet1!$O$9:$O$2584,"N/A",0)</f>
        <v>109.3</v>
      </c>
      <c r="O1746">
        <v>107.61</v>
      </c>
      <c r="P1746">
        <v>141.21</v>
      </c>
      <c r="Q1746">
        <v>70.5</v>
      </c>
      <c r="R1746">
        <v>109.3</v>
      </c>
      <c r="S1746">
        <v>143.84</v>
      </c>
    </row>
    <row r="1747" spans="1:19">
      <c r="A1747" s="1">
        <v>44900</v>
      </c>
      <c r="B1747" t="s">
        <v>792</v>
      </c>
      <c r="C1747" t="s">
        <v>799</v>
      </c>
      <c r="D1747">
        <v>21.6851</v>
      </c>
      <c r="E1747">
        <v>24.2994</v>
      </c>
      <c r="F1747" s="2" t="s">
        <v>808</v>
      </c>
      <c r="G1747">
        <f ca="1" t="shared" si="81"/>
        <v>2.22178902321346</v>
      </c>
      <c r="H1747" t="str">
        <f ca="1" t="shared" si="82"/>
        <v>Risk-On</v>
      </c>
      <c r="I1747">
        <f ca="1" t="shared" si="83"/>
        <v>1</v>
      </c>
      <c r="J1747">
        <f>_xlfn.XLOOKUP($A1747,[1]Sheet1!$B$9:$B$2584,[1]Sheet1!$C$9:$C$2584,"N/A",0)</f>
        <v>107.66</v>
      </c>
      <c r="K1747">
        <f>_xlfn.XLOOKUP($A1747,[1]Sheet1!$E$9:$E$2584,[1]Sheet1!$F$9:$F$2584,"N/A",0)</f>
        <v>141.76</v>
      </c>
      <c r="L1747">
        <f>_xlfn.XLOOKUP($A1747,[1]Sheet1!$H$9:$H$2584,[1]Sheet1!$I$9:$I$2584,"N/A",0)</f>
        <v>70.35</v>
      </c>
      <c r="M1747">
        <f>_xlfn.XLOOKUP($A1747,[1]Sheet1!$K$9:$K$2584,[1]Sheet1!$L$9:$L$2584,"N/A",0)</f>
        <v>144.41</v>
      </c>
      <c r="N1747">
        <f>_xlfn.XLOOKUP($A1747,[1]Sheet1!$N$9:$N$2584,[1]Sheet1!$O$9:$O$2584,"N/A",0)</f>
        <v>110.07</v>
      </c>
      <c r="O1747">
        <v>107.66</v>
      </c>
      <c r="P1747">
        <v>141.76</v>
      </c>
      <c r="Q1747">
        <v>70.35</v>
      </c>
      <c r="R1747">
        <v>110.07</v>
      </c>
      <c r="S1747">
        <v>144.41</v>
      </c>
    </row>
    <row r="1748" spans="1:19">
      <c r="A1748" s="1">
        <v>44901</v>
      </c>
      <c r="B1748" t="s">
        <v>792</v>
      </c>
      <c r="C1748" t="s">
        <v>799</v>
      </c>
      <c r="D1748">
        <v>22.4502</v>
      </c>
      <c r="E1748">
        <v>24.7988</v>
      </c>
      <c r="F1748" s="2" t="s">
        <v>809</v>
      </c>
      <c r="G1748">
        <f ca="1" t="shared" si="81"/>
        <v>1.83377674270586</v>
      </c>
      <c r="H1748" t="str">
        <f ca="1" t="shared" si="82"/>
        <v>Risk-On</v>
      </c>
      <c r="I1748">
        <f ca="1" t="shared" si="83"/>
        <v>1</v>
      </c>
      <c r="J1748">
        <f>_xlfn.XLOOKUP($A1748,[1]Sheet1!$B$9:$B$2584,[1]Sheet1!$C$9:$C$2584,"N/A",0)</f>
        <v>107.45</v>
      </c>
      <c r="K1748">
        <f>_xlfn.XLOOKUP($A1748,[1]Sheet1!$E$9:$E$2584,[1]Sheet1!$F$9:$F$2584,"N/A",0)</f>
        <v>141.94</v>
      </c>
      <c r="L1748">
        <f>_xlfn.XLOOKUP($A1748,[1]Sheet1!$H$9:$H$2584,[1]Sheet1!$I$9:$I$2584,"N/A",0)</f>
        <v>70.28</v>
      </c>
      <c r="M1748">
        <f>_xlfn.XLOOKUP($A1748,[1]Sheet1!$K$9:$K$2584,[1]Sheet1!$L$9:$L$2584,"N/A",0)</f>
        <v>145.15</v>
      </c>
      <c r="N1748">
        <f>_xlfn.XLOOKUP($A1748,[1]Sheet1!$N$9:$N$2584,[1]Sheet1!$O$9:$O$2584,"N/A",0)</f>
        <v>110.41</v>
      </c>
      <c r="O1748">
        <v>107.45</v>
      </c>
      <c r="P1748">
        <v>141.94</v>
      </c>
      <c r="Q1748">
        <v>70.28</v>
      </c>
      <c r="R1748">
        <v>110.41</v>
      </c>
      <c r="S1748">
        <v>145.15</v>
      </c>
    </row>
    <row r="1749" spans="1:19">
      <c r="A1749" s="1">
        <v>44902</v>
      </c>
      <c r="B1749" t="s">
        <v>792</v>
      </c>
      <c r="C1749" t="s">
        <v>799</v>
      </c>
      <c r="D1749">
        <v>22.8621</v>
      </c>
      <c r="E1749">
        <v>25.1489</v>
      </c>
      <c r="F1749" s="2" t="s">
        <v>810</v>
      </c>
      <c r="G1749">
        <f ca="1" t="shared" si="81"/>
        <v>1.7196066351706</v>
      </c>
      <c r="H1749" t="str">
        <f ca="1" t="shared" si="82"/>
        <v>Risk-On</v>
      </c>
      <c r="I1749">
        <f ca="1" t="shared" si="83"/>
        <v>1</v>
      </c>
      <c r="J1749">
        <f>_xlfn.XLOOKUP($A1749,[1]Sheet1!$B$9:$B$2584,[1]Sheet1!$C$9:$C$2584,"N/A",0)</f>
        <v>107.21</v>
      </c>
      <c r="K1749">
        <f>_xlfn.XLOOKUP($A1749,[1]Sheet1!$E$9:$E$2584,[1]Sheet1!$F$9:$F$2584,"N/A",0)</f>
        <v>142.23</v>
      </c>
      <c r="L1749">
        <f>_xlfn.XLOOKUP($A1749,[1]Sheet1!$H$9:$H$2584,[1]Sheet1!$I$9:$I$2584,"N/A",0)</f>
        <v>70.69</v>
      </c>
      <c r="M1749">
        <f>_xlfn.XLOOKUP($A1749,[1]Sheet1!$K$9:$K$2584,[1]Sheet1!$L$9:$L$2584,"N/A",0)</f>
        <v>144.84</v>
      </c>
      <c r="N1749">
        <f>_xlfn.XLOOKUP($A1749,[1]Sheet1!$N$9:$N$2584,[1]Sheet1!$O$9:$O$2584,"N/A",0)</f>
        <v>110.9</v>
      </c>
      <c r="O1749">
        <v>107.21</v>
      </c>
      <c r="P1749">
        <v>142.23</v>
      </c>
      <c r="Q1749">
        <v>70.69</v>
      </c>
      <c r="R1749">
        <v>110.9</v>
      </c>
      <c r="S1749">
        <v>144.84</v>
      </c>
    </row>
    <row r="1750" spans="1:19">
      <c r="A1750" s="1">
        <v>44903</v>
      </c>
      <c r="B1750" t="s">
        <v>792</v>
      </c>
      <c r="C1750" t="s">
        <v>799</v>
      </c>
      <c r="D1750">
        <v>22.3978</v>
      </c>
      <c r="E1750">
        <v>24.6494</v>
      </c>
      <c r="F1750" s="2" t="s">
        <v>811</v>
      </c>
      <c r="G1750">
        <f ca="1" t="shared" si="81"/>
        <v>1.73884544950116</v>
      </c>
      <c r="H1750" t="str">
        <f ca="1" t="shared" si="82"/>
        <v>Risk-On</v>
      </c>
      <c r="I1750">
        <f ca="1" t="shared" si="83"/>
        <v>1</v>
      </c>
      <c r="J1750">
        <f>_xlfn.XLOOKUP($A1750,[1]Sheet1!$B$9:$B$2584,[1]Sheet1!$C$9:$C$2584,"N/A",0)</f>
        <v>106.94</v>
      </c>
      <c r="K1750">
        <f>_xlfn.XLOOKUP($A1750,[1]Sheet1!$E$9:$E$2584,[1]Sheet1!$F$9:$F$2584,"N/A",0)</f>
        <v>141.64</v>
      </c>
      <c r="L1750">
        <f>_xlfn.XLOOKUP($A1750,[1]Sheet1!$H$9:$H$2584,[1]Sheet1!$I$9:$I$2584,"N/A",0)</f>
        <v>70.62</v>
      </c>
      <c r="M1750">
        <f>_xlfn.XLOOKUP($A1750,[1]Sheet1!$K$9:$K$2584,[1]Sheet1!$L$9:$L$2584,"N/A",0)</f>
        <v>144.92</v>
      </c>
      <c r="N1750">
        <f>_xlfn.XLOOKUP($A1750,[1]Sheet1!$N$9:$N$2584,[1]Sheet1!$O$9:$O$2584,"N/A",0)</f>
        <v>110.73</v>
      </c>
      <c r="O1750">
        <v>106.94</v>
      </c>
      <c r="P1750">
        <v>141.64</v>
      </c>
      <c r="Q1750">
        <v>70.62</v>
      </c>
      <c r="R1750">
        <v>110.73</v>
      </c>
      <c r="S1750">
        <v>144.92</v>
      </c>
    </row>
    <row r="1751" spans="1:19">
      <c r="A1751" s="1">
        <v>44904</v>
      </c>
      <c r="B1751" t="s">
        <v>792</v>
      </c>
      <c r="C1751" t="s">
        <v>799</v>
      </c>
      <c r="D1751">
        <v>23.1016</v>
      </c>
      <c r="E1751">
        <v>25.0979</v>
      </c>
      <c r="F1751">
        <v>0.0864139280396162</v>
      </c>
      <c r="G1751">
        <f ca="1" t="shared" si="81"/>
        <v>1.40240395623251</v>
      </c>
      <c r="H1751" t="str">
        <f ca="1" t="shared" si="82"/>
        <v>Risk-On</v>
      </c>
      <c r="I1751">
        <f ca="1" t="shared" si="83"/>
        <v>1</v>
      </c>
      <c r="J1751">
        <f>_xlfn.XLOOKUP($A1751,[1]Sheet1!$B$9:$B$2584,[1]Sheet1!$C$9:$C$2584,"N/A",0)</f>
        <v>106.9</v>
      </c>
      <c r="K1751">
        <f>_xlfn.XLOOKUP($A1751,[1]Sheet1!$E$9:$E$2584,[1]Sheet1!$F$9:$F$2584,"N/A",0)</f>
        <v>140.56</v>
      </c>
      <c r="L1751">
        <f>_xlfn.XLOOKUP($A1751,[1]Sheet1!$H$9:$H$2584,[1]Sheet1!$I$9:$I$2584,"N/A",0)</f>
        <v>71.05</v>
      </c>
      <c r="M1751">
        <f>_xlfn.XLOOKUP($A1751,[1]Sheet1!$K$9:$K$2584,[1]Sheet1!$L$9:$L$2584,"N/A",0)</f>
        <v>144.49</v>
      </c>
      <c r="N1751">
        <f>_xlfn.XLOOKUP($A1751,[1]Sheet1!$N$9:$N$2584,[1]Sheet1!$O$9:$O$2584,"N/A",0)</f>
        <v>110.88</v>
      </c>
      <c r="O1751">
        <v>106.9</v>
      </c>
      <c r="P1751">
        <v>140.56</v>
      </c>
      <c r="Q1751">
        <v>71.05</v>
      </c>
      <c r="R1751">
        <v>110.88</v>
      </c>
      <c r="S1751">
        <v>144.49</v>
      </c>
    </row>
    <row r="1752" spans="1:19">
      <c r="A1752" s="1">
        <v>44907</v>
      </c>
      <c r="B1752" t="s">
        <v>792</v>
      </c>
      <c r="C1752" t="s">
        <v>799</v>
      </c>
      <c r="D1752">
        <v>23.1023</v>
      </c>
      <c r="E1752">
        <v>24.9368</v>
      </c>
      <c r="F1752">
        <v>0.0794076780234003</v>
      </c>
      <c r="G1752">
        <f ca="1" t="shared" si="81"/>
        <v>1.23773043175312</v>
      </c>
      <c r="H1752" t="str">
        <f ca="1" t="shared" si="82"/>
        <v>Risk-On</v>
      </c>
      <c r="I1752">
        <f ca="1" t="shared" si="83"/>
        <v>1</v>
      </c>
      <c r="J1752">
        <f>_xlfn.XLOOKUP($A1752,[1]Sheet1!$B$9:$B$2584,[1]Sheet1!$C$9:$C$2584,"N/A",0)</f>
        <v>106.7</v>
      </c>
      <c r="K1752">
        <f>_xlfn.XLOOKUP($A1752,[1]Sheet1!$E$9:$E$2584,[1]Sheet1!$F$9:$F$2584,"N/A",0)</f>
        <v>140.36</v>
      </c>
      <c r="L1752">
        <f>_xlfn.XLOOKUP($A1752,[1]Sheet1!$H$9:$H$2584,[1]Sheet1!$I$9:$I$2584,"N/A",0)</f>
        <v>70.88</v>
      </c>
      <c r="M1752">
        <f>_xlfn.XLOOKUP($A1752,[1]Sheet1!$K$9:$K$2584,[1]Sheet1!$L$9:$L$2584,"N/A",0)</f>
        <v>145.29</v>
      </c>
      <c r="N1752">
        <f>_xlfn.XLOOKUP($A1752,[1]Sheet1!$N$9:$N$2584,[1]Sheet1!$O$9:$O$2584,"N/A",0)</f>
        <v>111.33</v>
      </c>
      <c r="O1752">
        <v>106.7</v>
      </c>
      <c r="P1752">
        <v>140.36</v>
      </c>
      <c r="Q1752">
        <v>70.88</v>
      </c>
      <c r="R1752">
        <v>111.33</v>
      </c>
      <c r="S1752">
        <v>145.29</v>
      </c>
    </row>
    <row r="1753" spans="1:19">
      <c r="A1753" s="1">
        <v>44908</v>
      </c>
      <c r="B1753" t="s">
        <v>792</v>
      </c>
      <c r="C1753" t="s">
        <v>799</v>
      </c>
      <c r="D1753">
        <v>21.6885</v>
      </c>
      <c r="E1753">
        <v>23.9474</v>
      </c>
      <c r="F1753" s="2" t="s">
        <v>812</v>
      </c>
      <c r="G1753">
        <f ca="1" t="shared" si="81"/>
        <v>1.8183841462341</v>
      </c>
      <c r="H1753" t="str">
        <f ca="1" t="shared" si="82"/>
        <v>Risk-On</v>
      </c>
      <c r="I1753">
        <f ca="1" t="shared" si="83"/>
        <v>1</v>
      </c>
      <c r="J1753">
        <f>_xlfn.XLOOKUP($A1753,[1]Sheet1!$B$9:$B$2584,[1]Sheet1!$C$9:$C$2584,"N/A",0)</f>
        <v>107.2</v>
      </c>
      <c r="K1753">
        <f>_xlfn.XLOOKUP($A1753,[1]Sheet1!$E$9:$E$2584,[1]Sheet1!$F$9:$F$2584,"N/A",0)</f>
        <v>138.32</v>
      </c>
      <c r="L1753">
        <f>_xlfn.XLOOKUP($A1753,[1]Sheet1!$H$9:$H$2584,[1]Sheet1!$I$9:$I$2584,"N/A",0)</f>
        <v>71.27</v>
      </c>
      <c r="M1753">
        <f>_xlfn.XLOOKUP($A1753,[1]Sheet1!$K$9:$K$2584,[1]Sheet1!$L$9:$L$2584,"N/A",0)</f>
        <v>146.7</v>
      </c>
      <c r="N1753">
        <f>_xlfn.XLOOKUP($A1753,[1]Sheet1!$N$9:$N$2584,[1]Sheet1!$O$9:$O$2584,"N/A",0)</f>
        <v>111.41</v>
      </c>
      <c r="O1753">
        <v>107.2</v>
      </c>
      <c r="P1753">
        <v>138.32</v>
      </c>
      <c r="Q1753">
        <v>71.27</v>
      </c>
      <c r="R1753">
        <v>111.41</v>
      </c>
      <c r="S1753">
        <v>146.7</v>
      </c>
    </row>
    <row r="1754" spans="1:19">
      <c r="A1754" s="1">
        <v>44909</v>
      </c>
      <c r="B1754" t="s">
        <v>792</v>
      </c>
      <c r="C1754" t="s">
        <v>799</v>
      </c>
      <c r="D1754">
        <v>20.6262</v>
      </c>
      <c r="E1754">
        <v>23.2012</v>
      </c>
      <c r="F1754" s="2" t="s">
        <v>813</v>
      </c>
      <c r="G1754">
        <f ca="1" t="shared" si="81"/>
        <v>2.31142475174992</v>
      </c>
      <c r="H1754" t="str">
        <f ca="1" t="shared" si="82"/>
        <v>Risk-On</v>
      </c>
      <c r="I1754">
        <f ca="1" t="shared" si="83"/>
        <v>1</v>
      </c>
      <c r="J1754">
        <f>_xlfn.XLOOKUP($A1754,[1]Sheet1!$B$9:$B$2584,[1]Sheet1!$C$9:$C$2584,"N/A",0)</f>
        <v>106.83</v>
      </c>
      <c r="K1754">
        <f>_xlfn.XLOOKUP($A1754,[1]Sheet1!$E$9:$E$2584,[1]Sheet1!$F$9:$F$2584,"N/A",0)</f>
        <v>138.59</v>
      </c>
      <c r="L1754">
        <f>_xlfn.XLOOKUP($A1754,[1]Sheet1!$H$9:$H$2584,[1]Sheet1!$I$9:$I$2584,"N/A",0)</f>
        <v>70.79</v>
      </c>
      <c r="M1754">
        <f>_xlfn.XLOOKUP($A1754,[1]Sheet1!$K$9:$K$2584,[1]Sheet1!$L$9:$L$2584,"N/A",0)</f>
        <v>146.56</v>
      </c>
      <c r="N1754">
        <f>_xlfn.XLOOKUP($A1754,[1]Sheet1!$N$9:$N$2584,[1]Sheet1!$O$9:$O$2584,"N/A",0)</f>
        <v>111.5</v>
      </c>
      <c r="O1754">
        <v>106.83</v>
      </c>
      <c r="P1754">
        <v>138.59</v>
      </c>
      <c r="Q1754">
        <v>70.79</v>
      </c>
      <c r="R1754">
        <v>111.5</v>
      </c>
      <c r="S1754">
        <v>146.56</v>
      </c>
    </row>
    <row r="1755" spans="1:19">
      <c r="A1755" s="1">
        <v>44910</v>
      </c>
      <c r="B1755" t="s">
        <v>792</v>
      </c>
      <c r="C1755" t="s">
        <v>799</v>
      </c>
      <c r="D1755">
        <v>22.3075</v>
      </c>
      <c r="E1755">
        <v>24.62</v>
      </c>
      <c r="F1755" s="2" t="s">
        <v>814</v>
      </c>
      <c r="G1755">
        <f ca="1" t="shared" si="81"/>
        <v>1.80677181739722</v>
      </c>
      <c r="H1755" t="str">
        <f ca="1" t="shared" si="82"/>
        <v>Risk-On</v>
      </c>
      <c r="I1755">
        <f ca="1" t="shared" si="83"/>
        <v>1</v>
      </c>
      <c r="J1755">
        <f>_xlfn.XLOOKUP($A1755,[1]Sheet1!$B$9:$B$2584,[1]Sheet1!$C$9:$C$2584,"N/A",0)</f>
        <v>106.33</v>
      </c>
      <c r="K1755">
        <f>_xlfn.XLOOKUP($A1755,[1]Sheet1!$E$9:$E$2584,[1]Sheet1!$F$9:$F$2584,"N/A",0)</f>
        <v>138.74</v>
      </c>
      <c r="L1755">
        <f>_xlfn.XLOOKUP($A1755,[1]Sheet1!$H$9:$H$2584,[1]Sheet1!$I$9:$I$2584,"N/A",0)</f>
        <v>70.95</v>
      </c>
      <c r="M1755">
        <f>_xlfn.XLOOKUP($A1755,[1]Sheet1!$K$9:$K$2584,[1]Sheet1!$L$9:$L$2584,"N/A",0)</f>
        <v>146.89</v>
      </c>
      <c r="N1755">
        <f>_xlfn.XLOOKUP($A1755,[1]Sheet1!$N$9:$N$2584,[1]Sheet1!$O$9:$O$2584,"N/A",0)</f>
        <v>111.53</v>
      </c>
      <c r="O1755">
        <v>106.33</v>
      </c>
      <c r="P1755">
        <v>138.74</v>
      </c>
      <c r="Q1755">
        <v>70.95</v>
      </c>
      <c r="R1755">
        <v>111.53</v>
      </c>
      <c r="S1755">
        <v>146.89</v>
      </c>
    </row>
    <row r="1756" spans="1:19">
      <c r="A1756" s="1">
        <v>44911</v>
      </c>
      <c r="B1756" t="s">
        <v>792</v>
      </c>
      <c r="C1756" t="s">
        <v>799</v>
      </c>
      <c r="D1756">
        <v>22.4507</v>
      </c>
      <c r="E1756">
        <v>24.681</v>
      </c>
      <c r="F1756">
        <v>0.0993421140543501</v>
      </c>
      <c r="G1756">
        <f ca="1" t="shared" si="81"/>
        <v>1.70376162031348</v>
      </c>
      <c r="H1756" t="str">
        <f ca="1" t="shared" si="82"/>
        <v>Risk-On</v>
      </c>
      <c r="I1756">
        <f ca="1" t="shared" si="83"/>
        <v>1</v>
      </c>
      <c r="J1756">
        <f>_xlfn.XLOOKUP($A1756,[1]Sheet1!$B$9:$B$2584,[1]Sheet1!$C$9:$C$2584,"N/A",0)</f>
        <v>106.02</v>
      </c>
      <c r="K1756">
        <f>_xlfn.XLOOKUP($A1756,[1]Sheet1!$E$9:$E$2584,[1]Sheet1!$F$9:$F$2584,"N/A",0)</f>
        <v>140.13</v>
      </c>
      <c r="L1756">
        <f>_xlfn.XLOOKUP($A1756,[1]Sheet1!$H$9:$H$2584,[1]Sheet1!$I$9:$I$2584,"N/A",0)</f>
        <v>70.62</v>
      </c>
      <c r="M1756">
        <f>_xlfn.XLOOKUP($A1756,[1]Sheet1!$K$9:$K$2584,[1]Sheet1!$L$9:$L$2584,"N/A",0)</f>
        <v>147.02</v>
      </c>
      <c r="N1756">
        <f>_xlfn.XLOOKUP($A1756,[1]Sheet1!$N$9:$N$2584,[1]Sheet1!$O$9:$O$2584,"N/A",0)</f>
        <v>111.05</v>
      </c>
      <c r="O1756">
        <v>106.02</v>
      </c>
      <c r="P1756">
        <v>140.13</v>
      </c>
      <c r="Q1756">
        <v>70.62</v>
      </c>
      <c r="R1756">
        <v>111.05</v>
      </c>
      <c r="S1756">
        <v>147.02</v>
      </c>
    </row>
    <row r="1757" spans="1:19">
      <c r="A1757" s="1">
        <v>44914</v>
      </c>
      <c r="B1757" t="s">
        <v>792</v>
      </c>
      <c r="C1757" t="s">
        <v>799</v>
      </c>
      <c r="D1757">
        <v>22.147</v>
      </c>
      <c r="E1757">
        <v>24.0198</v>
      </c>
      <c r="F1757">
        <v>0.084562243193209</v>
      </c>
      <c r="G1757">
        <f ca="1" t="shared" si="81"/>
        <v>1.33449939251163</v>
      </c>
      <c r="H1757" t="str">
        <f ca="1" t="shared" si="82"/>
        <v>Risk-On</v>
      </c>
      <c r="I1757">
        <f ca="1" t="shared" si="83"/>
        <v>1</v>
      </c>
      <c r="J1757">
        <f>_xlfn.XLOOKUP($A1757,[1]Sheet1!$B$9:$B$2584,[1]Sheet1!$C$9:$C$2584,"N/A",0)</f>
        <v>104.97</v>
      </c>
      <c r="K1757">
        <f>_xlfn.XLOOKUP($A1757,[1]Sheet1!$E$9:$E$2584,[1]Sheet1!$F$9:$F$2584,"N/A",0)</f>
        <v>140.85</v>
      </c>
      <c r="L1757">
        <f>_xlfn.XLOOKUP($A1757,[1]Sheet1!$H$9:$H$2584,[1]Sheet1!$I$9:$I$2584,"N/A",0)</f>
        <v>70.77</v>
      </c>
      <c r="M1757">
        <f>_xlfn.XLOOKUP($A1757,[1]Sheet1!$K$9:$K$2584,[1]Sheet1!$L$9:$L$2584,"N/A",0)</f>
        <v>147.32</v>
      </c>
      <c r="N1757">
        <f>_xlfn.XLOOKUP($A1757,[1]Sheet1!$N$9:$N$2584,[1]Sheet1!$O$9:$O$2584,"N/A",0)</f>
        <v>111.64</v>
      </c>
      <c r="O1757">
        <v>104.97</v>
      </c>
      <c r="P1757">
        <v>140.85</v>
      </c>
      <c r="Q1757">
        <v>70.77</v>
      </c>
      <c r="R1757">
        <v>111.64</v>
      </c>
      <c r="S1757">
        <v>147.32</v>
      </c>
    </row>
    <row r="1758" spans="1:19">
      <c r="A1758" s="1">
        <v>44915</v>
      </c>
      <c r="B1758" t="s">
        <v>792</v>
      </c>
      <c r="C1758" t="s">
        <v>799</v>
      </c>
      <c r="D1758">
        <v>21.4848</v>
      </c>
      <c r="E1758">
        <v>23.9359</v>
      </c>
      <c r="F1758" s="2" t="s">
        <v>815</v>
      </c>
      <c r="G1758">
        <f ca="1" t="shared" si="81"/>
        <v>2.02215309646484</v>
      </c>
      <c r="H1758" t="str">
        <f ca="1" t="shared" si="82"/>
        <v>Risk-On</v>
      </c>
      <c r="I1758">
        <f ca="1" t="shared" si="83"/>
        <v>1</v>
      </c>
      <c r="J1758">
        <f>_xlfn.XLOOKUP($A1758,[1]Sheet1!$B$9:$B$2584,[1]Sheet1!$C$9:$C$2584,"N/A",0)</f>
        <v>105.33</v>
      </c>
      <c r="K1758">
        <f>_xlfn.XLOOKUP($A1758,[1]Sheet1!$E$9:$E$2584,[1]Sheet1!$F$9:$F$2584,"N/A",0)</f>
        <v>140.91</v>
      </c>
      <c r="L1758">
        <f>_xlfn.XLOOKUP($A1758,[1]Sheet1!$H$9:$H$2584,[1]Sheet1!$I$9:$I$2584,"N/A",0)</f>
        <v>70.85</v>
      </c>
      <c r="M1758">
        <f>_xlfn.XLOOKUP($A1758,[1]Sheet1!$K$9:$K$2584,[1]Sheet1!$L$9:$L$2584,"N/A",0)</f>
        <v>147.39</v>
      </c>
      <c r="N1758">
        <f>_xlfn.XLOOKUP($A1758,[1]Sheet1!$N$9:$N$2584,[1]Sheet1!$O$9:$O$2584,"N/A",0)</f>
        <v>111.16</v>
      </c>
      <c r="O1758">
        <v>105.33</v>
      </c>
      <c r="P1758">
        <v>140.91</v>
      </c>
      <c r="Q1758">
        <v>70.85</v>
      </c>
      <c r="R1758">
        <v>111.16</v>
      </c>
      <c r="S1758">
        <v>147.39</v>
      </c>
    </row>
    <row r="1759" spans="1:19">
      <c r="A1759" s="1">
        <v>44916</v>
      </c>
      <c r="B1759" t="s">
        <v>792</v>
      </c>
      <c r="C1759" t="s">
        <v>799</v>
      </c>
      <c r="D1759">
        <v>20.25</v>
      </c>
      <c r="E1759">
        <v>23.0131</v>
      </c>
      <c r="F1759" s="2" t="s">
        <v>816</v>
      </c>
      <c r="G1759">
        <f ca="1" t="shared" si="81"/>
        <v>2.55450279485715</v>
      </c>
      <c r="H1759" t="str">
        <f ca="1" t="shared" si="82"/>
        <v>Risk-On</v>
      </c>
      <c r="I1759">
        <f ca="1" t="shared" si="83"/>
        <v>1</v>
      </c>
      <c r="J1759">
        <f>_xlfn.XLOOKUP($A1759,[1]Sheet1!$B$9:$B$2584,[1]Sheet1!$C$9:$C$2584,"N/A",0)</f>
        <v>105.35</v>
      </c>
      <c r="K1759">
        <f>_xlfn.XLOOKUP($A1759,[1]Sheet1!$E$9:$E$2584,[1]Sheet1!$F$9:$F$2584,"N/A",0)</f>
        <v>140.68</v>
      </c>
      <c r="L1759">
        <f>_xlfn.XLOOKUP($A1759,[1]Sheet1!$H$9:$H$2584,[1]Sheet1!$I$9:$I$2584,"N/A",0)</f>
        <v>70.67</v>
      </c>
      <c r="M1759">
        <f>_xlfn.XLOOKUP($A1759,[1]Sheet1!$K$9:$K$2584,[1]Sheet1!$L$9:$L$2584,"N/A",0)</f>
        <v>148.27</v>
      </c>
      <c r="N1759">
        <f>_xlfn.XLOOKUP($A1759,[1]Sheet1!$N$9:$N$2584,[1]Sheet1!$O$9:$O$2584,"N/A",0)</f>
        <v>111.25</v>
      </c>
      <c r="O1759">
        <v>105.35</v>
      </c>
      <c r="P1759">
        <v>140.68</v>
      </c>
      <c r="Q1759">
        <v>70.67</v>
      </c>
      <c r="R1759">
        <v>111.25</v>
      </c>
      <c r="S1759">
        <v>148.27</v>
      </c>
    </row>
    <row r="1760" spans="1:19">
      <c r="A1760" s="1">
        <v>44917</v>
      </c>
      <c r="B1760" t="s">
        <v>799</v>
      </c>
      <c r="C1760" t="s">
        <v>817</v>
      </c>
      <c r="D1760">
        <v>24.2555</v>
      </c>
      <c r="E1760">
        <v>25.301</v>
      </c>
      <c r="F1760">
        <v>0.0431036259817359</v>
      </c>
      <c r="G1760">
        <f ca="1" t="shared" si="81"/>
        <v>0.359901110403522</v>
      </c>
      <c r="H1760" t="str">
        <f ca="1" t="shared" si="82"/>
        <v>Risk-On</v>
      </c>
      <c r="I1760">
        <f ca="1" t="shared" si="83"/>
        <v>1</v>
      </c>
      <c r="J1760">
        <f>_xlfn.XLOOKUP($A1760,[1]Sheet1!$B$9:$B$2584,[1]Sheet1!$C$9:$C$2584,"N/A",0)</f>
        <v>105.18</v>
      </c>
      <c r="K1760">
        <f>_xlfn.XLOOKUP($A1760,[1]Sheet1!$E$9:$E$2584,[1]Sheet1!$F$9:$F$2584,"N/A",0)</f>
        <v>139.99</v>
      </c>
      <c r="L1760">
        <f>_xlfn.XLOOKUP($A1760,[1]Sheet1!$H$9:$H$2584,[1]Sheet1!$I$9:$I$2584,"N/A",0)</f>
        <v>70.81</v>
      </c>
      <c r="M1760">
        <f>_xlfn.XLOOKUP($A1760,[1]Sheet1!$K$9:$K$2584,[1]Sheet1!$L$9:$L$2584,"N/A",0)</f>
        <v>148.33</v>
      </c>
      <c r="N1760">
        <f>_xlfn.XLOOKUP($A1760,[1]Sheet1!$N$9:$N$2584,[1]Sheet1!$O$9:$O$2584,"N/A",0)</f>
        <v>111.11</v>
      </c>
      <c r="O1760">
        <v>105.18</v>
      </c>
      <c r="P1760">
        <v>139.99</v>
      </c>
      <c r="Q1760">
        <v>70.81</v>
      </c>
      <c r="R1760">
        <v>111.11</v>
      </c>
      <c r="S1760">
        <v>148.33</v>
      </c>
    </row>
    <row r="1761" spans="1:19">
      <c r="A1761" s="1">
        <v>44918</v>
      </c>
      <c r="B1761" t="s">
        <v>799</v>
      </c>
      <c r="C1761" t="s">
        <v>817</v>
      </c>
      <c r="D1761">
        <v>23.6302</v>
      </c>
      <c r="E1761">
        <v>24.8909</v>
      </c>
      <c r="F1761">
        <v>0.0533512200489204</v>
      </c>
      <c r="G1761">
        <f ca="1" t="shared" si="81"/>
        <v>0.602843213699566</v>
      </c>
      <c r="H1761" t="str">
        <f ca="1" t="shared" si="82"/>
        <v>Risk-On</v>
      </c>
      <c r="I1761">
        <f ca="1" t="shared" si="83"/>
        <v>1</v>
      </c>
      <c r="J1761">
        <f>_xlfn.XLOOKUP($A1761,[1]Sheet1!$B$9:$B$2584,[1]Sheet1!$C$9:$C$2584,"N/A",0)</f>
        <v>105.25</v>
      </c>
      <c r="K1761">
        <f>_xlfn.XLOOKUP($A1761,[1]Sheet1!$E$9:$E$2584,[1]Sheet1!$F$9:$F$2584,"N/A",0)</f>
        <v>140.26</v>
      </c>
      <c r="L1761">
        <f>_xlfn.XLOOKUP($A1761,[1]Sheet1!$H$9:$H$2584,[1]Sheet1!$I$9:$I$2584,"N/A",0)</f>
        <v>70.94</v>
      </c>
      <c r="M1761">
        <f>_xlfn.XLOOKUP($A1761,[1]Sheet1!$K$9:$K$2584,[1]Sheet1!$L$9:$L$2584,"N/A",0)</f>
        <v>148.36</v>
      </c>
      <c r="N1761">
        <f>_xlfn.XLOOKUP($A1761,[1]Sheet1!$N$9:$N$2584,[1]Sheet1!$O$9:$O$2584,"N/A",0)</f>
        <v>111.24</v>
      </c>
      <c r="O1761">
        <v>105.25</v>
      </c>
      <c r="P1761">
        <v>140.26</v>
      </c>
      <c r="Q1761">
        <v>70.94</v>
      </c>
      <c r="R1761">
        <v>111.24</v>
      </c>
      <c r="S1761">
        <v>148.36</v>
      </c>
    </row>
    <row r="1762" spans="1:19">
      <c r="A1762" s="1">
        <v>44922</v>
      </c>
      <c r="B1762" t="s">
        <v>799</v>
      </c>
      <c r="C1762" t="s">
        <v>817</v>
      </c>
      <c r="D1762">
        <v>23.4524</v>
      </c>
      <c r="E1762">
        <v>24.8001</v>
      </c>
      <c r="F1762" s="2" t="s">
        <v>818</v>
      </c>
      <c r="G1762">
        <f ca="1" t="shared" si="81"/>
        <v>0.707074269848587</v>
      </c>
      <c r="H1762" t="str">
        <f ca="1" t="shared" si="82"/>
        <v>Risk-On</v>
      </c>
      <c r="I1762">
        <f ca="1" t="shared" si="83"/>
        <v>1</v>
      </c>
      <c r="J1762">
        <f>_xlfn.XLOOKUP($A1762,[1]Sheet1!$B$9:$B$2584,[1]Sheet1!$C$9:$C$2584,"N/A",0)</f>
        <v>105.4</v>
      </c>
      <c r="K1762">
        <f>_xlfn.XLOOKUP($A1762,[1]Sheet1!$E$9:$E$2584,[1]Sheet1!$F$9:$F$2584,"N/A",0)</f>
        <v>140.27</v>
      </c>
      <c r="L1762">
        <f>_xlfn.XLOOKUP($A1762,[1]Sheet1!$H$9:$H$2584,[1]Sheet1!$I$9:$I$2584,"N/A",0)</f>
        <v>71.45</v>
      </c>
      <c r="M1762">
        <f>_xlfn.XLOOKUP($A1762,[1]Sheet1!$K$9:$K$2584,[1]Sheet1!$L$9:$L$2584,"N/A",0)</f>
        <v>148.21</v>
      </c>
      <c r="N1762">
        <f>_xlfn.XLOOKUP($A1762,[1]Sheet1!$N$9:$N$2584,[1]Sheet1!$O$9:$O$2584,"N/A",0)</f>
        <v>111.62</v>
      </c>
      <c r="O1762">
        <v>105.4</v>
      </c>
      <c r="P1762">
        <v>140.27</v>
      </c>
      <c r="Q1762">
        <v>71.45</v>
      </c>
      <c r="R1762">
        <v>111.62</v>
      </c>
      <c r="S1762">
        <v>148.21</v>
      </c>
    </row>
    <row r="1763" spans="1:19">
      <c r="A1763" s="1">
        <v>44923</v>
      </c>
      <c r="B1763" t="s">
        <v>799</v>
      </c>
      <c r="C1763" t="s">
        <v>817</v>
      </c>
      <c r="D1763">
        <v>23.5481</v>
      </c>
      <c r="E1763">
        <v>24.7588</v>
      </c>
      <c r="F1763">
        <v>0.0514139144984096</v>
      </c>
      <c r="G1763">
        <f ca="1" t="shared" si="81"/>
        <v>0.574727049076643</v>
      </c>
      <c r="H1763" t="str">
        <f ca="1" t="shared" si="82"/>
        <v>Risk-On</v>
      </c>
      <c r="I1763">
        <f ca="1" t="shared" si="83"/>
        <v>1</v>
      </c>
      <c r="J1763">
        <f>_xlfn.XLOOKUP($A1763,[1]Sheet1!$B$9:$B$2584,[1]Sheet1!$C$9:$C$2584,"N/A",0)</f>
        <v>105.64</v>
      </c>
      <c r="K1763">
        <f>_xlfn.XLOOKUP($A1763,[1]Sheet1!$E$9:$E$2584,[1]Sheet1!$F$9:$F$2584,"N/A",0)</f>
        <v>139.54</v>
      </c>
      <c r="L1763">
        <f>_xlfn.XLOOKUP($A1763,[1]Sheet1!$H$9:$H$2584,[1]Sheet1!$I$9:$I$2584,"N/A",0)</f>
        <v>70.97</v>
      </c>
      <c r="M1763">
        <f>_xlfn.XLOOKUP($A1763,[1]Sheet1!$K$9:$K$2584,[1]Sheet1!$L$9:$L$2584,"N/A",0)</f>
        <v>147.18</v>
      </c>
      <c r="N1763">
        <f>_xlfn.XLOOKUP($A1763,[1]Sheet1!$N$9:$N$2584,[1]Sheet1!$O$9:$O$2584,"N/A",0)</f>
        <v>111.98</v>
      </c>
      <c r="O1763">
        <v>105.64</v>
      </c>
      <c r="P1763">
        <v>139.54</v>
      </c>
      <c r="Q1763">
        <v>70.97</v>
      </c>
      <c r="R1763">
        <v>111.98</v>
      </c>
      <c r="S1763">
        <v>147.18</v>
      </c>
    </row>
    <row r="1764" spans="1:19">
      <c r="A1764" s="1">
        <v>44924</v>
      </c>
      <c r="B1764" t="s">
        <v>799</v>
      </c>
      <c r="C1764" t="s">
        <v>817</v>
      </c>
      <c r="D1764">
        <v>23.2091</v>
      </c>
      <c r="E1764">
        <v>24.4999</v>
      </c>
      <c r="F1764">
        <v>0.0556161160923948</v>
      </c>
      <c r="G1764">
        <f ca="1" t="shared" si="81"/>
        <v>0.673685121054253</v>
      </c>
      <c r="H1764" t="str">
        <f ca="1" t="shared" si="82"/>
        <v>Risk-On</v>
      </c>
      <c r="I1764">
        <f ca="1" t="shared" si="83"/>
        <v>1</v>
      </c>
      <c r="J1764">
        <f>_xlfn.XLOOKUP($A1764,[1]Sheet1!$B$9:$B$2584,[1]Sheet1!$C$9:$C$2584,"N/A",0)</f>
        <v>105.62</v>
      </c>
      <c r="K1764">
        <f>_xlfn.XLOOKUP($A1764,[1]Sheet1!$E$9:$E$2584,[1]Sheet1!$F$9:$F$2584,"N/A",0)</f>
        <v>137.97</v>
      </c>
      <c r="L1764">
        <f>_xlfn.XLOOKUP($A1764,[1]Sheet1!$H$9:$H$2584,[1]Sheet1!$I$9:$I$2584,"N/A",0)</f>
        <v>70.9</v>
      </c>
      <c r="M1764">
        <f>_xlfn.XLOOKUP($A1764,[1]Sheet1!$K$9:$K$2584,[1]Sheet1!$L$9:$L$2584,"N/A",0)</f>
        <v>146.98</v>
      </c>
      <c r="N1764">
        <f>_xlfn.XLOOKUP($A1764,[1]Sheet1!$N$9:$N$2584,[1]Sheet1!$O$9:$O$2584,"N/A",0)</f>
        <v>111.1</v>
      </c>
      <c r="O1764">
        <v>105.62</v>
      </c>
      <c r="P1764">
        <v>137.97</v>
      </c>
      <c r="Q1764">
        <v>70.9</v>
      </c>
      <c r="R1764">
        <v>111.1</v>
      </c>
      <c r="S1764">
        <v>146.98</v>
      </c>
    </row>
    <row r="1765" spans="1:19">
      <c r="A1765" s="1">
        <v>44925</v>
      </c>
      <c r="B1765" t="s">
        <v>799</v>
      </c>
      <c r="C1765" t="s">
        <v>817</v>
      </c>
      <c r="D1765">
        <v>23.0981</v>
      </c>
      <c r="E1765">
        <v>24.5453</v>
      </c>
      <c r="F1765">
        <v>0.0626545040501167</v>
      </c>
      <c r="G1765">
        <f ca="1" t="shared" si="81"/>
        <v>0.840578901180652</v>
      </c>
      <c r="H1765" t="str">
        <f ca="1" t="shared" si="82"/>
        <v>Risk-On</v>
      </c>
      <c r="I1765">
        <f ca="1" t="shared" si="83"/>
        <v>1</v>
      </c>
      <c r="J1765">
        <f>_xlfn.XLOOKUP($A1765,[1]Sheet1!$B$9:$B$2584,[1]Sheet1!$C$9:$C$2584,"N/A",0)</f>
        <v>105.78</v>
      </c>
      <c r="K1765">
        <f>_xlfn.XLOOKUP($A1765,[1]Sheet1!$E$9:$E$2584,[1]Sheet1!$F$9:$F$2584,"N/A",0)</f>
        <v>138.46</v>
      </c>
      <c r="L1765">
        <f>_xlfn.XLOOKUP($A1765,[1]Sheet1!$H$9:$H$2584,[1]Sheet1!$I$9:$I$2584,"N/A",0)</f>
        <v>71.06</v>
      </c>
      <c r="M1765">
        <f>_xlfn.XLOOKUP($A1765,[1]Sheet1!$K$9:$K$2584,[1]Sheet1!$L$9:$L$2584,"N/A",0)</f>
        <v>146.63</v>
      </c>
      <c r="N1765">
        <f>_xlfn.XLOOKUP($A1765,[1]Sheet1!$N$9:$N$2584,[1]Sheet1!$O$9:$O$2584,"N/A",0)</f>
        <v>111.25</v>
      </c>
      <c r="O1765">
        <v>105.78</v>
      </c>
      <c r="P1765">
        <v>138.46</v>
      </c>
      <c r="Q1765">
        <v>71.06</v>
      </c>
      <c r="R1765">
        <v>111.25</v>
      </c>
      <c r="S1765">
        <v>146.63</v>
      </c>
    </row>
    <row r="1766" spans="1:19">
      <c r="A1766" s="1">
        <v>44929</v>
      </c>
      <c r="B1766" t="s">
        <v>799</v>
      </c>
      <c r="C1766" t="s">
        <v>817</v>
      </c>
      <c r="D1766">
        <v>23.0514</v>
      </c>
      <c r="E1766">
        <v>24.0825</v>
      </c>
      <c r="F1766">
        <v>0.0447304719019234</v>
      </c>
      <c r="G1766">
        <f ca="1" t="shared" si="81"/>
        <v>0.404025614475791</v>
      </c>
      <c r="H1766" t="str">
        <f ca="1" t="shared" si="82"/>
        <v>Risk-On</v>
      </c>
      <c r="I1766">
        <f ca="1" t="shared" si="83"/>
        <v>1</v>
      </c>
      <c r="J1766">
        <f>_xlfn.XLOOKUP($A1766,[1]Sheet1!$B$9:$B$2584,[1]Sheet1!$C$9:$C$2584,"N/A",0)</f>
        <v>105.72</v>
      </c>
      <c r="K1766">
        <f>_xlfn.XLOOKUP($A1766,[1]Sheet1!$E$9:$E$2584,[1]Sheet1!$F$9:$F$2584,"N/A",0)</f>
        <v>136.27</v>
      </c>
      <c r="L1766">
        <f>_xlfn.XLOOKUP($A1766,[1]Sheet1!$H$9:$H$2584,[1]Sheet1!$I$9:$I$2584,"N/A",0)</f>
        <v>71.46</v>
      </c>
      <c r="M1766">
        <f>_xlfn.XLOOKUP($A1766,[1]Sheet1!$K$9:$K$2584,[1]Sheet1!$L$9:$L$2584,"N/A",0)</f>
        <v>146.43</v>
      </c>
      <c r="N1766">
        <f>_xlfn.XLOOKUP($A1766,[1]Sheet1!$N$9:$N$2584,[1]Sheet1!$O$9:$O$2584,"N/A",0)</f>
        <v>111.35</v>
      </c>
      <c r="O1766">
        <v>105.72</v>
      </c>
      <c r="P1766">
        <v>136.27</v>
      </c>
      <c r="Q1766">
        <v>71.46</v>
      </c>
      <c r="R1766">
        <v>111.35</v>
      </c>
      <c r="S1766">
        <v>146.43</v>
      </c>
    </row>
    <row r="1767" spans="1:19">
      <c r="A1767" s="1">
        <v>44930</v>
      </c>
      <c r="B1767" t="s">
        <v>799</v>
      </c>
      <c r="C1767" t="s">
        <v>817</v>
      </c>
      <c r="D1767">
        <v>22.401</v>
      </c>
      <c r="E1767">
        <v>23.3757</v>
      </c>
      <c r="F1767">
        <v>0.0435114503816793</v>
      </c>
      <c r="G1767">
        <f ca="1" t="shared" si="81"/>
        <v>0.373218488149186</v>
      </c>
      <c r="H1767" t="str">
        <f ca="1" t="shared" si="82"/>
        <v>Risk-On</v>
      </c>
      <c r="I1767">
        <f ca="1" t="shared" si="83"/>
        <v>1</v>
      </c>
      <c r="J1767">
        <f>_xlfn.XLOOKUP($A1767,[1]Sheet1!$B$9:$B$2584,[1]Sheet1!$C$9:$C$2584,"N/A",0)</f>
        <v>105.61</v>
      </c>
      <c r="K1767">
        <f>_xlfn.XLOOKUP($A1767,[1]Sheet1!$E$9:$E$2584,[1]Sheet1!$F$9:$F$2584,"N/A",0)</f>
        <v>134.08</v>
      </c>
      <c r="L1767">
        <f>_xlfn.XLOOKUP($A1767,[1]Sheet1!$H$9:$H$2584,[1]Sheet1!$I$9:$I$2584,"N/A",0)</f>
        <v>71.66</v>
      </c>
      <c r="M1767">
        <f>_xlfn.XLOOKUP($A1767,[1]Sheet1!$K$9:$K$2584,[1]Sheet1!$L$9:$L$2584,"N/A",0)</f>
        <v>145.61</v>
      </c>
      <c r="N1767">
        <f>_xlfn.XLOOKUP($A1767,[1]Sheet1!$N$9:$N$2584,[1]Sheet1!$O$9:$O$2584,"N/A",0)</f>
        <v>112.03</v>
      </c>
      <c r="O1767">
        <v>105.61</v>
      </c>
      <c r="P1767">
        <v>134.08</v>
      </c>
      <c r="Q1767">
        <v>71.66</v>
      </c>
      <c r="R1767">
        <v>112.03</v>
      </c>
      <c r="S1767">
        <v>145.61</v>
      </c>
    </row>
    <row r="1768" spans="1:19">
      <c r="A1768" s="1">
        <v>44931</v>
      </c>
      <c r="B1768" t="s">
        <v>799</v>
      </c>
      <c r="C1768" t="s">
        <v>817</v>
      </c>
      <c r="D1768">
        <v>22.6516</v>
      </c>
      <c r="E1768">
        <v>23.5365</v>
      </c>
      <c r="F1768">
        <v>0.0390656730650374</v>
      </c>
      <c r="G1768">
        <f ca="1" t="shared" si="81"/>
        <v>0.264237348365155</v>
      </c>
      <c r="H1768" t="str">
        <f ca="1" t="shared" si="82"/>
        <v>Risk-On</v>
      </c>
      <c r="I1768">
        <f ca="1" t="shared" si="83"/>
        <v>1</v>
      </c>
      <c r="J1768">
        <f>_xlfn.XLOOKUP($A1768,[1]Sheet1!$B$9:$B$2584,[1]Sheet1!$C$9:$C$2584,"N/A",0)</f>
        <v>105.53</v>
      </c>
      <c r="K1768">
        <f>_xlfn.XLOOKUP($A1768,[1]Sheet1!$E$9:$E$2584,[1]Sheet1!$F$9:$F$2584,"N/A",0)</f>
        <v>135.81</v>
      </c>
      <c r="L1768">
        <f>_xlfn.XLOOKUP($A1768,[1]Sheet1!$H$9:$H$2584,[1]Sheet1!$I$9:$I$2584,"N/A",0)</f>
        <v>72.71</v>
      </c>
      <c r="M1768">
        <f>_xlfn.XLOOKUP($A1768,[1]Sheet1!$K$9:$K$2584,[1]Sheet1!$L$9:$L$2584,"N/A",0)</f>
        <v>145.84</v>
      </c>
      <c r="N1768">
        <f>_xlfn.XLOOKUP($A1768,[1]Sheet1!$N$9:$N$2584,[1]Sheet1!$O$9:$O$2584,"N/A",0)</f>
        <v>112.29</v>
      </c>
      <c r="O1768">
        <v>105.53</v>
      </c>
      <c r="P1768">
        <v>135.81</v>
      </c>
      <c r="Q1768">
        <v>72.71</v>
      </c>
      <c r="R1768">
        <v>112.29</v>
      </c>
      <c r="S1768">
        <v>145.84</v>
      </c>
    </row>
    <row r="1769" spans="1:19">
      <c r="A1769" s="1">
        <v>44932</v>
      </c>
      <c r="B1769" t="s">
        <v>799</v>
      </c>
      <c r="C1769" t="s">
        <v>817</v>
      </c>
      <c r="D1769">
        <v>22.1957</v>
      </c>
      <c r="E1769">
        <v>22.9488</v>
      </c>
      <c r="F1769">
        <v>0.033929995449569</v>
      </c>
      <c r="G1769">
        <f ca="1" t="shared" si="81"/>
        <v>0.138605973192011</v>
      </c>
      <c r="H1769" t="str">
        <f ca="1" t="shared" si="82"/>
        <v>Risk-On</v>
      </c>
      <c r="I1769">
        <f ca="1" t="shared" si="83"/>
        <v>1</v>
      </c>
      <c r="J1769">
        <f>_xlfn.XLOOKUP($A1769,[1]Sheet1!$B$9:$B$2584,[1]Sheet1!$C$9:$C$2584,"N/A",0)</f>
        <v>105.79</v>
      </c>
      <c r="K1769">
        <f>_xlfn.XLOOKUP($A1769,[1]Sheet1!$E$9:$E$2584,[1]Sheet1!$F$9:$F$2584,"N/A",0)</f>
        <v>135.42</v>
      </c>
      <c r="L1769">
        <f>_xlfn.XLOOKUP($A1769,[1]Sheet1!$H$9:$H$2584,[1]Sheet1!$I$9:$I$2584,"N/A",0)</f>
        <v>73.3</v>
      </c>
      <c r="M1769">
        <f>_xlfn.XLOOKUP($A1769,[1]Sheet1!$K$9:$K$2584,[1]Sheet1!$L$9:$L$2584,"N/A",0)</f>
        <v>146.74</v>
      </c>
      <c r="N1769">
        <f>_xlfn.XLOOKUP($A1769,[1]Sheet1!$N$9:$N$2584,[1]Sheet1!$O$9:$O$2584,"N/A",0)</f>
        <v>112.59</v>
      </c>
      <c r="O1769">
        <v>105.79</v>
      </c>
      <c r="P1769">
        <v>135.42</v>
      </c>
      <c r="Q1769">
        <v>73.3</v>
      </c>
      <c r="R1769">
        <v>112.59</v>
      </c>
      <c r="S1769">
        <v>146.74</v>
      </c>
    </row>
    <row r="1770" spans="1:19">
      <c r="A1770" s="1">
        <v>44935</v>
      </c>
      <c r="B1770" t="s">
        <v>799</v>
      </c>
      <c r="C1770" t="s">
        <v>817</v>
      </c>
      <c r="D1770">
        <v>22.2669</v>
      </c>
      <c r="E1770">
        <v>23.0757</v>
      </c>
      <c r="F1770" s="2" t="s">
        <v>819</v>
      </c>
      <c r="G1770">
        <f ca="1" t="shared" si="81"/>
        <v>0.205460426884917</v>
      </c>
      <c r="H1770" t="str">
        <f ca="1" t="shared" si="82"/>
        <v>Risk-On</v>
      </c>
      <c r="I1770">
        <f ca="1" t="shared" si="83"/>
        <v>1</v>
      </c>
      <c r="J1770">
        <f>_xlfn.XLOOKUP($A1770,[1]Sheet1!$B$9:$B$2584,[1]Sheet1!$C$9:$C$2584,"N/A",0)</f>
        <v>106.28</v>
      </c>
      <c r="K1770">
        <f>_xlfn.XLOOKUP($A1770,[1]Sheet1!$E$9:$E$2584,[1]Sheet1!$F$9:$F$2584,"N/A",0)</f>
        <v>134.19</v>
      </c>
      <c r="L1770">
        <f>_xlfn.XLOOKUP($A1770,[1]Sheet1!$H$9:$H$2584,[1]Sheet1!$I$9:$I$2584,"N/A",0)</f>
        <v>72.75</v>
      </c>
      <c r="M1770">
        <f>_xlfn.XLOOKUP($A1770,[1]Sheet1!$K$9:$K$2584,[1]Sheet1!$L$9:$L$2584,"N/A",0)</f>
        <v>145.92</v>
      </c>
      <c r="N1770">
        <f>_xlfn.XLOOKUP($A1770,[1]Sheet1!$N$9:$N$2584,[1]Sheet1!$O$9:$O$2584,"N/A",0)</f>
        <v>112.36</v>
      </c>
      <c r="O1770">
        <v>106.28</v>
      </c>
      <c r="P1770">
        <v>134.19</v>
      </c>
      <c r="Q1770">
        <v>72.75</v>
      </c>
      <c r="R1770">
        <v>112.36</v>
      </c>
      <c r="S1770">
        <v>145.92</v>
      </c>
    </row>
    <row r="1771" spans="1:19">
      <c r="A1771" s="1">
        <v>44936</v>
      </c>
      <c r="B1771" t="s">
        <v>799</v>
      </c>
      <c r="C1771" t="s">
        <v>817</v>
      </c>
      <c r="D1771">
        <v>21.0949</v>
      </c>
      <c r="E1771">
        <v>22.1945</v>
      </c>
      <c r="F1771">
        <v>0.0521263433341709</v>
      </c>
      <c r="G1771">
        <f ca="1" t="shared" si="81"/>
        <v>0.604358708804344</v>
      </c>
      <c r="H1771" t="str">
        <f ca="1" t="shared" si="82"/>
        <v>Risk-On</v>
      </c>
      <c r="I1771">
        <f ca="1" t="shared" si="83"/>
        <v>1</v>
      </c>
      <c r="J1771">
        <f>_xlfn.XLOOKUP($A1771,[1]Sheet1!$B$9:$B$2584,[1]Sheet1!$C$9:$C$2584,"N/A",0)</f>
        <v>106.82</v>
      </c>
      <c r="K1771">
        <f>_xlfn.XLOOKUP($A1771,[1]Sheet1!$E$9:$E$2584,[1]Sheet1!$F$9:$F$2584,"N/A",0)</f>
        <v>133.63</v>
      </c>
      <c r="L1771">
        <f>_xlfn.XLOOKUP($A1771,[1]Sheet1!$H$9:$H$2584,[1]Sheet1!$I$9:$I$2584,"N/A",0)</f>
        <v>72.44</v>
      </c>
      <c r="M1771">
        <f>_xlfn.XLOOKUP($A1771,[1]Sheet1!$K$9:$K$2584,[1]Sheet1!$L$9:$L$2584,"N/A",0)</f>
        <v>145.49</v>
      </c>
      <c r="N1771">
        <f>_xlfn.XLOOKUP($A1771,[1]Sheet1!$N$9:$N$2584,[1]Sheet1!$O$9:$O$2584,"N/A",0)</f>
        <v>111.24</v>
      </c>
      <c r="O1771">
        <v>106.82</v>
      </c>
      <c r="P1771">
        <v>133.63</v>
      </c>
      <c r="Q1771">
        <v>72.44</v>
      </c>
      <c r="R1771">
        <v>111.24</v>
      </c>
      <c r="S1771">
        <v>145.49</v>
      </c>
    </row>
    <row r="1772" spans="1:19">
      <c r="A1772" s="1">
        <v>44937</v>
      </c>
      <c r="B1772" t="s">
        <v>799</v>
      </c>
      <c r="C1772" t="s">
        <v>817</v>
      </c>
      <c r="D1772">
        <v>21.2004</v>
      </c>
      <c r="E1772">
        <v>22.3485</v>
      </c>
      <c r="F1772" s="2" t="s">
        <v>820</v>
      </c>
      <c r="G1772">
        <f ca="1" t="shared" si="81"/>
        <v>0.660377793605675</v>
      </c>
      <c r="H1772" t="str">
        <f ca="1" t="shared" si="82"/>
        <v>Risk-On</v>
      </c>
      <c r="I1772">
        <f ca="1" t="shared" si="83"/>
        <v>1</v>
      </c>
      <c r="J1772">
        <f>_xlfn.XLOOKUP($A1772,[1]Sheet1!$B$9:$B$2584,[1]Sheet1!$C$9:$C$2584,"N/A",0)</f>
        <v>106.34</v>
      </c>
      <c r="K1772">
        <f>_xlfn.XLOOKUP($A1772,[1]Sheet1!$E$9:$E$2584,[1]Sheet1!$F$9:$F$2584,"N/A",0)</f>
        <v>132.59</v>
      </c>
      <c r="L1772">
        <f>_xlfn.XLOOKUP($A1772,[1]Sheet1!$H$9:$H$2584,[1]Sheet1!$I$9:$I$2584,"N/A",0)</f>
        <v>71.96</v>
      </c>
      <c r="M1772">
        <f>_xlfn.XLOOKUP($A1772,[1]Sheet1!$K$9:$K$2584,[1]Sheet1!$L$9:$L$2584,"N/A",0)</f>
        <v>145.32</v>
      </c>
      <c r="N1772">
        <f>_xlfn.XLOOKUP($A1772,[1]Sheet1!$N$9:$N$2584,[1]Sheet1!$O$9:$O$2584,"N/A",0)</f>
        <v>111.29</v>
      </c>
      <c r="O1772">
        <v>106.34</v>
      </c>
      <c r="P1772">
        <v>132.59</v>
      </c>
      <c r="Q1772">
        <v>71.96</v>
      </c>
      <c r="R1772">
        <v>111.29</v>
      </c>
      <c r="S1772">
        <v>145.32</v>
      </c>
    </row>
    <row r="1773" spans="1:19">
      <c r="A1773" s="1">
        <v>44938</v>
      </c>
      <c r="B1773" t="s">
        <v>799</v>
      </c>
      <c r="C1773" t="s">
        <v>817</v>
      </c>
      <c r="D1773">
        <v>19.82</v>
      </c>
      <c r="E1773">
        <v>21.252</v>
      </c>
      <c r="F1773">
        <v>0.0722502522704338</v>
      </c>
      <c r="G1773">
        <f ca="1" t="shared" si="81"/>
        <v>1.1201869916601</v>
      </c>
      <c r="H1773" t="str">
        <f ca="1" t="shared" si="82"/>
        <v>Risk-On</v>
      </c>
      <c r="I1773">
        <f ca="1" t="shared" si="83"/>
        <v>1</v>
      </c>
      <c r="J1773">
        <f>_xlfn.XLOOKUP($A1773,[1]Sheet1!$B$9:$B$2584,[1]Sheet1!$C$9:$C$2584,"N/A",0)</f>
        <v>105.67</v>
      </c>
      <c r="K1773">
        <f>_xlfn.XLOOKUP($A1773,[1]Sheet1!$E$9:$E$2584,[1]Sheet1!$F$9:$F$2584,"N/A",0)</f>
        <v>133.09</v>
      </c>
      <c r="L1773">
        <f>_xlfn.XLOOKUP($A1773,[1]Sheet1!$H$9:$H$2584,[1]Sheet1!$I$9:$I$2584,"N/A",0)</f>
        <v>72.15</v>
      </c>
      <c r="M1773">
        <f>_xlfn.XLOOKUP($A1773,[1]Sheet1!$K$9:$K$2584,[1]Sheet1!$L$9:$L$2584,"N/A",0)</f>
        <v>144.58</v>
      </c>
      <c r="N1773">
        <f>_xlfn.XLOOKUP($A1773,[1]Sheet1!$N$9:$N$2584,[1]Sheet1!$O$9:$O$2584,"N/A",0)</f>
        <v>110.57</v>
      </c>
      <c r="O1773">
        <v>105.67</v>
      </c>
      <c r="P1773">
        <v>133.09</v>
      </c>
      <c r="Q1773">
        <v>72.15</v>
      </c>
      <c r="R1773">
        <v>110.57</v>
      </c>
      <c r="S1773">
        <v>144.58</v>
      </c>
    </row>
    <row r="1774" spans="1:19">
      <c r="A1774" s="1">
        <v>44939</v>
      </c>
      <c r="B1774" t="s">
        <v>799</v>
      </c>
      <c r="C1774" t="s">
        <v>817</v>
      </c>
      <c r="D1774">
        <v>19.4988</v>
      </c>
      <c r="E1774">
        <v>20.7317</v>
      </c>
      <c r="F1774">
        <v>0.0632295320737686</v>
      </c>
      <c r="G1774">
        <f ca="1" t="shared" si="81"/>
        <v>0.889813064639899</v>
      </c>
      <c r="H1774" t="str">
        <f ca="1" t="shared" si="82"/>
        <v>Risk-On</v>
      </c>
      <c r="I1774">
        <f ca="1" t="shared" si="83"/>
        <v>1</v>
      </c>
      <c r="J1774">
        <f>_xlfn.XLOOKUP($A1774,[1]Sheet1!$B$9:$B$2584,[1]Sheet1!$C$9:$C$2584,"N/A",0)</f>
        <v>105.55</v>
      </c>
      <c r="K1774">
        <f>_xlfn.XLOOKUP($A1774,[1]Sheet1!$E$9:$E$2584,[1]Sheet1!$F$9:$F$2584,"N/A",0)</f>
        <v>132.83</v>
      </c>
      <c r="L1774">
        <f>_xlfn.XLOOKUP($A1774,[1]Sheet1!$H$9:$H$2584,[1]Sheet1!$I$9:$I$2584,"N/A",0)</f>
        <v>71.09</v>
      </c>
      <c r="M1774">
        <f>_xlfn.XLOOKUP($A1774,[1]Sheet1!$K$9:$K$2584,[1]Sheet1!$L$9:$L$2584,"N/A",0)</f>
        <v>144.02</v>
      </c>
      <c r="N1774">
        <f>_xlfn.XLOOKUP($A1774,[1]Sheet1!$N$9:$N$2584,[1]Sheet1!$O$9:$O$2584,"N/A",0)</f>
        <v>110.46</v>
      </c>
      <c r="O1774">
        <v>105.55</v>
      </c>
      <c r="P1774">
        <v>132.83</v>
      </c>
      <c r="Q1774">
        <v>71.09</v>
      </c>
      <c r="R1774">
        <v>110.46</v>
      </c>
      <c r="S1774">
        <v>144.02</v>
      </c>
    </row>
    <row r="1775" spans="1:19">
      <c r="A1775" s="1">
        <v>44943</v>
      </c>
      <c r="B1775" t="s">
        <v>799</v>
      </c>
      <c r="C1775" t="s">
        <v>817</v>
      </c>
      <c r="D1775">
        <v>19.3155</v>
      </c>
      <c r="E1775">
        <v>20.9452</v>
      </c>
      <c r="F1775">
        <v>0.0843726540860966</v>
      </c>
      <c r="G1775">
        <f ca="1" t="shared" si="81"/>
        <v>1.40906792376349</v>
      </c>
      <c r="H1775" t="str">
        <f ca="1" t="shared" si="82"/>
        <v>Risk-On</v>
      </c>
      <c r="I1775">
        <f ca="1" t="shared" si="83"/>
        <v>1</v>
      </c>
      <c r="J1775">
        <f>_xlfn.XLOOKUP($A1775,[1]Sheet1!$B$9:$B$2584,[1]Sheet1!$C$9:$C$2584,"N/A",0)</f>
        <v>104.81</v>
      </c>
      <c r="K1775">
        <f>_xlfn.XLOOKUP($A1775,[1]Sheet1!$E$9:$E$2584,[1]Sheet1!$F$9:$F$2584,"N/A",0)</f>
        <v>131.76</v>
      </c>
      <c r="L1775">
        <f>_xlfn.XLOOKUP($A1775,[1]Sheet1!$H$9:$H$2584,[1]Sheet1!$I$9:$I$2584,"N/A",0)</f>
        <v>70.84</v>
      </c>
      <c r="M1775">
        <f>_xlfn.XLOOKUP($A1775,[1]Sheet1!$K$9:$K$2584,[1]Sheet1!$L$9:$L$2584,"N/A",0)</f>
        <v>143.12</v>
      </c>
      <c r="N1775">
        <f>_xlfn.XLOOKUP($A1775,[1]Sheet1!$N$9:$N$2584,[1]Sheet1!$O$9:$O$2584,"N/A",0)</f>
        <v>110.48</v>
      </c>
      <c r="O1775">
        <v>104.81</v>
      </c>
      <c r="P1775">
        <v>131.76</v>
      </c>
      <c r="Q1775">
        <v>70.84</v>
      </c>
      <c r="R1775">
        <v>110.48</v>
      </c>
      <c r="S1775">
        <v>143.12</v>
      </c>
    </row>
    <row r="1776" spans="1:19">
      <c r="A1776" s="1">
        <v>44944</v>
      </c>
      <c r="B1776" t="s">
        <v>799</v>
      </c>
      <c r="C1776" t="s">
        <v>817</v>
      </c>
      <c r="D1776">
        <v>19.09</v>
      </c>
      <c r="E1776">
        <v>21.6874</v>
      </c>
      <c r="F1776" s="2" t="s">
        <v>821</v>
      </c>
      <c r="G1776">
        <f ca="1" t="shared" si="81"/>
        <v>2.68789679925772</v>
      </c>
      <c r="H1776" t="str">
        <f ca="1" t="shared" si="82"/>
        <v>Risk-Off</v>
      </c>
      <c r="I1776">
        <f ca="1" t="shared" si="83"/>
        <v>1</v>
      </c>
      <c r="J1776">
        <f>_xlfn.XLOOKUP($A1776,[1]Sheet1!$B$9:$B$2584,[1]Sheet1!$C$9:$C$2584,"N/A",0)</f>
        <v>104.51</v>
      </c>
      <c r="K1776">
        <f>_xlfn.XLOOKUP($A1776,[1]Sheet1!$E$9:$E$2584,[1]Sheet1!$F$9:$F$2584,"N/A",0)</f>
        <v>132.27</v>
      </c>
      <c r="L1776">
        <f>_xlfn.XLOOKUP($A1776,[1]Sheet1!$H$9:$H$2584,[1]Sheet1!$I$9:$I$2584,"N/A",0)</f>
        <v>71.31</v>
      </c>
      <c r="M1776">
        <f>_xlfn.XLOOKUP($A1776,[1]Sheet1!$K$9:$K$2584,[1]Sheet1!$L$9:$L$2584,"N/A",0)</f>
        <v>143.95</v>
      </c>
      <c r="N1776">
        <f>_xlfn.XLOOKUP($A1776,[1]Sheet1!$N$9:$N$2584,[1]Sheet1!$O$9:$O$2584,"N/A",0)</f>
        <v>110.35</v>
      </c>
      <c r="O1776">
        <v>104.51</v>
      </c>
      <c r="P1776">
        <v>132.27</v>
      </c>
      <c r="Q1776">
        <v>71.31</v>
      </c>
      <c r="R1776">
        <v>110.35</v>
      </c>
      <c r="S1776">
        <v>143.95</v>
      </c>
    </row>
    <row r="1777" spans="1:19">
      <c r="A1777" s="1">
        <v>44945</v>
      </c>
      <c r="B1777" t="s">
        <v>817</v>
      </c>
      <c r="C1777" t="s">
        <v>822</v>
      </c>
      <c r="D1777">
        <v>21.7451</v>
      </c>
      <c r="E1777">
        <v>22.6023</v>
      </c>
      <c r="F1777">
        <v>0.0394203751649796</v>
      </c>
      <c r="G1777">
        <f ca="1" t="shared" si="81"/>
        <v>0.295209634109644</v>
      </c>
      <c r="H1777" t="str">
        <f ca="1" t="shared" si="82"/>
        <v>Risk-On</v>
      </c>
      <c r="I1777">
        <f ca="1" t="shared" si="83"/>
        <v>1</v>
      </c>
      <c r="J1777">
        <f>_xlfn.XLOOKUP($A1777,[1]Sheet1!$B$9:$B$2584,[1]Sheet1!$C$9:$C$2584,"N/A",0)</f>
        <v>104.29</v>
      </c>
      <c r="K1777">
        <f>_xlfn.XLOOKUP($A1777,[1]Sheet1!$E$9:$E$2584,[1]Sheet1!$F$9:$F$2584,"N/A",0)</f>
        <v>132.3</v>
      </c>
      <c r="L1777">
        <f>_xlfn.XLOOKUP($A1777,[1]Sheet1!$H$9:$H$2584,[1]Sheet1!$I$9:$I$2584,"N/A",0)</f>
        <v>71.8</v>
      </c>
      <c r="M1777">
        <f>_xlfn.XLOOKUP($A1777,[1]Sheet1!$K$9:$K$2584,[1]Sheet1!$L$9:$L$2584,"N/A",0)</f>
        <v>143.72</v>
      </c>
      <c r="N1777">
        <f>_xlfn.XLOOKUP($A1777,[1]Sheet1!$N$9:$N$2584,[1]Sheet1!$O$9:$O$2584,"N/A",0)</f>
        <v>110.36</v>
      </c>
      <c r="O1777">
        <v>104.29</v>
      </c>
      <c r="P1777">
        <v>132.3</v>
      </c>
      <c r="Q1777">
        <v>71.8</v>
      </c>
      <c r="R1777">
        <v>110.36</v>
      </c>
      <c r="S1777">
        <v>143.72</v>
      </c>
    </row>
    <row r="1778" spans="1:19">
      <c r="A1778" s="1">
        <v>44946</v>
      </c>
      <c r="B1778" t="s">
        <v>817</v>
      </c>
      <c r="C1778" t="s">
        <v>822</v>
      </c>
      <c r="D1778">
        <v>21.086</v>
      </c>
      <c r="E1778">
        <v>22.032</v>
      </c>
      <c r="F1778">
        <v>0.0448638907331879</v>
      </c>
      <c r="G1778">
        <f ca="1" t="shared" si="81"/>
        <v>0.429182851685689</v>
      </c>
      <c r="H1778" t="str">
        <f ca="1" t="shared" si="82"/>
        <v>Risk-On</v>
      </c>
      <c r="I1778">
        <f ca="1" t="shared" si="83"/>
        <v>1</v>
      </c>
      <c r="J1778">
        <f>_xlfn.XLOOKUP($A1778,[1]Sheet1!$B$9:$B$2584,[1]Sheet1!$C$9:$C$2584,"N/A",0)</f>
        <v>104.31</v>
      </c>
      <c r="K1778">
        <f>_xlfn.XLOOKUP($A1778,[1]Sheet1!$E$9:$E$2584,[1]Sheet1!$F$9:$F$2584,"N/A",0)</f>
        <v>130.65</v>
      </c>
      <c r="L1778">
        <f>_xlfn.XLOOKUP($A1778,[1]Sheet1!$H$9:$H$2584,[1]Sheet1!$I$9:$I$2584,"N/A",0)</f>
        <v>71.71</v>
      </c>
      <c r="M1778">
        <f>_xlfn.XLOOKUP($A1778,[1]Sheet1!$K$9:$K$2584,[1]Sheet1!$L$9:$L$2584,"N/A",0)</f>
        <v>143.37</v>
      </c>
      <c r="N1778">
        <f>_xlfn.XLOOKUP($A1778,[1]Sheet1!$N$9:$N$2584,[1]Sheet1!$O$9:$O$2584,"N/A",0)</f>
        <v>110.37</v>
      </c>
      <c r="O1778">
        <v>104.31</v>
      </c>
      <c r="P1778">
        <v>130.65</v>
      </c>
      <c r="Q1778">
        <v>71.71</v>
      </c>
      <c r="R1778">
        <v>110.37</v>
      </c>
      <c r="S1778">
        <v>143.37</v>
      </c>
    </row>
    <row r="1779" spans="1:19">
      <c r="A1779" s="1">
        <v>44949</v>
      </c>
      <c r="B1779" t="s">
        <v>817</v>
      </c>
      <c r="C1779" t="s">
        <v>822</v>
      </c>
      <c r="D1779">
        <v>20.7548</v>
      </c>
      <c r="E1779">
        <v>21.8469</v>
      </c>
      <c r="F1779" s="2" t="s">
        <v>823</v>
      </c>
      <c r="G1779">
        <f ca="1" t="shared" si="81"/>
        <v>0.623270411876501</v>
      </c>
      <c r="H1779" t="str">
        <f ca="1" t="shared" si="82"/>
        <v>Risk-On</v>
      </c>
      <c r="I1779">
        <f ca="1" t="shared" si="83"/>
        <v>1</v>
      </c>
      <c r="J1779">
        <f>_xlfn.XLOOKUP($A1779,[1]Sheet1!$B$9:$B$2584,[1]Sheet1!$C$9:$C$2584,"N/A",0)</f>
        <v>103.94</v>
      </c>
      <c r="K1779">
        <f>_xlfn.XLOOKUP($A1779,[1]Sheet1!$E$9:$E$2584,[1]Sheet1!$F$9:$F$2584,"N/A",0)</f>
        <v>130.05</v>
      </c>
      <c r="L1779">
        <f>_xlfn.XLOOKUP($A1779,[1]Sheet1!$H$9:$H$2584,[1]Sheet1!$I$9:$I$2584,"N/A",0)</f>
        <v>71.74</v>
      </c>
      <c r="M1779">
        <f>_xlfn.XLOOKUP($A1779,[1]Sheet1!$K$9:$K$2584,[1]Sheet1!$L$9:$L$2584,"N/A",0)</f>
        <v>142.01</v>
      </c>
      <c r="N1779">
        <f>_xlfn.XLOOKUP($A1779,[1]Sheet1!$N$9:$N$2584,[1]Sheet1!$O$9:$O$2584,"N/A",0)</f>
        <v>110.53</v>
      </c>
      <c r="O1779">
        <v>103.94</v>
      </c>
      <c r="P1779">
        <v>130.05</v>
      </c>
      <c r="Q1779">
        <v>71.74</v>
      </c>
      <c r="R1779">
        <v>110.53</v>
      </c>
      <c r="S1779">
        <v>142.01</v>
      </c>
    </row>
    <row r="1780" spans="1:19">
      <c r="A1780" s="1">
        <v>44950</v>
      </c>
      <c r="B1780" t="s">
        <v>817</v>
      </c>
      <c r="C1780" t="s">
        <v>822</v>
      </c>
      <c r="D1780">
        <v>19.9502</v>
      </c>
      <c r="E1780">
        <v>21.0023</v>
      </c>
      <c r="F1780" s="2" t="s">
        <v>824</v>
      </c>
      <c r="G1780">
        <f ca="1" t="shared" si="81"/>
        <v>0.6218946466696</v>
      </c>
      <c r="H1780" t="str">
        <f ca="1" t="shared" si="82"/>
        <v>Risk-On</v>
      </c>
      <c r="I1780">
        <f ca="1" t="shared" si="83"/>
        <v>1</v>
      </c>
      <c r="J1780">
        <f>_xlfn.XLOOKUP($A1780,[1]Sheet1!$B$9:$B$2584,[1]Sheet1!$C$9:$C$2584,"N/A",0)</f>
        <v>103.97</v>
      </c>
      <c r="K1780">
        <f>_xlfn.XLOOKUP($A1780,[1]Sheet1!$E$9:$E$2584,[1]Sheet1!$F$9:$F$2584,"N/A",0)</f>
        <v>131.54</v>
      </c>
      <c r="L1780">
        <f>_xlfn.XLOOKUP($A1780,[1]Sheet1!$H$9:$H$2584,[1]Sheet1!$I$9:$I$2584,"N/A",0)</f>
        <v>71.68</v>
      </c>
      <c r="M1780">
        <f>_xlfn.XLOOKUP($A1780,[1]Sheet1!$K$9:$K$2584,[1]Sheet1!$L$9:$L$2584,"N/A",0)</f>
        <v>142.73</v>
      </c>
      <c r="N1780">
        <f>_xlfn.XLOOKUP($A1780,[1]Sheet1!$N$9:$N$2584,[1]Sheet1!$O$9:$O$2584,"N/A",0)</f>
        <v>110.8</v>
      </c>
      <c r="O1780">
        <v>103.97</v>
      </c>
      <c r="P1780">
        <v>131.54</v>
      </c>
      <c r="Q1780">
        <v>71.68</v>
      </c>
      <c r="R1780">
        <v>110.8</v>
      </c>
      <c r="S1780">
        <v>142.73</v>
      </c>
    </row>
    <row r="1781" spans="1:19">
      <c r="A1781" s="1">
        <v>44951</v>
      </c>
      <c r="B1781" t="s">
        <v>817</v>
      </c>
      <c r="C1781" t="s">
        <v>822</v>
      </c>
      <c r="D1781">
        <v>19.9583</v>
      </c>
      <c r="E1781">
        <v>21.0531</v>
      </c>
      <c r="F1781">
        <v>0.0548543713642945</v>
      </c>
      <c r="G1781">
        <f ca="1" t="shared" si="81"/>
        <v>0.668456427714781</v>
      </c>
      <c r="H1781" t="str">
        <f ca="1" t="shared" si="82"/>
        <v>Risk-On</v>
      </c>
      <c r="I1781">
        <f ca="1" t="shared" si="83"/>
        <v>1</v>
      </c>
      <c r="J1781">
        <f>_xlfn.XLOOKUP($A1781,[1]Sheet1!$B$9:$B$2584,[1]Sheet1!$C$9:$C$2584,"N/A",0)</f>
        <v>103.93</v>
      </c>
      <c r="K1781">
        <f>_xlfn.XLOOKUP($A1781,[1]Sheet1!$E$9:$E$2584,[1]Sheet1!$F$9:$F$2584,"N/A",0)</f>
        <v>131.4</v>
      </c>
      <c r="L1781">
        <f>_xlfn.XLOOKUP($A1781,[1]Sheet1!$H$9:$H$2584,[1]Sheet1!$I$9:$I$2584,"N/A",0)</f>
        <v>71.6</v>
      </c>
      <c r="M1781">
        <f>_xlfn.XLOOKUP($A1781,[1]Sheet1!$K$9:$K$2584,[1]Sheet1!$L$9:$L$2584,"N/A",0)</f>
        <v>142.02</v>
      </c>
      <c r="N1781">
        <f>_xlfn.XLOOKUP($A1781,[1]Sheet1!$N$9:$N$2584,[1]Sheet1!$O$9:$O$2584,"N/A",0)</f>
        <v>110.73</v>
      </c>
      <c r="O1781">
        <v>103.93</v>
      </c>
      <c r="P1781">
        <v>131.4</v>
      </c>
      <c r="Q1781">
        <v>71.6</v>
      </c>
      <c r="R1781">
        <v>110.73</v>
      </c>
      <c r="S1781">
        <v>142.02</v>
      </c>
    </row>
    <row r="1782" spans="1:19">
      <c r="A1782" s="1">
        <v>44952</v>
      </c>
      <c r="B1782" t="s">
        <v>817</v>
      </c>
      <c r="C1782" t="s">
        <v>822</v>
      </c>
      <c r="D1782">
        <v>19.6703</v>
      </c>
      <c r="E1782">
        <v>20.8311</v>
      </c>
      <c r="F1782" s="2" t="s">
        <v>825</v>
      </c>
      <c r="G1782">
        <f ca="1" t="shared" si="81"/>
        <v>0.762983387417897</v>
      </c>
      <c r="H1782" t="str">
        <f ca="1" t="shared" si="82"/>
        <v>Risk-On</v>
      </c>
      <c r="I1782">
        <f ca="1" t="shared" si="83"/>
        <v>1</v>
      </c>
      <c r="J1782">
        <f>_xlfn.XLOOKUP($A1782,[1]Sheet1!$B$9:$B$2584,[1]Sheet1!$C$9:$C$2584,"N/A",0)</f>
        <v>104.7</v>
      </c>
      <c r="K1782">
        <f>_xlfn.XLOOKUP($A1782,[1]Sheet1!$E$9:$E$2584,[1]Sheet1!$F$9:$F$2584,"N/A",0)</f>
        <v>132.31</v>
      </c>
      <c r="L1782">
        <f>_xlfn.XLOOKUP($A1782,[1]Sheet1!$H$9:$H$2584,[1]Sheet1!$I$9:$I$2584,"N/A",0)</f>
        <v>72.15</v>
      </c>
      <c r="M1782">
        <f>_xlfn.XLOOKUP($A1782,[1]Sheet1!$K$9:$K$2584,[1]Sheet1!$L$9:$L$2584,"N/A",0)</f>
        <v>142.98</v>
      </c>
      <c r="N1782">
        <f>_xlfn.XLOOKUP($A1782,[1]Sheet1!$N$9:$N$2584,[1]Sheet1!$O$9:$O$2584,"N/A",0)</f>
        <v>110.96</v>
      </c>
      <c r="O1782">
        <v>104.7</v>
      </c>
      <c r="P1782">
        <v>132.31</v>
      </c>
      <c r="Q1782">
        <v>72.15</v>
      </c>
      <c r="R1782">
        <v>110.96</v>
      </c>
      <c r="S1782">
        <v>142.98</v>
      </c>
    </row>
    <row r="1783" spans="1:19">
      <c r="A1783" s="1">
        <v>44953</v>
      </c>
      <c r="B1783" t="s">
        <v>817</v>
      </c>
      <c r="C1783" t="s">
        <v>822</v>
      </c>
      <c r="D1783">
        <v>19.3177</v>
      </c>
      <c r="E1783">
        <v>20.4616</v>
      </c>
      <c r="F1783">
        <v>0.0592151239536799</v>
      </c>
      <c r="G1783">
        <f ca="1" t="shared" si="81"/>
        <v>0.762241836645859</v>
      </c>
      <c r="H1783" t="str">
        <f ca="1" t="shared" si="82"/>
        <v>Risk-On</v>
      </c>
      <c r="I1783">
        <f ca="1" t="shared" si="83"/>
        <v>1</v>
      </c>
      <c r="J1783">
        <f>_xlfn.XLOOKUP($A1783,[1]Sheet1!$B$9:$B$2584,[1]Sheet1!$C$9:$C$2584,"N/A",0)</f>
        <v>104.77</v>
      </c>
      <c r="K1783">
        <f>_xlfn.XLOOKUP($A1783,[1]Sheet1!$E$9:$E$2584,[1]Sheet1!$F$9:$F$2584,"N/A",0)</f>
        <v>128.96</v>
      </c>
      <c r="L1783">
        <f>_xlfn.XLOOKUP($A1783,[1]Sheet1!$H$9:$H$2584,[1]Sheet1!$I$9:$I$2584,"N/A",0)</f>
        <v>71.43</v>
      </c>
      <c r="M1783">
        <f>_xlfn.XLOOKUP($A1783,[1]Sheet1!$K$9:$K$2584,[1]Sheet1!$L$9:$L$2584,"N/A",0)</f>
        <v>140.7</v>
      </c>
      <c r="N1783">
        <f>_xlfn.XLOOKUP($A1783,[1]Sheet1!$N$9:$N$2584,[1]Sheet1!$O$9:$O$2584,"N/A",0)</f>
        <v>110.48</v>
      </c>
      <c r="O1783">
        <v>104.77</v>
      </c>
      <c r="P1783">
        <v>128.96</v>
      </c>
      <c r="Q1783">
        <v>71.43</v>
      </c>
      <c r="R1783">
        <v>110.48</v>
      </c>
      <c r="S1783">
        <v>140.7</v>
      </c>
    </row>
    <row r="1784" spans="1:19">
      <c r="A1784" s="1">
        <v>44956</v>
      </c>
      <c r="B1784" t="s">
        <v>817</v>
      </c>
      <c r="C1784" t="s">
        <v>822</v>
      </c>
      <c r="D1784">
        <v>20.0481</v>
      </c>
      <c r="E1784">
        <v>20.874</v>
      </c>
      <c r="F1784" s="2" t="s">
        <v>826</v>
      </c>
      <c r="G1784">
        <f ca="1" t="shared" si="81"/>
        <v>0.304510478906752</v>
      </c>
      <c r="H1784" t="str">
        <f ca="1" t="shared" si="82"/>
        <v>Risk-On</v>
      </c>
      <c r="I1784">
        <f ca="1" t="shared" si="83"/>
        <v>1</v>
      </c>
      <c r="J1784">
        <f>_xlfn.XLOOKUP($A1784,[1]Sheet1!$B$9:$B$2584,[1]Sheet1!$C$9:$C$2584,"N/A",0)</f>
        <v>105.12</v>
      </c>
      <c r="K1784">
        <f>_xlfn.XLOOKUP($A1784,[1]Sheet1!$E$9:$E$2584,[1]Sheet1!$F$9:$F$2584,"N/A",0)</f>
        <v>129.86</v>
      </c>
      <c r="L1784">
        <f>_xlfn.XLOOKUP($A1784,[1]Sheet1!$H$9:$H$2584,[1]Sheet1!$I$9:$I$2584,"N/A",0)</f>
        <v>71.52</v>
      </c>
      <c r="M1784">
        <f>_xlfn.XLOOKUP($A1784,[1]Sheet1!$K$9:$K$2584,[1]Sheet1!$L$9:$L$2584,"N/A",0)</f>
        <v>141.68</v>
      </c>
      <c r="N1784">
        <f>_xlfn.XLOOKUP($A1784,[1]Sheet1!$N$9:$N$2584,[1]Sheet1!$O$9:$O$2584,"N/A",0)</f>
        <v>110.38</v>
      </c>
      <c r="O1784">
        <v>105.12</v>
      </c>
      <c r="P1784">
        <v>129.86</v>
      </c>
      <c r="Q1784">
        <v>71.52</v>
      </c>
      <c r="R1784">
        <v>110.38</v>
      </c>
      <c r="S1784">
        <v>141.68</v>
      </c>
    </row>
    <row r="1785" spans="1:19">
      <c r="A1785" s="1">
        <v>44957</v>
      </c>
      <c r="B1785" t="s">
        <v>817</v>
      </c>
      <c r="C1785" t="s">
        <v>822</v>
      </c>
      <c r="D1785">
        <v>19.5257</v>
      </c>
      <c r="E1785">
        <v>20.4806</v>
      </c>
      <c r="F1785">
        <v>0.0489047767813701</v>
      </c>
      <c r="G1785">
        <f ca="1" t="shared" si="81"/>
        <v>0.4906366539235</v>
      </c>
      <c r="H1785" t="str">
        <f ca="1" t="shared" si="82"/>
        <v>Risk-On</v>
      </c>
      <c r="I1785">
        <f ca="1" t="shared" si="83"/>
        <v>1</v>
      </c>
      <c r="J1785">
        <f>_xlfn.XLOOKUP($A1785,[1]Sheet1!$B$9:$B$2584,[1]Sheet1!$C$9:$C$2584,"N/A",0)</f>
        <v>104.99</v>
      </c>
      <c r="K1785">
        <f>_xlfn.XLOOKUP($A1785,[1]Sheet1!$E$9:$E$2584,[1]Sheet1!$F$9:$F$2584,"N/A",0)</f>
        <v>128.85</v>
      </c>
      <c r="L1785">
        <f>_xlfn.XLOOKUP($A1785,[1]Sheet1!$H$9:$H$2584,[1]Sheet1!$I$9:$I$2584,"N/A",0)</f>
        <v>71.44</v>
      </c>
      <c r="M1785">
        <f>_xlfn.XLOOKUP($A1785,[1]Sheet1!$K$9:$K$2584,[1]Sheet1!$L$9:$L$2584,"N/A",0)</f>
        <v>140.94</v>
      </c>
      <c r="N1785">
        <f>_xlfn.XLOOKUP($A1785,[1]Sheet1!$N$9:$N$2584,[1]Sheet1!$O$9:$O$2584,"N/A",0)</f>
        <v>109.71</v>
      </c>
      <c r="O1785">
        <v>104.99</v>
      </c>
      <c r="P1785">
        <v>128.85</v>
      </c>
      <c r="Q1785">
        <v>71.44</v>
      </c>
      <c r="R1785">
        <v>109.71</v>
      </c>
      <c r="S1785">
        <v>140.94</v>
      </c>
    </row>
    <row r="1786" spans="1:19">
      <c r="A1786" s="1">
        <v>44958</v>
      </c>
      <c r="B1786" t="s">
        <v>817</v>
      </c>
      <c r="C1786" t="s">
        <v>822</v>
      </c>
      <c r="D1786">
        <v>18.7506</v>
      </c>
      <c r="E1786">
        <v>19.9559</v>
      </c>
      <c r="F1786">
        <v>0.0642806096871567</v>
      </c>
      <c r="G1786">
        <f ca="1" t="shared" si="81"/>
        <v>0.867565086799892</v>
      </c>
      <c r="H1786" t="str">
        <f ca="1" t="shared" si="82"/>
        <v>Risk-On</v>
      </c>
      <c r="I1786">
        <f ca="1" t="shared" si="83"/>
        <v>1</v>
      </c>
      <c r="J1786">
        <f>_xlfn.XLOOKUP($A1786,[1]Sheet1!$B$9:$B$2584,[1]Sheet1!$C$9:$C$2584,"N/A",0)</f>
        <v>105.14</v>
      </c>
      <c r="K1786">
        <f>_xlfn.XLOOKUP($A1786,[1]Sheet1!$E$9:$E$2584,[1]Sheet1!$F$9:$F$2584,"N/A",0)</f>
        <v>128.13</v>
      </c>
      <c r="L1786">
        <f>_xlfn.XLOOKUP($A1786,[1]Sheet1!$H$9:$H$2584,[1]Sheet1!$I$9:$I$2584,"N/A",0)</f>
        <v>71.09</v>
      </c>
      <c r="M1786">
        <f>_xlfn.XLOOKUP($A1786,[1]Sheet1!$K$9:$K$2584,[1]Sheet1!$L$9:$L$2584,"N/A",0)</f>
        <v>140.61</v>
      </c>
      <c r="N1786">
        <f>_xlfn.XLOOKUP($A1786,[1]Sheet1!$N$9:$N$2584,[1]Sheet1!$O$9:$O$2584,"N/A",0)</f>
        <v>109.03</v>
      </c>
      <c r="O1786">
        <v>105.14</v>
      </c>
      <c r="P1786">
        <v>128.13</v>
      </c>
      <c r="Q1786">
        <v>71.09</v>
      </c>
      <c r="R1786">
        <v>109.03</v>
      </c>
      <c r="S1786">
        <v>140.61</v>
      </c>
    </row>
    <row r="1787" spans="1:19">
      <c r="A1787" s="1">
        <v>44959</v>
      </c>
      <c r="B1787" t="s">
        <v>817</v>
      </c>
      <c r="C1787" t="s">
        <v>822</v>
      </c>
      <c r="D1787">
        <v>19.2989</v>
      </c>
      <c r="E1787">
        <v>20.3479</v>
      </c>
      <c r="F1787">
        <v>0.0543554295840695</v>
      </c>
      <c r="G1787">
        <f ca="1" t="shared" si="81"/>
        <v>0.615955123969894</v>
      </c>
      <c r="H1787" t="str">
        <f ca="1" t="shared" si="82"/>
        <v>Risk-On</v>
      </c>
      <c r="I1787">
        <f ca="1" t="shared" si="83"/>
        <v>1</v>
      </c>
      <c r="J1787">
        <f>_xlfn.XLOOKUP($A1787,[1]Sheet1!$B$9:$B$2584,[1]Sheet1!$C$9:$C$2584,"N/A",0)</f>
        <v>104.44</v>
      </c>
      <c r="K1787">
        <f>_xlfn.XLOOKUP($A1787,[1]Sheet1!$E$9:$E$2584,[1]Sheet1!$F$9:$F$2584,"N/A",0)</f>
        <v>124.02</v>
      </c>
      <c r="L1787">
        <f>_xlfn.XLOOKUP($A1787,[1]Sheet1!$H$9:$H$2584,[1]Sheet1!$I$9:$I$2584,"N/A",0)</f>
        <v>70.78</v>
      </c>
      <c r="M1787">
        <f>_xlfn.XLOOKUP($A1787,[1]Sheet1!$K$9:$K$2584,[1]Sheet1!$L$9:$L$2584,"N/A",0)</f>
        <v>140.59</v>
      </c>
      <c r="N1787">
        <f>_xlfn.XLOOKUP($A1787,[1]Sheet1!$N$9:$N$2584,[1]Sheet1!$O$9:$O$2584,"N/A",0)</f>
        <v>107.39</v>
      </c>
      <c r="O1787">
        <v>104.44</v>
      </c>
      <c r="P1787">
        <v>124.02</v>
      </c>
      <c r="Q1787">
        <v>70.78</v>
      </c>
      <c r="R1787">
        <v>107.39</v>
      </c>
      <c r="S1787">
        <v>140.59</v>
      </c>
    </row>
    <row r="1788" spans="1:19">
      <c r="A1788" s="1">
        <v>44960</v>
      </c>
      <c r="B1788" t="s">
        <v>817</v>
      </c>
      <c r="C1788" t="s">
        <v>822</v>
      </c>
      <c r="D1788">
        <v>19.3373</v>
      </c>
      <c r="E1788">
        <v>20.5476</v>
      </c>
      <c r="F1788">
        <v>0.0625888826258061</v>
      </c>
      <c r="G1788">
        <f ca="1" t="shared" si="81"/>
        <v>0.819074891105064</v>
      </c>
      <c r="H1788" t="str">
        <f ca="1" t="shared" si="82"/>
        <v>Risk-On</v>
      </c>
      <c r="I1788">
        <f ca="1" t="shared" si="83"/>
        <v>1</v>
      </c>
      <c r="J1788">
        <f>_xlfn.XLOOKUP($A1788,[1]Sheet1!$B$9:$B$2584,[1]Sheet1!$C$9:$C$2584,"N/A",0)</f>
        <v>104.62</v>
      </c>
      <c r="K1788">
        <f>_xlfn.XLOOKUP($A1788,[1]Sheet1!$E$9:$E$2584,[1]Sheet1!$F$9:$F$2584,"N/A",0)</f>
        <v>126.61</v>
      </c>
      <c r="L1788">
        <f>_xlfn.XLOOKUP($A1788,[1]Sheet1!$H$9:$H$2584,[1]Sheet1!$I$9:$I$2584,"N/A",0)</f>
        <v>71.49</v>
      </c>
      <c r="M1788">
        <f>_xlfn.XLOOKUP($A1788,[1]Sheet1!$K$9:$K$2584,[1]Sheet1!$L$9:$L$2584,"N/A",0)</f>
        <v>142.49</v>
      </c>
      <c r="N1788">
        <f>_xlfn.XLOOKUP($A1788,[1]Sheet1!$N$9:$N$2584,[1]Sheet1!$O$9:$O$2584,"N/A",0)</f>
        <v>107.05</v>
      </c>
      <c r="O1788">
        <v>104.62</v>
      </c>
      <c r="P1788">
        <v>126.61</v>
      </c>
      <c r="Q1788">
        <v>71.49</v>
      </c>
      <c r="R1788">
        <v>107.05</v>
      </c>
      <c r="S1788">
        <v>142.49</v>
      </c>
    </row>
    <row r="1789" spans="1:19">
      <c r="A1789" s="1">
        <v>44963</v>
      </c>
      <c r="B1789" t="s">
        <v>817</v>
      </c>
      <c r="C1789" t="s">
        <v>822</v>
      </c>
      <c r="D1789">
        <v>20.0124</v>
      </c>
      <c r="E1789">
        <v>20.95</v>
      </c>
      <c r="F1789">
        <v>0.0468509524095061</v>
      </c>
      <c r="G1789">
        <f ca="1" t="shared" si="81"/>
        <v>0.428294644103787</v>
      </c>
      <c r="H1789" t="str">
        <f ca="1" t="shared" si="82"/>
        <v>Risk-On</v>
      </c>
      <c r="I1789">
        <f ca="1" t="shared" si="83"/>
        <v>1</v>
      </c>
      <c r="J1789">
        <f>_xlfn.XLOOKUP($A1789,[1]Sheet1!$B$9:$B$2584,[1]Sheet1!$C$9:$C$2584,"N/A",0)</f>
        <v>104.72</v>
      </c>
      <c r="K1789">
        <f>_xlfn.XLOOKUP($A1789,[1]Sheet1!$E$9:$E$2584,[1]Sheet1!$F$9:$F$2584,"N/A",0)</f>
        <v>126.82</v>
      </c>
      <c r="L1789">
        <f>_xlfn.XLOOKUP($A1789,[1]Sheet1!$H$9:$H$2584,[1]Sheet1!$I$9:$I$2584,"N/A",0)</f>
        <v>70.63</v>
      </c>
      <c r="M1789">
        <f>_xlfn.XLOOKUP($A1789,[1]Sheet1!$K$9:$K$2584,[1]Sheet1!$L$9:$L$2584,"N/A",0)</f>
        <v>142.02</v>
      </c>
      <c r="N1789">
        <f>_xlfn.XLOOKUP($A1789,[1]Sheet1!$N$9:$N$2584,[1]Sheet1!$O$9:$O$2584,"N/A",0)</f>
        <v>107.94</v>
      </c>
      <c r="O1789">
        <v>104.72</v>
      </c>
      <c r="P1789">
        <v>126.82</v>
      </c>
      <c r="Q1789">
        <v>70.63</v>
      </c>
      <c r="R1789">
        <v>107.94</v>
      </c>
      <c r="S1789">
        <v>142.02</v>
      </c>
    </row>
    <row r="1790" spans="1:19">
      <c r="A1790" s="1">
        <v>44964</v>
      </c>
      <c r="B1790" t="s">
        <v>817</v>
      </c>
      <c r="C1790" t="s">
        <v>822</v>
      </c>
      <c r="D1790">
        <v>19.2146</v>
      </c>
      <c r="E1790">
        <v>20.3507</v>
      </c>
      <c r="F1790">
        <v>0.0591269139092148</v>
      </c>
      <c r="G1790">
        <f ca="1" t="shared" si="81"/>
        <v>0.734430433813672</v>
      </c>
      <c r="H1790" t="str">
        <f ca="1" t="shared" si="82"/>
        <v>Risk-On</v>
      </c>
      <c r="I1790">
        <f ca="1" t="shared" si="83"/>
        <v>1</v>
      </c>
      <c r="J1790">
        <f>_xlfn.XLOOKUP($A1790,[1]Sheet1!$B$9:$B$2584,[1]Sheet1!$C$9:$C$2584,"N/A",0)</f>
        <v>104.86</v>
      </c>
      <c r="K1790">
        <f>_xlfn.XLOOKUP($A1790,[1]Sheet1!$E$9:$E$2584,[1]Sheet1!$F$9:$F$2584,"N/A",0)</f>
        <v>127.63</v>
      </c>
      <c r="L1790">
        <f>_xlfn.XLOOKUP($A1790,[1]Sheet1!$H$9:$H$2584,[1]Sheet1!$I$9:$I$2584,"N/A",0)</f>
        <v>70.47</v>
      </c>
      <c r="M1790">
        <f>_xlfn.XLOOKUP($A1790,[1]Sheet1!$K$9:$K$2584,[1]Sheet1!$L$9:$L$2584,"N/A",0)</f>
        <v>142.25</v>
      </c>
      <c r="N1790">
        <f>_xlfn.XLOOKUP($A1790,[1]Sheet1!$N$9:$N$2584,[1]Sheet1!$O$9:$O$2584,"N/A",0)</f>
        <v>108.26</v>
      </c>
      <c r="O1790">
        <v>104.86</v>
      </c>
      <c r="P1790">
        <v>127.63</v>
      </c>
      <c r="Q1790">
        <v>70.47</v>
      </c>
      <c r="R1790">
        <v>108.26</v>
      </c>
      <c r="S1790">
        <v>142.25</v>
      </c>
    </row>
    <row r="1791" spans="1:19">
      <c r="A1791" s="1">
        <v>44965</v>
      </c>
      <c r="B1791" t="s">
        <v>817</v>
      </c>
      <c r="C1791" t="s">
        <v>822</v>
      </c>
      <c r="D1791">
        <v>20.0524</v>
      </c>
      <c r="E1791">
        <v>21.1509</v>
      </c>
      <c r="F1791">
        <v>0.0547814725419401</v>
      </c>
      <c r="G1791">
        <f ca="1" t="shared" si="81"/>
        <v>0.621493642026298</v>
      </c>
      <c r="H1791" t="str">
        <f ca="1" t="shared" si="82"/>
        <v>Risk-On</v>
      </c>
      <c r="I1791">
        <f ca="1" t="shared" si="83"/>
        <v>1</v>
      </c>
      <c r="J1791">
        <f>_xlfn.XLOOKUP($A1791,[1]Sheet1!$B$9:$B$2584,[1]Sheet1!$C$9:$C$2584,"N/A",0)</f>
        <v>105.28</v>
      </c>
      <c r="K1791">
        <f>_xlfn.XLOOKUP($A1791,[1]Sheet1!$E$9:$E$2584,[1]Sheet1!$F$9:$F$2584,"N/A",0)</f>
        <v>127.88</v>
      </c>
      <c r="L1791">
        <f>_xlfn.XLOOKUP($A1791,[1]Sheet1!$H$9:$H$2584,[1]Sheet1!$I$9:$I$2584,"N/A",0)</f>
        <v>70.27</v>
      </c>
      <c r="M1791">
        <f>_xlfn.XLOOKUP($A1791,[1]Sheet1!$K$9:$K$2584,[1]Sheet1!$L$9:$L$2584,"N/A",0)</f>
        <v>141.91</v>
      </c>
      <c r="N1791">
        <f>_xlfn.XLOOKUP($A1791,[1]Sheet1!$N$9:$N$2584,[1]Sheet1!$O$9:$O$2584,"N/A",0)</f>
        <v>108.97</v>
      </c>
      <c r="O1791">
        <v>105.28</v>
      </c>
      <c r="P1791">
        <v>127.88</v>
      </c>
      <c r="Q1791">
        <v>70.27</v>
      </c>
      <c r="R1791">
        <v>108.97</v>
      </c>
      <c r="S1791">
        <v>141.91</v>
      </c>
    </row>
    <row r="1792" spans="1:19">
      <c r="A1792" s="1">
        <v>44966</v>
      </c>
      <c r="B1792" t="s">
        <v>817</v>
      </c>
      <c r="C1792" t="s">
        <v>822</v>
      </c>
      <c r="D1792">
        <v>20.8103</v>
      </c>
      <c r="E1792">
        <v>21.7857</v>
      </c>
      <c r="F1792" s="2" t="s">
        <v>827</v>
      </c>
      <c r="G1792">
        <f ca="1" t="shared" si="81"/>
        <v>0.420850753102681</v>
      </c>
      <c r="H1792" t="str">
        <f ca="1" t="shared" si="82"/>
        <v>Risk-On</v>
      </c>
      <c r="I1792">
        <f ca="1" t="shared" si="83"/>
        <v>1</v>
      </c>
      <c r="J1792">
        <f>_xlfn.XLOOKUP($A1792,[1]Sheet1!$B$9:$B$2584,[1]Sheet1!$C$9:$C$2584,"N/A",0)</f>
        <v>105.43</v>
      </c>
      <c r="K1792">
        <f>_xlfn.XLOOKUP($A1792,[1]Sheet1!$E$9:$E$2584,[1]Sheet1!$F$9:$F$2584,"N/A",0)</f>
        <v>130.37</v>
      </c>
      <c r="L1792">
        <f>_xlfn.XLOOKUP($A1792,[1]Sheet1!$H$9:$H$2584,[1]Sheet1!$I$9:$I$2584,"N/A",0)</f>
        <v>70.93</v>
      </c>
      <c r="M1792">
        <f>_xlfn.XLOOKUP($A1792,[1]Sheet1!$K$9:$K$2584,[1]Sheet1!$L$9:$L$2584,"N/A",0)</f>
        <v>142.54</v>
      </c>
      <c r="N1792">
        <f>_xlfn.XLOOKUP($A1792,[1]Sheet1!$N$9:$N$2584,[1]Sheet1!$O$9:$O$2584,"N/A",0)</f>
        <v>109.36</v>
      </c>
      <c r="O1792">
        <v>105.43</v>
      </c>
      <c r="P1792">
        <v>130.37</v>
      </c>
      <c r="Q1792">
        <v>70.93</v>
      </c>
      <c r="R1792">
        <v>109.36</v>
      </c>
      <c r="S1792">
        <v>142.54</v>
      </c>
    </row>
    <row r="1793" spans="1:19">
      <c r="A1793" s="1">
        <v>44967</v>
      </c>
      <c r="B1793" t="s">
        <v>817</v>
      </c>
      <c r="C1793" t="s">
        <v>822</v>
      </c>
      <c r="D1793">
        <v>20.9304</v>
      </c>
      <c r="E1793">
        <v>22.0492</v>
      </c>
      <c r="F1793">
        <v>0.0534533501509765</v>
      </c>
      <c r="G1793">
        <f ca="1" t="shared" si="81"/>
        <v>0.587231362918582</v>
      </c>
      <c r="H1793" t="str">
        <f ca="1" t="shared" si="82"/>
        <v>Risk-On</v>
      </c>
      <c r="I1793">
        <f ca="1" t="shared" si="83"/>
        <v>1</v>
      </c>
      <c r="J1793">
        <f>_xlfn.XLOOKUP($A1793,[1]Sheet1!$B$9:$B$2584,[1]Sheet1!$C$9:$C$2584,"N/A",0)</f>
        <v>105.9</v>
      </c>
      <c r="K1793">
        <f>_xlfn.XLOOKUP($A1793,[1]Sheet1!$E$9:$E$2584,[1]Sheet1!$F$9:$F$2584,"N/A",0)</f>
        <v>130.51</v>
      </c>
      <c r="L1793">
        <f>_xlfn.XLOOKUP($A1793,[1]Sheet1!$H$9:$H$2584,[1]Sheet1!$I$9:$I$2584,"N/A",0)</f>
        <v>71.85</v>
      </c>
      <c r="M1793">
        <f>_xlfn.XLOOKUP($A1793,[1]Sheet1!$K$9:$K$2584,[1]Sheet1!$L$9:$L$2584,"N/A",0)</f>
        <v>142.87</v>
      </c>
      <c r="N1793">
        <f>_xlfn.XLOOKUP($A1793,[1]Sheet1!$N$9:$N$2584,[1]Sheet1!$O$9:$O$2584,"N/A",0)</f>
        <v>109.65</v>
      </c>
      <c r="O1793">
        <v>105.9</v>
      </c>
      <c r="P1793">
        <v>130.51</v>
      </c>
      <c r="Q1793">
        <v>71.85</v>
      </c>
      <c r="R1793">
        <v>109.65</v>
      </c>
      <c r="S1793">
        <v>142.87</v>
      </c>
    </row>
    <row r="1794" spans="1:19">
      <c r="A1794" s="1">
        <v>44970</v>
      </c>
      <c r="B1794" t="s">
        <v>817</v>
      </c>
      <c r="C1794" t="s">
        <v>822</v>
      </c>
      <c r="D1794">
        <v>19.9144</v>
      </c>
      <c r="E1794">
        <v>21.2484</v>
      </c>
      <c r="F1794">
        <v>0.0669867030892218</v>
      </c>
      <c r="G1794">
        <f ca="1" t="shared" si="81"/>
        <v>0.930122348332383</v>
      </c>
      <c r="H1794" t="str">
        <f ca="1" t="shared" si="82"/>
        <v>Risk-On</v>
      </c>
      <c r="I1794">
        <f ca="1" t="shared" si="83"/>
        <v>1</v>
      </c>
      <c r="J1794">
        <f>_xlfn.XLOOKUP($A1794,[1]Sheet1!$B$9:$B$2584,[1]Sheet1!$C$9:$C$2584,"N/A",0)</f>
        <v>106.43</v>
      </c>
      <c r="K1794">
        <f>_xlfn.XLOOKUP($A1794,[1]Sheet1!$E$9:$E$2584,[1]Sheet1!$F$9:$F$2584,"N/A",0)</f>
        <v>130.25</v>
      </c>
      <c r="L1794">
        <f>_xlfn.XLOOKUP($A1794,[1]Sheet1!$H$9:$H$2584,[1]Sheet1!$I$9:$I$2584,"N/A",0)</f>
        <v>71.7</v>
      </c>
      <c r="M1794">
        <f>_xlfn.XLOOKUP($A1794,[1]Sheet1!$K$9:$K$2584,[1]Sheet1!$L$9:$L$2584,"N/A",0)</f>
        <v>143.09</v>
      </c>
      <c r="N1794">
        <f>_xlfn.XLOOKUP($A1794,[1]Sheet1!$N$9:$N$2584,[1]Sheet1!$O$9:$O$2584,"N/A",0)</f>
        <v>109.4</v>
      </c>
      <c r="O1794">
        <v>106.43</v>
      </c>
      <c r="P1794">
        <v>130.25</v>
      </c>
      <c r="Q1794">
        <v>71.7</v>
      </c>
      <c r="R1794">
        <v>109.4</v>
      </c>
      <c r="S1794">
        <v>143.09</v>
      </c>
    </row>
    <row r="1795" spans="1:19">
      <c r="A1795" s="1">
        <v>44971</v>
      </c>
      <c r="B1795" t="s">
        <v>817</v>
      </c>
      <c r="C1795" t="s">
        <v>822</v>
      </c>
      <c r="D1795">
        <v>18.6489</v>
      </c>
      <c r="E1795">
        <v>20.4267</v>
      </c>
      <c r="F1795">
        <v>0.095330019464955</v>
      </c>
      <c r="G1795">
        <f ca="1" t="shared" ref="G1795:G1858" si="84">IF(ROW()-ROW($A$3)+1&gt;252,(F1795-AVERAGE(OFFSET(F1795,-252,0,252,1)))/_xlfn.STDEV.S(OFFSET(F1795,-252,0,252,1)),"N/A")</f>
        <v>1.63581497940263</v>
      </c>
      <c r="H1795" t="str">
        <f ca="1" t="shared" ref="H1795:H1858" si="85">IF(G1795&lt;&gt;"N/A",IF(G2045&gt;-0.5,"Risk-On","Risk-Off"),"N/A")</f>
        <v>Risk-Off</v>
      </c>
      <c r="I1795">
        <f ca="1" t="shared" si="83"/>
        <v>1</v>
      </c>
      <c r="J1795">
        <f>_xlfn.XLOOKUP($A1795,[1]Sheet1!$B$9:$B$2584,[1]Sheet1!$C$9:$C$2584,"N/A",0)</f>
        <v>106.05</v>
      </c>
      <c r="K1795">
        <f>_xlfn.XLOOKUP($A1795,[1]Sheet1!$E$9:$E$2584,[1]Sheet1!$F$9:$F$2584,"N/A",0)</f>
        <v>130.75</v>
      </c>
      <c r="L1795">
        <f>_xlfn.XLOOKUP($A1795,[1]Sheet1!$H$9:$H$2584,[1]Sheet1!$I$9:$I$2584,"N/A",0)</f>
        <v>71.56</v>
      </c>
      <c r="M1795">
        <f>_xlfn.XLOOKUP($A1795,[1]Sheet1!$K$9:$K$2584,[1]Sheet1!$L$9:$L$2584,"N/A",0)</f>
        <v>142.23</v>
      </c>
      <c r="N1795">
        <f>_xlfn.XLOOKUP($A1795,[1]Sheet1!$N$9:$N$2584,[1]Sheet1!$O$9:$O$2584,"N/A",0)</f>
        <v>109.61</v>
      </c>
      <c r="O1795">
        <v>106.05</v>
      </c>
      <c r="P1795">
        <v>130.75</v>
      </c>
      <c r="Q1795">
        <v>71.56</v>
      </c>
      <c r="R1795">
        <v>109.61</v>
      </c>
      <c r="S1795">
        <v>142.23</v>
      </c>
    </row>
    <row r="1796" spans="1:19">
      <c r="A1796" s="1">
        <v>44972</v>
      </c>
      <c r="B1796" t="s">
        <v>817</v>
      </c>
      <c r="C1796" t="s">
        <v>822</v>
      </c>
      <c r="D1796">
        <v>18.69</v>
      </c>
      <c r="E1796">
        <v>20.0523</v>
      </c>
      <c r="F1796">
        <v>0.0728892455858746</v>
      </c>
      <c r="G1796">
        <f ca="1" t="shared" si="84"/>
        <v>1.05369879796052</v>
      </c>
      <c r="H1796" t="str">
        <f ca="1" t="shared" si="85"/>
        <v>Risk-On</v>
      </c>
      <c r="I1796">
        <f ca="1" t="shared" ref="I1796:I1859" si="86">IF(H1796&lt;&gt;"N/A",IF(H2046&gt;-0.5,1,0),0)</f>
        <v>1</v>
      </c>
      <c r="J1796">
        <f>_xlfn.XLOOKUP($A1796,[1]Sheet1!$B$9:$B$2584,[1]Sheet1!$C$9:$C$2584,"N/A",0)</f>
        <v>105.63</v>
      </c>
      <c r="K1796">
        <f>_xlfn.XLOOKUP($A1796,[1]Sheet1!$E$9:$E$2584,[1]Sheet1!$F$9:$F$2584,"N/A",0)</f>
        <v>129.98</v>
      </c>
      <c r="L1796">
        <f>_xlfn.XLOOKUP($A1796,[1]Sheet1!$H$9:$H$2584,[1]Sheet1!$I$9:$I$2584,"N/A",0)</f>
        <v>70.38</v>
      </c>
      <c r="M1796">
        <f>_xlfn.XLOOKUP($A1796,[1]Sheet1!$K$9:$K$2584,[1]Sheet1!$L$9:$L$2584,"N/A",0)</f>
        <v>141.06</v>
      </c>
      <c r="N1796">
        <f>_xlfn.XLOOKUP($A1796,[1]Sheet1!$N$9:$N$2584,[1]Sheet1!$O$9:$O$2584,"N/A",0)</f>
        <v>109.04</v>
      </c>
      <c r="O1796">
        <v>105.63</v>
      </c>
      <c r="P1796">
        <v>129.98</v>
      </c>
      <c r="Q1796">
        <v>70.38</v>
      </c>
      <c r="R1796">
        <v>109.04</v>
      </c>
      <c r="S1796">
        <v>141.06</v>
      </c>
    </row>
    <row r="1797" spans="1:19">
      <c r="A1797" s="1">
        <v>44973</v>
      </c>
      <c r="B1797" t="s">
        <v>822</v>
      </c>
      <c r="C1797" t="s">
        <v>828</v>
      </c>
      <c r="D1797">
        <v>21.1605</v>
      </c>
      <c r="E1797">
        <v>21.901</v>
      </c>
      <c r="F1797" s="2" t="s">
        <v>829</v>
      </c>
      <c r="G1797">
        <f ca="1" t="shared" si="84"/>
        <v>0.0958375694172382</v>
      </c>
      <c r="H1797" t="str">
        <f ca="1" t="shared" si="85"/>
        <v>Risk-On</v>
      </c>
      <c r="I1797">
        <f ca="1" t="shared" si="86"/>
        <v>1</v>
      </c>
      <c r="J1797">
        <f>_xlfn.XLOOKUP($A1797,[1]Sheet1!$B$9:$B$2584,[1]Sheet1!$C$9:$C$2584,"N/A",0)</f>
        <v>105.31</v>
      </c>
      <c r="K1797">
        <f>_xlfn.XLOOKUP($A1797,[1]Sheet1!$E$9:$E$2584,[1]Sheet1!$F$9:$F$2584,"N/A",0)</f>
        <v>129.76</v>
      </c>
      <c r="L1797">
        <f>_xlfn.XLOOKUP($A1797,[1]Sheet1!$H$9:$H$2584,[1]Sheet1!$I$9:$I$2584,"N/A",0)</f>
        <v>70.79</v>
      </c>
      <c r="M1797">
        <f>_xlfn.XLOOKUP($A1797,[1]Sheet1!$K$9:$K$2584,[1]Sheet1!$L$9:$L$2584,"N/A",0)</f>
        <v>141.75</v>
      </c>
      <c r="N1797">
        <f>_xlfn.XLOOKUP($A1797,[1]Sheet1!$N$9:$N$2584,[1]Sheet1!$O$9:$O$2584,"N/A",0)</f>
        <v>108.22</v>
      </c>
      <c r="O1797">
        <v>105.31</v>
      </c>
      <c r="P1797">
        <v>129.76</v>
      </c>
      <c r="Q1797">
        <v>70.79</v>
      </c>
      <c r="R1797">
        <v>108.22</v>
      </c>
      <c r="S1797">
        <v>141.75</v>
      </c>
    </row>
    <row r="1798" spans="1:19">
      <c r="A1798" s="1">
        <v>44974</v>
      </c>
      <c r="B1798" t="s">
        <v>822</v>
      </c>
      <c r="C1798" t="s">
        <v>828</v>
      </c>
      <c r="D1798">
        <v>21.2482</v>
      </c>
      <c r="E1798">
        <v>21.9486</v>
      </c>
      <c r="F1798">
        <v>0.0329627921423931</v>
      </c>
      <c r="G1798">
        <f ca="1" t="shared" si="84"/>
        <v>0.0415628636375761</v>
      </c>
      <c r="H1798" t="str">
        <f ca="1" t="shared" si="85"/>
        <v>Risk-On</v>
      </c>
      <c r="I1798">
        <f ca="1" t="shared" si="86"/>
        <v>1</v>
      </c>
      <c r="J1798">
        <f>_xlfn.XLOOKUP($A1798,[1]Sheet1!$B$9:$B$2584,[1]Sheet1!$C$9:$C$2584,"N/A",0)</f>
        <v>104.82</v>
      </c>
      <c r="K1798">
        <f>_xlfn.XLOOKUP($A1798,[1]Sheet1!$E$9:$E$2584,[1]Sheet1!$F$9:$F$2584,"N/A",0)</f>
        <v>129.37</v>
      </c>
      <c r="L1798">
        <f>_xlfn.XLOOKUP($A1798,[1]Sheet1!$H$9:$H$2584,[1]Sheet1!$I$9:$I$2584,"N/A",0)</f>
        <v>70.43</v>
      </c>
      <c r="M1798">
        <f>_xlfn.XLOOKUP($A1798,[1]Sheet1!$K$9:$K$2584,[1]Sheet1!$L$9:$L$2584,"N/A",0)</f>
        <v>141.61</v>
      </c>
      <c r="N1798">
        <f>_xlfn.XLOOKUP($A1798,[1]Sheet1!$N$9:$N$2584,[1]Sheet1!$O$9:$O$2584,"N/A",0)</f>
        <v>107.49</v>
      </c>
      <c r="O1798">
        <v>104.82</v>
      </c>
      <c r="P1798">
        <v>129.37</v>
      </c>
      <c r="Q1798">
        <v>70.43</v>
      </c>
      <c r="R1798">
        <v>107.49</v>
      </c>
      <c r="S1798">
        <v>141.61</v>
      </c>
    </row>
    <row r="1799" spans="1:19">
      <c r="A1799" s="1">
        <v>44978</v>
      </c>
      <c r="B1799" t="s">
        <v>822</v>
      </c>
      <c r="C1799" t="s">
        <v>828</v>
      </c>
      <c r="D1799">
        <v>22.9011</v>
      </c>
      <c r="E1799">
        <v>23.2459</v>
      </c>
      <c r="F1799" s="2" t="s">
        <v>830</v>
      </c>
      <c r="G1799">
        <f ca="1" t="shared" si="84"/>
        <v>-0.427726714537578</v>
      </c>
      <c r="H1799" t="str">
        <f ca="1" t="shared" si="85"/>
        <v>Risk-Off</v>
      </c>
      <c r="I1799">
        <f ca="1" t="shared" si="86"/>
        <v>1</v>
      </c>
      <c r="J1799">
        <f>_xlfn.XLOOKUP($A1799,[1]Sheet1!$B$9:$B$2584,[1]Sheet1!$C$9:$C$2584,"N/A",0)</f>
        <v>105.14</v>
      </c>
      <c r="K1799">
        <f>_xlfn.XLOOKUP($A1799,[1]Sheet1!$E$9:$E$2584,[1]Sheet1!$F$9:$F$2584,"N/A",0)</f>
        <v>130.33</v>
      </c>
      <c r="L1799">
        <f>_xlfn.XLOOKUP($A1799,[1]Sheet1!$H$9:$H$2584,[1]Sheet1!$I$9:$I$2584,"N/A",0)</f>
        <v>70.3</v>
      </c>
      <c r="M1799">
        <f>_xlfn.XLOOKUP($A1799,[1]Sheet1!$K$9:$K$2584,[1]Sheet1!$L$9:$L$2584,"N/A",0)</f>
        <v>141.57</v>
      </c>
      <c r="N1799">
        <f>_xlfn.XLOOKUP($A1799,[1]Sheet1!$N$9:$N$2584,[1]Sheet1!$O$9:$O$2584,"N/A",0)</f>
        <v>108.5</v>
      </c>
      <c r="O1799">
        <v>105.14</v>
      </c>
      <c r="P1799">
        <v>130.33</v>
      </c>
      <c r="Q1799">
        <v>70.3</v>
      </c>
      <c r="R1799">
        <v>108.5</v>
      </c>
      <c r="S1799">
        <v>141.57</v>
      </c>
    </row>
    <row r="1800" spans="1:19">
      <c r="A1800" s="1">
        <v>44979</v>
      </c>
      <c r="B1800" t="s">
        <v>822</v>
      </c>
      <c r="C1800" t="s">
        <v>828</v>
      </c>
      <c r="D1800">
        <v>22.2109</v>
      </c>
      <c r="E1800">
        <v>22.7161</v>
      </c>
      <c r="F1800">
        <v>0.0227455888775332</v>
      </c>
      <c r="G1800">
        <f ca="1" t="shared" si="84"/>
        <v>-0.241573476655965</v>
      </c>
      <c r="H1800" t="str">
        <f ca="1" t="shared" si="85"/>
        <v>Risk-Off</v>
      </c>
      <c r="I1800">
        <f ca="1" t="shared" si="86"/>
        <v>1</v>
      </c>
      <c r="J1800">
        <f>_xlfn.XLOOKUP($A1800,[1]Sheet1!$B$9:$B$2584,[1]Sheet1!$C$9:$C$2584,"N/A",0)</f>
        <v>105.08</v>
      </c>
      <c r="K1800">
        <f>_xlfn.XLOOKUP($A1800,[1]Sheet1!$E$9:$E$2584,[1]Sheet1!$F$9:$F$2584,"N/A",0)</f>
        <v>130.18</v>
      </c>
      <c r="L1800">
        <f>_xlfn.XLOOKUP($A1800,[1]Sheet1!$H$9:$H$2584,[1]Sheet1!$I$9:$I$2584,"N/A",0)</f>
        <v>70.18</v>
      </c>
      <c r="M1800">
        <f>_xlfn.XLOOKUP($A1800,[1]Sheet1!$K$9:$K$2584,[1]Sheet1!$L$9:$L$2584,"N/A",0)</f>
        <v>141.53</v>
      </c>
      <c r="N1800">
        <f>_xlfn.XLOOKUP($A1800,[1]Sheet1!$N$9:$N$2584,[1]Sheet1!$O$9:$O$2584,"N/A",0)</f>
        <v>107.92</v>
      </c>
      <c r="O1800">
        <v>105.08</v>
      </c>
      <c r="P1800">
        <v>130.18</v>
      </c>
      <c r="Q1800">
        <v>70.18</v>
      </c>
      <c r="R1800">
        <v>107.92</v>
      </c>
      <c r="S1800">
        <v>141.53</v>
      </c>
    </row>
    <row r="1801" spans="1:19">
      <c r="A1801" s="1">
        <v>44980</v>
      </c>
      <c r="B1801" t="s">
        <v>822</v>
      </c>
      <c r="C1801" t="s">
        <v>828</v>
      </c>
      <c r="D1801">
        <v>21.3726</v>
      </c>
      <c r="E1801">
        <v>22.1509</v>
      </c>
      <c r="F1801">
        <v>0.0364157846962934</v>
      </c>
      <c r="G1801">
        <f ca="1" t="shared" si="84"/>
        <v>0.100082159301478</v>
      </c>
      <c r="H1801" t="str">
        <f ca="1" t="shared" si="85"/>
        <v>Risk-On</v>
      </c>
      <c r="I1801">
        <f ca="1" t="shared" si="86"/>
        <v>1</v>
      </c>
      <c r="J1801">
        <f>_xlfn.XLOOKUP($A1801,[1]Sheet1!$B$9:$B$2584,[1]Sheet1!$C$9:$C$2584,"N/A",0)</f>
        <v>104.83</v>
      </c>
      <c r="K1801">
        <f>_xlfn.XLOOKUP($A1801,[1]Sheet1!$E$9:$E$2584,[1]Sheet1!$F$9:$F$2584,"N/A",0)</f>
        <v>130.93</v>
      </c>
      <c r="L1801">
        <f>_xlfn.XLOOKUP($A1801,[1]Sheet1!$H$9:$H$2584,[1]Sheet1!$I$9:$I$2584,"N/A",0)</f>
        <v>70.7</v>
      </c>
      <c r="M1801">
        <f>_xlfn.XLOOKUP($A1801,[1]Sheet1!$K$9:$K$2584,[1]Sheet1!$L$9:$L$2584,"N/A",0)</f>
        <v>142.41</v>
      </c>
      <c r="N1801">
        <f>_xlfn.XLOOKUP($A1801,[1]Sheet1!$N$9:$N$2584,[1]Sheet1!$O$9:$O$2584,"N/A",0)</f>
        <v>107.77</v>
      </c>
      <c r="O1801">
        <v>104.83</v>
      </c>
      <c r="P1801">
        <v>130.93</v>
      </c>
      <c r="Q1801">
        <v>70.7</v>
      </c>
      <c r="R1801">
        <v>107.77</v>
      </c>
      <c r="S1801">
        <v>142.41</v>
      </c>
    </row>
    <row r="1802" spans="1:19">
      <c r="A1802" s="1">
        <v>44981</v>
      </c>
      <c r="B1802" t="s">
        <v>822</v>
      </c>
      <c r="C1802" t="s">
        <v>828</v>
      </c>
      <c r="D1802">
        <v>22.1873</v>
      </c>
      <c r="E1802">
        <v>22.8954</v>
      </c>
      <c r="F1802">
        <v>0.03191465387857</v>
      </c>
      <c r="G1802">
        <f ca="1" t="shared" si="84"/>
        <v>-0.0255877733702161</v>
      </c>
      <c r="H1802" t="str">
        <f ca="1" t="shared" si="85"/>
        <v>Risk-On</v>
      </c>
      <c r="I1802">
        <f ca="1" t="shared" si="86"/>
        <v>1</v>
      </c>
      <c r="J1802">
        <f>_xlfn.XLOOKUP($A1802,[1]Sheet1!$B$9:$B$2584,[1]Sheet1!$C$9:$C$2584,"N/A",0)</f>
        <v>104.67</v>
      </c>
      <c r="K1802">
        <f>_xlfn.XLOOKUP($A1802,[1]Sheet1!$E$9:$E$2584,[1]Sheet1!$F$9:$F$2584,"N/A",0)</f>
        <v>131.48</v>
      </c>
      <c r="L1802">
        <f>_xlfn.XLOOKUP($A1802,[1]Sheet1!$H$9:$H$2584,[1]Sheet1!$I$9:$I$2584,"N/A",0)</f>
        <v>71.07</v>
      </c>
      <c r="M1802">
        <f>_xlfn.XLOOKUP($A1802,[1]Sheet1!$K$9:$K$2584,[1]Sheet1!$L$9:$L$2584,"N/A",0)</f>
        <v>141.9</v>
      </c>
      <c r="N1802">
        <f>_xlfn.XLOOKUP($A1802,[1]Sheet1!$N$9:$N$2584,[1]Sheet1!$O$9:$O$2584,"N/A",0)</f>
        <v>107.77</v>
      </c>
      <c r="O1802">
        <v>104.67</v>
      </c>
      <c r="P1802">
        <v>131.48</v>
      </c>
      <c r="Q1802">
        <v>71.07</v>
      </c>
      <c r="R1802">
        <v>107.77</v>
      </c>
      <c r="S1802">
        <v>141.9</v>
      </c>
    </row>
    <row r="1803" spans="1:19">
      <c r="A1803" s="1">
        <v>44984</v>
      </c>
      <c r="B1803" t="s">
        <v>822</v>
      </c>
      <c r="C1803" t="s">
        <v>828</v>
      </c>
      <c r="D1803">
        <v>21.3317</v>
      </c>
      <c r="E1803">
        <v>22.25</v>
      </c>
      <c r="F1803">
        <v>0.0430486084090812</v>
      </c>
      <c r="G1803">
        <f ca="1" t="shared" si="84"/>
        <v>0.254850253667636</v>
      </c>
      <c r="H1803" t="str">
        <f ca="1" t="shared" si="85"/>
        <v>Risk-On</v>
      </c>
      <c r="I1803">
        <f ca="1" t="shared" si="86"/>
        <v>1</v>
      </c>
      <c r="J1803">
        <f>_xlfn.XLOOKUP($A1803,[1]Sheet1!$B$9:$B$2584,[1]Sheet1!$C$9:$C$2584,"N/A",0)</f>
        <v>104.76</v>
      </c>
      <c r="K1803">
        <f>_xlfn.XLOOKUP($A1803,[1]Sheet1!$E$9:$E$2584,[1]Sheet1!$F$9:$F$2584,"N/A",0)</f>
        <v>131.73</v>
      </c>
      <c r="L1803">
        <f>_xlfn.XLOOKUP($A1803,[1]Sheet1!$H$9:$H$2584,[1]Sheet1!$I$9:$I$2584,"N/A",0)</f>
        <v>70.92</v>
      </c>
      <c r="M1803">
        <f>_xlfn.XLOOKUP($A1803,[1]Sheet1!$K$9:$K$2584,[1]Sheet1!$L$9:$L$2584,"N/A",0)</f>
        <v>141.61</v>
      </c>
      <c r="N1803">
        <f>_xlfn.XLOOKUP($A1803,[1]Sheet1!$N$9:$N$2584,[1]Sheet1!$O$9:$O$2584,"N/A",0)</f>
        <v>107.92</v>
      </c>
      <c r="O1803">
        <v>104.76</v>
      </c>
      <c r="P1803">
        <v>131.73</v>
      </c>
      <c r="Q1803">
        <v>70.92</v>
      </c>
      <c r="R1803">
        <v>107.92</v>
      </c>
      <c r="S1803">
        <v>141.61</v>
      </c>
    </row>
    <row r="1804" spans="1:19">
      <c r="A1804" s="1">
        <v>44985</v>
      </c>
      <c r="B1804" t="s">
        <v>822</v>
      </c>
      <c r="C1804" t="s">
        <v>828</v>
      </c>
      <c r="D1804">
        <v>20.7757</v>
      </c>
      <c r="E1804">
        <v>21.7518</v>
      </c>
      <c r="F1804" s="2" t="s">
        <v>831</v>
      </c>
      <c r="G1804">
        <f ca="1" t="shared" si="84"/>
        <v>0.349693314575422</v>
      </c>
      <c r="H1804" t="str">
        <f ca="1" t="shared" si="85"/>
        <v>Risk-On</v>
      </c>
      <c r="I1804">
        <f ca="1" t="shared" si="86"/>
        <v>1</v>
      </c>
      <c r="J1804">
        <f>_xlfn.XLOOKUP($A1804,[1]Sheet1!$B$9:$B$2584,[1]Sheet1!$C$9:$C$2584,"N/A",0)</f>
        <v>104.72</v>
      </c>
      <c r="K1804">
        <f>_xlfn.XLOOKUP($A1804,[1]Sheet1!$E$9:$E$2584,[1]Sheet1!$F$9:$F$2584,"N/A",0)</f>
        <v>131.32</v>
      </c>
      <c r="L1804">
        <f>_xlfn.XLOOKUP($A1804,[1]Sheet1!$H$9:$H$2584,[1]Sheet1!$I$9:$I$2584,"N/A",0)</f>
        <v>70.57</v>
      </c>
      <c r="M1804">
        <f>_xlfn.XLOOKUP($A1804,[1]Sheet1!$K$9:$K$2584,[1]Sheet1!$L$9:$L$2584,"N/A",0)</f>
        <v>141.92</v>
      </c>
      <c r="N1804">
        <f>_xlfn.XLOOKUP($A1804,[1]Sheet1!$N$9:$N$2584,[1]Sheet1!$O$9:$O$2584,"N/A",0)</f>
        <v>107.36</v>
      </c>
      <c r="O1804">
        <v>104.72</v>
      </c>
      <c r="P1804">
        <v>131.32</v>
      </c>
      <c r="Q1804">
        <v>70.57</v>
      </c>
      <c r="R1804">
        <v>107.36</v>
      </c>
      <c r="S1804">
        <v>141.92</v>
      </c>
    </row>
    <row r="1805" spans="1:19">
      <c r="A1805" s="1">
        <v>44986</v>
      </c>
      <c r="B1805" t="s">
        <v>822</v>
      </c>
      <c r="C1805" t="s">
        <v>828</v>
      </c>
      <c r="D1805">
        <v>21.0322</v>
      </c>
      <c r="E1805">
        <v>22.0497</v>
      </c>
      <c r="F1805">
        <v>0.0483782010441134</v>
      </c>
      <c r="G1805">
        <f ca="1" t="shared" si="84"/>
        <v>0.380167873078471</v>
      </c>
      <c r="H1805" t="str">
        <f ca="1" t="shared" si="85"/>
        <v>Risk-On</v>
      </c>
      <c r="I1805">
        <f ca="1" t="shared" si="86"/>
        <v>1</v>
      </c>
      <c r="J1805">
        <f>_xlfn.XLOOKUP($A1805,[1]Sheet1!$B$9:$B$2584,[1]Sheet1!$C$9:$C$2584,"N/A",0)</f>
        <v>103.64</v>
      </c>
      <c r="K1805">
        <f>_xlfn.XLOOKUP($A1805,[1]Sheet1!$E$9:$E$2584,[1]Sheet1!$F$9:$F$2584,"N/A",0)</f>
        <v>132.65</v>
      </c>
      <c r="L1805">
        <f>_xlfn.XLOOKUP($A1805,[1]Sheet1!$H$9:$H$2584,[1]Sheet1!$I$9:$I$2584,"N/A",0)</f>
        <v>71.03</v>
      </c>
      <c r="M1805">
        <f>_xlfn.XLOOKUP($A1805,[1]Sheet1!$K$9:$K$2584,[1]Sheet1!$L$9:$L$2584,"N/A",0)</f>
        <v>142.12</v>
      </c>
      <c r="N1805">
        <f>_xlfn.XLOOKUP($A1805,[1]Sheet1!$N$9:$N$2584,[1]Sheet1!$O$9:$O$2584,"N/A",0)</f>
        <v>107.05</v>
      </c>
      <c r="O1805">
        <v>103.64</v>
      </c>
      <c r="P1805">
        <v>132.65</v>
      </c>
      <c r="Q1805">
        <v>71.03</v>
      </c>
      <c r="R1805">
        <v>107.05</v>
      </c>
      <c r="S1805">
        <v>142.12</v>
      </c>
    </row>
    <row r="1806" spans="1:19">
      <c r="A1806" s="1">
        <v>44987</v>
      </c>
      <c r="B1806" t="s">
        <v>822</v>
      </c>
      <c r="C1806" t="s">
        <v>828</v>
      </c>
      <c r="D1806">
        <v>20.2009</v>
      </c>
      <c r="E1806">
        <v>21.2499</v>
      </c>
      <c r="F1806">
        <v>0.0519283794286392</v>
      </c>
      <c r="G1806">
        <f ca="1" t="shared" si="84"/>
        <v>0.466298900326962</v>
      </c>
      <c r="H1806" t="str">
        <f ca="1" t="shared" si="85"/>
        <v>Risk-On</v>
      </c>
      <c r="I1806">
        <f ca="1" t="shared" si="86"/>
        <v>1</v>
      </c>
      <c r="J1806">
        <f>_xlfn.XLOOKUP($A1806,[1]Sheet1!$B$9:$B$2584,[1]Sheet1!$C$9:$C$2584,"N/A",0)</f>
        <v>103.44</v>
      </c>
      <c r="K1806">
        <f>_xlfn.XLOOKUP($A1806,[1]Sheet1!$E$9:$E$2584,[1]Sheet1!$F$9:$F$2584,"N/A",0)</f>
        <v>132.21</v>
      </c>
      <c r="L1806">
        <f>_xlfn.XLOOKUP($A1806,[1]Sheet1!$H$9:$H$2584,[1]Sheet1!$I$9:$I$2584,"N/A",0)</f>
        <v>70.66</v>
      </c>
      <c r="M1806">
        <f>_xlfn.XLOOKUP($A1806,[1]Sheet1!$K$9:$K$2584,[1]Sheet1!$L$9:$L$2584,"N/A",0)</f>
        <v>142.03</v>
      </c>
      <c r="N1806">
        <f>_xlfn.XLOOKUP($A1806,[1]Sheet1!$N$9:$N$2584,[1]Sheet1!$O$9:$O$2584,"N/A",0)</f>
        <v>107.58</v>
      </c>
      <c r="O1806">
        <v>103.44</v>
      </c>
      <c r="P1806">
        <v>132.21</v>
      </c>
      <c r="Q1806">
        <v>70.66</v>
      </c>
      <c r="R1806">
        <v>107.58</v>
      </c>
      <c r="S1806">
        <v>142.03</v>
      </c>
    </row>
    <row r="1807" spans="1:19">
      <c r="A1807" s="1">
        <v>44988</v>
      </c>
      <c r="B1807" t="s">
        <v>822</v>
      </c>
      <c r="C1807" t="s">
        <v>828</v>
      </c>
      <c r="D1807">
        <v>19.4984</v>
      </c>
      <c r="E1807">
        <v>20.7153</v>
      </c>
      <c r="F1807">
        <v>0.0624102490460755</v>
      </c>
      <c r="G1807">
        <f ca="1" t="shared" si="84"/>
        <v>0.738506861363919</v>
      </c>
      <c r="H1807" t="str">
        <f ca="1" t="shared" si="85"/>
        <v>Risk-On</v>
      </c>
      <c r="I1807">
        <f ca="1" t="shared" si="86"/>
        <v>1</v>
      </c>
      <c r="J1807">
        <f>_xlfn.XLOOKUP($A1807,[1]Sheet1!$B$9:$B$2584,[1]Sheet1!$C$9:$C$2584,"N/A",0)</f>
        <v>103.08</v>
      </c>
      <c r="K1807">
        <f>_xlfn.XLOOKUP($A1807,[1]Sheet1!$E$9:$E$2584,[1]Sheet1!$F$9:$F$2584,"N/A",0)</f>
        <v>131.99</v>
      </c>
      <c r="L1807">
        <f>_xlfn.XLOOKUP($A1807,[1]Sheet1!$H$9:$H$2584,[1]Sheet1!$I$9:$I$2584,"N/A",0)</f>
        <v>70.38</v>
      </c>
      <c r="M1807">
        <f>_xlfn.XLOOKUP($A1807,[1]Sheet1!$K$9:$K$2584,[1]Sheet1!$L$9:$L$2584,"N/A",0)</f>
        <v>141.9</v>
      </c>
      <c r="N1807">
        <f>_xlfn.XLOOKUP($A1807,[1]Sheet1!$N$9:$N$2584,[1]Sheet1!$O$9:$O$2584,"N/A",0)</f>
        <v>107.91</v>
      </c>
      <c r="O1807">
        <v>103.08</v>
      </c>
      <c r="P1807">
        <v>131.99</v>
      </c>
      <c r="Q1807">
        <v>70.38</v>
      </c>
      <c r="R1807">
        <v>107.91</v>
      </c>
      <c r="S1807">
        <v>141.9</v>
      </c>
    </row>
    <row r="1808" spans="1:19">
      <c r="A1808" s="1">
        <v>44991</v>
      </c>
      <c r="B1808" t="s">
        <v>822</v>
      </c>
      <c r="C1808" t="s">
        <v>828</v>
      </c>
      <c r="D1808">
        <v>19.2202</v>
      </c>
      <c r="E1808">
        <v>20.3629</v>
      </c>
      <c r="F1808">
        <v>0.0594530754102455</v>
      </c>
      <c r="G1808">
        <f ca="1" t="shared" si="84"/>
        <v>0.64969034057121</v>
      </c>
      <c r="H1808" t="str">
        <f ca="1" t="shared" si="85"/>
        <v>Risk-On</v>
      </c>
      <c r="I1808">
        <f ca="1" t="shared" si="86"/>
        <v>1</v>
      </c>
      <c r="J1808">
        <f>_xlfn.XLOOKUP($A1808,[1]Sheet1!$B$9:$B$2584,[1]Sheet1!$C$9:$C$2584,"N/A",0)</f>
        <v>103.62</v>
      </c>
      <c r="K1808">
        <f>_xlfn.XLOOKUP($A1808,[1]Sheet1!$E$9:$E$2584,[1]Sheet1!$F$9:$F$2584,"N/A",0)</f>
        <v>132.47</v>
      </c>
      <c r="L1808">
        <f>_xlfn.XLOOKUP($A1808,[1]Sheet1!$H$9:$H$2584,[1]Sheet1!$I$9:$I$2584,"N/A",0)</f>
        <v>69.97</v>
      </c>
      <c r="M1808">
        <f>_xlfn.XLOOKUP($A1808,[1]Sheet1!$K$9:$K$2584,[1]Sheet1!$L$9:$L$2584,"N/A",0)</f>
        <v>141.89</v>
      </c>
      <c r="N1808">
        <f>_xlfn.XLOOKUP($A1808,[1]Sheet1!$N$9:$N$2584,[1]Sheet1!$O$9:$O$2584,"N/A",0)</f>
        <v>109.44</v>
      </c>
      <c r="O1808">
        <v>103.62</v>
      </c>
      <c r="P1808">
        <v>132.47</v>
      </c>
      <c r="Q1808">
        <v>69.97</v>
      </c>
      <c r="R1808">
        <v>109.44</v>
      </c>
      <c r="S1808">
        <v>141.89</v>
      </c>
    </row>
    <row r="1809" spans="1:19">
      <c r="A1809" s="1">
        <v>44992</v>
      </c>
      <c r="B1809" t="s">
        <v>822</v>
      </c>
      <c r="C1809" t="s">
        <v>828</v>
      </c>
      <c r="D1809">
        <v>19.7516</v>
      </c>
      <c r="E1809">
        <v>20.8009</v>
      </c>
      <c r="F1809">
        <v>0.0531248101419631</v>
      </c>
      <c r="G1809">
        <f ca="1" t="shared" si="84"/>
        <v>0.469745548748017</v>
      </c>
      <c r="H1809" t="str">
        <f ca="1" t="shared" si="85"/>
        <v>Risk-On</v>
      </c>
      <c r="I1809">
        <f ca="1" t="shared" si="86"/>
        <v>1</v>
      </c>
      <c r="J1809">
        <f>_xlfn.XLOOKUP($A1809,[1]Sheet1!$B$9:$B$2584,[1]Sheet1!$C$9:$C$2584,"N/A",0)</f>
        <v>103.61</v>
      </c>
      <c r="K1809">
        <f>_xlfn.XLOOKUP($A1809,[1]Sheet1!$E$9:$E$2584,[1]Sheet1!$F$9:$F$2584,"N/A",0)</f>
        <v>133.57</v>
      </c>
      <c r="L1809">
        <f>_xlfn.XLOOKUP($A1809,[1]Sheet1!$H$9:$H$2584,[1]Sheet1!$I$9:$I$2584,"N/A",0)</f>
        <v>69.81</v>
      </c>
      <c r="M1809">
        <f>_xlfn.XLOOKUP($A1809,[1]Sheet1!$K$9:$K$2584,[1]Sheet1!$L$9:$L$2584,"N/A",0)</f>
        <v>142.27</v>
      </c>
      <c r="N1809">
        <f>_xlfn.XLOOKUP($A1809,[1]Sheet1!$N$9:$N$2584,[1]Sheet1!$O$9:$O$2584,"N/A",0)</f>
        <v>108.76</v>
      </c>
      <c r="O1809">
        <v>103.61</v>
      </c>
      <c r="P1809">
        <v>133.57</v>
      </c>
      <c r="Q1809">
        <v>69.81</v>
      </c>
      <c r="R1809">
        <v>108.76</v>
      </c>
      <c r="S1809">
        <v>142.27</v>
      </c>
    </row>
    <row r="1810" spans="1:19">
      <c r="A1810" s="1">
        <v>44993</v>
      </c>
      <c r="B1810" t="s">
        <v>822</v>
      </c>
      <c r="C1810" t="s">
        <v>828</v>
      </c>
      <c r="D1810">
        <v>19.3052</v>
      </c>
      <c r="E1810">
        <v>20.4505</v>
      </c>
      <c r="F1810">
        <v>0.0593259847087832</v>
      </c>
      <c r="G1810">
        <f ca="1" t="shared" si="84"/>
        <v>0.630412998033324</v>
      </c>
      <c r="H1810" t="str">
        <f ca="1" t="shared" si="85"/>
        <v>Risk-On</v>
      </c>
      <c r="I1810">
        <f ca="1" t="shared" si="86"/>
        <v>1</v>
      </c>
      <c r="J1810">
        <f>_xlfn.XLOOKUP($A1810,[1]Sheet1!$B$9:$B$2584,[1]Sheet1!$C$9:$C$2584,"N/A",0)</f>
        <v>103.49</v>
      </c>
      <c r="K1810">
        <f>_xlfn.XLOOKUP($A1810,[1]Sheet1!$E$9:$E$2584,[1]Sheet1!$F$9:$F$2584,"N/A",0)</f>
        <v>133.67</v>
      </c>
      <c r="L1810">
        <f>_xlfn.XLOOKUP($A1810,[1]Sheet1!$H$9:$H$2584,[1]Sheet1!$I$9:$I$2584,"N/A",0)</f>
        <v>69.88</v>
      </c>
      <c r="M1810">
        <f>_xlfn.XLOOKUP($A1810,[1]Sheet1!$K$9:$K$2584,[1]Sheet1!$L$9:$L$2584,"N/A",0)</f>
        <v>142.13</v>
      </c>
      <c r="N1810">
        <f>_xlfn.XLOOKUP($A1810,[1]Sheet1!$N$9:$N$2584,[1]Sheet1!$O$9:$O$2584,"N/A",0)</f>
        <v>109.06</v>
      </c>
      <c r="O1810">
        <v>103.49</v>
      </c>
      <c r="P1810">
        <v>133.67</v>
      </c>
      <c r="Q1810">
        <v>69.88</v>
      </c>
      <c r="R1810">
        <v>109.06</v>
      </c>
      <c r="S1810">
        <v>142.13</v>
      </c>
    </row>
    <row r="1811" spans="1:19">
      <c r="A1811" s="1">
        <v>44994</v>
      </c>
      <c r="B1811" t="s">
        <v>822</v>
      </c>
      <c r="C1811" t="s">
        <v>828</v>
      </c>
      <c r="D1811">
        <v>21.7964</v>
      </c>
      <c r="E1811">
        <v>22.4264</v>
      </c>
      <c r="F1811" s="2" t="s">
        <v>832</v>
      </c>
      <c r="G1811">
        <f ca="1" t="shared" si="84"/>
        <v>-0.223728545610923</v>
      </c>
      <c r="H1811" t="str">
        <f ca="1" t="shared" si="85"/>
        <v>Risk-On</v>
      </c>
      <c r="I1811">
        <f ca="1" t="shared" si="86"/>
        <v>1</v>
      </c>
      <c r="J1811">
        <f>_xlfn.XLOOKUP($A1811,[1]Sheet1!$B$9:$B$2584,[1]Sheet1!$C$9:$C$2584,"N/A",0)</f>
        <v>103.31</v>
      </c>
      <c r="K1811">
        <f>_xlfn.XLOOKUP($A1811,[1]Sheet1!$E$9:$E$2584,[1]Sheet1!$F$9:$F$2584,"N/A",0)</f>
        <v>134.79</v>
      </c>
      <c r="L1811">
        <f>_xlfn.XLOOKUP($A1811,[1]Sheet1!$H$9:$H$2584,[1]Sheet1!$I$9:$I$2584,"N/A",0)</f>
        <v>69.88</v>
      </c>
      <c r="M1811">
        <f>_xlfn.XLOOKUP($A1811,[1]Sheet1!$K$9:$K$2584,[1]Sheet1!$L$9:$L$2584,"N/A",0)</f>
        <v>142.52</v>
      </c>
      <c r="N1811">
        <f>_xlfn.XLOOKUP($A1811,[1]Sheet1!$N$9:$N$2584,[1]Sheet1!$O$9:$O$2584,"N/A",0)</f>
        <v>109.6</v>
      </c>
      <c r="O1811">
        <v>103.31</v>
      </c>
      <c r="P1811">
        <v>134.79</v>
      </c>
      <c r="Q1811">
        <v>69.88</v>
      </c>
      <c r="R1811">
        <v>109.6</v>
      </c>
      <c r="S1811">
        <v>142.52</v>
      </c>
    </row>
    <row r="1812" spans="1:19">
      <c r="A1812" s="1">
        <v>44995</v>
      </c>
      <c r="B1812" t="s">
        <v>822</v>
      </c>
      <c r="C1812" t="s">
        <v>828</v>
      </c>
      <c r="D1812">
        <v>24.1808</v>
      </c>
      <c r="E1812">
        <v>24.7848</v>
      </c>
      <c r="F1812" s="2" t="s">
        <v>833</v>
      </c>
      <c r="G1812">
        <f ca="1" t="shared" si="84"/>
        <v>-0.348537788324573</v>
      </c>
      <c r="H1812" t="str">
        <f ca="1" t="shared" si="85"/>
        <v>Risk-On</v>
      </c>
      <c r="I1812">
        <f ca="1" t="shared" si="86"/>
        <v>1</v>
      </c>
      <c r="J1812">
        <f>_xlfn.XLOOKUP($A1812,[1]Sheet1!$B$9:$B$2584,[1]Sheet1!$C$9:$C$2584,"N/A",0)</f>
        <v>102.65</v>
      </c>
      <c r="K1812">
        <f>_xlfn.XLOOKUP($A1812,[1]Sheet1!$E$9:$E$2584,[1]Sheet1!$F$9:$F$2584,"N/A",0)</f>
        <v>135.27</v>
      </c>
      <c r="L1812">
        <f>_xlfn.XLOOKUP($A1812,[1]Sheet1!$H$9:$H$2584,[1]Sheet1!$I$9:$I$2584,"N/A",0)</f>
        <v>69.62</v>
      </c>
      <c r="M1812">
        <f>_xlfn.XLOOKUP($A1812,[1]Sheet1!$K$9:$K$2584,[1]Sheet1!$L$9:$L$2584,"N/A",0)</f>
        <v>141.95</v>
      </c>
      <c r="N1812">
        <f>_xlfn.XLOOKUP($A1812,[1]Sheet1!$N$9:$N$2584,[1]Sheet1!$O$9:$O$2584,"N/A",0)</f>
        <v>110.58</v>
      </c>
      <c r="O1812">
        <v>102.65</v>
      </c>
      <c r="P1812">
        <v>135.27</v>
      </c>
      <c r="Q1812">
        <v>69.62</v>
      </c>
      <c r="R1812">
        <v>110.58</v>
      </c>
      <c r="S1812">
        <v>141.95</v>
      </c>
    </row>
    <row r="1813" spans="1:19">
      <c r="A1813" s="1">
        <v>44998</v>
      </c>
      <c r="B1813" t="s">
        <v>822</v>
      </c>
      <c r="C1813" t="s">
        <v>828</v>
      </c>
      <c r="D1813">
        <v>25.3724</v>
      </c>
      <c r="E1813">
        <v>25.5333</v>
      </c>
      <c r="F1813">
        <v>0.00634153647270268</v>
      </c>
      <c r="G1813">
        <f ca="1" t="shared" si="84"/>
        <v>-0.885923575085404</v>
      </c>
      <c r="H1813" t="str">
        <f ca="1" t="shared" si="85"/>
        <v>Risk-On</v>
      </c>
      <c r="I1813">
        <f ca="1" t="shared" si="86"/>
        <v>1</v>
      </c>
      <c r="J1813">
        <f>_xlfn.XLOOKUP($A1813,[1]Sheet1!$B$9:$B$2584,[1]Sheet1!$C$9:$C$2584,"N/A",0)</f>
        <v>103.49</v>
      </c>
      <c r="K1813">
        <f>_xlfn.XLOOKUP($A1813,[1]Sheet1!$E$9:$E$2584,[1]Sheet1!$F$9:$F$2584,"N/A",0)</f>
        <v>134.21</v>
      </c>
      <c r="L1813">
        <f>_xlfn.XLOOKUP($A1813,[1]Sheet1!$H$9:$H$2584,[1]Sheet1!$I$9:$I$2584,"N/A",0)</f>
        <v>68.41</v>
      </c>
      <c r="M1813">
        <f>_xlfn.XLOOKUP($A1813,[1]Sheet1!$K$9:$K$2584,[1]Sheet1!$L$9:$L$2584,"N/A",0)</f>
        <v>141.56</v>
      </c>
      <c r="N1813">
        <f>_xlfn.XLOOKUP($A1813,[1]Sheet1!$N$9:$N$2584,[1]Sheet1!$O$9:$O$2584,"N/A",0)</f>
        <v>111.84</v>
      </c>
      <c r="O1813">
        <v>103.49</v>
      </c>
      <c r="P1813">
        <v>134.21</v>
      </c>
      <c r="Q1813">
        <v>68.41</v>
      </c>
      <c r="R1813">
        <v>111.84</v>
      </c>
      <c r="S1813">
        <v>141.56</v>
      </c>
    </row>
    <row r="1814" spans="1:19">
      <c r="A1814" s="1">
        <v>44999</v>
      </c>
      <c r="B1814" t="s">
        <v>822</v>
      </c>
      <c r="C1814" t="s">
        <v>828</v>
      </c>
      <c r="D1814">
        <v>23.7017</v>
      </c>
      <c r="E1814">
        <v>23.9083</v>
      </c>
      <c r="F1814">
        <v>0.00871667433137714</v>
      </c>
      <c r="G1814">
        <f ca="1" t="shared" si="84"/>
        <v>-0.823764597543556</v>
      </c>
      <c r="H1814" t="str">
        <f ca="1" t="shared" si="85"/>
        <v>Risk-On</v>
      </c>
      <c r="I1814">
        <f ca="1" t="shared" si="86"/>
        <v>1</v>
      </c>
      <c r="J1814">
        <f>_xlfn.XLOOKUP($A1814,[1]Sheet1!$B$9:$B$2584,[1]Sheet1!$C$9:$C$2584,"N/A",0)</f>
        <v>103.6</v>
      </c>
      <c r="K1814">
        <f>_xlfn.XLOOKUP($A1814,[1]Sheet1!$E$9:$E$2584,[1]Sheet1!$F$9:$F$2584,"N/A",0)</f>
        <v>135.56</v>
      </c>
      <c r="L1814">
        <f>_xlfn.XLOOKUP($A1814,[1]Sheet1!$H$9:$H$2584,[1]Sheet1!$I$9:$I$2584,"N/A",0)</f>
        <v>68.31</v>
      </c>
      <c r="M1814">
        <f>_xlfn.XLOOKUP($A1814,[1]Sheet1!$K$9:$K$2584,[1]Sheet1!$L$9:$L$2584,"N/A",0)</f>
        <v>141.64</v>
      </c>
      <c r="N1814">
        <f>_xlfn.XLOOKUP($A1814,[1]Sheet1!$N$9:$N$2584,[1]Sheet1!$O$9:$O$2584,"N/A",0)</f>
        <v>111.22</v>
      </c>
      <c r="O1814">
        <v>103.6</v>
      </c>
      <c r="P1814">
        <v>135.56</v>
      </c>
      <c r="Q1814">
        <v>68.31</v>
      </c>
      <c r="R1814">
        <v>111.22</v>
      </c>
      <c r="S1814">
        <v>141.64</v>
      </c>
    </row>
    <row r="1815" spans="1:19">
      <c r="A1815" s="1">
        <v>45000</v>
      </c>
      <c r="B1815" t="s">
        <v>822</v>
      </c>
      <c r="C1815" t="s">
        <v>828</v>
      </c>
      <c r="D1815">
        <v>25.8129</v>
      </c>
      <c r="E1815">
        <v>25.8726</v>
      </c>
      <c r="F1815">
        <v>0.00231279708982715</v>
      </c>
      <c r="G1815">
        <f ca="1" t="shared" si="84"/>
        <v>-1.01057077384721</v>
      </c>
      <c r="H1815" t="str">
        <f ca="1" t="shared" si="85"/>
        <v>Risk-On</v>
      </c>
      <c r="I1815">
        <f ca="1" t="shared" si="86"/>
        <v>1</v>
      </c>
      <c r="J1815">
        <f>_xlfn.XLOOKUP($A1815,[1]Sheet1!$B$9:$B$2584,[1]Sheet1!$C$9:$C$2584,"N/A",0)</f>
        <v>103.46</v>
      </c>
      <c r="K1815">
        <f>_xlfn.XLOOKUP($A1815,[1]Sheet1!$E$9:$E$2584,[1]Sheet1!$F$9:$F$2584,"N/A",0)</f>
        <v>134.85</v>
      </c>
      <c r="L1815">
        <f>_xlfn.XLOOKUP($A1815,[1]Sheet1!$H$9:$H$2584,[1]Sheet1!$I$9:$I$2584,"N/A",0)</f>
        <v>67.11</v>
      </c>
      <c r="M1815">
        <f>_xlfn.XLOOKUP($A1815,[1]Sheet1!$K$9:$K$2584,[1]Sheet1!$L$9:$L$2584,"N/A",0)</f>
        <v>141.78</v>
      </c>
      <c r="N1815">
        <f>_xlfn.XLOOKUP($A1815,[1]Sheet1!$N$9:$N$2584,[1]Sheet1!$O$9:$O$2584,"N/A",0)</f>
        <v>111.35</v>
      </c>
      <c r="O1815">
        <v>103.46</v>
      </c>
      <c r="P1815">
        <v>134.85</v>
      </c>
      <c r="Q1815">
        <v>67.11</v>
      </c>
      <c r="R1815">
        <v>111.35</v>
      </c>
      <c r="S1815">
        <v>141.78</v>
      </c>
    </row>
    <row r="1816" spans="1:19">
      <c r="A1816" s="1">
        <v>45001</v>
      </c>
      <c r="B1816" t="s">
        <v>822</v>
      </c>
      <c r="C1816" t="s">
        <v>828</v>
      </c>
      <c r="D1816">
        <v>23.0155</v>
      </c>
      <c r="E1816">
        <v>23.5506</v>
      </c>
      <c r="F1816">
        <v>0.0232495492168321</v>
      </c>
      <c r="G1816">
        <f ca="1" t="shared" si="84"/>
        <v>-0.416849875316295</v>
      </c>
      <c r="H1816" t="str">
        <f ca="1" t="shared" si="85"/>
        <v>Risk-On</v>
      </c>
      <c r="I1816">
        <f ca="1" t="shared" si="86"/>
        <v>1</v>
      </c>
      <c r="J1816">
        <f>_xlfn.XLOOKUP($A1816,[1]Sheet1!$B$9:$B$2584,[1]Sheet1!$C$9:$C$2584,"N/A",0)</f>
        <v>103.33</v>
      </c>
      <c r="K1816">
        <f>_xlfn.XLOOKUP($A1816,[1]Sheet1!$E$9:$E$2584,[1]Sheet1!$F$9:$F$2584,"N/A",0)</f>
        <v>135.93</v>
      </c>
      <c r="L1816">
        <f>_xlfn.XLOOKUP($A1816,[1]Sheet1!$H$9:$H$2584,[1]Sheet1!$I$9:$I$2584,"N/A",0)</f>
        <v>67.05</v>
      </c>
      <c r="M1816">
        <f>_xlfn.XLOOKUP($A1816,[1]Sheet1!$K$9:$K$2584,[1]Sheet1!$L$9:$L$2584,"N/A",0)</f>
        <v>142.14</v>
      </c>
      <c r="N1816">
        <f>_xlfn.XLOOKUP($A1816,[1]Sheet1!$N$9:$N$2584,[1]Sheet1!$O$9:$O$2584,"N/A",0)</f>
        <v>111.75</v>
      </c>
      <c r="O1816">
        <v>103.33</v>
      </c>
      <c r="P1816">
        <v>135.93</v>
      </c>
      <c r="Q1816">
        <v>67.05</v>
      </c>
      <c r="R1816">
        <v>111.75</v>
      </c>
      <c r="S1816">
        <v>142.14</v>
      </c>
    </row>
    <row r="1817" spans="1:19">
      <c r="A1817" s="1">
        <v>45002</v>
      </c>
      <c r="B1817" t="s">
        <v>822</v>
      </c>
      <c r="C1817" t="s">
        <v>828</v>
      </c>
      <c r="D1817">
        <v>25.6342</v>
      </c>
      <c r="E1817">
        <v>26.1463</v>
      </c>
      <c r="F1817" s="2" t="s">
        <v>834</v>
      </c>
      <c r="G1817">
        <f ca="1" t="shared" si="84"/>
        <v>-0.530600296266574</v>
      </c>
      <c r="H1817" t="str">
        <f ca="1" t="shared" si="85"/>
        <v>Risk-On</v>
      </c>
      <c r="I1817">
        <f ca="1" t="shared" si="86"/>
        <v>1</v>
      </c>
      <c r="J1817">
        <f>_xlfn.XLOOKUP($A1817,[1]Sheet1!$B$9:$B$2584,[1]Sheet1!$C$9:$C$2584,"N/A",0)</f>
        <v>103.09</v>
      </c>
      <c r="K1817">
        <f>_xlfn.XLOOKUP($A1817,[1]Sheet1!$E$9:$E$2584,[1]Sheet1!$F$9:$F$2584,"N/A",0)</f>
        <v>135.14</v>
      </c>
      <c r="L1817">
        <f>_xlfn.XLOOKUP($A1817,[1]Sheet1!$H$9:$H$2584,[1]Sheet1!$I$9:$I$2584,"N/A",0)</f>
        <v>66.89</v>
      </c>
      <c r="M1817">
        <f>_xlfn.XLOOKUP($A1817,[1]Sheet1!$K$9:$K$2584,[1]Sheet1!$L$9:$L$2584,"N/A",0)</f>
        <v>142</v>
      </c>
      <c r="N1817">
        <f>_xlfn.XLOOKUP($A1817,[1]Sheet1!$N$9:$N$2584,[1]Sheet1!$O$9:$O$2584,"N/A",0)</f>
        <v>112.85</v>
      </c>
      <c r="O1817">
        <v>103.09</v>
      </c>
      <c r="P1817">
        <v>135.14</v>
      </c>
      <c r="Q1817">
        <v>66.89</v>
      </c>
      <c r="R1817">
        <v>112.85</v>
      </c>
      <c r="S1817">
        <v>142</v>
      </c>
    </row>
    <row r="1818" spans="1:19">
      <c r="A1818" s="1">
        <v>45005</v>
      </c>
      <c r="B1818" t="s">
        <v>822</v>
      </c>
      <c r="C1818" t="s">
        <v>828</v>
      </c>
      <c r="D1818">
        <v>24.1683</v>
      </c>
      <c r="E1818">
        <v>24.942</v>
      </c>
      <c r="F1818">
        <v>0.0320130087759586</v>
      </c>
      <c r="G1818">
        <f ca="1" t="shared" si="84"/>
        <v>-0.1824146428409</v>
      </c>
      <c r="H1818" t="str">
        <f ca="1" t="shared" si="85"/>
        <v>Risk-On</v>
      </c>
      <c r="I1818">
        <f ca="1" t="shared" si="86"/>
        <v>1</v>
      </c>
      <c r="J1818">
        <f>_xlfn.XLOOKUP($A1818,[1]Sheet1!$B$9:$B$2584,[1]Sheet1!$C$9:$C$2584,"N/A",0)</f>
        <v>103.21</v>
      </c>
      <c r="K1818">
        <f>_xlfn.XLOOKUP($A1818,[1]Sheet1!$E$9:$E$2584,[1]Sheet1!$F$9:$F$2584,"N/A",0)</f>
        <v>136.24</v>
      </c>
      <c r="L1818">
        <f>_xlfn.XLOOKUP($A1818,[1]Sheet1!$H$9:$H$2584,[1]Sheet1!$I$9:$I$2584,"N/A",0)</f>
        <v>67.15</v>
      </c>
      <c r="M1818">
        <f>_xlfn.XLOOKUP($A1818,[1]Sheet1!$K$9:$K$2584,[1]Sheet1!$L$9:$L$2584,"N/A",0)</f>
        <v>142.6</v>
      </c>
      <c r="N1818">
        <f>_xlfn.XLOOKUP($A1818,[1]Sheet1!$N$9:$N$2584,[1]Sheet1!$O$9:$O$2584,"N/A",0)</f>
        <v>112.69</v>
      </c>
      <c r="O1818">
        <v>103.21</v>
      </c>
      <c r="P1818">
        <v>136.24</v>
      </c>
      <c r="Q1818">
        <v>67.15</v>
      </c>
      <c r="R1818">
        <v>112.69</v>
      </c>
      <c r="S1818">
        <v>142.6</v>
      </c>
    </row>
    <row r="1819" spans="1:19">
      <c r="A1819" s="1">
        <v>45006</v>
      </c>
      <c r="B1819" t="s">
        <v>822</v>
      </c>
      <c r="C1819" t="s">
        <v>828</v>
      </c>
      <c r="D1819">
        <v>21.5908</v>
      </c>
      <c r="E1819">
        <v>22.7699</v>
      </c>
      <c r="F1819">
        <v>0.0546112232988123</v>
      </c>
      <c r="G1819">
        <f ca="1" t="shared" si="84"/>
        <v>0.47369370568765</v>
      </c>
      <c r="H1819" t="str">
        <f ca="1" t="shared" si="85"/>
        <v>Risk-On</v>
      </c>
      <c r="I1819">
        <f ca="1" t="shared" si="86"/>
        <v>1</v>
      </c>
      <c r="J1819">
        <f>_xlfn.XLOOKUP($A1819,[1]Sheet1!$B$9:$B$2584,[1]Sheet1!$C$9:$C$2584,"N/A",0)</f>
        <v>104.33</v>
      </c>
      <c r="K1819">
        <f>_xlfn.XLOOKUP($A1819,[1]Sheet1!$E$9:$E$2584,[1]Sheet1!$F$9:$F$2584,"N/A",0)</f>
        <v>136.18</v>
      </c>
      <c r="L1819">
        <f>_xlfn.XLOOKUP($A1819,[1]Sheet1!$H$9:$H$2584,[1]Sheet1!$I$9:$I$2584,"N/A",0)</f>
        <v>67.23</v>
      </c>
      <c r="M1819">
        <f>_xlfn.XLOOKUP($A1819,[1]Sheet1!$K$9:$K$2584,[1]Sheet1!$L$9:$L$2584,"N/A",0)</f>
        <v>142.99</v>
      </c>
      <c r="N1819">
        <f>_xlfn.XLOOKUP($A1819,[1]Sheet1!$N$9:$N$2584,[1]Sheet1!$O$9:$O$2584,"N/A",0)</f>
        <v>112.21</v>
      </c>
      <c r="O1819">
        <v>104.33</v>
      </c>
      <c r="P1819">
        <v>136.18</v>
      </c>
      <c r="Q1819">
        <v>67.23</v>
      </c>
      <c r="R1819">
        <v>112.21</v>
      </c>
      <c r="S1819">
        <v>142.99</v>
      </c>
    </row>
    <row r="1820" spans="1:19">
      <c r="A1820" s="1">
        <v>45007</v>
      </c>
      <c r="B1820" t="s">
        <v>822</v>
      </c>
      <c r="C1820" t="s">
        <v>828</v>
      </c>
      <c r="D1820">
        <v>20.68</v>
      </c>
      <c r="E1820">
        <v>23.5</v>
      </c>
      <c r="F1820" s="2" t="s">
        <v>835</v>
      </c>
      <c r="G1820">
        <f ca="1" t="shared" si="84"/>
        <v>2.83991821509605</v>
      </c>
      <c r="H1820" t="str">
        <f ca="1" t="shared" si="85"/>
        <v>Risk-Off</v>
      </c>
      <c r="I1820">
        <f ca="1" t="shared" si="86"/>
        <v>1</v>
      </c>
      <c r="J1820">
        <f>_xlfn.XLOOKUP($A1820,[1]Sheet1!$B$9:$B$2584,[1]Sheet1!$C$9:$C$2584,"N/A",0)</f>
        <v>104.12</v>
      </c>
      <c r="K1820">
        <f>_xlfn.XLOOKUP($A1820,[1]Sheet1!$E$9:$E$2584,[1]Sheet1!$F$9:$F$2584,"N/A",0)</f>
        <v>136.36</v>
      </c>
      <c r="L1820">
        <f>_xlfn.XLOOKUP($A1820,[1]Sheet1!$H$9:$H$2584,[1]Sheet1!$I$9:$I$2584,"N/A",0)</f>
        <v>67.25</v>
      </c>
      <c r="M1820">
        <f>_xlfn.XLOOKUP($A1820,[1]Sheet1!$K$9:$K$2584,[1]Sheet1!$L$9:$L$2584,"N/A",0)</f>
        <v>142.42</v>
      </c>
      <c r="N1820">
        <f>_xlfn.XLOOKUP($A1820,[1]Sheet1!$N$9:$N$2584,[1]Sheet1!$O$9:$O$2584,"N/A",0)</f>
        <v>112.87</v>
      </c>
      <c r="O1820">
        <v>104.12</v>
      </c>
      <c r="P1820">
        <v>136.36</v>
      </c>
      <c r="Q1820">
        <v>67.25</v>
      </c>
      <c r="R1820">
        <v>112.87</v>
      </c>
      <c r="S1820">
        <v>142.42</v>
      </c>
    </row>
    <row r="1821" spans="1:19">
      <c r="A1821" s="1">
        <v>45008</v>
      </c>
      <c r="B1821" t="s">
        <v>828</v>
      </c>
      <c r="C1821" t="s">
        <v>836</v>
      </c>
      <c r="D1821">
        <v>24.2236</v>
      </c>
      <c r="E1821">
        <v>24.4969</v>
      </c>
      <c r="F1821" s="2" t="s">
        <v>837</v>
      </c>
      <c r="G1821">
        <f ca="1" t="shared" si="84"/>
        <v>-0.788563885129912</v>
      </c>
      <c r="H1821" t="str">
        <f ca="1" t="shared" si="85"/>
        <v>Risk-On</v>
      </c>
      <c r="I1821">
        <f ca="1" t="shared" si="86"/>
        <v>1</v>
      </c>
      <c r="J1821">
        <f>_xlfn.XLOOKUP($A1821,[1]Sheet1!$B$9:$B$2584,[1]Sheet1!$C$9:$C$2584,"N/A",0)</f>
        <v>104.1</v>
      </c>
      <c r="K1821">
        <f>_xlfn.XLOOKUP($A1821,[1]Sheet1!$E$9:$E$2584,[1]Sheet1!$F$9:$F$2584,"N/A",0)</f>
        <v>137.46</v>
      </c>
      <c r="L1821">
        <f>_xlfn.XLOOKUP($A1821,[1]Sheet1!$H$9:$H$2584,[1]Sheet1!$I$9:$I$2584,"N/A",0)</f>
        <v>66.96</v>
      </c>
      <c r="M1821">
        <f>_xlfn.XLOOKUP($A1821,[1]Sheet1!$K$9:$K$2584,[1]Sheet1!$L$9:$L$2584,"N/A",0)</f>
        <v>142.18</v>
      </c>
      <c r="N1821">
        <f>_xlfn.XLOOKUP($A1821,[1]Sheet1!$N$9:$N$2584,[1]Sheet1!$O$9:$O$2584,"N/A",0)</f>
        <v>113.26</v>
      </c>
      <c r="O1821">
        <v>104.1</v>
      </c>
      <c r="P1821">
        <v>137.46</v>
      </c>
      <c r="Q1821">
        <v>66.96</v>
      </c>
      <c r="R1821">
        <v>113.26</v>
      </c>
      <c r="S1821">
        <v>142.18</v>
      </c>
    </row>
    <row r="1822" spans="1:19">
      <c r="A1822" s="1">
        <v>45009</v>
      </c>
      <c r="B1822" t="s">
        <v>828</v>
      </c>
      <c r="C1822" t="s">
        <v>836</v>
      </c>
      <c r="D1822">
        <v>23.2241</v>
      </c>
      <c r="E1822">
        <v>23.959</v>
      </c>
      <c r="F1822">
        <v>0.0316438527219569</v>
      </c>
      <c r="G1822">
        <f ca="1" t="shared" si="84"/>
        <v>-0.197898073818271</v>
      </c>
      <c r="H1822" t="str">
        <f ca="1" t="shared" si="85"/>
        <v>Risk-On</v>
      </c>
      <c r="I1822">
        <f ca="1" t="shared" si="86"/>
        <v>1</v>
      </c>
      <c r="J1822">
        <f>_xlfn.XLOOKUP($A1822,[1]Sheet1!$B$9:$B$2584,[1]Sheet1!$C$9:$C$2584,"N/A",0)</f>
        <v>104.02</v>
      </c>
      <c r="K1822">
        <f>_xlfn.XLOOKUP($A1822,[1]Sheet1!$E$9:$E$2584,[1]Sheet1!$F$9:$F$2584,"N/A",0)</f>
        <v>136.43</v>
      </c>
      <c r="L1822">
        <f>_xlfn.XLOOKUP($A1822,[1]Sheet1!$H$9:$H$2584,[1]Sheet1!$I$9:$I$2584,"N/A",0)</f>
        <v>66.65</v>
      </c>
      <c r="M1822">
        <f>_xlfn.XLOOKUP($A1822,[1]Sheet1!$K$9:$K$2584,[1]Sheet1!$L$9:$L$2584,"N/A",0)</f>
        <v>142.02</v>
      </c>
      <c r="N1822">
        <f>_xlfn.XLOOKUP($A1822,[1]Sheet1!$N$9:$N$2584,[1]Sheet1!$O$9:$O$2584,"N/A",0)</f>
        <v>112.9</v>
      </c>
      <c r="O1822">
        <v>104.02</v>
      </c>
      <c r="P1822">
        <v>136.43</v>
      </c>
      <c r="Q1822">
        <v>66.65</v>
      </c>
      <c r="R1822">
        <v>112.9</v>
      </c>
      <c r="S1822">
        <v>142.02</v>
      </c>
    </row>
    <row r="1823" spans="1:19">
      <c r="A1823" s="1">
        <v>45012</v>
      </c>
      <c r="B1823" t="s">
        <v>828</v>
      </c>
      <c r="C1823" t="s">
        <v>836</v>
      </c>
      <c r="D1823">
        <v>22.2674</v>
      </c>
      <c r="E1823">
        <v>23.0993</v>
      </c>
      <c r="F1823">
        <v>0.037359548038837</v>
      </c>
      <c r="G1823">
        <f ca="1" t="shared" si="84"/>
        <v>-0.0316142653921214</v>
      </c>
      <c r="H1823" t="str">
        <f ca="1" t="shared" si="85"/>
        <v>Risk-On</v>
      </c>
      <c r="I1823">
        <f ca="1" t="shared" si="86"/>
        <v>1</v>
      </c>
      <c r="J1823">
        <f>_xlfn.XLOOKUP($A1823,[1]Sheet1!$B$9:$B$2584,[1]Sheet1!$C$9:$C$2584,"N/A",0)</f>
        <v>104.1</v>
      </c>
      <c r="K1823">
        <f>_xlfn.XLOOKUP($A1823,[1]Sheet1!$E$9:$E$2584,[1]Sheet1!$F$9:$F$2584,"N/A",0)</f>
        <v>136.54</v>
      </c>
      <c r="L1823">
        <f>_xlfn.XLOOKUP($A1823,[1]Sheet1!$H$9:$H$2584,[1]Sheet1!$I$9:$I$2584,"N/A",0)</f>
        <v>67.03</v>
      </c>
      <c r="M1823">
        <f>_xlfn.XLOOKUP($A1823,[1]Sheet1!$K$9:$K$2584,[1]Sheet1!$L$9:$L$2584,"N/A",0)</f>
        <v>141.81</v>
      </c>
      <c r="N1823">
        <f>_xlfn.XLOOKUP($A1823,[1]Sheet1!$N$9:$N$2584,[1]Sheet1!$O$9:$O$2584,"N/A",0)</f>
        <v>112.23</v>
      </c>
      <c r="O1823">
        <v>104.1</v>
      </c>
      <c r="P1823">
        <v>136.54</v>
      </c>
      <c r="Q1823">
        <v>67.03</v>
      </c>
      <c r="R1823">
        <v>112.23</v>
      </c>
      <c r="S1823">
        <v>141.81</v>
      </c>
    </row>
    <row r="1824" spans="1:19">
      <c r="A1824" s="1">
        <v>45013</v>
      </c>
      <c r="B1824" t="s">
        <v>828</v>
      </c>
      <c r="C1824" t="s">
        <v>836</v>
      </c>
      <c r="D1824">
        <v>21.6995</v>
      </c>
      <c r="E1824">
        <v>22.7125</v>
      </c>
      <c r="F1824">
        <v>0.0466831032973109</v>
      </c>
      <c r="G1824">
        <f ca="1" t="shared" si="84"/>
        <v>0.240807504163945</v>
      </c>
      <c r="H1824" t="str">
        <f ca="1" t="shared" si="85"/>
        <v>Risk-On</v>
      </c>
      <c r="I1824">
        <f ca="1" t="shared" si="86"/>
        <v>1</v>
      </c>
      <c r="J1824">
        <f>_xlfn.XLOOKUP($A1824,[1]Sheet1!$B$9:$B$2584,[1]Sheet1!$C$9:$C$2584,"N/A",0)</f>
        <v>104.17</v>
      </c>
      <c r="K1824">
        <f>_xlfn.XLOOKUP($A1824,[1]Sheet1!$E$9:$E$2584,[1]Sheet1!$F$9:$F$2584,"N/A",0)</f>
        <v>136.54</v>
      </c>
      <c r="L1824">
        <f>_xlfn.XLOOKUP($A1824,[1]Sheet1!$H$9:$H$2584,[1]Sheet1!$I$9:$I$2584,"N/A",0)</f>
        <v>67.14</v>
      </c>
      <c r="M1824">
        <f>_xlfn.XLOOKUP($A1824,[1]Sheet1!$K$9:$K$2584,[1]Sheet1!$L$9:$L$2584,"N/A",0)</f>
        <v>141.55</v>
      </c>
      <c r="N1824">
        <f>_xlfn.XLOOKUP($A1824,[1]Sheet1!$N$9:$N$2584,[1]Sheet1!$O$9:$O$2584,"N/A",0)</f>
        <v>112.4</v>
      </c>
      <c r="O1824">
        <v>104.17</v>
      </c>
      <c r="P1824">
        <v>136.54</v>
      </c>
      <c r="Q1824">
        <v>67.14</v>
      </c>
      <c r="R1824">
        <v>112.4</v>
      </c>
      <c r="S1824">
        <v>141.55</v>
      </c>
    </row>
    <row r="1825" spans="1:19">
      <c r="A1825" s="1">
        <v>45014</v>
      </c>
      <c r="B1825" t="s">
        <v>828</v>
      </c>
      <c r="C1825" t="s">
        <v>836</v>
      </c>
      <c r="D1825">
        <v>20.9309</v>
      </c>
      <c r="E1825">
        <v>22.1493</v>
      </c>
      <c r="F1825">
        <v>0.0582105881734659</v>
      </c>
      <c r="G1825">
        <f ca="1" t="shared" si="84"/>
        <v>0.577978928437184</v>
      </c>
      <c r="H1825" t="str">
        <f ca="1" t="shared" si="85"/>
        <v>Risk-On</v>
      </c>
      <c r="I1825">
        <f ca="1" t="shared" si="86"/>
        <v>1</v>
      </c>
      <c r="J1825">
        <f>_xlfn.XLOOKUP($A1825,[1]Sheet1!$B$9:$B$2584,[1]Sheet1!$C$9:$C$2584,"N/A",0)</f>
        <v>104.25</v>
      </c>
      <c r="K1825">
        <f>_xlfn.XLOOKUP($A1825,[1]Sheet1!$E$9:$E$2584,[1]Sheet1!$F$9:$F$2584,"N/A",0)</f>
        <v>136.18</v>
      </c>
      <c r="L1825">
        <f>_xlfn.XLOOKUP($A1825,[1]Sheet1!$H$9:$H$2584,[1]Sheet1!$I$9:$I$2584,"N/A",0)</f>
        <v>67.13</v>
      </c>
      <c r="M1825">
        <f>_xlfn.XLOOKUP($A1825,[1]Sheet1!$K$9:$K$2584,[1]Sheet1!$L$9:$L$2584,"N/A",0)</f>
        <v>141.22</v>
      </c>
      <c r="N1825">
        <f>_xlfn.XLOOKUP($A1825,[1]Sheet1!$N$9:$N$2584,[1]Sheet1!$O$9:$O$2584,"N/A",0)</f>
        <v>113.42</v>
      </c>
      <c r="O1825">
        <v>104.25</v>
      </c>
      <c r="P1825">
        <v>136.18</v>
      </c>
      <c r="Q1825">
        <v>67.13</v>
      </c>
      <c r="R1825">
        <v>113.42</v>
      </c>
      <c r="S1825">
        <v>141.22</v>
      </c>
    </row>
    <row r="1826" spans="1:19">
      <c r="A1826" s="1">
        <v>45015</v>
      </c>
      <c r="B1826" t="s">
        <v>828</v>
      </c>
      <c r="C1826" t="s">
        <v>836</v>
      </c>
      <c r="D1826">
        <v>20.8277</v>
      </c>
      <c r="E1826">
        <v>22.1587</v>
      </c>
      <c r="F1826">
        <v>0.0639052799877086</v>
      </c>
      <c r="G1826">
        <f ca="1" t="shared" si="84"/>
        <v>0.746511060746919</v>
      </c>
      <c r="H1826" t="str">
        <f ca="1" t="shared" si="85"/>
        <v>Risk-On</v>
      </c>
      <c r="I1826">
        <f ca="1" t="shared" si="86"/>
        <v>1</v>
      </c>
      <c r="J1826">
        <f>_xlfn.XLOOKUP($A1826,[1]Sheet1!$B$9:$B$2584,[1]Sheet1!$C$9:$C$2584,"N/A",0)</f>
        <v>104.54</v>
      </c>
      <c r="K1826">
        <f>_xlfn.XLOOKUP($A1826,[1]Sheet1!$E$9:$E$2584,[1]Sheet1!$F$9:$F$2584,"N/A",0)</f>
        <v>136.1</v>
      </c>
      <c r="L1826">
        <f>_xlfn.XLOOKUP($A1826,[1]Sheet1!$H$9:$H$2584,[1]Sheet1!$I$9:$I$2584,"N/A",0)</f>
        <v>67.21</v>
      </c>
      <c r="M1826">
        <f>_xlfn.XLOOKUP($A1826,[1]Sheet1!$K$9:$K$2584,[1]Sheet1!$L$9:$L$2584,"N/A",0)</f>
        <v>141.05</v>
      </c>
      <c r="N1826">
        <f>_xlfn.XLOOKUP($A1826,[1]Sheet1!$N$9:$N$2584,[1]Sheet1!$O$9:$O$2584,"N/A",0)</f>
        <v>114.07</v>
      </c>
      <c r="O1826">
        <v>104.54</v>
      </c>
      <c r="P1826">
        <v>136.1</v>
      </c>
      <c r="Q1826">
        <v>67.21</v>
      </c>
      <c r="R1826">
        <v>114.07</v>
      </c>
      <c r="S1826">
        <v>141.05</v>
      </c>
    </row>
    <row r="1827" spans="1:19">
      <c r="A1827" s="1">
        <v>45016</v>
      </c>
      <c r="B1827" t="s">
        <v>828</v>
      </c>
      <c r="C1827" t="s">
        <v>836</v>
      </c>
      <c r="D1827">
        <v>20.7642</v>
      </c>
      <c r="E1827">
        <v>22.1285</v>
      </c>
      <c r="F1827">
        <v>0.0657044335924331</v>
      </c>
      <c r="G1827">
        <f ca="1" t="shared" si="84"/>
        <v>0.807220816214035</v>
      </c>
      <c r="H1827" t="str">
        <f ca="1" t="shared" si="85"/>
        <v>Risk-On</v>
      </c>
      <c r="I1827">
        <f ca="1" t="shared" si="86"/>
        <v>1</v>
      </c>
      <c r="J1827">
        <f>_xlfn.XLOOKUP($A1827,[1]Sheet1!$B$9:$B$2584,[1]Sheet1!$C$9:$C$2584,"N/A",0)</f>
        <v>104.66</v>
      </c>
      <c r="K1827">
        <f>_xlfn.XLOOKUP($A1827,[1]Sheet1!$E$9:$E$2584,[1]Sheet1!$F$9:$F$2584,"N/A",0)</f>
        <v>136.1</v>
      </c>
      <c r="L1827">
        <f>_xlfn.XLOOKUP($A1827,[1]Sheet1!$H$9:$H$2584,[1]Sheet1!$I$9:$I$2584,"N/A",0)</f>
        <v>67.04</v>
      </c>
      <c r="M1827">
        <f>_xlfn.XLOOKUP($A1827,[1]Sheet1!$K$9:$K$2584,[1]Sheet1!$L$9:$L$2584,"N/A",0)</f>
        <v>141.51</v>
      </c>
      <c r="N1827">
        <f>_xlfn.XLOOKUP($A1827,[1]Sheet1!$N$9:$N$2584,[1]Sheet1!$O$9:$O$2584,"N/A",0)</f>
        <v>113.45</v>
      </c>
      <c r="O1827">
        <v>104.66</v>
      </c>
      <c r="P1827">
        <v>136.1</v>
      </c>
      <c r="Q1827">
        <v>67.04</v>
      </c>
      <c r="R1827">
        <v>113.45</v>
      </c>
      <c r="S1827">
        <v>141.51</v>
      </c>
    </row>
    <row r="1828" spans="1:19">
      <c r="A1828" s="1">
        <v>45019</v>
      </c>
      <c r="B1828" t="s">
        <v>828</v>
      </c>
      <c r="C1828" t="s">
        <v>836</v>
      </c>
      <c r="D1828">
        <v>20.2095</v>
      </c>
      <c r="E1828">
        <v>21.5513</v>
      </c>
      <c r="F1828">
        <v>0.0663945174299217</v>
      </c>
      <c r="G1828">
        <f ca="1" t="shared" si="84"/>
        <v>0.83573123761806</v>
      </c>
      <c r="H1828" t="str">
        <f ca="1" t="shared" si="85"/>
        <v>Risk-Off</v>
      </c>
      <c r="I1828">
        <f ca="1" t="shared" si="86"/>
        <v>1</v>
      </c>
      <c r="J1828">
        <f>_xlfn.XLOOKUP($A1828,[1]Sheet1!$B$9:$B$2584,[1]Sheet1!$C$9:$C$2584,"N/A",0)</f>
        <v>104.48</v>
      </c>
      <c r="K1828">
        <f>_xlfn.XLOOKUP($A1828,[1]Sheet1!$E$9:$E$2584,[1]Sheet1!$F$9:$F$2584,"N/A",0)</f>
        <v>136.82</v>
      </c>
      <c r="L1828">
        <f>_xlfn.XLOOKUP($A1828,[1]Sheet1!$H$9:$H$2584,[1]Sheet1!$I$9:$I$2584,"N/A",0)</f>
        <v>67.58</v>
      </c>
      <c r="M1828">
        <f>_xlfn.XLOOKUP($A1828,[1]Sheet1!$K$9:$K$2584,[1]Sheet1!$L$9:$L$2584,"N/A",0)</f>
        <v>141.19</v>
      </c>
      <c r="N1828">
        <f>_xlfn.XLOOKUP($A1828,[1]Sheet1!$N$9:$N$2584,[1]Sheet1!$O$9:$O$2584,"N/A",0)</f>
        <v>114.22</v>
      </c>
      <c r="O1828">
        <v>104.48</v>
      </c>
      <c r="P1828">
        <v>136.82</v>
      </c>
      <c r="Q1828">
        <v>67.58</v>
      </c>
      <c r="R1828">
        <v>114.22</v>
      </c>
      <c r="S1828">
        <v>141.19</v>
      </c>
    </row>
    <row r="1829" spans="1:19">
      <c r="A1829" s="1">
        <v>45020</v>
      </c>
      <c r="B1829" t="s">
        <v>828</v>
      </c>
      <c r="C1829" t="s">
        <v>836</v>
      </c>
      <c r="D1829">
        <v>20.5997</v>
      </c>
      <c r="E1829">
        <v>21.9997</v>
      </c>
      <c r="F1829">
        <v>0.067962154788662</v>
      </c>
      <c r="G1829">
        <f ca="1" t="shared" si="84"/>
        <v>0.881298629502055</v>
      </c>
      <c r="H1829" t="str">
        <f ca="1" t="shared" si="85"/>
        <v>Risk-Off</v>
      </c>
      <c r="I1829">
        <f ca="1" t="shared" si="86"/>
        <v>1</v>
      </c>
      <c r="J1829">
        <f>_xlfn.XLOOKUP($A1829,[1]Sheet1!$B$9:$B$2584,[1]Sheet1!$C$9:$C$2584,"N/A",0)</f>
        <v>104.28</v>
      </c>
      <c r="K1829">
        <f>_xlfn.XLOOKUP($A1829,[1]Sheet1!$E$9:$E$2584,[1]Sheet1!$F$9:$F$2584,"N/A",0)</f>
        <v>135.03</v>
      </c>
      <c r="L1829">
        <f>_xlfn.XLOOKUP($A1829,[1]Sheet1!$H$9:$H$2584,[1]Sheet1!$I$9:$I$2584,"N/A",0)</f>
        <v>66.69</v>
      </c>
      <c r="M1829">
        <f>_xlfn.XLOOKUP($A1829,[1]Sheet1!$K$9:$K$2584,[1]Sheet1!$L$9:$L$2584,"N/A",0)</f>
        <v>139.63</v>
      </c>
      <c r="N1829">
        <f>_xlfn.XLOOKUP($A1829,[1]Sheet1!$N$9:$N$2584,[1]Sheet1!$O$9:$O$2584,"N/A",0)</f>
        <v>114.88</v>
      </c>
      <c r="O1829">
        <v>104.28</v>
      </c>
      <c r="P1829">
        <v>135.03</v>
      </c>
      <c r="Q1829">
        <v>66.69</v>
      </c>
      <c r="R1829">
        <v>114.88</v>
      </c>
      <c r="S1829">
        <v>139.63</v>
      </c>
    </row>
    <row r="1830" spans="1:19">
      <c r="A1830" s="1">
        <v>45021</v>
      </c>
      <c r="B1830" t="s">
        <v>828</v>
      </c>
      <c r="C1830" t="s">
        <v>836</v>
      </c>
      <c r="D1830">
        <v>20.4184</v>
      </c>
      <c r="E1830">
        <v>21.8447</v>
      </c>
      <c r="F1830">
        <v>0.0698536614034401</v>
      </c>
      <c r="G1830">
        <f ca="1" t="shared" si="84"/>
        <v>0.942501909888888</v>
      </c>
      <c r="H1830" t="str">
        <f ca="1" t="shared" si="85"/>
        <v>Risk-Off</v>
      </c>
      <c r="I1830">
        <f ca="1" t="shared" si="86"/>
        <v>1</v>
      </c>
      <c r="J1830">
        <f>_xlfn.XLOOKUP($A1830,[1]Sheet1!$B$9:$B$2584,[1]Sheet1!$C$9:$C$2584,"N/A",0)</f>
        <v>104.24</v>
      </c>
      <c r="K1830">
        <f>_xlfn.XLOOKUP($A1830,[1]Sheet1!$E$9:$E$2584,[1]Sheet1!$F$9:$F$2584,"N/A",0)</f>
        <v>134.92</v>
      </c>
      <c r="L1830">
        <f>_xlfn.XLOOKUP($A1830,[1]Sheet1!$H$9:$H$2584,[1]Sheet1!$I$9:$I$2584,"N/A",0)</f>
        <v>67.19</v>
      </c>
      <c r="M1830">
        <f>_xlfn.XLOOKUP($A1830,[1]Sheet1!$K$9:$K$2584,[1]Sheet1!$L$9:$L$2584,"N/A",0)</f>
        <v>139.82</v>
      </c>
      <c r="N1830">
        <f>_xlfn.XLOOKUP($A1830,[1]Sheet1!$N$9:$N$2584,[1]Sheet1!$O$9:$O$2584,"N/A",0)</f>
        <v>115.73</v>
      </c>
      <c r="O1830">
        <v>104.24</v>
      </c>
      <c r="P1830">
        <v>134.92</v>
      </c>
      <c r="Q1830">
        <v>67.19</v>
      </c>
      <c r="R1830">
        <v>115.73</v>
      </c>
      <c r="S1830">
        <v>139.82</v>
      </c>
    </row>
    <row r="1831" spans="1:19">
      <c r="A1831" s="1">
        <v>45022</v>
      </c>
      <c r="B1831" t="s">
        <v>828</v>
      </c>
      <c r="C1831" t="s">
        <v>836</v>
      </c>
      <c r="D1831">
        <v>19.9781</v>
      </c>
      <c r="E1831">
        <v>21.4985</v>
      </c>
      <c r="F1831">
        <v>0.0761033331497989</v>
      </c>
      <c r="G1831">
        <f ca="1" t="shared" si="84"/>
        <v>1.12164700839375</v>
      </c>
      <c r="H1831" t="str">
        <f ca="1" t="shared" si="85"/>
        <v>Risk-Off</v>
      </c>
      <c r="I1831">
        <f ca="1" t="shared" si="86"/>
        <v>1</v>
      </c>
      <c r="J1831">
        <f>_xlfn.XLOOKUP($A1831,[1]Sheet1!$B$9:$B$2584,[1]Sheet1!$C$9:$C$2584,"N/A",0)</f>
        <v>104.4</v>
      </c>
      <c r="K1831">
        <f>_xlfn.XLOOKUP($A1831,[1]Sheet1!$E$9:$E$2584,[1]Sheet1!$F$9:$F$2584,"N/A",0)</f>
        <v>134.36</v>
      </c>
      <c r="L1831">
        <f>_xlfn.XLOOKUP($A1831,[1]Sheet1!$H$9:$H$2584,[1]Sheet1!$I$9:$I$2584,"N/A",0)</f>
        <v>66.94</v>
      </c>
      <c r="M1831">
        <f>_xlfn.XLOOKUP($A1831,[1]Sheet1!$K$9:$K$2584,[1]Sheet1!$L$9:$L$2584,"N/A",0)</f>
        <v>139.55</v>
      </c>
      <c r="N1831">
        <f>_xlfn.XLOOKUP($A1831,[1]Sheet1!$N$9:$N$2584,[1]Sheet1!$O$9:$O$2584,"N/A",0)</f>
        <v>115.4</v>
      </c>
      <c r="O1831">
        <v>104.4</v>
      </c>
      <c r="P1831">
        <v>134.36</v>
      </c>
      <c r="Q1831">
        <v>66.94</v>
      </c>
      <c r="R1831">
        <v>115.4</v>
      </c>
      <c r="S1831">
        <v>139.55</v>
      </c>
    </row>
    <row r="1832" spans="1:19">
      <c r="A1832" s="1">
        <v>45026</v>
      </c>
      <c r="B1832" t="s">
        <v>828</v>
      </c>
      <c r="C1832" t="s">
        <v>836</v>
      </c>
      <c r="D1832">
        <v>19.804</v>
      </c>
      <c r="E1832">
        <v>21.2259</v>
      </c>
      <c r="F1832">
        <v>0.0717986265400929</v>
      </c>
      <c r="G1832">
        <f ca="1" t="shared" si="84"/>
        <v>0.992121418332094</v>
      </c>
      <c r="H1832" t="str">
        <f ca="1" t="shared" si="85"/>
        <v>Risk-Off</v>
      </c>
      <c r="I1832">
        <f ca="1" t="shared" si="86"/>
        <v>1</v>
      </c>
      <c r="J1832">
        <f>_xlfn.XLOOKUP($A1832,[1]Sheet1!$B$9:$B$2584,[1]Sheet1!$C$9:$C$2584,"N/A",0)</f>
        <v>104.43</v>
      </c>
      <c r="K1832">
        <f>_xlfn.XLOOKUP($A1832,[1]Sheet1!$E$9:$E$2584,[1]Sheet1!$F$9:$F$2584,"N/A",0)</f>
        <v>135.46</v>
      </c>
      <c r="L1832">
        <f>_xlfn.XLOOKUP($A1832,[1]Sheet1!$H$9:$H$2584,[1]Sheet1!$I$9:$I$2584,"N/A",0)</f>
        <v>67.74</v>
      </c>
      <c r="M1832">
        <f>_xlfn.XLOOKUP($A1832,[1]Sheet1!$K$9:$K$2584,[1]Sheet1!$L$9:$L$2584,"N/A",0)</f>
        <v>139.47</v>
      </c>
      <c r="N1832">
        <f>_xlfn.XLOOKUP($A1832,[1]Sheet1!$N$9:$N$2584,[1]Sheet1!$O$9:$O$2584,"N/A",0)</f>
        <v>114.96</v>
      </c>
      <c r="O1832">
        <v>104.43</v>
      </c>
      <c r="P1832">
        <v>135.46</v>
      </c>
      <c r="Q1832">
        <v>67.74</v>
      </c>
      <c r="R1832">
        <v>114.96</v>
      </c>
      <c r="S1832">
        <v>139.47</v>
      </c>
    </row>
    <row r="1833" spans="1:19">
      <c r="A1833" s="1">
        <v>45027</v>
      </c>
      <c r="B1833" t="s">
        <v>828</v>
      </c>
      <c r="C1833" t="s">
        <v>836</v>
      </c>
      <c r="D1833">
        <v>19.7666</v>
      </c>
      <c r="E1833">
        <v>20.971</v>
      </c>
      <c r="F1833" s="2" t="s">
        <v>838</v>
      </c>
      <c r="G1833">
        <f ca="1" t="shared" si="84"/>
        <v>0.671482689682087</v>
      </c>
      <c r="H1833" t="str">
        <f ca="1" t="shared" si="85"/>
        <v>Risk-Off</v>
      </c>
      <c r="I1833">
        <f ca="1" t="shared" si="86"/>
        <v>1</v>
      </c>
      <c r="J1833">
        <f>_xlfn.XLOOKUP($A1833,[1]Sheet1!$B$9:$B$2584,[1]Sheet1!$C$9:$C$2584,"N/A",0)</f>
        <v>104.96</v>
      </c>
      <c r="K1833">
        <f>_xlfn.XLOOKUP($A1833,[1]Sheet1!$E$9:$E$2584,[1]Sheet1!$F$9:$F$2584,"N/A",0)</f>
        <v>134.5</v>
      </c>
      <c r="L1833">
        <f>_xlfn.XLOOKUP($A1833,[1]Sheet1!$H$9:$H$2584,[1]Sheet1!$I$9:$I$2584,"N/A",0)</f>
        <v>68.27</v>
      </c>
      <c r="M1833">
        <f>_xlfn.XLOOKUP($A1833,[1]Sheet1!$K$9:$K$2584,[1]Sheet1!$L$9:$L$2584,"N/A",0)</f>
        <v>139.06</v>
      </c>
      <c r="N1833">
        <f>_xlfn.XLOOKUP($A1833,[1]Sheet1!$N$9:$N$2584,[1]Sheet1!$O$9:$O$2584,"N/A",0)</f>
        <v>114.59</v>
      </c>
      <c r="O1833">
        <v>104.96</v>
      </c>
      <c r="P1833">
        <v>134.5</v>
      </c>
      <c r="Q1833">
        <v>68.27</v>
      </c>
      <c r="R1833">
        <v>114.59</v>
      </c>
      <c r="S1833">
        <v>139.06</v>
      </c>
    </row>
    <row r="1834" spans="1:19">
      <c r="A1834" s="1">
        <v>45028</v>
      </c>
      <c r="B1834" t="s">
        <v>828</v>
      </c>
      <c r="C1834" t="s">
        <v>836</v>
      </c>
      <c r="D1834">
        <v>19.9518</v>
      </c>
      <c r="E1834">
        <v>21.0517</v>
      </c>
      <c r="F1834">
        <v>0.0551278581381129</v>
      </c>
      <c r="G1834">
        <f ca="1" t="shared" si="84"/>
        <v>0.507375986069342</v>
      </c>
      <c r="H1834" t="str">
        <f ca="1" t="shared" si="85"/>
        <v>Risk-Off</v>
      </c>
      <c r="I1834">
        <f ca="1" t="shared" si="86"/>
        <v>1</v>
      </c>
      <c r="J1834">
        <f>_xlfn.XLOOKUP($A1834,[1]Sheet1!$B$9:$B$2584,[1]Sheet1!$C$9:$C$2584,"N/A",0)</f>
        <v>105.5</v>
      </c>
      <c r="K1834">
        <f>_xlfn.XLOOKUP($A1834,[1]Sheet1!$E$9:$E$2584,[1]Sheet1!$F$9:$F$2584,"N/A",0)</f>
        <v>135.56</v>
      </c>
      <c r="L1834">
        <f>_xlfn.XLOOKUP($A1834,[1]Sheet1!$H$9:$H$2584,[1]Sheet1!$I$9:$I$2584,"N/A",0)</f>
        <v>68.22</v>
      </c>
      <c r="M1834">
        <f>_xlfn.XLOOKUP($A1834,[1]Sheet1!$K$9:$K$2584,[1]Sheet1!$L$9:$L$2584,"N/A",0)</f>
        <v>139.04</v>
      </c>
      <c r="N1834">
        <f>_xlfn.XLOOKUP($A1834,[1]Sheet1!$N$9:$N$2584,[1]Sheet1!$O$9:$O$2584,"N/A",0)</f>
        <v>114.93</v>
      </c>
      <c r="O1834">
        <v>105.5</v>
      </c>
      <c r="P1834">
        <v>135.56</v>
      </c>
      <c r="Q1834">
        <v>68.22</v>
      </c>
      <c r="R1834">
        <v>114.93</v>
      </c>
      <c r="S1834">
        <v>139.04</v>
      </c>
    </row>
    <row r="1835" spans="1:19">
      <c r="A1835" s="1">
        <v>45029</v>
      </c>
      <c r="B1835" t="s">
        <v>828</v>
      </c>
      <c r="C1835" t="s">
        <v>836</v>
      </c>
      <c r="D1835">
        <v>18.7342</v>
      </c>
      <c r="E1835">
        <v>20.4359</v>
      </c>
      <c r="F1835">
        <v>0.0908338760128534</v>
      </c>
      <c r="G1835">
        <f ca="1" t="shared" si="84"/>
        <v>1.57009547640199</v>
      </c>
      <c r="H1835" t="str">
        <f ca="1" t="shared" si="85"/>
        <v>Risk-On</v>
      </c>
      <c r="I1835">
        <f ca="1" t="shared" si="86"/>
        <v>1</v>
      </c>
      <c r="J1835">
        <f>_xlfn.XLOOKUP($A1835,[1]Sheet1!$B$9:$B$2584,[1]Sheet1!$C$9:$C$2584,"N/A",0)</f>
        <v>105.65</v>
      </c>
      <c r="K1835">
        <f>_xlfn.XLOOKUP($A1835,[1]Sheet1!$E$9:$E$2584,[1]Sheet1!$F$9:$F$2584,"N/A",0)</f>
        <v>135.11</v>
      </c>
      <c r="L1835">
        <f>_xlfn.XLOOKUP($A1835,[1]Sheet1!$H$9:$H$2584,[1]Sheet1!$I$9:$I$2584,"N/A",0)</f>
        <v>67.83</v>
      </c>
      <c r="M1835">
        <f>_xlfn.XLOOKUP($A1835,[1]Sheet1!$K$9:$K$2584,[1]Sheet1!$L$9:$L$2584,"N/A",0)</f>
        <v>138.85</v>
      </c>
      <c r="N1835">
        <f>_xlfn.XLOOKUP($A1835,[1]Sheet1!$N$9:$N$2584,[1]Sheet1!$O$9:$O$2584,"N/A",0)</f>
        <v>114.71</v>
      </c>
      <c r="O1835">
        <v>105.65</v>
      </c>
      <c r="P1835">
        <v>135.11</v>
      </c>
      <c r="Q1835">
        <v>67.83</v>
      </c>
      <c r="R1835">
        <v>114.71</v>
      </c>
      <c r="S1835">
        <v>138.85</v>
      </c>
    </row>
    <row r="1836" spans="1:19">
      <c r="A1836" s="1">
        <v>45030</v>
      </c>
      <c r="B1836" t="s">
        <v>828</v>
      </c>
      <c r="C1836" t="s">
        <v>836</v>
      </c>
      <c r="D1836">
        <v>18.3523</v>
      </c>
      <c r="E1836">
        <v>20.09</v>
      </c>
      <c r="F1836">
        <v>0.0946856797240673</v>
      </c>
      <c r="G1836">
        <f ca="1" t="shared" si="84"/>
        <v>1.66815969585366</v>
      </c>
      <c r="H1836" t="str">
        <f ca="1" t="shared" si="85"/>
        <v>Risk-Off</v>
      </c>
      <c r="I1836">
        <f ca="1" t="shared" si="86"/>
        <v>1</v>
      </c>
      <c r="J1836">
        <f>_xlfn.XLOOKUP($A1836,[1]Sheet1!$B$9:$B$2584,[1]Sheet1!$C$9:$C$2584,"N/A",0)</f>
        <v>105.94</v>
      </c>
      <c r="K1836">
        <f>_xlfn.XLOOKUP($A1836,[1]Sheet1!$E$9:$E$2584,[1]Sheet1!$F$9:$F$2584,"N/A",0)</f>
        <v>136.51</v>
      </c>
      <c r="L1836">
        <f>_xlfn.XLOOKUP($A1836,[1]Sheet1!$H$9:$H$2584,[1]Sheet1!$I$9:$I$2584,"N/A",0)</f>
        <v>68.29</v>
      </c>
      <c r="M1836">
        <f>_xlfn.XLOOKUP($A1836,[1]Sheet1!$K$9:$K$2584,[1]Sheet1!$L$9:$L$2584,"N/A",0)</f>
        <v>139.31</v>
      </c>
      <c r="N1836">
        <f>_xlfn.XLOOKUP($A1836,[1]Sheet1!$N$9:$N$2584,[1]Sheet1!$O$9:$O$2584,"N/A",0)</f>
        <v>115.43</v>
      </c>
      <c r="O1836">
        <v>105.94</v>
      </c>
      <c r="P1836">
        <v>136.51</v>
      </c>
      <c r="Q1836">
        <v>68.29</v>
      </c>
      <c r="R1836">
        <v>115.43</v>
      </c>
      <c r="S1836">
        <v>139.31</v>
      </c>
    </row>
    <row r="1837" spans="1:19">
      <c r="A1837" s="1">
        <v>45033</v>
      </c>
      <c r="B1837" t="s">
        <v>828</v>
      </c>
      <c r="C1837" t="s">
        <v>836</v>
      </c>
      <c r="D1837">
        <v>17.416</v>
      </c>
      <c r="E1837">
        <v>19.5767</v>
      </c>
      <c r="F1837" s="2" t="s">
        <v>839</v>
      </c>
      <c r="G1837">
        <f ca="1" t="shared" si="84"/>
        <v>2.50557960018509</v>
      </c>
      <c r="H1837" t="str">
        <f ca="1" t="shared" si="85"/>
        <v>Risk-Off</v>
      </c>
      <c r="I1837">
        <f ca="1" t="shared" si="86"/>
        <v>1</v>
      </c>
      <c r="J1837">
        <f>_xlfn.XLOOKUP($A1837,[1]Sheet1!$B$9:$B$2584,[1]Sheet1!$C$9:$C$2584,"N/A",0)</f>
        <v>105.91</v>
      </c>
      <c r="K1837">
        <f>_xlfn.XLOOKUP($A1837,[1]Sheet1!$E$9:$E$2584,[1]Sheet1!$F$9:$F$2584,"N/A",0)</f>
        <v>135.66</v>
      </c>
      <c r="L1837">
        <f>_xlfn.XLOOKUP($A1837,[1]Sheet1!$H$9:$H$2584,[1]Sheet1!$I$9:$I$2584,"N/A",0)</f>
        <v>68.25</v>
      </c>
      <c r="M1837">
        <f>_xlfn.XLOOKUP($A1837,[1]Sheet1!$K$9:$K$2584,[1]Sheet1!$L$9:$L$2584,"N/A",0)</f>
        <v>139.42</v>
      </c>
      <c r="N1837">
        <f>_xlfn.XLOOKUP($A1837,[1]Sheet1!$N$9:$N$2584,[1]Sheet1!$O$9:$O$2584,"N/A",0)</f>
        <v>115.02</v>
      </c>
      <c r="O1837">
        <v>105.91</v>
      </c>
      <c r="P1837">
        <v>135.66</v>
      </c>
      <c r="Q1837">
        <v>68.25</v>
      </c>
      <c r="R1837">
        <v>115.02</v>
      </c>
      <c r="S1837">
        <v>139.42</v>
      </c>
    </row>
    <row r="1838" spans="1:19">
      <c r="A1838" s="1">
        <v>45034</v>
      </c>
      <c r="B1838" t="s">
        <v>828</v>
      </c>
      <c r="C1838" t="s">
        <v>836</v>
      </c>
      <c r="D1838">
        <v>17.0513</v>
      </c>
      <c r="E1838">
        <v>19.4442</v>
      </c>
      <c r="F1838" s="2" t="s">
        <v>840</v>
      </c>
      <c r="G1838">
        <f ca="1" t="shared" si="84"/>
        <v>2.9898009408507</v>
      </c>
      <c r="H1838" t="str">
        <f ca="1" t="shared" si="85"/>
        <v>Risk-Off</v>
      </c>
      <c r="I1838">
        <f ca="1" t="shared" si="86"/>
        <v>1</v>
      </c>
      <c r="J1838">
        <f>_xlfn.XLOOKUP($A1838,[1]Sheet1!$B$9:$B$2584,[1]Sheet1!$C$9:$C$2584,"N/A",0)</f>
        <v>105.88</v>
      </c>
      <c r="K1838">
        <f>_xlfn.XLOOKUP($A1838,[1]Sheet1!$E$9:$E$2584,[1]Sheet1!$F$9:$F$2584,"N/A",0)</f>
        <v>136.9</v>
      </c>
      <c r="L1838">
        <f>_xlfn.XLOOKUP($A1838,[1]Sheet1!$H$9:$H$2584,[1]Sheet1!$I$9:$I$2584,"N/A",0)</f>
        <v>68.17</v>
      </c>
      <c r="M1838">
        <f>_xlfn.XLOOKUP($A1838,[1]Sheet1!$K$9:$K$2584,[1]Sheet1!$L$9:$L$2584,"N/A",0)</f>
        <v>139.22</v>
      </c>
      <c r="N1838">
        <f>_xlfn.XLOOKUP($A1838,[1]Sheet1!$N$9:$N$2584,[1]Sheet1!$O$9:$O$2584,"N/A",0)</f>
        <v>115.9</v>
      </c>
      <c r="O1838">
        <v>105.88</v>
      </c>
      <c r="P1838">
        <v>136.9</v>
      </c>
      <c r="Q1838">
        <v>68.17</v>
      </c>
      <c r="R1838">
        <v>115.9</v>
      </c>
      <c r="S1838">
        <v>139.22</v>
      </c>
    </row>
    <row r="1839" spans="1:19">
      <c r="A1839" s="1">
        <v>45035</v>
      </c>
      <c r="B1839" t="s">
        <v>828</v>
      </c>
      <c r="C1839" t="s">
        <v>836</v>
      </c>
      <c r="D1839">
        <v>16.75</v>
      </c>
      <c r="E1839">
        <v>19.4007</v>
      </c>
      <c r="F1839" s="2" t="s">
        <v>841</v>
      </c>
      <c r="G1839">
        <f ca="1" t="shared" si="84"/>
        <v>3.51897531113355</v>
      </c>
      <c r="H1839" t="str">
        <f ca="1" t="shared" si="85"/>
        <v>Risk-Off</v>
      </c>
      <c r="I1839">
        <f ca="1" t="shared" si="86"/>
        <v>1</v>
      </c>
      <c r="J1839">
        <f>_xlfn.XLOOKUP($A1839,[1]Sheet1!$B$9:$B$2584,[1]Sheet1!$C$9:$C$2584,"N/A",0)</f>
        <v>105.26</v>
      </c>
      <c r="K1839">
        <f>_xlfn.XLOOKUP($A1839,[1]Sheet1!$E$9:$E$2584,[1]Sheet1!$F$9:$F$2584,"N/A",0)</f>
        <v>136.01</v>
      </c>
      <c r="L1839">
        <f>_xlfn.XLOOKUP($A1839,[1]Sheet1!$H$9:$H$2584,[1]Sheet1!$I$9:$I$2584,"N/A",0)</f>
        <v>67.84</v>
      </c>
      <c r="M1839">
        <f>_xlfn.XLOOKUP($A1839,[1]Sheet1!$K$9:$K$2584,[1]Sheet1!$L$9:$L$2584,"N/A",0)</f>
        <v>139.22</v>
      </c>
      <c r="N1839">
        <f>_xlfn.XLOOKUP($A1839,[1]Sheet1!$N$9:$N$2584,[1]Sheet1!$O$9:$O$2584,"N/A",0)</f>
        <v>115.66</v>
      </c>
      <c r="O1839">
        <v>105.26</v>
      </c>
      <c r="P1839">
        <v>136.01</v>
      </c>
      <c r="Q1839">
        <v>67.84</v>
      </c>
      <c r="R1839">
        <v>115.66</v>
      </c>
      <c r="S1839">
        <v>139.22</v>
      </c>
    </row>
    <row r="1840" spans="1:19">
      <c r="A1840" s="1">
        <v>45036</v>
      </c>
      <c r="B1840" t="s">
        <v>836</v>
      </c>
      <c r="C1840" t="s">
        <v>842</v>
      </c>
      <c r="D1840">
        <v>19.8376</v>
      </c>
      <c r="E1840">
        <v>21.8001</v>
      </c>
      <c r="F1840">
        <v>0.0989282977779571</v>
      </c>
      <c r="G1840">
        <f ca="1" t="shared" si="84"/>
        <v>1.79424970837761</v>
      </c>
      <c r="H1840" t="str">
        <f ca="1" t="shared" si="85"/>
        <v>Risk-Off</v>
      </c>
      <c r="I1840">
        <f ca="1" t="shared" si="86"/>
        <v>1</v>
      </c>
      <c r="J1840">
        <f>_xlfn.XLOOKUP($A1840,[1]Sheet1!$B$9:$B$2584,[1]Sheet1!$C$9:$C$2584,"N/A",0)</f>
        <v>105.58</v>
      </c>
      <c r="K1840">
        <f>_xlfn.XLOOKUP($A1840,[1]Sheet1!$E$9:$E$2584,[1]Sheet1!$F$9:$F$2584,"N/A",0)</f>
        <v>137.23</v>
      </c>
      <c r="L1840">
        <f>_xlfn.XLOOKUP($A1840,[1]Sheet1!$H$9:$H$2584,[1]Sheet1!$I$9:$I$2584,"N/A",0)</f>
        <v>67.72</v>
      </c>
      <c r="M1840">
        <f>_xlfn.XLOOKUP($A1840,[1]Sheet1!$K$9:$K$2584,[1]Sheet1!$L$9:$L$2584,"N/A",0)</f>
        <v>140.3</v>
      </c>
      <c r="N1840">
        <f>_xlfn.XLOOKUP($A1840,[1]Sheet1!$N$9:$N$2584,[1]Sheet1!$O$9:$O$2584,"N/A",0)</f>
        <v>115.66</v>
      </c>
      <c r="O1840">
        <v>105.58</v>
      </c>
      <c r="P1840">
        <v>137.23</v>
      </c>
      <c r="Q1840">
        <v>67.72</v>
      </c>
      <c r="R1840">
        <v>115.66</v>
      </c>
      <c r="S1840">
        <v>140.3</v>
      </c>
    </row>
    <row r="1841" spans="1:19">
      <c r="A1841" s="1">
        <v>45037</v>
      </c>
      <c r="B1841" t="s">
        <v>836</v>
      </c>
      <c r="C1841" t="s">
        <v>842</v>
      </c>
      <c r="D1841">
        <v>19.4083</v>
      </c>
      <c r="E1841">
        <v>21.638</v>
      </c>
      <c r="F1841" s="2" t="s">
        <v>843</v>
      </c>
      <c r="G1841">
        <f ca="1" t="shared" si="84"/>
        <v>2.23698977789248</v>
      </c>
      <c r="H1841" t="str">
        <f ca="1" t="shared" si="85"/>
        <v>Risk-Off</v>
      </c>
      <c r="I1841">
        <f ca="1" t="shared" si="86"/>
        <v>1</v>
      </c>
      <c r="J1841">
        <f>_xlfn.XLOOKUP($A1841,[1]Sheet1!$B$9:$B$2584,[1]Sheet1!$C$9:$C$2584,"N/A",0)</f>
        <v>105.24</v>
      </c>
      <c r="K1841">
        <f>_xlfn.XLOOKUP($A1841,[1]Sheet1!$E$9:$E$2584,[1]Sheet1!$F$9:$F$2584,"N/A",0)</f>
        <v>136.67</v>
      </c>
      <c r="L1841">
        <f>_xlfn.XLOOKUP($A1841,[1]Sheet1!$H$9:$H$2584,[1]Sheet1!$I$9:$I$2584,"N/A",0)</f>
        <v>67.22</v>
      </c>
      <c r="M1841">
        <f>_xlfn.XLOOKUP($A1841,[1]Sheet1!$K$9:$K$2584,[1]Sheet1!$L$9:$L$2584,"N/A",0)</f>
        <v>140.4</v>
      </c>
      <c r="N1841">
        <f>_xlfn.XLOOKUP($A1841,[1]Sheet1!$N$9:$N$2584,[1]Sheet1!$O$9:$O$2584,"N/A",0)</f>
        <v>115.64</v>
      </c>
      <c r="O1841">
        <v>105.24</v>
      </c>
      <c r="P1841">
        <v>136.67</v>
      </c>
      <c r="Q1841">
        <v>67.22</v>
      </c>
      <c r="R1841">
        <v>115.64</v>
      </c>
      <c r="S1841">
        <v>140.4</v>
      </c>
    </row>
    <row r="1842" spans="1:19">
      <c r="A1842" s="1">
        <v>45040</v>
      </c>
      <c r="B1842" t="s">
        <v>836</v>
      </c>
      <c r="C1842" t="s">
        <v>842</v>
      </c>
      <c r="D1842">
        <v>19.3262</v>
      </c>
      <c r="E1842">
        <v>21.5595</v>
      </c>
      <c r="F1842" s="2" t="s">
        <v>844</v>
      </c>
      <c r="G1842">
        <f ca="1" t="shared" si="84"/>
        <v>2.25661176608603</v>
      </c>
      <c r="H1842" t="str">
        <f ca="1" t="shared" si="85"/>
        <v>Risk-Off</v>
      </c>
      <c r="I1842">
        <f ca="1" t="shared" si="86"/>
        <v>1</v>
      </c>
      <c r="J1842">
        <f>_xlfn.XLOOKUP($A1842,[1]Sheet1!$B$9:$B$2584,[1]Sheet1!$C$9:$C$2584,"N/A",0)</f>
        <v>105.38</v>
      </c>
      <c r="K1842">
        <f>_xlfn.XLOOKUP($A1842,[1]Sheet1!$E$9:$E$2584,[1]Sheet1!$F$9:$F$2584,"N/A",0)</f>
        <v>136.86</v>
      </c>
      <c r="L1842">
        <f>_xlfn.XLOOKUP($A1842,[1]Sheet1!$H$9:$H$2584,[1]Sheet1!$I$9:$I$2584,"N/A",0)</f>
        <v>67.68</v>
      </c>
      <c r="M1842">
        <f>_xlfn.XLOOKUP($A1842,[1]Sheet1!$K$9:$K$2584,[1]Sheet1!$L$9:$L$2584,"N/A",0)</f>
        <v>140.91</v>
      </c>
      <c r="N1842">
        <f>_xlfn.XLOOKUP($A1842,[1]Sheet1!$N$9:$N$2584,[1]Sheet1!$O$9:$O$2584,"N/A",0)</f>
        <v>116.06</v>
      </c>
      <c r="O1842">
        <v>105.38</v>
      </c>
      <c r="P1842">
        <v>136.86</v>
      </c>
      <c r="Q1842">
        <v>67.68</v>
      </c>
      <c r="R1842">
        <v>116.06</v>
      </c>
      <c r="S1842">
        <v>140.91</v>
      </c>
    </row>
    <row r="1843" spans="1:19">
      <c r="A1843" s="1">
        <v>45041</v>
      </c>
      <c r="B1843" t="s">
        <v>836</v>
      </c>
      <c r="C1843" t="s">
        <v>842</v>
      </c>
      <c r="D1843">
        <v>21.0194</v>
      </c>
      <c r="E1843">
        <v>22.9737</v>
      </c>
      <c r="F1843">
        <v>0.0929760126359458</v>
      </c>
      <c r="G1843">
        <f ca="1" t="shared" si="84"/>
        <v>1.59810208160163</v>
      </c>
      <c r="H1843" t="str">
        <f ca="1" t="shared" si="85"/>
        <v>Risk-Off</v>
      </c>
      <c r="I1843">
        <f ca="1" t="shared" si="86"/>
        <v>1</v>
      </c>
      <c r="J1843">
        <f>_xlfn.XLOOKUP($A1843,[1]Sheet1!$B$9:$B$2584,[1]Sheet1!$C$9:$C$2584,"N/A",0)</f>
        <v>105.58</v>
      </c>
      <c r="K1843">
        <f>_xlfn.XLOOKUP($A1843,[1]Sheet1!$E$9:$E$2584,[1]Sheet1!$F$9:$F$2584,"N/A",0)</f>
        <v>137.18</v>
      </c>
      <c r="L1843">
        <f>_xlfn.XLOOKUP($A1843,[1]Sheet1!$H$9:$H$2584,[1]Sheet1!$I$9:$I$2584,"N/A",0)</f>
        <v>66.49</v>
      </c>
      <c r="M1843">
        <f>_xlfn.XLOOKUP($A1843,[1]Sheet1!$K$9:$K$2584,[1]Sheet1!$L$9:$L$2584,"N/A",0)</f>
        <v>140.38</v>
      </c>
      <c r="N1843">
        <f>_xlfn.XLOOKUP($A1843,[1]Sheet1!$N$9:$N$2584,[1]Sheet1!$O$9:$O$2584,"N/A",0)</f>
        <v>116.77</v>
      </c>
      <c r="O1843">
        <v>105.58</v>
      </c>
      <c r="P1843">
        <v>137.18</v>
      </c>
      <c r="Q1843">
        <v>66.49</v>
      </c>
      <c r="R1843">
        <v>116.77</v>
      </c>
      <c r="S1843">
        <v>140.38</v>
      </c>
    </row>
    <row r="1844" spans="1:19">
      <c r="A1844" s="1">
        <v>45042</v>
      </c>
      <c r="B1844" t="s">
        <v>836</v>
      </c>
      <c r="C1844" t="s">
        <v>842</v>
      </c>
      <c r="D1844">
        <v>20.4248</v>
      </c>
      <c r="E1844">
        <v>22.4992</v>
      </c>
      <c r="F1844" s="2" t="s">
        <v>845</v>
      </c>
      <c r="G1844">
        <f ca="1" t="shared" si="84"/>
        <v>1.82376771586788</v>
      </c>
      <c r="H1844" t="str">
        <f ca="1" t="shared" si="85"/>
        <v>Risk-Off</v>
      </c>
      <c r="I1844">
        <f ca="1" t="shared" si="86"/>
        <v>1</v>
      </c>
      <c r="J1844">
        <f>_xlfn.XLOOKUP($A1844,[1]Sheet1!$B$9:$B$2584,[1]Sheet1!$C$9:$C$2584,"N/A",0)</f>
        <v>105.51</v>
      </c>
      <c r="K1844">
        <f>_xlfn.XLOOKUP($A1844,[1]Sheet1!$E$9:$E$2584,[1]Sheet1!$F$9:$F$2584,"N/A",0)</f>
        <v>136.81</v>
      </c>
      <c r="L1844">
        <f>_xlfn.XLOOKUP($A1844,[1]Sheet1!$H$9:$H$2584,[1]Sheet1!$I$9:$I$2584,"N/A",0)</f>
        <v>66.61</v>
      </c>
      <c r="M1844">
        <f>_xlfn.XLOOKUP($A1844,[1]Sheet1!$K$9:$K$2584,[1]Sheet1!$L$9:$L$2584,"N/A",0)</f>
        <v>139.95</v>
      </c>
      <c r="N1844">
        <f>_xlfn.XLOOKUP($A1844,[1]Sheet1!$N$9:$N$2584,[1]Sheet1!$O$9:$O$2584,"N/A",0)</f>
        <v>116.37</v>
      </c>
      <c r="O1844">
        <v>105.51</v>
      </c>
      <c r="P1844">
        <v>136.81</v>
      </c>
      <c r="Q1844">
        <v>66.61</v>
      </c>
      <c r="R1844">
        <v>116.37</v>
      </c>
      <c r="S1844">
        <v>139.95</v>
      </c>
    </row>
    <row r="1845" spans="1:19">
      <c r="A1845" s="1">
        <v>45043</v>
      </c>
      <c r="B1845" t="s">
        <v>836</v>
      </c>
      <c r="C1845" t="s">
        <v>842</v>
      </c>
      <c r="D1845">
        <v>19.4461</v>
      </c>
      <c r="E1845">
        <v>21.8142</v>
      </c>
      <c r="F1845" s="2" t="s">
        <v>846</v>
      </c>
      <c r="G1845">
        <f ca="1" t="shared" si="84"/>
        <v>2.40759679752064</v>
      </c>
      <c r="H1845" t="str">
        <f ca="1" t="shared" si="85"/>
        <v>Risk-Off</v>
      </c>
      <c r="I1845">
        <f ca="1" t="shared" si="86"/>
        <v>1</v>
      </c>
      <c r="J1845">
        <f>_xlfn.XLOOKUP($A1845,[1]Sheet1!$B$9:$B$2584,[1]Sheet1!$C$9:$C$2584,"N/A",0)</f>
        <v>105.36</v>
      </c>
      <c r="K1845">
        <f>_xlfn.XLOOKUP($A1845,[1]Sheet1!$E$9:$E$2584,[1]Sheet1!$F$9:$F$2584,"N/A",0)</f>
        <v>135.21</v>
      </c>
      <c r="L1845">
        <f>_xlfn.XLOOKUP($A1845,[1]Sheet1!$H$9:$H$2584,[1]Sheet1!$I$9:$I$2584,"N/A",0)</f>
        <v>66.21</v>
      </c>
      <c r="M1845">
        <f>_xlfn.XLOOKUP($A1845,[1]Sheet1!$K$9:$K$2584,[1]Sheet1!$L$9:$L$2584,"N/A",0)</f>
        <v>141.23</v>
      </c>
      <c r="N1845">
        <f>_xlfn.XLOOKUP($A1845,[1]Sheet1!$N$9:$N$2584,[1]Sheet1!$O$9:$O$2584,"N/A",0)</f>
        <v>116.78</v>
      </c>
      <c r="O1845">
        <v>105.36</v>
      </c>
      <c r="P1845">
        <v>135.21</v>
      </c>
      <c r="Q1845">
        <v>66.21</v>
      </c>
      <c r="R1845">
        <v>116.78</v>
      </c>
      <c r="S1845">
        <v>141.23</v>
      </c>
    </row>
    <row r="1846" spans="1:19">
      <c r="A1846" s="1">
        <v>45044</v>
      </c>
      <c r="B1846" t="s">
        <v>836</v>
      </c>
      <c r="C1846" t="s">
        <v>842</v>
      </c>
      <c r="D1846">
        <v>18.4361</v>
      </c>
      <c r="E1846">
        <v>21.3015</v>
      </c>
      <c r="F1846" s="2" t="s">
        <v>847</v>
      </c>
      <c r="G1846">
        <f ca="1" t="shared" si="84"/>
        <v>3.38171549015686</v>
      </c>
      <c r="H1846" t="str">
        <f ca="1" t="shared" si="85"/>
        <v>Risk-Off</v>
      </c>
      <c r="I1846">
        <f ca="1" t="shared" si="86"/>
        <v>1</v>
      </c>
      <c r="J1846">
        <f>_xlfn.XLOOKUP($A1846,[1]Sheet1!$B$9:$B$2584,[1]Sheet1!$C$9:$C$2584,"N/A",0)</f>
        <v>104.9</v>
      </c>
      <c r="K1846">
        <f>_xlfn.XLOOKUP($A1846,[1]Sheet1!$E$9:$E$2584,[1]Sheet1!$F$9:$F$2584,"N/A",0)</f>
        <v>134.81</v>
      </c>
      <c r="L1846">
        <f>_xlfn.XLOOKUP($A1846,[1]Sheet1!$H$9:$H$2584,[1]Sheet1!$I$9:$I$2584,"N/A",0)</f>
        <v>66.3</v>
      </c>
      <c r="M1846">
        <f>_xlfn.XLOOKUP($A1846,[1]Sheet1!$K$9:$K$2584,[1]Sheet1!$L$9:$L$2584,"N/A",0)</f>
        <v>140.87</v>
      </c>
      <c r="N1846">
        <f>_xlfn.XLOOKUP($A1846,[1]Sheet1!$N$9:$N$2584,[1]Sheet1!$O$9:$O$2584,"N/A",0)</f>
        <v>117.21</v>
      </c>
      <c r="O1846">
        <v>104.9</v>
      </c>
      <c r="P1846">
        <v>134.81</v>
      </c>
      <c r="Q1846">
        <v>66.3</v>
      </c>
      <c r="R1846">
        <v>117.21</v>
      </c>
      <c r="S1846">
        <v>140.87</v>
      </c>
    </row>
    <row r="1847" spans="1:19">
      <c r="A1847" s="1">
        <v>45047</v>
      </c>
      <c r="B1847" t="s">
        <v>836</v>
      </c>
      <c r="C1847" t="s">
        <v>842</v>
      </c>
      <c r="D1847">
        <v>18.1693</v>
      </c>
      <c r="E1847">
        <v>20.8044</v>
      </c>
      <c r="F1847" s="2" t="s">
        <v>848</v>
      </c>
      <c r="G1847">
        <f ca="1" t="shared" si="84"/>
        <v>3.08387607164351</v>
      </c>
      <c r="H1847" t="str">
        <f ca="1" t="shared" si="85"/>
        <v>Risk-Off</v>
      </c>
      <c r="I1847">
        <f ca="1" t="shared" si="86"/>
        <v>1</v>
      </c>
      <c r="J1847">
        <f>_xlfn.XLOOKUP($A1847,[1]Sheet1!$B$9:$B$2584,[1]Sheet1!$C$9:$C$2584,"N/A",0)</f>
        <v>104.56</v>
      </c>
      <c r="K1847">
        <f>_xlfn.XLOOKUP($A1847,[1]Sheet1!$E$9:$E$2584,[1]Sheet1!$F$9:$F$2584,"N/A",0)</f>
        <v>135.8</v>
      </c>
      <c r="L1847">
        <f>_xlfn.XLOOKUP($A1847,[1]Sheet1!$H$9:$H$2584,[1]Sheet1!$I$9:$I$2584,"N/A",0)</f>
        <v>66.21</v>
      </c>
      <c r="M1847">
        <f>_xlfn.XLOOKUP($A1847,[1]Sheet1!$K$9:$K$2584,[1]Sheet1!$L$9:$L$2584,"N/A",0)</f>
        <v>140.75</v>
      </c>
      <c r="N1847">
        <f>_xlfn.XLOOKUP($A1847,[1]Sheet1!$N$9:$N$2584,[1]Sheet1!$O$9:$O$2584,"N/A",0)</f>
        <v>116.99</v>
      </c>
      <c r="O1847">
        <v>104.56</v>
      </c>
      <c r="P1847">
        <v>135.8</v>
      </c>
      <c r="Q1847">
        <v>66.21</v>
      </c>
      <c r="R1847">
        <v>116.99</v>
      </c>
      <c r="S1847">
        <v>140.75</v>
      </c>
    </row>
    <row r="1848" spans="1:19">
      <c r="A1848" s="1">
        <v>45048</v>
      </c>
      <c r="B1848" t="s">
        <v>836</v>
      </c>
      <c r="C1848" t="s">
        <v>842</v>
      </c>
      <c r="D1848">
        <v>19.3402</v>
      </c>
      <c r="E1848">
        <v>21.4668</v>
      </c>
      <c r="F1848" s="2" t="s">
        <v>849</v>
      </c>
      <c r="G1848">
        <f ca="1" t="shared" si="84"/>
        <v>2.05846476601639</v>
      </c>
      <c r="H1848" t="str">
        <f ca="1" t="shared" si="85"/>
        <v>Risk-Off</v>
      </c>
      <c r="I1848">
        <f ca="1" t="shared" si="86"/>
        <v>1</v>
      </c>
      <c r="J1848">
        <f>_xlfn.XLOOKUP($A1848,[1]Sheet1!$B$9:$B$2584,[1]Sheet1!$C$9:$C$2584,"N/A",0)</f>
        <v>104.37</v>
      </c>
      <c r="K1848">
        <f>_xlfn.XLOOKUP($A1848,[1]Sheet1!$E$9:$E$2584,[1]Sheet1!$F$9:$F$2584,"N/A",0)</f>
        <v>136.61</v>
      </c>
      <c r="L1848">
        <f>_xlfn.XLOOKUP($A1848,[1]Sheet1!$H$9:$H$2584,[1]Sheet1!$I$9:$I$2584,"N/A",0)</f>
        <v>65.72</v>
      </c>
      <c r="M1848">
        <f>_xlfn.XLOOKUP($A1848,[1]Sheet1!$K$9:$K$2584,[1]Sheet1!$L$9:$L$2584,"N/A",0)</f>
        <v>139.96</v>
      </c>
      <c r="N1848">
        <f>_xlfn.XLOOKUP($A1848,[1]Sheet1!$N$9:$N$2584,[1]Sheet1!$O$9:$O$2584,"N/A",0)</f>
        <v>117.92</v>
      </c>
      <c r="O1848">
        <v>104.37</v>
      </c>
      <c r="P1848">
        <v>136.61</v>
      </c>
      <c r="Q1848">
        <v>65.72</v>
      </c>
      <c r="R1848">
        <v>117.92</v>
      </c>
      <c r="S1848">
        <v>139.96</v>
      </c>
    </row>
    <row r="1849" spans="1:19">
      <c r="A1849" s="1">
        <v>45049</v>
      </c>
      <c r="B1849" t="s">
        <v>836</v>
      </c>
      <c r="C1849" t="s">
        <v>842</v>
      </c>
      <c r="D1849">
        <v>19.9541</v>
      </c>
      <c r="E1849">
        <v>21.9995</v>
      </c>
      <c r="F1849" s="2" t="s">
        <v>850</v>
      </c>
      <c r="G1849">
        <f ca="1" t="shared" si="84"/>
        <v>1.84012597157919</v>
      </c>
      <c r="H1849" t="str">
        <f ca="1" t="shared" si="85"/>
        <v>Risk-Off</v>
      </c>
      <c r="I1849">
        <f ca="1" t="shared" si="86"/>
        <v>1</v>
      </c>
      <c r="J1849">
        <f>_xlfn.XLOOKUP($A1849,[1]Sheet1!$B$9:$B$2584,[1]Sheet1!$C$9:$C$2584,"N/A",0)</f>
        <v>104.96</v>
      </c>
      <c r="K1849">
        <f>_xlfn.XLOOKUP($A1849,[1]Sheet1!$E$9:$E$2584,[1]Sheet1!$F$9:$F$2584,"N/A",0)</f>
        <v>135.84</v>
      </c>
      <c r="L1849">
        <f>_xlfn.XLOOKUP($A1849,[1]Sheet1!$H$9:$H$2584,[1]Sheet1!$I$9:$I$2584,"N/A",0)</f>
        <v>65.49</v>
      </c>
      <c r="M1849">
        <f>_xlfn.XLOOKUP($A1849,[1]Sheet1!$K$9:$K$2584,[1]Sheet1!$L$9:$L$2584,"N/A",0)</f>
        <v>139.32</v>
      </c>
      <c r="N1849">
        <f>_xlfn.XLOOKUP($A1849,[1]Sheet1!$N$9:$N$2584,[1]Sheet1!$O$9:$O$2584,"N/A",0)</f>
        <v>117</v>
      </c>
      <c r="O1849">
        <v>104.96</v>
      </c>
      <c r="P1849">
        <v>135.84</v>
      </c>
      <c r="Q1849">
        <v>65.49</v>
      </c>
      <c r="R1849">
        <v>117</v>
      </c>
      <c r="S1849">
        <v>139.32</v>
      </c>
    </row>
    <row r="1850" spans="1:19">
      <c r="A1850" s="1">
        <v>45050</v>
      </c>
      <c r="B1850" t="s">
        <v>836</v>
      </c>
      <c r="C1850" t="s">
        <v>842</v>
      </c>
      <c r="D1850">
        <v>21.1905</v>
      </c>
      <c r="E1850">
        <v>22.9204</v>
      </c>
      <c r="F1850">
        <v>0.081635638611642</v>
      </c>
      <c r="G1850">
        <f ca="1" t="shared" si="84"/>
        <v>1.22463411898634</v>
      </c>
      <c r="H1850" t="str">
        <f ca="1" t="shared" si="85"/>
        <v>Risk-Off</v>
      </c>
      <c r="I1850">
        <f ca="1" t="shared" si="86"/>
        <v>1</v>
      </c>
      <c r="J1850">
        <f>_xlfn.XLOOKUP($A1850,[1]Sheet1!$B$9:$B$2584,[1]Sheet1!$C$9:$C$2584,"N/A",0)</f>
        <v>104.5</v>
      </c>
      <c r="K1850">
        <f>_xlfn.XLOOKUP($A1850,[1]Sheet1!$E$9:$E$2584,[1]Sheet1!$F$9:$F$2584,"N/A",0)</f>
        <v>135.31</v>
      </c>
      <c r="L1850">
        <f>_xlfn.XLOOKUP($A1850,[1]Sheet1!$H$9:$H$2584,[1]Sheet1!$I$9:$I$2584,"N/A",0)</f>
        <v>63.74</v>
      </c>
      <c r="M1850">
        <f>_xlfn.XLOOKUP($A1850,[1]Sheet1!$K$9:$K$2584,[1]Sheet1!$L$9:$L$2584,"N/A",0)</f>
        <v>137.19</v>
      </c>
      <c r="N1850">
        <f>_xlfn.XLOOKUP($A1850,[1]Sheet1!$N$9:$N$2584,[1]Sheet1!$O$9:$O$2584,"N/A",0)</f>
        <v>117.51</v>
      </c>
      <c r="O1850">
        <v>104.5</v>
      </c>
      <c r="P1850">
        <v>135.31</v>
      </c>
      <c r="Q1850">
        <v>63.74</v>
      </c>
      <c r="R1850">
        <v>117.51</v>
      </c>
      <c r="S1850">
        <v>137.19</v>
      </c>
    </row>
    <row r="1851" spans="1:19">
      <c r="A1851" s="1">
        <v>45051</v>
      </c>
      <c r="B1851" t="s">
        <v>836</v>
      </c>
      <c r="C1851" t="s">
        <v>842</v>
      </c>
      <c r="D1851">
        <v>19.2868</v>
      </c>
      <c r="E1851">
        <v>21.347</v>
      </c>
      <c r="F1851" s="2" t="s">
        <v>851</v>
      </c>
      <c r="G1851">
        <f ca="1" t="shared" si="84"/>
        <v>1.95161429849904</v>
      </c>
      <c r="H1851" t="str">
        <f ca="1" t="shared" si="85"/>
        <v>Risk-Off</v>
      </c>
      <c r="I1851">
        <f ca="1" t="shared" si="86"/>
        <v>1</v>
      </c>
      <c r="J1851">
        <f>_xlfn.XLOOKUP($A1851,[1]Sheet1!$B$9:$B$2584,[1]Sheet1!$C$9:$C$2584,"N/A",0)</f>
        <v>104.57</v>
      </c>
      <c r="K1851">
        <f>_xlfn.XLOOKUP($A1851,[1]Sheet1!$E$9:$E$2584,[1]Sheet1!$F$9:$F$2584,"N/A",0)</f>
        <v>133.99</v>
      </c>
      <c r="L1851">
        <f>_xlfn.XLOOKUP($A1851,[1]Sheet1!$H$9:$H$2584,[1]Sheet1!$I$9:$I$2584,"N/A",0)</f>
        <v>64.19</v>
      </c>
      <c r="M1851">
        <f>_xlfn.XLOOKUP($A1851,[1]Sheet1!$K$9:$K$2584,[1]Sheet1!$L$9:$L$2584,"N/A",0)</f>
        <v>137.02</v>
      </c>
      <c r="N1851">
        <f>_xlfn.XLOOKUP($A1851,[1]Sheet1!$N$9:$N$2584,[1]Sheet1!$O$9:$O$2584,"N/A",0)</f>
        <v>117.63</v>
      </c>
      <c r="O1851">
        <v>104.57</v>
      </c>
      <c r="P1851">
        <v>133.99</v>
      </c>
      <c r="Q1851">
        <v>64.19</v>
      </c>
      <c r="R1851">
        <v>117.63</v>
      </c>
      <c r="S1851">
        <v>137.02</v>
      </c>
    </row>
    <row r="1852" spans="1:19">
      <c r="A1852" s="1">
        <v>45054</v>
      </c>
      <c r="B1852" t="s">
        <v>836</v>
      </c>
      <c r="C1852" t="s">
        <v>842</v>
      </c>
      <c r="D1852">
        <v>19.0021</v>
      </c>
      <c r="E1852">
        <v>20.9454</v>
      </c>
      <c r="F1852" s="2" t="s">
        <v>852</v>
      </c>
      <c r="G1852">
        <f ca="1" t="shared" si="84"/>
        <v>1.81859367394181</v>
      </c>
      <c r="H1852" t="str">
        <f ca="1" t="shared" si="85"/>
        <v>Risk-Off</v>
      </c>
      <c r="I1852">
        <f ca="1" t="shared" si="86"/>
        <v>1</v>
      </c>
      <c r="J1852">
        <f>_xlfn.XLOOKUP($A1852,[1]Sheet1!$B$9:$B$2584,[1]Sheet1!$C$9:$C$2584,"N/A",0)</f>
        <v>105.27</v>
      </c>
      <c r="K1852">
        <f>_xlfn.XLOOKUP($A1852,[1]Sheet1!$E$9:$E$2584,[1]Sheet1!$F$9:$F$2584,"N/A",0)</f>
        <v>134.63</v>
      </c>
      <c r="L1852" t="str">
        <f>_xlfn.XLOOKUP($A1852,[1]Sheet1!$H$9:$H$2584,[1]Sheet1!$I$9:$I$2584,"N/A",0)</f>
        <v>N/A</v>
      </c>
      <c r="M1852">
        <f>_xlfn.XLOOKUP($A1852,[1]Sheet1!$K$9:$K$2584,[1]Sheet1!$L$9:$L$2584,"N/A",0)</f>
        <v>135.89</v>
      </c>
      <c r="N1852">
        <f>_xlfn.XLOOKUP($A1852,[1]Sheet1!$N$9:$N$2584,[1]Sheet1!$O$9:$O$2584,"N/A",0)</f>
        <v>118.2</v>
      </c>
      <c r="O1852">
        <v>105.27</v>
      </c>
      <c r="P1852">
        <v>134.63</v>
      </c>
      <c r="Q1852" t="s">
        <v>21</v>
      </c>
      <c r="R1852">
        <v>118.2</v>
      </c>
      <c r="S1852">
        <v>135.89</v>
      </c>
    </row>
    <row r="1853" spans="1:19">
      <c r="A1853" s="1">
        <v>45055</v>
      </c>
      <c r="B1853" t="s">
        <v>836</v>
      </c>
      <c r="C1853" t="s">
        <v>842</v>
      </c>
      <c r="D1853">
        <v>19.4202</v>
      </c>
      <c r="E1853">
        <v>21.3303</v>
      </c>
      <c r="F1853">
        <v>0.0983563506040102</v>
      </c>
      <c r="G1853">
        <f ca="1" t="shared" si="84"/>
        <v>1.69899547026003</v>
      </c>
      <c r="H1853" t="str">
        <f ca="1" t="shared" si="85"/>
        <v>Risk-Off</v>
      </c>
      <c r="I1853">
        <f ca="1" t="shared" si="86"/>
        <v>1</v>
      </c>
      <c r="J1853">
        <f>_xlfn.XLOOKUP($A1853,[1]Sheet1!$B$9:$B$2584,[1]Sheet1!$C$9:$C$2584,"N/A",0)</f>
        <v>106.07</v>
      </c>
      <c r="K1853">
        <f>_xlfn.XLOOKUP($A1853,[1]Sheet1!$E$9:$E$2584,[1]Sheet1!$F$9:$F$2584,"N/A",0)</f>
        <v>135.04</v>
      </c>
      <c r="L1853" t="str">
        <f>_xlfn.XLOOKUP($A1853,[1]Sheet1!$H$9:$H$2584,[1]Sheet1!$I$9:$I$2584,"N/A",0)</f>
        <v>N/A</v>
      </c>
      <c r="M1853">
        <f>_xlfn.XLOOKUP($A1853,[1]Sheet1!$K$9:$K$2584,[1]Sheet1!$L$9:$L$2584,"N/A",0)</f>
        <v>136.17</v>
      </c>
      <c r="N1853">
        <f>_xlfn.XLOOKUP($A1853,[1]Sheet1!$N$9:$N$2584,[1]Sheet1!$O$9:$O$2584,"N/A",0)</f>
        <v>117.98</v>
      </c>
      <c r="O1853">
        <v>106.07</v>
      </c>
      <c r="P1853">
        <v>135.04</v>
      </c>
      <c r="Q1853" t="s">
        <v>21</v>
      </c>
      <c r="R1853">
        <v>117.98</v>
      </c>
      <c r="S1853">
        <v>136.17</v>
      </c>
    </row>
    <row r="1854" spans="1:19">
      <c r="A1854" s="1">
        <v>45056</v>
      </c>
      <c r="B1854" t="s">
        <v>836</v>
      </c>
      <c r="C1854" t="s">
        <v>842</v>
      </c>
      <c r="D1854">
        <v>18.8504</v>
      </c>
      <c r="E1854">
        <v>20.7546</v>
      </c>
      <c r="F1854" s="2" t="s">
        <v>853</v>
      </c>
      <c r="G1854">
        <f ca="1" t="shared" si="84"/>
        <v>1.7522325696962</v>
      </c>
      <c r="H1854" t="str">
        <f ca="1" t="shared" si="85"/>
        <v>Risk-On</v>
      </c>
      <c r="I1854">
        <f ca="1" t="shared" si="86"/>
        <v>1</v>
      </c>
      <c r="J1854">
        <f>_xlfn.XLOOKUP($A1854,[1]Sheet1!$B$9:$B$2584,[1]Sheet1!$C$9:$C$2584,"N/A",0)</f>
        <v>105.97</v>
      </c>
      <c r="K1854">
        <f>_xlfn.XLOOKUP($A1854,[1]Sheet1!$E$9:$E$2584,[1]Sheet1!$F$9:$F$2584,"N/A",0)</f>
        <v>135.83</v>
      </c>
      <c r="L1854" t="str">
        <f>_xlfn.XLOOKUP($A1854,[1]Sheet1!$H$9:$H$2584,[1]Sheet1!$I$9:$I$2584,"N/A",0)</f>
        <v>N/A</v>
      </c>
      <c r="M1854">
        <f>_xlfn.XLOOKUP($A1854,[1]Sheet1!$K$9:$K$2584,[1]Sheet1!$L$9:$L$2584,"N/A",0)</f>
        <v>136.35</v>
      </c>
      <c r="N1854">
        <f>_xlfn.XLOOKUP($A1854,[1]Sheet1!$N$9:$N$2584,[1]Sheet1!$O$9:$O$2584,"N/A",0)</f>
        <v>117.26</v>
      </c>
      <c r="O1854">
        <v>105.97</v>
      </c>
      <c r="P1854">
        <v>135.83</v>
      </c>
      <c r="Q1854" t="s">
        <v>21</v>
      </c>
      <c r="R1854">
        <v>117.26</v>
      </c>
      <c r="S1854">
        <v>136.35</v>
      </c>
    </row>
    <row r="1855" spans="1:19">
      <c r="A1855" s="1">
        <v>45057</v>
      </c>
      <c r="B1855" t="s">
        <v>836</v>
      </c>
      <c r="C1855" t="s">
        <v>842</v>
      </c>
      <c r="D1855">
        <v>18.6032</v>
      </c>
      <c r="E1855">
        <v>20.5239</v>
      </c>
      <c r="F1855" s="2" t="s">
        <v>854</v>
      </c>
      <c r="G1855">
        <f ca="1" t="shared" si="84"/>
        <v>1.81928331759562</v>
      </c>
      <c r="H1855" t="str">
        <f ca="1" t="shared" si="85"/>
        <v>Risk-On</v>
      </c>
      <c r="I1855">
        <f ca="1" t="shared" si="86"/>
        <v>1</v>
      </c>
      <c r="J1855">
        <f>_xlfn.XLOOKUP($A1855,[1]Sheet1!$B$9:$B$2584,[1]Sheet1!$C$9:$C$2584,"N/A",0)</f>
        <v>106.36</v>
      </c>
      <c r="K1855">
        <f>_xlfn.XLOOKUP($A1855,[1]Sheet1!$E$9:$E$2584,[1]Sheet1!$F$9:$F$2584,"N/A",0)</f>
        <v>135.87</v>
      </c>
      <c r="L1855">
        <f>_xlfn.XLOOKUP($A1855,[1]Sheet1!$H$9:$H$2584,[1]Sheet1!$I$9:$I$2584,"N/A",0)</f>
        <v>61.76</v>
      </c>
      <c r="M1855">
        <f>_xlfn.XLOOKUP($A1855,[1]Sheet1!$K$9:$K$2584,[1]Sheet1!$L$9:$L$2584,"N/A",0)</f>
        <v>137.23</v>
      </c>
      <c r="N1855">
        <f>_xlfn.XLOOKUP($A1855,[1]Sheet1!$N$9:$N$2584,[1]Sheet1!$O$9:$O$2584,"N/A",0)</f>
        <v>118.09</v>
      </c>
      <c r="O1855">
        <v>106.36</v>
      </c>
      <c r="P1855">
        <v>135.87</v>
      </c>
      <c r="Q1855">
        <v>61.76</v>
      </c>
      <c r="R1855">
        <v>118.09</v>
      </c>
      <c r="S1855">
        <v>137.23</v>
      </c>
    </row>
    <row r="1856" spans="1:19">
      <c r="A1856" s="1">
        <v>45058</v>
      </c>
      <c r="B1856" t="s">
        <v>836</v>
      </c>
      <c r="C1856" t="s">
        <v>842</v>
      </c>
      <c r="D1856">
        <v>18.5431</v>
      </c>
      <c r="E1856">
        <v>20.5509</v>
      </c>
      <c r="F1856" s="2" t="s">
        <v>855</v>
      </c>
      <c r="G1856">
        <f ca="1" t="shared" si="84"/>
        <v>1.96513256158017</v>
      </c>
      <c r="H1856" t="str">
        <f ca="1" t="shared" si="85"/>
        <v>Risk-On</v>
      </c>
      <c r="I1856">
        <f ca="1" t="shared" si="86"/>
        <v>1</v>
      </c>
      <c r="J1856">
        <f>_xlfn.XLOOKUP($A1856,[1]Sheet1!$B$9:$B$2584,[1]Sheet1!$C$9:$C$2584,"N/A",0)</f>
        <v>105.86</v>
      </c>
      <c r="K1856">
        <f>_xlfn.XLOOKUP($A1856,[1]Sheet1!$E$9:$E$2584,[1]Sheet1!$F$9:$F$2584,"N/A",0)</f>
        <v>137.56</v>
      </c>
      <c r="L1856">
        <f>_xlfn.XLOOKUP($A1856,[1]Sheet1!$H$9:$H$2584,[1]Sheet1!$I$9:$I$2584,"N/A",0)</f>
        <v>61.93</v>
      </c>
      <c r="M1856">
        <f>_xlfn.XLOOKUP($A1856,[1]Sheet1!$K$9:$K$2584,[1]Sheet1!$L$9:$L$2584,"N/A",0)</f>
        <v>137.42</v>
      </c>
      <c r="N1856">
        <f>_xlfn.XLOOKUP($A1856,[1]Sheet1!$N$9:$N$2584,[1]Sheet1!$O$9:$O$2584,"N/A",0)</f>
        <v>118.15</v>
      </c>
      <c r="O1856">
        <v>105.86</v>
      </c>
      <c r="P1856">
        <v>137.56</v>
      </c>
      <c r="Q1856">
        <v>61.93</v>
      </c>
      <c r="R1856">
        <v>118.15</v>
      </c>
      <c r="S1856">
        <v>137.42</v>
      </c>
    </row>
    <row r="1857" spans="1:19">
      <c r="A1857" s="1">
        <v>45061</v>
      </c>
      <c r="B1857" t="s">
        <v>836</v>
      </c>
      <c r="C1857" t="s">
        <v>842</v>
      </c>
      <c r="D1857">
        <v>17.801</v>
      </c>
      <c r="E1857">
        <v>20.0649</v>
      </c>
      <c r="F1857" s="2" t="s">
        <v>856</v>
      </c>
      <c r="G1857">
        <f ca="1" t="shared" si="84"/>
        <v>2.52435729436178</v>
      </c>
      <c r="H1857" t="str">
        <f ca="1" t="shared" si="85"/>
        <v>Risk-On</v>
      </c>
      <c r="I1857">
        <f ca="1" t="shared" si="86"/>
        <v>1</v>
      </c>
      <c r="J1857">
        <f>_xlfn.XLOOKUP($A1857,[1]Sheet1!$B$9:$B$2584,[1]Sheet1!$C$9:$C$2584,"N/A",0)</f>
        <v>105.85</v>
      </c>
      <c r="K1857">
        <f>_xlfn.XLOOKUP($A1857,[1]Sheet1!$E$9:$E$2584,[1]Sheet1!$F$9:$F$2584,"N/A",0)</f>
        <v>136.54</v>
      </c>
      <c r="L1857">
        <f>_xlfn.XLOOKUP($A1857,[1]Sheet1!$H$9:$H$2584,[1]Sheet1!$I$9:$I$2584,"N/A",0)</f>
        <v>62.21</v>
      </c>
      <c r="M1857">
        <f>_xlfn.XLOOKUP($A1857,[1]Sheet1!$K$9:$K$2584,[1]Sheet1!$L$9:$L$2584,"N/A",0)</f>
        <v>136.98</v>
      </c>
      <c r="N1857">
        <f>_xlfn.XLOOKUP($A1857,[1]Sheet1!$N$9:$N$2584,[1]Sheet1!$O$9:$O$2584,"N/A",0)</f>
        <v>117.71</v>
      </c>
      <c r="O1857">
        <v>105.85</v>
      </c>
      <c r="P1857">
        <v>136.54</v>
      </c>
      <c r="Q1857">
        <v>62.21</v>
      </c>
      <c r="R1857">
        <v>117.71</v>
      </c>
      <c r="S1857">
        <v>136.98</v>
      </c>
    </row>
    <row r="1858" spans="1:19">
      <c r="A1858" s="1">
        <v>45062</v>
      </c>
      <c r="B1858" t="s">
        <v>836</v>
      </c>
      <c r="C1858" t="s">
        <v>842</v>
      </c>
      <c r="D1858">
        <v>18.282</v>
      </c>
      <c r="E1858">
        <v>20.6437</v>
      </c>
      <c r="F1858" s="2" t="s">
        <v>857</v>
      </c>
      <c r="G1858">
        <f ca="1" t="shared" si="84"/>
        <v>2.58031791640785</v>
      </c>
      <c r="H1858" t="str">
        <f ca="1" t="shared" si="85"/>
        <v>Risk-On</v>
      </c>
      <c r="I1858">
        <f ca="1" t="shared" si="86"/>
        <v>1</v>
      </c>
      <c r="J1858">
        <f>_xlfn.XLOOKUP($A1858,[1]Sheet1!$B$9:$B$2584,[1]Sheet1!$C$9:$C$2584,"N/A",0)</f>
        <v>105.41</v>
      </c>
      <c r="K1858">
        <f>_xlfn.XLOOKUP($A1858,[1]Sheet1!$E$9:$E$2584,[1]Sheet1!$F$9:$F$2584,"N/A",0)</f>
        <v>137.29</v>
      </c>
      <c r="L1858">
        <f>_xlfn.XLOOKUP($A1858,[1]Sheet1!$H$9:$H$2584,[1]Sheet1!$I$9:$I$2584,"N/A",0)</f>
        <v>62.27</v>
      </c>
      <c r="M1858">
        <f>_xlfn.XLOOKUP($A1858,[1]Sheet1!$K$9:$K$2584,[1]Sheet1!$L$9:$L$2584,"N/A",0)</f>
        <v>137.14</v>
      </c>
      <c r="N1858">
        <f>_xlfn.XLOOKUP($A1858,[1]Sheet1!$N$9:$N$2584,[1]Sheet1!$O$9:$O$2584,"N/A",0)</f>
        <v>117.81</v>
      </c>
      <c r="O1858">
        <v>105.41</v>
      </c>
      <c r="P1858">
        <v>137.29</v>
      </c>
      <c r="Q1858">
        <v>62.27</v>
      </c>
      <c r="R1858">
        <v>117.81</v>
      </c>
      <c r="S1858">
        <v>137.14</v>
      </c>
    </row>
    <row r="1859" spans="1:19">
      <c r="A1859" s="1">
        <v>45063</v>
      </c>
      <c r="B1859" t="s">
        <v>836</v>
      </c>
      <c r="C1859" t="s">
        <v>842</v>
      </c>
      <c r="D1859">
        <v>17.12</v>
      </c>
      <c r="E1859">
        <v>19.9815</v>
      </c>
      <c r="F1859">
        <v>0.167143691588785</v>
      </c>
      <c r="G1859">
        <f ca="1" t="shared" ref="G1859:G1922" si="87">IF(ROW()-ROW($A$3)+1&gt;252,(F1859-AVERAGE(OFFSET(F1859,-252,0,252,1)))/_xlfn.STDEV.S(OFFSET(F1859,-252,0,252,1)),"N/A")</f>
        <v>3.705512746765</v>
      </c>
      <c r="H1859" t="str">
        <f ca="1" t="shared" ref="H1859:H1922" si="88">IF(G1859&lt;&gt;"N/A",IF(G2109&gt;-0.5,"Risk-On","Risk-Off"),"N/A")</f>
        <v>Risk-On</v>
      </c>
      <c r="I1859">
        <f ca="1" t="shared" si="86"/>
        <v>1</v>
      </c>
      <c r="J1859">
        <f>_xlfn.XLOOKUP($A1859,[1]Sheet1!$B$9:$B$2584,[1]Sheet1!$C$9:$C$2584,"N/A",0)</f>
        <v>104.83</v>
      </c>
      <c r="K1859">
        <f>_xlfn.XLOOKUP($A1859,[1]Sheet1!$E$9:$E$2584,[1]Sheet1!$F$9:$F$2584,"N/A",0)</f>
        <v>136.63</v>
      </c>
      <c r="L1859">
        <f>_xlfn.XLOOKUP($A1859,[1]Sheet1!$H$9:$H$2584,[1]Sheet1!$I$9:$I$2584,"N/A",0)</f>
        <v>62.93</v>
      </c>
      <c r="M1859">
        <f>_xlfn.XLOOKUP($A1859,[1]Sheet1!$K$9:$K$2584,[1]Sheet1!$L$9:$L$2584,"N/A",0)</f>
        <v>137.43</v>
      </c>
      <c r="N1859">
        <f>_xlfn.XLOOKUP($A1859,[1]Sheet1!$N$9:$N$2584,[1]Sheet1!$O$9:$O$2584,"N/A",0)</f>
        <v>117.23</v>
      </c>
      <c r="O1859">
        <v>104.83</v>
      </c>
      <c r="P1859">
        <v>136.63</v>
      </c>
      <c r="Q1859">
        <v>62.93</v>
      </c>
      <c r="R1859">
        <v>117.23</v>
      </c>
      <c r="S1859">
        <v>137.43</v>
      </c>
    </row>
    <row r="1860" spans="1:19">
      <c r="A1860" s="1">
        <v>45064</v>
      </c>
      <c r="B1860" t="s">
        <v>842</v>
      </c>
      <c r="C1860" t="s">
        <v>858</v>
      </c>
      <c r="D1860">
        <v>19.1473</v>
      </c>
      <c r="E1860">
        <v>20.9557</v>
      </c>
      <c r="F1860">
        <v>0.0944467366156063</v>
      </c>
      <c r="G1860">
        <f ca="1" t="shared" si="87"/>
        <v>1.47258605533556</v>
      </c>
      <c r="H1860" t="str">
        <f ca="1" t="shared" si="88"/>
        <v>Risk-On</v>
      </c>
      <c r="I1860">
        <f ca="1" t="shared" ref="I1860:I1923" si="89">IF(H1860&lt;&gt;"N/A",IF(H2110&gt;-0.5,1,0),0)</f>
        <v>1</v>
      </c>
      <c r="J1860">
        <f>_xlfn.XLOOKUP($A1860,[1]Sheet1!$B$9:$B$2584,[1]Sheet1!$C$9:$C$2584,"N/A",0)</f>
        <v>104.67</v>
      </c>
      <c r="K1860">
        <f>_xlfn.XLOOKUP($A1860,[1]Sheet1!$E$9:$E$2584,[1]Sheet1!$F$9:$F$2584,"N/A",0)</f>
        <v>137.06</v>
      </c>
      <c r="L1860">
        <f>_xlfn.XLOOKUP($A1860,[1]Sheet1!$H$9:$H$2584,[1]Sheet1!$I$9:$I$2584,"N/A",0)</f>
        <v>63.23</v>
      </c>
      <c r="M1860">
        <f>_xlfn.XLOOKUP($A1860,[1]Sheet1!$K$9:$K$2584,[1]Sheet1!$L$9:$L$2584,"N/A",0)</f>
        <v>137.89</v>
      </c>
      <c r="N1860">
        <f>_xlfn.XLOOKUP($A1860,[1]Sheet1!$N$9:$N$2584,[1]Sheet1!$O$9:$O$2584,"N/A",0)</f>
        <v>117.77</v>
      </c>
      <c r="O1860">
        <v>104.67</v>
      </c>
      <c r="P1860">
        <v>137.06</v>
      </c>
      <c r="Q1860">
        <v>63.23</v>
      </c>
      <c r="R1860">
        <v>117.77</v>
      </c>
      <c r="S1860">
        <v>137.89</v>
      </c>
    </row>
    <row r="1861" spans="1:19">
      <c r="A1861" s="1">
        <v>45065</v>
      </c>
      <c r="B1861" t="s">
        <v>842</v>
      </c>
      <c r="C1861" t="s">
        <v>858</v>
      </c>
      <c r="D1861">
        <v>19.6485</v>
      </c>
      <c r="E1861">
        <v>21.4995</v>
      </c>
      <c r="F1861">
        <v>0.0942056645545462</v>
      </c>
      <c r="G1861">
        <f ca="1" t="shared" si="87"/>
        <v>1.44601754047262</v>
      </c>
      <c r="H1861" t="str">
        <f ca="1" t="shared" si="88"/>
        <v>Risk-On</v>
      </c>
      <c r="I1861">
        <f ca="1" t="shared" si="89"/>
        <v>1</v>
      </c>
      <c r="J1861">
        <f>_xlfn.XLOOKUP($A1861,[1]Sheet1!$B$9:$B$2584,[1]Sheet1!$C$9:$C$2584,"N/A",0)</f>
        <v>104.67</v>
      </c>
      <c r="K1861">
        <f>_xlfn.XLOOKUP($A1861,[1]Sheet1!$E$9:$E$2584,[1]Sheet1!$F$9:$F$2584,"N/A",0)</f>
        <v>137.31</v>
      </c>
      <c r="L1861">
        <f>_xlfn.XLOOKUP($A1861,[1]Sheet1!$H$9:$H$2584,[1]Sheet1!$I$9:$I$2584,"N/A",0)</f>
        <v>63.16</v>
      </c>
      <c r="M1861">
        <f>_xlfn.XLOOKUP($A1861,[1]Sheet1!$K$9:$K$2584,[1]Sheet1!$L$9:$L$2584,"N/A",0)</f>
        <v>137.48</v>
      </c>
      <c r="N1861">
        <f>_xlfn.XLOOKUP($A1861,[1]Sheet1!$N$9:$N$2584,[1]Sheet1!$O$9:$O$2584,"N/A",0)</f>
        <v>118</v>
      </c>
      <c r="O1861">
        <v>104.67</v>
      </c>
      <c r="P1861">
        <v>137.31</v>
      </c>
      <c r="Q1861">
        <v>63.16</v>
      </c>
      <c r="R1861">
        <v>118</v>
      </c>
      <c r="S1861">
        <v>137.48</v>
      </c>
    </row>
    <row r="1862" spans="1:19">
      <c r="A1862" s="1">
        <v>45068</v>
      </c>
      <c r="B1862" t="s">
        <v>842</v>
      </c>
      <c r="C1862" t="s">
        <v>858</v>
      </c>
      <c r="D1862">
        <v>19.671</v>
      </c>
      <c r="E1862">
        <v>21.4467</v>
      </c>
      <c r="F1862">
        <v>0.09026994052158</v>
      </c>
      <c r="G1862">
        <f ca="1" t="shared" si="87"/>
        <v>1.32130000660131</v>
      </c>
      <c r="H1862" t="str">
        <f ca="1" t="shared" si="88"/>
        <v>Risk-On</v>
      </c>
      <c r="I1862">
        <f ca="1" t="shared" si="89"/>
        <v>1</v>
      </c>
      <c r="J1862">
        <f>_xlfn.XLOOKUP($A1862,[1]Sheet1!$B$9:$B$2584,[1]Sheet1!$C$9:$C$2584,"N/A",0)</f>
        <v>104.57</v>
      </c>
      <c r="K1862">
        <f>_xlfn.XLOOKUP($A1862,[1]Sheet1!$E$9:$E$2584,[1]Sheet1!$F$9:$F$2584,"N/A",0)</f>
        <v>135.29</v>
      </c>
      <c r="L1862">
        <f>_xlfn.XLOOKUP($A1862,[1]Sheet1!$H$9:$H$2584,[1]Sheet1!$I$9:$I$2584,"N/A",0)</f>
        <v>62.94</v>
      </c>
      <c r="M1862">
        <f>_xlfn.XLOOKUP($A1862,[1]Sheet1!$K$9:$K$2584,[1]Sheet1!$L$9:$L$2584,"N/A",0)</f>
        <v>137.25</v>
      </c>
      <c r="N1862">
        <f>_xlfn.XLOOKUP($A1862,[1]Sheet1!$N$9:$N$2584,[1]Sheet1!$O$9:$O$2584,"N/A",0)</f>
        <v>116.7</v>
      </c>
      <c r="O1862">
        <v>104.57</v>
      </c>
      <c r="P1862">
        <v>135.29</v>
      </c>
      <c r="Q1862">
        <v>62.94</v>
      </c>
      <c r="R1862">
        <v>116.7</v>
      </c>
      <c r="S1862">
        <v>137.25</v>
      </c>
    </row>
    <row r="1863" spans="1:19">
      <c r="A1863" s="1">
        <v>45069</v>
      </c>
      <c r="B1863" t="s">
        <v>842</v>
      </c>
      <c r="C1863" t="s">
        <v>858</v>
      </c>
      <c r="D1863">
        <v>20.0458</v>
      </c>
      <c r="E1863">
        <v>21.6473</v>
      </c>
      <c r="F1863">
        <v>0.0798920472118848</v>
      </c>
      <c r="G1863">
        <f ca="1" t="shared" si="87"/>
        <v>1.01756964544655</v>
      </c>
      <c r="H1863" t="str">
        <f ca="1" t="shared" si="88"/>
        <v>Risk-On</v>
      </c>
      <c r="I1863">
        <f ca="1" t="shared" si="89"/>
        <v>1</v>
      </c>
      <c r="J1863">
        <f>_xlfn.XLOOKUP($A1863,[1]Sheet1!$B$9:$B$2584,[1]Sheet1!$C$9:$C$2584,"N/A",0)</f>
        <v>104.72</v>
      </c>
      <c r="K1863">
        <f>_xlfn.XLOOKUP($A1863,[1]Sheet1!$E$9:$E$2584,[1]Sheet1!$F$9:$F$2584,"N/A",0)</f>
        <v>133.51</v>
      </c>
      <c r="L1863">
        <f>_xlfn.XLOOKUP($A1863,[1]Sheet1!$H$9:$H$2584,[1]Sheet1!$I$9:$I$2584,"N/A",0)</f>
        <v>63.92</v>
      </c>
      <c r="M1863">
        <f>_xlfn.XLOOKUP($A1863,[1]Sheet1!$K$9:$K$2584,[1]Sheet1!$L$9:$L$2584,"N/A",0)</f>
        <v>136.93</v>
      </c>
      <c r="N1863">
        <f>_xlfn.XLOOKUP($A1863,[1]Sheet1!$N$9:$N$2584,[1]Sheet1!$O$9:$O$2584,"N/A",0)</f>
        <v>115.98</v>
      </c>
      <c r="O1863">
        <v>104.72</v>
      </c>
      <c r="P1863">
        <v>133.51</v>
      </c>
      <c r="Q1863">
        <v>63.92</v>
      </c>
      <c r="R1863">
        <v>115.98</v>
      </c>
      <c r="S1863">
        <v>136.93</v>
      </c>
    </row>
    <row r="1864" spans="1:19">
      <c r="A1864" s="1">
        <v>45070</v>
      </c>
      <c r="B1864" t="s">
        <v>842</v>
      </c>
      <c r="C1864" t="s">
        <v>858</v>
      </c>
      <c r="D1864">
        <v>20.9965</v>
      </c>
      <c r="E1864">
        <v>22.2087</v>
      </c>
      <c r="F1864">
        <v>0.0577334317624365</v>
      </c>
      <c r="G1864">
        <f ca="1" t="shared" si="87"/>
        <v>0.381156979335543</v>
      </c>
      <c r="H1864" t="str">
        <f ca="1" t="shared" si="88"/>
        <v>Risk-On</v>
      </c>
      <c r="I1864">
        <f ca="1" t="shared" si="89"/>
        <v>1</v>
      </c>
      <c r="J1864">
        <f>_xlfn.XLOOKUP($A1864,[1]Sheet1!$B$9:$B$2584,[1]Sheet1!$C$9:$C$2584,"N/A",0)</f>
        <v>104.92</v>
      </c>
      <c r="K1864">
        <f>_xlfn.XLOOKUP($A1864,[1]Sheet1!$E$9:$E$2584,[1]Sheet1!$F$9:$F$2584,"N/A",0)</f>
        <v>134.11</v>
      </c>
      <c r="L1864">
        <f>_xlfn.XLOOKUP($A1864,[1]Sheet1!$H$9:$H$2584,[1]Sheet1!$I$9:$I$2584,"N/A",0)</f>
        <v>63.23</v>
      </c>
      <c r="M1864">
        <f>_xlfn.XLOOKUP($A1864,[1]Sheet1!$K$9:$K$2584,[1]Sheet1!$L$9:$L$2584,"N/A",0)</f>
        <v>137.34</v>
      </c>
      <c r="N1864">
        <f>_xlfn.XLOOKUP($A1864,[1]Sheet1!$N$9:$N$2584,[1]Sheet1!$O$9:$O$2584,"N/A",0)</f>
        <v>116.32</v>
      </c>
      <c r="O1864">
        <v>104.92</v>
      </c>
      <c r="P1864">
        <v>134.11</v>
      </c>
      <c r="Q1864">
        <v>63.23</v>
      </c>
      <c r="R1864">
        <v>116.32</v>
      </c>
      <c r="S1864">
        <v>137.34</v>
      </c>
    </row>
    <row r="1865" spans="1:19">
      <c r="A1865" s="1">
        <v>45071</v>
      </c>
      <c r="B1865" t="s">
        <v>842</v>
      </c>
      <c r="C1865" t="s">
        <v>858</v>
      </c>
      <c r="D1865">
        <v>20.4261</v>
      </c>
      <c r="E1865">
        <v>21.811</v>
      </c>
      <c r="F1865">
        <v>0.0678005101316452</v>
      </c>
      <c r="G1865">
        <f ca="1" t="shared" si="87"/>
        <v>0.664312810151179</v>
      </c>
      <c r="H1865" t="str">
        <f ca="1" t="shared" si="88"/>
        <v>Risk-On</v>
      </c>
      <c r="I1865">
        <f ca="1" t="shared" si="89"/>
        <v>1</v>
      </c>
      <c r="J1865">
        <f>_xlfn.XLOOKUP($A1865,[1]Sheet1!$B$9:$B$2584,[1]Sheet1!$C$9:$C$2584,"N/A",0)</f>
        <v>104.09</v>
      </c>
      <c r="K1865">
        <f>_xlfn.XLOOKUP($A1865,[1]Sheet1!$E$9:$E$2584,[1]Sheet1!$F$9:$F$2584,"N/A",0)</f>
        <v>136.66</v>
      </c>
      <c r="L1865">
        <f>_xlfn.XLOOKUP($A1865,[1]Sheet1!$H$9:$H$2584,[1]Sheet1!$I$9:$I$2584,"N/A",0)</f>
        <v>63.68</v>
      </c>
      <c r="M1865">
        <f>_xlfn.XLOOKUP($A1865,[1]Sheet1!$K$9:$K$2584,[1]Sheet1!$L$9:$L$2584,"N/A",0)</f>
        <v>137.07</v>
      </c>
      <c r="N1865">
        <f>_xlfn.XLOOKUP($A1865,[1]Sheet1!$N$9:$N$2584,[1]Sheet1!$O$9:$O$2584,"N/A",0)</f>
        <v>117.49</v>
      </c>
      <c r="O1865">
        <v>104.09</v>
      </c>
      <c r="P1865">
        <v>136.66</v>
      </c>
      <c r="Q1865">
        <v>63.68</v>
      </c>
      <c r="R1865">
        <v>117.49</v>
      </c>
      <c r="S1865">
        <v>137.07</v>
      </c>
    </row>
    <row r="1866" spans="1:19">
      <c r="A1866" s="1">
        <v>45072</v>
      </c>
      <c r="B1866" t="s">
        <v>842</v>
      </c>
      <c r="C1866" t="s">
        <v>858</v>
      </c>
      <c r="D1866">
        <v>19.5822</v>
      </c>
      <c r="E1866">
        <v>21.0499</v>
      </c>
      <c r="F1866">
        <v>0.0749507205523383</v>
      </c>
      <c r="G1866">
        <f ca="1" t="shared" si="87"/>
        <v>0.858617461357444</v>
      </c>
      <c r="H1866" t="str">
        <f ca="1" t="shared" si="88"/>
        <v>Risk-On</v>
      </c>
      <c r="I1866">
        <f ca="1" t="shared" si="89"/>
        <v>1</v>
      </c>
      <c r="J1866">
        <f>_xlfn.XLOOKUP($A1866,[1]Sheet1!$B$9:$B$2584,[1]Sheet1!$C$9:$C$2584,"N/A",0)</f>
        <v>104.2</v>
      </c>
      <c r="K1866">
        <f>_xlfn.XLOOKUP($A1866,[1]Sheet1!$E$9:$E$2584,[1]Sheet1!$F$9:$F$2584,"N/A",0)</f>
        <v>137.18</v>
      </c>
      <c r="L1866">
        <f>_xlfn.XLOOKUP($A1866,[1]Sheet1!$H$9:$H$2584,[1]Sheet1!$I$9:$I$2584,"N/A",0)</f>
        <v>63.88</v>
      </c>
      <c r="M1866">
        <f>_xlfn.XLOOKUP($A1866,[1]Sheet1!$K$9:$K$2584,[1]Sheet1!$L$9:$L$2584,"N/A",0)</f>
        <v>136.07</v>
      </c>
      <c r="N1866">
        <f>_xlfn.XLOOKUP($A1866,[1]Sheet1!$N$9:$N$2584,[1]Sheet1!$O$9:$O$2584,"N/A",0)</f>
        <v>117.98</v>
      </c>
      <c r="O1866">
        <v>104.2</v>
      </c>
      <c r="P1866">
        <v>137.18</v>
      </c>
      <c r="Q1866">
        <v>63.88</v>
      </c>
      <c r="R1866">
        <v>117.98</v>
      </c>
      <c r="S1866">
        <v>136.07</v>
      </c>
    </row>
    <row r="1867" spans="1:19">
      <c r="A1867" s="1">
        <v>45076</v>
      </c>
      <c r="B1867" t="s">
        <v>842</v>
      </c>
      <c r="C1867" t="s">
        <v>858</v>
      </c>
      <c r="D1867">
        <v>18.967</v>
      </c>
      <c r="E1867">
        <v>20.6501</v>
      </c>
      <c r="F1867">
        <v>0.0887383350028997</v>
      </c>
      <c r="G1867">
        <f ca="1" t="shared" si="87"/>
        <v>1.24402758489876</v>
      </c>
      <c r="H1867" t="str">
        <f ca="1" t="shared" si="88"/>
        <v>Risk-On</v>
      </c>
      <c r="I1867">
        <f ca="1" t="shared" si="89"/>
        <v>1</v>
      </c>
      <c r="J1867">
        <f>_xlfn.XLOOKUP($A1867,[1]Sheet1!$B$9:$B$2584,[1]Sheet1!$C$9:$C$2584,"N/A",0)</f>
        <v>104.95</v>
      </c>
      <c r="K1867">
        <f>_xlfn.XLOOKUP($A1867,[1]Sheet1!$E$9:$E$2584,[1]Sheet1!$F$9:$F$2584,"N/A",0)</f>
        <v>137.1</v>
      </c>
      <c r="L1867">
        <f>_xlfn.XLOOKUP($A1867,[1]Sheet1!$H$9:$H$2584,[1]Sheet1!$I$9:$I$2584,"N/A",0)</f>
        <v>63.74</v>
      </c>
      <c r="M1867">
        <f>_xlfn.XLOOKUP($A1867,[1]Sheet1!$K$9:$K$2584,[1]Sheet1!$L$9:$L$2584,"N/A",0)</f>
        <v>135.67</v>
      </c>
      <c r="N1867">
        <f>_xlfn.XLOOKUP($A1867,[1]Sheet1!$N$9:$N$2584,[1]Sheet1!$O$9:$O$2584,"N/A",0)</f>
        <v>118.44</v>
      </c>
      <c r="O1867">
        <v>104.95</v>
      </c>
      <c r="P1867">
        <v>137.1</v>
      </c>
      <c r="Q1867">
        <v>63.74</v>
      </c>
      <c r="R1867">
        <v>118.44</v>
      </c>
      <c r="S1867">
        <v>135.67</v>
      </c>
    </row>
    <row r="1868" spans="1:19">
      <c r="A1868" s="1">
        <v>45077</v>
      </c>
      <c r="B1868" t="s">
        <v>842</v>
      </c>
      <c r="C1868" t="s">
        <v>858</v>
      </c>
      <c r="D1868">
        <v>18.8651</v>
      </c>
      <c r="E1868">
        <v>20.446</v>
      </c>
      <c r="F1868">
        <v>0.083800244896661</v>
      </c>
      <c r="G1868">
        <f ca="1" t="shared" si="87"/>
        <v>1.09076220480472</v>
      </c>
      <c r="H1868" t="str">
        <f ca="1" t="shared" si="88"/>
        <v>Risk-Off</v>
      </c>
      <c r="I1868">
        <f ca="1" t="shared" si="89"/>
        <v>1</v>
      </c>
      <c r="J1868">
        <f>_xlfn.XLOOKUP($A1868,[1]Sheet1!$B$9:$B$2584,[1]Sheet1!$C$9:$C$2584,"N/A",0)</f>
        <v>105.35</v>
      </c>
      <c r="K1868">
        <f>_xlfn.XLOOKUP($A1868,[1]Sheet1!$E$9:$E$2584,[1]Sheet1!$F$9:$F$2584,"N/A",0)</f>
        <v>137.21</v>
      </c>
      <c r="L1868">
        <f>_xlfn.XLOOKUP($A1868,[1]Sheet1!$H$9:$H$2584,[1]Sheet1!$I$9:$I$2584,"N/A",0)</f>
        <v>62.25</v>
      </c>
      <c r="M1868">
        <f>_xlfn.XLOOKUP($A1868,[1]Sheet1!$K$9:$K$2584,[1]Sheet1!$L$9:$L$2584,"N/A",0)</f>
        <v>135.67</v>
      </c>
      <c r="N1868">
        <f>_xlfn.XLOOKUP($A1868,[1]Sheet1!$N$9:$N$2584,[1]Sheet1!$O$9:$O$2584,"N/A",0)</f>
        <v>118.6</v>
      </c>
      <c r="O1868">
        <v>105.35</v>
      </c>
      <c r="P1868">
        <v>137.21</v>
      </c>
      <c r="Q1868">
        <v>62.25</v>
      </c>
      <c r="R1868">
        <v>118.6</v>
      </c>
      <c r="S1868">
        <v>135.67</v>
      </c>
    </row>
    <row r="1869" spans="1:19">
      <c r="A1869" s="1">
        <v>45078</v>
      </c>
      <c r="B1869" t="s">
        <v>842</v>
      </c>
      <c r="C1869" t="s">
        <v>858</v>
      </c>
      <c r="D1869">
        <v>17.7047</v>
      </c>
      <c r="E1869">
        <v>19.393</v>
      </c>
      <c r="F1869">
        <v>0.0953588595118811</v>
      </c>
      <c r="G1869">
        <f ca="1" t="shared" si="87"/>
        <v>1.40537504259221</v>
      </c>
      <c r="H1869" t="str">
        <f ca="1" t="shared" si="88"/>
        <v>Risk-Off</v>
      </c>
      <c r="I1869">
        <f ca="1" t="shared" si="89"/>
        <v>1</v>
      </c>
      <c r="J1869">
        <f>_xlfn.XLOOKUP($A1869,[1]Sheet1!$B$9:$B$2584,[1]Sheet1!$C$9:$C$2584,"N/A",0)</f>
        <v>105.32</v>
      </c>
      <c r="K1869">
        <f>_xlfn.XLOOKUP($A1869,[1]Sheet1!$E$9:$E$2584,[1]Sheet1!$F$9:$F$2584,"N/A",0)</f>
        <v>138.27</v>
      </c>
      <c r="L1869">
        <f>_xlfn.XLOOKUP($A1869,[1]Sheet1!$H$9:$H$2584,[1]Sheet1!$I$9:$I$2584,"N/A",0)</f>
        <v>62.06</v>
      </c>
      <c r="M1869">
        <f>_xlfn.XLOOKUP($A1869,[1]Sheet1!$K$9:$K$2584,[1]Sheet1!$L$9:$L$2584,"N/A",0)</f>
        <v>136.03</v>
      </c>
      <c r="N1869">
        <f>_xlfn.XLOOKUP($A1869,[1]Sheet1!$N$9:$N$2584,[1]Sheet1!$O$9:$O$2584,"N/A",0)</f>
        <v>118.54</v>
      </c>
      <c r="O1869">
        <v>105.32</v>
      </c>
      <c r="P1869">
        <v>138.27</v>
      </c>
      <c r="Q1869">
        <v>62.06</v>
      </c>
      <c r="R1869">
        <v>118.54</v>
      </c>
      <c r="S1869">
        <v>136.03</v>
      </c>
    </row>
    <row r="1870" spans="1:19">
      <c r="A1870" s="1">
        <v>45079</v>
      </c>
      <c r="B1870" t="s">
        <v>842</v>
      </c>
      <c r="C1870" t="s">
        <v>858</v>
      </c>
      <c r="D1870">
        <v>16.9463</v>
      </c>
      <c r="E1870">
        <v>18.7589</v>
      </c>
      <c r="F1870" s="2" t="s">
        <v>859</v>
      </c>
      <c r="G1870">
        <f ca="1" t="shared" si="87"/>
        <v>1.71387669787171</v>
      </c>
      <c r="H1870" t="str">
        <f ca="1" t="shared" si="88"/>
        <v>Risk-On</v>
      </c>
      <c r="I1870">
        <f ca="1" t="shared" si="89"/>
        <v>1</v>
      </c>
      <c r="J1870">
        <f>_xlfn.XLOOKUP($A1870,[1]Sheet1!$B$9:$B$2584,[1]Sheet1!$C$9:$C$2584,"N/A",0)</f>
        <v>105.02</v>
      </c>
      <c r="K1870">
        <f>_xlfn.XLOOKUP($A1870,[1]Sheet1!$E$9:$E$2584,[1]Sheet1!$F$9:$F$2584,"N/A",0)</f>
        <v>136.73</v>
      </c>
      <c r="L1870">
        <f>_xlfn.XLOOKUP($A1870,[1]Sheet1!$H$9:$H$2584,[1]Sheet1!$I$9:$I$2584,"N/A",0)</f>
        <v>63.26</v>
      </c>
      <c r="M1870">
        <f>_xlfn.XLOOKUP($A1870,[1]Sheet1!$K$9:$K$2584,[1]Sheet1!$L$9:$L$2584,"N/A",0)</f>
        <v>136.27</v>
      </c>
      <c r="N1870">
        <f>_xlfn.XLOOKUP($A1870,[1]Sheet1!$N$9:$N$2584,[1]Sheet1!$O$9:$O$2584,"N/A",0)</f>
        <v>116.72</v>
      </c>
      <c r="O1870">
        <v>105.02</v>
      </c>
      <c r="P1870">
        <v>136.73</v>
      </c>
      <c r="Q1870">
        <v>63.26</v>
      </c>
      <c r="R1870">
        <v>116.72</v>
      </c>
      <c r="S1870">
        <v>136.27</v>
      </c>
    </row>
    <row r="1871" spans="1:19">
      <c r="A1871" s="1">
        <v>45082</v>
      </c>
      <c r="B1871" t="s">
        <v>842</v>
      </c>
      <c r="C1871" t="s">
        <v>858</v>
      </c>
      <c r="D1871">
        <v>16.5014</v>
      </c>
      <c r="E1871">
        <v>18.3393</v>
      </c>
      <c r="F1871" s="2" t="s">
        <v>860</v>
      </c>
      <c r="G1871">
        <f ca="1" t="shared" si="87"/>
        <v>1.83298922994556</v>
      </c>
      <c r="H1871" t="str">
        <f ca="1" t="shared" si="88"/>
        <v>Risk-On</v>
      </c>
      <c r="I1871">
        <f ca="1" t="shared" si="89"/>
        <v>1</v>
      </c>
      <c r="J1871">
        <f>_xlfn.XLOOKUP($A1871,[1]Sheet1!$B$9:$B$2584,[1]Sheet1!$C$9:$C$2584,"N/A",0)</f>
        <v>105.14</v>
      </c>
      <c r="K1871">
        <f>_xlfn.XLOOKUP($A1871,[1]Sheet1!$E$9:$E$2584,[1]Sheet1!$F$9:$F$2584,"N/A",0)</f>
        <v>136.95</v>
      </c>
      <c r="L1871">
        <f>_xlfn.XLOOKUP($A1871,[1]Sheet1!$H$9:$H$2584,[1]Sheet1!$I$9:$I$2584,"N/A",0)</f>
        <v>62.74</v>
      </c>
      <c r="M1871">
        <f>_xlfn.XLOOKUP($A1871,[1]Sheet1!$K$9:$K$2584,[1]Sheet1!$L$9:$L$2584,"N/A",0)</f>
        <v>136.53</v>
      </c>
      <c r="N1871">
        <f>_xlfn.XLOOKUP($A1871,[1]Sheet1!$N$9:$N$2584,[1]Sheet1!$O$9:$O$2584,"N/A",0)</f>
        <v>117.99</v>
      </c>
      <c r="O1871">
        <v>105.14</v>
      </c>
      <c r="P1871">
        <v>136.95</v>
      </c>
      <c r="Q1871">
        <v>62.74</v>
      </c>
      <c r="R1871">
        <v>117.99</v>
      </c>
      <c r="S1871">
        <v>136.53</v>
      </c>
    </row>
    <row r="1872" spans="1:19">
      <c r="A1872" s="1">
        <v>45083</v>
      </c>
      <c r="B1872" t="s">
        <v>842</v>
      </c>
      <c r="C1872" t="s">
        <v>858</v>
      </c>
      <c r="D1872">
        <v>15.4181</v>
      </c>
      <c r="E1872">
        <v>17.372</v>
      </c>
      <c r="F1872" s="2" t="s">
        <v>861</v>
      </c>
      <c r="G1872">
        <f ca="1" t="shared" si="87"/>
        <v>2.25599619239986</v>
      </c>
      <c r="H1872" t="str">
        <f ca="1" t="shared" si="88"/>
        <v>Risk-On</v>
      </c>
      <c r="I1872">
        <f ca="1" t="shared" si="89"/>
        <v>1</v>
      </c>
      <c r="J1872">
        <f>_xlfn.XLOOKUP($A1872,[1]Sheet1!$B$9:$B$2584,[1]Sheet1!$C$9:$C$2584,"N/A",0)</f>
        <v>105.09</v>
      </c>
      <c r="K1872">
        <f>_xlfn.XLOOKUP($A1872,[1]Sheet1!$E$9:$E$2584,[1]Sheet1!$F$9:$F$2584,"N/A",0)</f>
        <v>135.54</v>
      </c>
      <c r="L1872">
        <f>_xlfn.XLOOKUP($A1872,[1]Sheet1!$H$9:$H$2584,[1]Sheet1!$I$9:$I$2584,"N/A",0)</f>
        <v>64.09</v>
      </c>
      <c r="M1872">
        <f>_xlfn.XLOOKUP($A1872,[1]Sheet1!$K$9:$K$2584,[1]Sheet1!$L$9:$L$2584,"N/A",0)</f>
        <v>135.96</v>
      </c>
      <c r="N1872">
        <f>_xlfn.XLOOKUP($A1872,[1]Sheet1!$N$9:$N$2584,[1]Sheet1!$O$9:$O$2584,"N/A",0)</f>
        <v>116.05</v>
      </c>
      <c r="O1872">
        <v>105.09</v>
      </c>
      <c r="P1872">
        <v>135.54</v>
      </c>
      <c r="Q1872">
        <v>64.09</v>
      </c>
      <c r="R1872">
        <v>116.05</v>
      </c>
      <c r="S1872">
        <v>135.96</v>
      </c>
    </row>
    <row r="1873" spans="1:19">
      <c r="A1873" s="1">
        <v>45084</v>
      </c>
      <c r="B1873" t="s">
        <v>842</v>
      </c>
      <c r="C1873" t="s">
        <v>858</v>
      </c>
      <c r="D1873">
        <v>15.4509</v>
      </c>
      <c r="E1873">
        <v>17.4953</v>
      </c>
      <c r="F1873" s="2" t="s">
        <v>862</v>
      </c>
      <c r="G1873">
        <f ca="1" t="shared" si="87"/>
        <v>2.40499926150299</v>
      </c>
      <c r="H1873" t="str">
        <f ca="1" t="shared" si="88"/>
        <v>Risk-On</v>
      </c>
      <c r="I1873">
        <f ca="1" t="shared" si="89"/>
        <v>1</v>
      </c>
      <c r="J1873">
        <f>_xlfn.XLOOKUP($A1873,[1]Sheet1!$B$9:$B$2584,[1]Sheet1!$C$9:$C$2584,"N/A",0)</f>
        <v>104.18</v>
      </c>
      <c r="K1873">
        <f>_xlfn.XLOOKUP($A1873,[1]Sheet1!$E$9:$E$2584,[1]Sheet1!$F$9:$F$2584,"N/A",0)</f>
        <v>133.86</v>
      </c>
      <c r="L1873">
        <f>_xlfn.XLOOKUP($A1873,[1]Sheet1!$H$9:$H$2584,[1]Sheet1!$I$9:$I$2584,"N/A",0)</f>
        <v>65.44</v>
      </c>
      <c r="M1873">
        <f>_xlfn.XLOOKUP($A1873,[1]Sheet1!$K$9:$K$2584,[1]Sheet1!$L$9:$L$2584,"N/A",0)</f>
        <v>135.57</v>
      </c>
      <c r="N1873">
        <f>_xlfn.XLOOKUP($A1873,[1]Sheet1!$N$9:$N$2584,[1]Sheet1!$O$9:$O$2584,"N/A",0)</f>
        <v>114.31</v>
      </c>
      <c r="O1873">
        <v>104.18</v>
      </c>
      <c r="P1873">
        <v>133.86</v>
      </c>
      <c r="Q1873">
        <v>65.44</v>
      </c>
      <c r="R1873">
        <v>114.31</v>
      </c>
      <c r="S1873">
        <v>135.57</v>
      </c>
    </row>
    <row r="1874" spans="1:19">
      <c r="A1874" s="1">
        <v>45085</v>
      </c>
      <c r="B1874" t="s">
        <v>842</v>
      </c>
      <c r="C1874" t="s">
        <v>858</v>
      </c>
      <c r="D1874">
        <v>15.0127</v>
      </c>
      <c r="E1874">
        <v>17.0487</v>
      </c>
      <c r="F1874" s="2" t="s">
        <v>863</v>
      </c>
      <c r="G1874">
        <f ca="1" t="shared" si="87"/>
        <v>2.49068446551412</v>
      </c>
      <c r="H1874" t="str">
        <f ca="1" t="shared" si="88"/>
        <v>Risk-On</v>
      </c>
      <c r="I1874">
        <f ca="1" t="shared" si="89"/>
        <v>1</v>
      </c>
      <c r="J1874">
        <f>_xlfn.XLOOKUP($A1874,[1]Sheet1!$B$9:$B$2584,[1]Sheet1!$C$9:$C$2584,"N/A",0)</f>
        <v>104.15</v>
      </c>
      <c r="K1874">
        <f>_xlfn.XLOOKUP($A1874,[1]Sheet1!$E$9:$E$2584,[1]Sheet1!$F$9:$F$2584,"N/A",0)</f>
        <v>134.85</v>
      </c>
      <c r="L1874">
        <f>_xlfn.XLOOKUP($A1874,[1]Sheet1!$H$9:$H$2584,[1]Sheet1!$I$9:$I$2584,"N/A",0)</f>
        <v>64.79</v>
      </c>
      <c r="M1874">
        <f>_xlfn.XLOOKUP($A1874,[1]Sheet1!$K$9:$K$2584,[1]Sheet1!$L$9:$L$2584,"N/A",0)</f>
        <v>135.4</v>
      </c>
      <c r="N1874">
        <f>_xlfn.XLOOKUP($A1874,[1]Sheet1!$N$9:$N$2584,[1]Sheet1!$O$9:$O$2584,"N/A",0)</f>
        <v>115.12</v>
      </c>
      <c r="O1874">
        <v>104.15</v>
      </c>
      <c r="P1874">
        <v>134.85</v>
      </c>
      <c r="Q1874">
        <v>64.79</v>
      </c>
      <c r="R1874">
        <v>115.12</v>
      </c>
      <c r="S1874">
        <v>135.4</v>
      </c>
    </row>
    <row r="1875" spans="1:19">
      <c r="A1875" s="1">
        <v>45086</v>
      </c>
      <c r="B1875" t="s">
        <v>842</v>
      </c>
      <c r="C1875" t="s">
        <v>858</v>
      </c>
      <c r="D1875">
        <v>15.2378</v>
      </c>
      <c r="E1875">
        <v>17.1289</v>
      </c>
      <c r="F1875" s="2" t="s">
        <v>864</v>
      </c>
      <c r="G1875">
        <f ca="1" t="shared" si="87"/>
        <v>2.17210454138551</v>
      </c>
      <c r="H1875" t="str">
        <f ca="1" t="shared" si="88"/>
        <v>Risk-On</v>
      </c>
      <c r="I1875">
        <f ca="1" t="shared" si="89"/>
        <v>1</v>
      </c>
      <c r="J1875">
        <f>_xlfn.XLOOKUP($A1875,[1]Sheet1!$B$9:$B$2584,[1]Sheet1!$C$9:$C$2584,"N/A",0)</f>
        <v>104.23</v>
      </c>
      <c r="K1875">
        <f>_xlfn.XLOOKUP($A1875,[1]Sheet1!$E$9:$E$2584,[1]Sheet1!$F$9:$F$2584,"N/A",0)</f>
        <v>135.63</v>
      </c>
      <c r="L1875">
        <f>_xlfn.XLOOKUP($A1875,[1]Sheet1!$H$9:$H$2584,[1]Sheet1!$I$9:$I$2584,"N/A",0)</f>
        <v>64.56</v>
      </c>
      <c r="M1875">
        <f>_xlfn.XLOOKUP($A1875,[1]Sheet1!$K$9:$K$2584,[1]Sheet1!$L$9:$L$2584,"N/A",0)</f>
        <v>135.69</v>
      </c>
      <c r="N1875">
        <f>_xlfn.XLOOKUP($A1875,[1]Sheet1!$N$9:$N$2584,[1]Sheet1!$O$9:$O$2584,"N/A",0)</f>
        <v>115.77</v>
      </c>
      <c r="O1875">
        <v>104.23</v>
      </c>
      <c r="P1875">
        <v>135.63</v>
      </c>
      <c r="Q1875">
        <v>64.56</v>
      </c>
      <c r="R1875">
        <v>115.77</v>
      </c>
      <c r="S1875">
        <v>135.69</v>
      </c>
    </row>
    <row r="1876" spans="1:19">
      <c r="A1876" s="1">
        <v>45089</v>
      </c>
      <c r="B1876" t="s">
        <v>842</v>
      </c>
      <c r="C1876" t="s">
        <v>858</v>
      </c>
      <c r="D1876">
        <v>15.5628</v>
      </c>
      <c r="E1876">
        <v>17.1041</v>
      </c>
      <c r="F1876">
        <v>0.0990374482740894</v>
      </c>
      <c r="G1876">
        <f ca="1" t="shared" si="87"/>
        <v>1.48172825008212</v>
      </c>
      <c r="H1876" t="str">
        <f ca="1" t="shared" si="88"/>
        <v>Risk-On</v>
      </c>
      <c r="I1876">
        <f ca="1" t="shared" si="89"/>
        <v>1</v>
      </c>
      <c r="J1876">
        <f>_xlfn.XLOOKUP($A1876,[1]Sheet1!$B$9:$B$2584,[1]Sheet1!$C$9:$C$2584,"N/A",0)</f>
        <v>104.22</v>
      </c>
      <c r="K1876">
        <f>_xlfn.XLOOKUP($A1876,[1]Sheet1!$E$9:$E$2584,[1]Sheet1!$F$9:$F$2584,"N/A",0)</f>
        <v>136.13</v>
      </c>
      <c r="L1876">
        <f>_xlfn.XLOOKUP($A1876,[1]Sheet1!$H$9:$H$2584,[1]Sheet1!$I$9:$I$2584,"N/A",0)</f>
        <v>64.22</v>
      </c>
      <c r="M1876">
        <f>_xlfn.XLOOKUP($A1876,[1]Sheet1!$K$9:$K$2584,[1]Sheet1!$L$9:$L$2584,"N/A",0)</f>
        <v>135.44</v>
      </c>
      <c r="N1876">
        <f>_xlfn.XLOOKUP($A1876,[1]Sheet1!$N$9:$N$2584,[1]Sheet1!$O$9:$O$2584,"N/A",0)</f>
        <v>116.03</v>
      </c>
      <c r="O1876">
        <v>104.22</v>
      </c>
      <c r="P1876">
        <v>136.13</v>
      </c>
      <c r="Q1876">
        <v>64.22</v>
      </c>
      <c r="R1876">
        <v>116.03</v>
      </c>
      <c r="S1876">
        <v>135.44</v>
      </c>
    </row>
    <row r="1877" spans="1:19">
      <c r="A1877" s="1">
        <v>45090</v>
      </c>
      <c r="B1877" t="s">
        <v>842</v>
      </c>
      <c r="C1877" t="s">
        <v>858</v>
      </c>
      <c r="D1877">
        <v>15.3191</v>
      </c>
      <c r="E1877">
        <v>17.1144</v>
      </c>
      <c r="F1877" s="2" t="s">
        <v>865</v>
      </c>
      <c r="G1877">
        <f ca="1" t="shared" si="87"/>
        <v>1.96411067119839</v>
      </c>
      <c r="H1877" t="str">
        <f ca="1" t="shared" si="88"/>
        <v>Risk-On</v>
      </c>
      <c r="I1877">
        <f ca="1" t="shared" si="89"/>
        <v>1</v>
      </c>
      <c r="J1877">
        <f>_xlfn.XLOOKUP($A1877,[1]Sheet1!$B$9:$B$2584,[1]Sheet1!$C$9:$C$2584,"N/A",0)</f>
        <v>103.75</v>
      </c>
      <c r="K1877">
        <f>_xlfn.XLOOKUP($A1877,[1]Sheet1!$E$9:$E$2584,[1]Sheet1!$F$9:$F$2584,"N/A",0)</f>
        <v>135.49</v>
      </c>
      <c r="L1877">
        <f>_xlfn.XLOOKUP($A1877,[1]Sheet1!$H$9:$H$2584,[1]Sheet1!$I$9:$I$2584,"N/A",0)</f>
        <v>64.51</v>
      </c>
      <c r="M1877">
        <f>_xlfn.XLOOKUP($A1877,[1]Sheet1!$K$9:$K$2584,[1]Sheet1!$L$9:$L$2584,"N/A",0)</f>
        <v>135</v>
      </c>
      <c r="N1877">
        <f>_xlfn.XLOOKUP($A1877,[1]Sheet1!$N$9:$N$2584,[1]Sheet1!$O$9:$O$2584,"N/A",0)</f>
        <v>115.87</v>
      </c>
      <c r="O1877">
        <v>103.75</v>
      </c>
      <c r="P1877">
        <v>135.49</v>
      </c>
      <c r="Q1877">
        <v>64.51</v>
      </c>
      <c r="R1877">
        <v>115.87</v>
      </c>
      <c r="S1877">
        <v>135</v>
      </c>
    </row>
    <row r="1878" spans="1:19">
      <c r="A1878" s="1">
        <v>45091</v>
      </c>
      <c r="B1878" t="s">
        <v>842</v>
      </c>
      <c r="C1878" t="s">
        <v>858</v>
      </c>
      <c r="D1878">
        <v>14.778</v>
      </c>
      <c r="E1878">
        <v>16.6008</v>
      </c>
      <c r="F1878" s="2" t="s">
        <v>866</v>
      </c>
      <c r="G1878">
        <f ca="1" t="shared" si="87"/>
        <v>2.13242017374473</v>
      </c>
      <c r="H1878" t="str">
        <f ca="1" t="shared" si="88"/>
        <v>Risk-On</v>
      </c>
      <c r="I1878">
        <f ca="1" t="shared" si="89"/>
        <v>1</v>
      </c>
      <c r="J1878">
        <f>_xlfn.XLOOKUP($A1878,[1]Sheet1!$B$9:$B$2584,[1]Sheet1!$C$9:$C$2584,"N/A",0)</f>
        <v>103.97</v>
      </c>
      <c r="K1878">
        <f>_xlfn.XLOOKUP($A1878,[1]Sheet1!$E$9:$E$2584,[1]Sheet1!$F$9:$F$2584,"N/A",0)</f>
        <v>137.05</v>
      </c>
      <c r="L1878">
        <f>_xlfn.XLOOKUP($A1878,[1]Sheet1!$H$9:$H$2584,[1]Sheet1!$I$9:$I$2584,"N/A",0)</f>
        <v>63.77</v>
      </c>
      <c r="M1878">
        <f>_xlfn.XLOOKUP($A1878,[1]Sheet1!$K$9:$K$2584,[1]Sheet1!$L$9:$L$2584,"N/A",0)</f>
        <v>134.61</v>
      </c>
      <c r="N1878">
        <f>_xlfn.XLOOKUP($A1878,[1]Sheet1!$N$9:$N$2584,[1]Sheet1!$O$9:$O$2584,"N/A",0)</f>
        <v>116.8</v>
      </c>
      <c r="O1878">
        <v>103.97</v>
      </c>
      <c r="P1878">
        <v>137.05</v>
      </c>
      <c r="Q1878">
        <v>63.77</v>
      </c>
      <c r="R1878">
        <v>116.8</v>
      </c>
      <c r="S1878">
        <v>134.61</v>
      </c>
    </row>
    <row r="1879" spans="1:19">
      <c r="A1879" s="1">
        <v>45092</v>
      </c>
      <c r="B1879" t="s">
        <v>842</v>
      </c>
      <c r="C1879" t="s">
        <v>858</v>
      </c>
      <c r="D1879">
        <v>15.103</v>
      </c>
      <c r="E1879">
        <v>17.0878</v>
      </c>
      <c r="F1879" s="2" t="s">
        <v>867</v>
      </c>
      <c r="G1879">
        <f ca="1" t="shared" si="87"/>
        <v>2.35698818246812</v>
      </c>
      <c r="H1879" t="str">
        <f ca="1" t="shared" si="88"/>
        <v>Risk-On</v>
      </c>
      <c r="I1879">
        <f ca="1" t="shared" si="89"/>
        <v>1</v>
      </c>
      <c r="J1879">
        <f>_xlfn.XLOOKUP($A1879,[1]Sheet1!$B$9:$B$2584,[1]Sheet1!$C$9:$C$2584,"N/A",0)</f>
        <v>104.28</v>
      </c>
      <c r="K1879">
        <f>_xlfn.XLOOKUP($A1879,[1]Sheet1!$E$9:$E$2584,[1]Sheet1!$F$9:$F$2584,"N/A",0)</f>
        <v>136.65</v>
      </c>
      <c r="L1879">
        <f>_xlfn.XLOOKUP($A1879,[1]Sheet1!$H$9:$H$2584,[1]Sheet1!$I$9:$I$2584,"N/A",0)</f>
        <v>63.81</v>
      </c>
      <c r="M1879">
        <f>_xlfn.XLOOKUP($A1879,[1]Sheet1!$K$9:$K$2584,[1]Sheet1!$L$9:$L$2584,"N/A",0)</f>
        <v>135.62</v>
      </c>
      <c r="N1879">
        <f>_xlfn.XLOOKUP($A1879,[1]Sheet1!$N$9:$N$2584,[1]Sheet1!$O$9:$O$2584,"N/A",0)</f>
        <v>117.33</v>
      </c>
      <c r="O1879">
        <v>104.28</v>
      </c>
      <c r="P1879">
        <v>136.65</v>
      </c>
      <c r="Q1879">
        <v>63.81</v>
      </c>
      <c r="R1879">
        <v>117.33</v>
      </c>
      <c r="S1879">
        <v>135.62</v>
      </c>
    </row>
    <row r="1880" spans="1:19">
      <c r="A1880" s="1">
        <v>45093</v>
      </c>
      <c r="B1880" t="s">
        <v>842</v>
      </c>
      <c r="C1880" t="s">
        <v>858</v>
      </c>
      <c r="D1880">
        <v>14.3454</v>
      </c>
      <c r="E1880">
        <v>16.4772</v>
      </c>
      <c r="F1880" s="2" t="s">
        <v>868</v>
      </c>
      <c r="G1880">
        <f ca="1" t="shared" si="87"/>
        <v>2.84197494614391</v>
      </c>
      <c r="H1880" t="str">
        <f ca="1" t="shared" si="88"/>
        <v>Risk-On</v>
      </c>
      <c r="I1880">
        <f ca="1" t="shared" si="89"/>
        <v>1</v>
      </c>
      <c r="J1880">
        <f>_xlfn.XLOOKUP($A1880,[1]Sheet1!$B$9:$B$2584,[1]Sheet1!$C$9:$C$2584,"N/A",0)</f>
        <v>104.48</v>
      </c>
      <c r="K1880">
        <f>_xlfn.XLOOKUP($A1880,[1]Sheet1!$E$9:$E$2584,[1]Sheet1!$F$9:$F$2584,"N/A",0)</f>
        <v>135.84</v>
      </c>
      <c r="L1880">
        <f>_xlfn.XLOOKUP($A1880,[1]Sheet1!$H$9:$H$2584,[1]Sheet1!$I$9:$I$2584,"N/A",0)</f>
        <v>63.98</v>
      </c>
      <c r="M1880">
        <f>_xlfn.XLOOKUP($A1880,[1]Sheet1!$K$9:$K$2584,[1]Sheet1!$L$9:$L$2584,"N/A",0)</f>
        <v>135.39</v>
      </c>
      <c r="N1880">
        <f>_xlfn.XLOOKUP($A1880,[1]Sheet1!$N$9:$N$2584,[1]Sheet1!$O$9:$O$2584,"N/A",0)</f>
        <v>117.45</v>
      </c>
      <c r="O1880">
        <v>104.48</v>
      </c>
      <c r="P1880">
        <v>135.84</v>
      </c>
      <c r="Q1880">
        <v>63.98</v>
      </c>
      <c r="R1880">
        <v>117.45</v>
      </c>
      <c r="S1880">
        <v>135.39</v>
      </c>
    </row>
    <row r="1881" spans="1:19">
      <c r="A1881" s="1">
        <v>45097</v>
      </c>
      <c r="B1881" t="s">
        <v>842</v>
      </c>
      <c r="C1881" t="s">
        <v>858</v>
      </c>
      <c r="D1881">
        <v>14.0254</v>
      </c>
      <c r="E1881">
        <v>16.5246</v>
      </c>
      <c r="F1881" s="2" t="s">
        <v>869</v>
      </c>
      <c r="G1881">
        <f ca="1" t="shared" si="87"/>
        <v>3.69222123650426</v>
      </c>
      <c r="H1881" t="str">
        <f ca="1" t="shared" si="88"/>
        <v>Risk-On</v>
      </c>
      <c r="I1881">
        <f ca="1" t="shared" si="89"/>
        <v>1</v>
      </c>
      <c r="J1881">
        <f>_xlfn.XLOOKUP($A1881,[1]Sheet1!$B$9:$B$2584,[1]Sheet1!$C$9:$C$2584,"N/A",0)</f>
        <v>104.05</v>
      </c>
      <c r="K1881">
        <f>_xlfn.XLOOKUP($A1881,[1]Sheet1!$E$9:$E$2584,[1]Sheet1!$F$9:$F$2584,"N/A",0)</f>
        <v>136.31</v>
      </c>
      <c r="L1881">
        <f>_xlfn.XLOOKUP($A1881,[1]Sheet1!$H$9:$H$2584,[1]Sheet1!$I$9:$I$2584,"N/A",0)</f>
        <v>63.81</v>
      </c>
      <c r="M1881">
        <f>_xlfn.XLOOKUP($A1881,[1]Sheet1!$K$9:$K$2584,[1]Sheet1!$L$9:$L$2584,"N/A",0)</f>
        <v>136.17</v>
      </c>
      <c r="N1881">
        <f>_xlfn.XLOOKUP($A1881,[1]Sheet1!$N$9:$N$2584,[1]Sheet1!$O$9:$O$2584,"N/A",0)</f>
        <v>117.4</v>
      </c>
      <c r="O1881">
        <v>104.05</v>
      </c>
      <c r="P1881">
        <v>136.31</v>
      </c>
      <c r="Q1881">
        <v>63.81</v>
      </c>
      <c r="R1881">
        <v>117.4</v>
      </c>
      <c r="S1881">
        <v>136.17</v>
      </c>
    </row>
    <row r="1882" spans="1:19">
      <c r="A1882" s="1">
        <v>45098</v>
      </c>
      <c r="B1882" t="s">
        <v>842</v>
      </c>
      <c r="C1882" t="s">
        <v>858</v>
      </c>
      <c r="D1882">
        <v>13.44</v>
      </c>
      <c r="E1882">
        <v>16.179</v>
      </c>
      <c r="F1882" s="2" t="s">
        <v>870</v>
      </c>
      <c r="G1882">
        <f ca="1" t="shared" si="87"/>
        <v>4.42685991666289</v>
      </c>
      <c r="H1882" t="str">
        <f ca="1" t="shared" si="88"/>
        <v>Risk-On</v>
      </c>
      <c r="I1882">
        <f ca="1" t="shared" si="89"/>
        <v>1</v>
      </c>
      <c r="J1882">
        <f>_xlfn.XLOOKUP($A1882,[1]Sheet1!$B$9:$B$2584,[1]Sheet1!$C$9:$C$2584,"N/A",0)</f>
        <v>104.32</v>
      </c>
      <c r="K1882">
        <f>_xlfn.XLOOKUP($A1882,[1]Sheet1!$E$9:$E$2584,[1]Sheet1!$F$9:$F$2584,"N/A",0)</f>
        <v>137.42</v>
      </c>
      <c r="L1882">
        <f>_xlfn.XLOOKUP($A1882,[1]Sheet1!$H$9:$H$2584,[1]Sheet1!$I$9:$I$2584,"N/A",0)</f>
        <v>63.99</v>
      </c>
      <c r="M1882">
        <f>_xlfn.XLOOKUP($A1882,[1]Sheet1!$K$9:$K$2584,[1]Sheet1!$L$9:$L$2584,"N/A",0)</f>
        <v>137.08</v>
      </c>
      <c r="N1882">
        <f>_xlfn.XLOOKUP($A1882,[1]Sheet1!$N$9:$N$2584,[1]Sheet1!$O$9:$O$2584,"N/A",0)</f>
        <v>117.35</v>
      </c>
      <c r="O1882">
        <v>104.32</v>
      </c>
      <c r="P1882">
        <v>137.42</v>
      </c>
      <c r="Q1882">
        <v>63.99</v>
      </c>
      <c r="R1882">
        <v>117.35</v>
      </c>
      <c r="S1882">
        <v>137.08</v>
      </c>
    </row>
    <row r="1883" spans="1:19">
      <c r="A1883" s="1">
        <v>45099</v>
      </c>
      <c r="B1883" t="s">
        <v>858</v>
      </c>
      <c r="C1883" t="s">
        <v>871</v>
      </c>
      <c r="D1883">
        <v>15.7789</v>
      </c>
      <c r="E1883">
        <v>17.3498</v>
      </c>
      <c r="F1883">
        <v>0.0995570033399031</v>
      </c>
      <c r="G1883">
        <f ca="1" t="shared" si="87"/>
        <v>1.47922940175729</v>
      </c>
      <c r="H1883" t="str">
        <f ca="1" t="shared" si="88"/>
        <v>Risk-On</v>
      </c>
      <c r="I1883">
        <f ca="1" t="shared" si="89"/>
        <v>1</v>
      </c>
      <c r="J1883">
        <f>_xlfn.XLOOKUP($A1883,[1]Sheet1!$B$9:$B$2584,[1]Sheet1!$C$9:$C$2584,"N/A",0)</f>
        <v>104.28</v>
      </c>
      <c r="K1883">
        <f>_xlfn.XLOOKUP($A1883,[1]Sheet1!$E$9:$E$2584,[1]Sheet1!$F$9:$F$2584,"N/A",0)</f>
        <v>138.36</v>
      </c>
      <c r="L1883">
        <f>_xlfn.XLOOKUP($A1883,[1]Sheet1!$H$9:$H$2584,[1]Sheet1!$I$9:$I$2584,"N/A",0)</f>
        <v>63.61</v>
      </c>
      <c r="M1883">
        <f>_xlfn.XLOOKUP($A1883,[1]Sheet1!$K$9:$K$2584,[1]Sheet1!$L$9:$L$2584,"N/A",0)</f>
        <v>137.13</v>
      </c>
      <c r="N1883">
        <f>_xlfn.XLOOKUP($A1883,[1]Sheet1!$N$9:$N$2584,[1]Sheet1!$O$9:$O$2584,"N/A",0)</f>
        <v>117.94</v>
      </c>
      <c r="O1883">
        <v>104.28</v>
      </c>
      <c r="P1883">
        <v>138.36</v>
      </c>
      <c r="Q1883">
        <v>63.61</v>
      </c>
      <c r="R1883">
        <v>117.94</v>
      </c>
      <c r="S1883">
        <v>137.13</v>
      </c>
    </row>
    <row r="1884" spans="1:19">
      <c r="A1884" s="1">
        <v>45100</v>
      </c>
      <c r="B1884" t="s">
        <v>858</v>
      </c>
      <c r="C1884" t="s">
        <v>871</v>
      </c>
      <c r="D1884">
        <v>15.9547</v>
      </c>
      <c r="E1884">
        <v>17.569</v>
      </c>
      <c r="F1884" s="2" t="s">
        <v>872</v>
      </c>
      <c r="G1884">
        <f ca="1" t="shared" si="87"/>
        <v>1.50684582825177</v>
      </c>
      <c r="H1884" t="str">
        <f ca="1" t="shared" si="88"/>
        <v>Risk-On</v>
      </c>
      <c r="I1884">
        <f ca="1" t="shared" si="89"/>
        <v>1</v>
      </c>
      <c r="J1884">
        <f>_xlfn.XLOOKUP($A1884,[1]Sheet1!$B$9:$B$2584,[1]Sheet1!$C$9:$C$2584,"N/A",0)</f>
        <v>104.17</v>
      </c>
      <c r="K1884">
        <f>_xlfn.XLOOKUP($A1884,[1]Sheet1!$E$9:$E$2584,[1]Sheet1!$F$9:$F$2584,"N/A",0)</f>
        <v>138.92</v>
      </c>
      <c r="L1884">
        <f>_xlfn.XLOOKUP($A1884,[1]Sheet1!$H$9:$H$2584,[1]Sheet1!$I$9:$I$2584,"N/A",0)</f>
        <v>63.6</v>
      </c>
      <c r="M1884">
        <f>_xlfn.XLOOKUP($A1884,[1]Sheet1!$K$9:$K$2584,[1]Sheet1!$L$9:$L$2584,"N/A",0)</f>
        <v>137.36</v>
      </c>
      <c r="N1884">
        <f>_xlfn.XLOOKUP($A1884,[1]Sheet1!$N$9:$N$2584,[1]Sheet1!$O$9:$O$2584,"N/A",0)</f>
        <v>118.9</v>
      </c>
      <c r="O1884">
        <v>104.17</v>
      </c>
      <c r="P1884">
        <v>138.92</v>
      </c>
      <c r="Q1884">
        <v>63.6</v>
      </c>
      <c r="R1884">
        <v>118.9</v>
      </c>
      <c r="S1884">
        <v>137.36</v>
      </c>
    </row>
    <row r="1885" spans="1:19">
      <c r="A1885" s="1">
        <v>45103</v>
      </c>
      <c r="B1885" t="s">
        <v>858</v>
      </c>
      <c r="C1885" t="s">
        <v>871</v>
      </c>
      <c r="D1885">
        <v>15.9957</v>
      </c>
      <c r="E1885">
        <v>17.3156</v>
      </c>
      <c r="F1885">
        <v>0.0825159261551542</v>
      </c>
      <c r="G1885">
        <f ca="1" t="shared" si="87"/>
        <v>0.971199714945694</v>
      </c>
      <c r="H1885" t="str">
        <f ca="1" t="shared" si="88"/>
        <v>Risk-On</v>
      </c>
      <c r="I1885">
        <f ca="1" t="shared" si="89"/>
        <v>1</v>
      </c>
      <c r="J1885">
        <f>_xlfn.XLOOKUP($A1885,[1]Sheet1!$B$9:$B$2584,[1]Sheet1!$C$9:$C$2584,"N/A",0)</f>
        <v>104.44</v>
      </c>
      <c r="K1885">
        <f>_xlfn.XLOOKUP($A1885,[1]Sheet1!$E$9:$E$2584,[1]Sheet1!$F$9:$F$2584,"N/A",0)</f>
        <v>137.61</v>
      </c>
      <c r="L1885">
        <f>_xlfn.XLOOKUP($A1885,[1]Sheet1!$H$9:$H$2584,[1]Sheet1!$I$9:$I$2584,"N/A",0)</f>
        <v>64.06</v>
      </c>
      <c r="M1885">
        <f>_xlfn.XLOOKUP($A1885,[1]Sheet1!$K$9:$K$2584,[1]Sheet1!$L$9:$L$2584,"N/A",0)</f>
        <v>136.86</v>
      </c>
      <c r="N1885">
        <f>_xlfn.XLOOKUP($A1885,[1]Sheet1!$N$9:$N$2584,[1]Sheet1!$O$9:$O$2584,"N/A",0)</f>
        <v>118.83</v>
      </c>
      <c r="O1885">
        <v>104.44</v>
      </c>
      <c r="P1885">
        <v>137.61</v>
      </c>
      <c r="Q1885">
        <v>64.06</v>
      </c>
      <c r="R1885">
        <v>118.83</v>
      </c>
      <c r="S1885">
        <v>136.86</v>
      </c>
    </row>
    <row r="1886" spans="1:19">
      <c r="A1886" s="1">
        <v>45104</v>
      </c>
      <c r="B1886" t="s">
        <v>858</v>
      </c>
      <c r="C1886" t="s">
        <v>871</v>
      </c>
      <c r="D1886">
        <v>15.5616</v>
      </c>
      <c r="E1886">
        <v>16.8875</v>
      </c>
      <c r="F1886">
        <v>0.0852033209952703</v>
      </c>
      <c r="G1886">
        <f ca="1" t="shared" si="87"/>
        <v>1.03558487998448</v>
      </c>
      <c r="H1886" t="str">
        <f ca="1" t="shared" si="88"/>
        <v>Risk-On</v>
      </c>
      <c r="I1886">
        <f ca="1" t="shared" si="89"/>
        <v>1</v>
      </c>
      <c r="J1886">
        <f>_xlfn.XLOOKUP($A1886,[1]Sheet1!$B$9:$B$2584,[1]Sheet1!$C$9:$C$2584,"N/A",0)</f>
        <v>104.25</v>
      </c>
      <c r="K1886">
        <f>_xlfn.XLOOKUP($A1886,[1]Sheet1!$E$9:$E$2584,[1]Sheet1!$F$9:$F$2584,"N/A",0)</f>
        <v>138.22</v>
      </c>
      <c r="L1886">
        <f>_xlfn.XLOOKUP($A1886,[1]Sheet1!$H$9:$H$2584,[1]Sheet1!$I$9:$I$2584,"N/A",0)</f>
        <v>64.12</v>
      </c>
      <c r="M1886">
        <f>_xlfn.XLOOKUP($A1886,[1]Sheet1!$K$9:$K$2584,[1]Sheet1!$L$9:$L$2584,"N/A",0)</f>
        <v>136.28</v>
      </c>
      <c r="N1886">
        <f>_xlfn.XLOOKUP($A1886,[1]Sheet1!$N$9:$N$2584,[1]Sheet1!$O$9:$O$2584,"N/A",0)</f>
        <v>119.23</v>
      </c>
      <c r="O1886">
        <v>104.25</v>
      </c>
      <c r="P1886">
        <v>138.22</v>
      </c>
      <c r="Q1886">
        <v>64.12</v>
      </c>
      <c r="R1886">
        <v>119.23</v>
      </c>
      <c r="S1886">
        <v>136.28</v>
      </c>
    </row>
    <row r="1887" spans="1:19">
      <c r="A1887" s="1">
        <v>45105</v>
      </c>
      <c r="B1887" t="s">
        <v>858</v>
      </c>
      <c r="C1887" t="s">
        <v>871</v>
      </c>
      <c r="D1887">
        <v>14.9918</v>
      </c>
      <c r="E1887">
        <v>16.3695</v>
      </c>
      <c r="F1887">
        <v>0.0918969036406568</v>
      </c>
      <c r="G1887">
        <f ca="1" t="shared" si="87"/>
        <v>1.21324162819391</v>
      </c>
      <c r="H1887" t="str">
        <f ca="1" t="shared" si="88"/>
        <v>Risk-On</v>
      </c>
      <c r="I1887">
        <f ca="1" t="shared" si="89"/>
        <v>1</v>
      </c>
      <c r="J1887">
        <f>_xlfn.XLOOKUP($A1887,[1]Sheet1!$B$9:$B$2584,[1]Sheet1!$C$9:$C$2584,"N/A",0)</f>
        <v>103.98</v>
      </c>
      <c r="K1887">
        <f>_xlfn.XLOOKUP($A1887,[1]Sheet1!$E$9:$E$2584,[1]Sheet1!$F$9:$F$2584,"N/A",0)</f>
        <v>138.78</v>
      </c>
      <c r="L1887">
        <f>_xlfn.XLOOKUP($A1887,[1]Sheet1!$H$9:$H$2584,[1]Sheet1!$I$9:$I$2584,"N/A",0)</f>
        <v>63.86</v>
      </c>
      <c r="M1887">
        <f>_xlfn.XLOOKUP($A1887,[1]Sheet1!$K$9:$K$2584,[1]Sheet1!$L$9:$L$2584,"N/A",0)</f>
        <v>136.25</v>
      </c>
      <c r="N1887">
        <f>_xlfn.XLOOKUP($A1887,[1]Sheet1!$N$9:$N$2584,[1]Sheet1!$O$9:$O$2584,"N/A",0)</f>
        <v>119.07</v>
      </c>
      <c r="O1887">
        <v>103.98</v>
      </c>
      <c r="P1887">
        <v>138.78</v>
      </c>
      <c r="Q1887">
        <v>63.86</v>
      </c>
      <c r="R1887">
        <v>119.07</v>
      </c>
      <c r="S1887">
        <v>136.25</v>
      </c>
    </row>
    <row r="1888" spans="1:19">
      <c r="A1888" s="1">
        <v>45106</v>
      </c>
      <c r="B1888" t="s">
        <v>858</v>
      </c>
      <c r="C1888" t="s">
        <v>871</v>
      </c>
      <c r="D1888">
        <v>15.3281</v>
      </c>
      <c r="E1888">
        <v>16.692</v>
      </c>
      <c r="F1888">
        <v>0.088980369386943</v>
      </c>
      <c r="G1888">
        <f ca="1" t="shared" si="87"/>
        <v>1.12090064346621</v>
      </c>
      <c r="H1888" t="str">
        <f ca="1" t="shared" si="88"/>
        <v>Risk-On</v>
      </c>
      <c r="I1888">
        <f ca="1" t="shared" si="89"/>
        <v>1</v>
      </c>
      <c r="J1888">
        <f>_xlfn.XLOOKUP($A1888,[1]Sheet1!$B$9:$B$2584,[1]Sheet1!$C$9:$C$2584,"N/A",0)</f>
        <v>103.23</v>
      </c>
      <c r="K1888">
        <f>_xlfn.XLOOKUP($A1888,[1]Sheet1!$E$9:$E$2584,[1]Sheet1!$F$9:$F$2584,"N/A",0)</f>
        <v>137.36</v>
      </c>
      <c r="L1888">
        <f>_xlfn.XLOOKUP($A1888,[1]Sheet1!$H$9:$H$2584,[1]Sheet1!$I$9:$I$2584,"N/A",0)</f>
        <v>64.25</v>
      </c>
      <c r="M1888">
        <f>_xlfn.XLOOKUP($A1888,[1]Sheet1!$K$9:$K$2584,[1]Sheet1!$L$9:$L$2584,"N/A",0)</f>
        <v>135.95</v>
      </c>
      <c r="N1888">
        <f>_xlfn.XLOOKUP($A1888,[1]Sheet1!$N$9:$N$2584,[1]Sheet1!$O$9:$O$2584,"N/A",0)</f>
        <v>117.74</v>
      </c>
      <c r="O1888">
        <v>103.23</v>
      </c>
      <c r="P1888">
        <v>137.36</v>
      </c>
      <c r="Q1888">
        <v>64.25</v>
      </c>
      <c r="R1888">
        <v>117.74</v>
      </c>
      <c r="S1888">
        <v>135.95</v>
      </c>
    </row>
    <row r="1889" spans="1:19">
      <c r="A1889" s="1">
        <v>45107</v>
      </c>
      <c r="B1889" t="s">
        <v>858</v>
      </c>
      <c r="C1889" t="s">
        <v>871</v>
      </c>
      <c r="D1889">
        <v>15.011</v>
      </c>
      <c r="E1889">
        <v>16.4003</v>
      </c>
      <c r="F1889">
        <v>0.0925521284391447</v>
      </c>
      <c r="G1889">
        <f ca="1" t="shared" si="87"/>
        <v>1.2145303885901</v>
      </c>
      <c r="H1889" t="str">
        <f ca="1" t="shared" si="88"/>
        <v>Risk-On</v>
      </c>
      <c r="I1889">
        <f ca="1" t="shared" si="89"/>
        <v>1</v>
      </c>
      <c r="J1889">
        <f>_xlfn.XLOOKUP($A1889,[1]Sheet1!$B$9:$B$2584,[1]Sheet1!$C$9:$C$2584,"N/A",0)</f>
        <v>103.32</v>
      </c>
      <c r="K1889">
        <f>_xlfn.XLOOKUP($A1889,[1]Sheet1!$E$9:$E$2584,[1]Sheet1!$F$9:$F$2584,"N/A",0)</f>
        <v>137.85</v>
      </c>
      <c r="L1889">
        <f>_xlfn.XLOOKUP($A1889,[1]Sheet1!$H$9:$H$2584,[1]Sheet1!$I$9:$I$2584,"N/A",0)</f>
        <v>63.94</v>
      </c>
      <c r="M1889">
        <f>_xlfn.XLOOKUP($A1889,[1]Sheet1!$K$9:$K$2584,[1]Sheet1!$L$9:$L$2584,"N/A",0)</f>
        <v>135.44</v>
      </c>
      <c r="N1889">
        <f>_xlfn.XLOOKUP($A1889,[1]Sheet1!$N$9:$N$2584,[1]Sheet1!$O$9:$O$2584,"N/A",0)</f>
        <v>118.71</v>
      </c>
      <c r="O1889">
        <v>103.32</v>
      </c>
      <c r="P1889">
        <v>137.85</v>
      </c>
      <c r="Q1889">
        <v>63.94</v>
      </c>
      <c r="R1889">
        <v>118.71</v>
      </c>
      <c r="S1889">
        <v>135.44</v>
      </c>
    </row>
    <row r="1890" spans="1:19">
      <c r="A1890" s="1">
        <v>45110</v>
      </c>
      <c r="B1890" t="s">
        <v>858</v>
      </c>
      <c r="C1890" t="s">
        <v>871</v>
      </c>
      <c r="D1890">
        <v>14.8946</v>
      </c>
      <c r="E1890">
        <v>16.3515</v>
      </c>
      <c r="F1890">
        <v>0.0978139728492205</v>
      </c>
      <c r="G1890">
        <f ca="1" t="shared" si="87"/>
        <v>1.35455111772014</v>
      </c>
      <c r="H1890" t="str">
        <f ca="1" t="shared" si="88"/>
        <v>Risk-On</v>
      </c>
      <c r="I1890">
        <f ca="1" t="shared" si="89"/>
        <v>1</v>
      </c>
      <c r="J1890">
        <f>_xlfn.XLOOKUP($A1890,[1]Sheet1!$B$9:$B$2584,[1]Sheet1!$C$9:$C$2584,"N/A",0)</f>
        <v>103.01</v>
      </c>
      <c r="K1890">
        <f>_xlfn.XLOOKUP($A1890,[1]Sheet1!$E$9:$E$2584,[1]Sheet1!$F$9:$F$2584,"N/A",0)</f>
        <v>135.87</v>
      </c>
      <c r="L1890">
        <f>_xlfn.XLOOKUP($A1890,[1]Sheet1!$H$9:$H$2584,[1]Sheet1!$I$9:$I$2584,"N/A",0)</f>
        <v>63.69</v>
      </c>
      <c r="M1890">
        <f>_xlfn.XLOOKUP($A1890,[1]Sheet1!$K$9:$K$2584,[1]Sheet1!$L$9:$L$2584,"N/A",0)</f>
        <v>134.75</v>
      </c>
      <c r="N1890">
        <f>_xlfn.XLOOKUP($A1890,[1]Sheet1!$N$9:$N$2584,[1]Sheet1!$O$9:$O$2584,"N/A",0)</f>
        <v>118.48</v>
      </c>
      <c r="O1890">
        <v>103.01</v>
      </c>
      <c r="P1890">
        <v>135.87</v>
      </c>
      <c r="Q1890">
        <v>63.69</v>
      </c>
      <c r="R1890">
        <v>118.48</v>
      </c>
      <c r="S1890">
        <v>134.75</v>
      </c>
    </row>
    <row r="1891" spans="1:19">
      <c r="A1891" s="1">
        <v>45112</v>
      </c>
      <c r="B1891" t="s">
        <v>858</v>
      </c>
      <c r="C1891" t="s">
        <v>871</v>
      </c>
      <c r="D1891">
        <v>15.2825</v>
      </c>
      <c r="E1891">
        <v>16.4596</v>
      </c>
      <c r="F1891">
        <v>0.0770227384263044</v>
      </c>
      <c r="G1891">
        <f ca="1" t="shared" si="87"/>
        <v>0.75426011791246</v>
      </c>
      <c r="H1891" t="str">
        <f ca="1" t="shared" si="88"/>
        <v>Risk-On</v>
      </c>
      <c r="I1891">
        <f ca="1" t="shared" si="89"/>
        <v>1</v>
      </c>
      <c r="J1891">
        <f>_xlfn.XLOOKUP($A1891,[1]Sheet1!$B$9:$B$2584,[1]Sheet1!$C$9:$C$2584,"N/A",0)</f>
        <v>103.04</v>
      </c>
      <c r="K1891">
        <f>_xlfn.XLOOKUP($A1891,[1]Sheet1!$E$9:$E$2584,[1]Sheet1!$F$9:$F$2584,"N/A",0)</f>
        <v>135.16</v>
      </c>
      <c r="L1891">
        <f>_xlfn.XLOOKUP($A1891,[1]Sheet1!$H$9:$H$2584,[1]Sheet1!$I$9:$I$2584,"N/A",0)</f>
        <v>63.47</v>
      </c>
      <c r="M1891">
        <f>_xlfn.XLOOKUP($A1891,[1]Sheet1!$K$9:$K$2584,[1]Sheet1!$L$9:$L$2584,"N/A",0)</f>
        <v>135.35</v>
      </c>
      <c r="N1891">
        <f>_xlfn.XLOOKUP($A1891,[1]Sheet1!$N$9:$N$2584,[1]Sheet1!$O$9:$O$2584,"N/A",0)</f>
        <v>119.64</v>
      </c>
      <c r="O1891">
        <v>103.04</v>
      </c>
      <c r="P1891">
        <v>135.16</v>
      </c>
      <c r="Q1891">
        <v>63.47</v>
      </c>
      <c r="R1891">
        <v>119.64</v>
      </c>
      <c r="S1891">
        <v>135.35</v>
      </c>
    </row>
    <row r="1892" spans="1:19">
      <c r="A1892" s="1">
        <v>45113</v>
      </c>
      <c r="B1892" t="s">
        <v>858</v>
      </c>
      <c r="C1892" t="s">
        <v>871</v>
      </c>
      <c r="D1892">
        <v>16.1652</v>
      </c>
      <c r="E1892">
        <v>17.2288</v>
      </c>
      <c r="F1892">
        <v>0.0657956598124366</v>
      </c>
      <c r="G1892">
        <f ca="1" t="shared" si="87"/>
        <v>0.428154059199061</v>
      </c>
      <c r="H1892" t="str">
        <f ca="1" t="shared" si="88"/>
        <v>Risk-On</v>
      </c>
      <c r="I1892">
        <f ca="1" t="shared" si="89"/>
        <v>1</v>
      </c>
      <c r="J1892">
        <f>_xlfn.XLOOKUP($A1892,[1]Sheet1!$B$9:$B$2584,[1]Sheet1!$C$9:$C$2584,"N/A",0)</f>
        <v>102.99</v>
      </c>
      <c r="K1892">
        <f>_xlfn.XLOOKUP($A1892,[1]Sheet1!$E$9:$E$2584,[1]Sheet1!$F$9:$F$2584,"N/A",0)</f>
        <v>134.76</v>
      </c>
      <c r="L1892">
        <f>_xlfn.XLOOKUP($A1892,[1]Sheet1!$H$9:$H$2584,[1]Sheet1!$I$9:$I$2584,"N/A",0)</f>
        <v>63.49</v>
      </c>
      <c r="M1892">
        <f>_xlfn.XLOOKUP($A1892,[1]Sheet1!$K$9:$K$2584,[1]Sheet1!$L$9:$L$2584,"N/A",0)</f>
        <v>136.25</v>
      </c>
      <c r="N1892">
        <f>_xlfn.XLOOKUP($A1892,[1]Sheet1!$N$9:$N$2584,[1]Sheet1!$O$9:$O$2584,"N/A",0)</f>
        <v>119.76</v>
      </c>
      <c r="O1892">
        <v>102.99</v>
      </c>
      <c r="P1892">
        <v>134.76</v>
      </c>
      <c r="Q1892">
        <v>63.49</v>
      </c>
      <c r="R1892">
        <v>119.76</v>
      </c>
      <c r="S1892">
        <v>136.25</v>
      </c>
    </row>
    <row r="1893" spans="1:19">
      <c r="A1893" s="1">
        <v>45114</v>
      </c>
      <c r="B1893" t="s">
        <v>858</v>
      </c>
      <c r="C1893" t="s">
        <v>871</v>
      </c>
      <c r="D1893">
        <v>15.8619</v>
      </c>
      <c r="E1893">
        <v>16.8278</v>
      </c>
      <c r="F1893">
        <v>0.0608943443093197</v>
      </c>
      <c r="G1893">
        <f ca="1" t="shared" si="87"/>
        <v>0.283421607946147</v>
      </c>
      <c r="H1893" t="str">
        <f ca="1" t="shared" si="88"/>
        <v>Risk-On</v>
      </c>
      <c r="I1893">
        <f ca="1" t="shared" si="89"/>
        <v>1</v>
      </c>
      <c r="J1893">
        <f>_xlfn.XLOOKUP($A1893,[1]Sheet1!$B$9:$B$2584,[1]Sheet1!$C$9:$C$2584,"N/A",0)</f>
        <v>103.2</v>
      </c>
      <c r="K1893">
        <f>_xlfn.XLOOKUP($A1893,[1]Sheet1!$E$9:$E$2584,[1]Sheet1!$F$9:$F$2584,"N/A",0)</f>
        <v>133.35</v>
      </c>
      <c r="L1893">
        <f>_xlfn.XLOOKUP($A1893,[1]Sheet1!$H$9:$H$2584,[1]Sheet1!$I$9:$I$2584,"N/A",0)</f>
        <v>63.74</v>
      </c>
      <c r="M1893">
        <f>_xlfn.XLOOKUP($A1893,[1]Sheet1!$K$9:$K$2584,[1]Sheet1!$L$9:$L$2584,"N/A",0)</f>
        <v>135.35</v>
      </c>
      <c r="N1893">
        <f>_xlfn.XLOOKUP($A1893,[1]Sheet1!$N$9:$N$2584,[1]Sheet1!$O$9:$O$2584,"N/A",0)</f>
        <v>119.14</v>
      </c>
      <c r="O1893">
        <v>103.2</v>
      </c>
      <c r="P1893">
        <v>133.35</v>
      </c>
      <c r="Q1893">
        <v>63.74</v>
      </c>
      <c r="R1893">
        <v>119.14</v>
      </c>
      <c r="S1893">
        <v>135.35</v>
      </c>
    </row>
    <row r="1894" spans="1:19">
      <c r="A1894" s="1">
        <v>45117</v>
      </c>
      <c r="B1894" t="s">
        <v>858</v>
      </c>
      <c r="C1894" t="s">
        <v>871</v>
      </c>
      <c r="D1894">
        <v>15.7747</v>
      </c>
      <c r="E1894">
        <v>16.6988</v>
      </c>
      <c r="F1894">
        <v>0.0585811457587148</v>
      </c>
      <c r="G1894">
        <f ca="1" t="shared" si="87"/>
        <v>0.216845297998235</v>
      </c>
      <c r="H1894" t="str">
        <f ca="1" t="shared" si="88"/>
        <v>Risk-On</v>
      </c>
      <c r="I1894">
        <f ca="1" t="shared" si="89"/>
        <v>1</v>
      </c>
      <c r="J1894">
        <f>_xlfn.XLOOKUP($A1894,[1]Sheet1!$B$9:$B$2584,[1]Sheet1!$C$9:$C$2584,"N/A",0)</f>
        <v>102.92</v>
      </c>
      <c r="K1894">
        <f>_xlfn.XLOOKUP($A1894,[1]Sheet1!$E$9:$E$2584,[1]Sheet1!$F$9:$F$2584,"N/A",0)</f>
        <v>134.29</v>
      </c>
      <c r="L1894">
        <f>_xlfn.XLOOKUP($A1894,[1]Sheet1!$H$9:$H$2584,[1]Sheet1!$I$9:$I$2584,"N/A",0)</f>
        <v>63.47</v>
      </c>
      <c r="M1894">
        <f>_xlfn.XLOOKUP($A1894,[1]Sheet1!$K$9:$K$2584,[1]Sheet1!$L$9:$L$2584,"N/A",0)</f>
        <v>135.18</v>
      </c>
      <c r="N1894">
        <f>_xlfn.XLOOKUP($A1894,[1]Sheet1!$N$9:$N$2584,[1]Sheet1!$O$9:$O$2584,"N/A",0)</f>
        <v>118.43</v>
      </c>
      <c r="O1894">
        <v>102.92</v>
      </c>
      <c r="P1894">
        <v>134.29</v>
      </c>
      <c r="Q1894">
        <v>63.47</v>
      </c>
      <c r="R1894">
        <v>118.43</v>
      </c>
      <c r="S1894">
        <v>135.18</v>
      </c>
    </row>
    <row r="1895" spans="1:19">
      <c r="A1895" s="1">
        <v>45118</v>
      </c>
      <c r="B1895" t="s">
        <v>858</v>
      </c>
      <c r="C1895" t="s">
        <v>871</v>
      </c>
      <c r="D1895">
        <v>15.5525</v>
      </c>
      <c r="E1895">
        <v>16.5759</v>
      </c>
      <c r="F1895">
        <v>0.0658029255746664</v>
      </c>
      <c r="G1895">
        <f ca="1" t="shared" si="87"/>
        <v>0.42168820682665</v>
      </c>
      <c r="H1895" t="str">
        <f ca="1" t="shared" si="88"/>
        <v>Risk-On</v>
      </c>
      <c r="I1895">
        <f ca="1" t="shared" si="89"/>
        <v>1</v>
      </c>
      <c r="J1895">
        <f>_xlfn.XLOOKUP($A1895,[1]Sheet1!$B$9:$B$2584,[1]Sheet1!$C$9:$C$2584,"N/A",0)</f>
        <v>103.69</v>
      </c>
      <c r="K1895">
        <f>_xlfn.XLOOKUP($A1895,[1]Sheet1!$E$9:$E$2584,[1]Sheet1!$F$9:$F$2584,"N/A",0)</f>
        <v>133.12</v>
      </c>
      <c r="L1895">
        <f>_xlfn.XLOOKUP($A1895,[1]Sheet1!$H$9:$H$2584,[1]Sheet1!$I$9:$I$2584,"N/A",0)</f>
        <v>63.36</v>
      </c>
      <c r="M1895">
        <f>_xlfn.XLOOKUP($A1895,[1]Sheet1!$K$9:$K$2584,[1]Sheet1!$L$9:$L$2584,"N/A",0)</f>
        <v>136.17</v>
      </c>
      <c r="N1895">
        <f>_xlfn.XLOOKUP($A1895,[1]Sheet1!$N$9:$N$2584,[1]Sheet1!$O$9:$O$2584,"N/A",0)</f>
        <v>118.49</v>
      </c>
      <c r="O1895">
        <v>103.69</v>
      </c>
      <c r="P1895">
        <v>133.12</v>
      </c>
      <c r="Q1895">
        <v>63.36</v>
      </c>
      <c r="R1895">
        <v>118.49</v>
      </c>
      <c r="S1895">
        <v>136.17</v>
      </c>
    </row>
    <row r="1896" spans="1:19">
      <c r="A1896" s="1">
        <v>45119</v>
      </c>
      <c r="B1896" t="s">
        <v>858</v>
      </c>
      <c r="C1896" t="s">
        <v>871</v>
      </c>
      <c r="D1896">
        <v>14.2934</v>
      </c>
      <c r="E1896">
        <v>15.7668</v>
      </c>
      <c r="F1896" s="2" t="s">
        <v>873</v>
      </c>
      <c r="G1896">
        <f ca="1" t="shared" si="87"/>
        <v>1.47944078296011</v>
      </c>
      <c r="H1896" t="str">
        <f ca="1" t="shared" si="88"/>
        <v>Risk-On</v>
      </c>
      <c r="I1896">
        <f ca="1" t="shared" si="89"/>
        <v>1</v>
      </c>
      <c r="J1896">
        <f>_xlfn.XLOOKUP($A1896,[1]Sheet1!$B$9:$B$2584,[1]Sheet1!$C$9:$C$2584,"N/A",0)</f>
        <v>104.47</v>
      </c>
      <c r="K1896">
        <f>_xlfn.XLOOKUP($A1896,[1]Sheet1!$E$9:$E$2584,[1]Sheet1!$F$9:$F$2584,"N/A",0)</f>
        <v>133.97</v>
      </c>
      <c r="L1896">
        <f>_xlfn.XLOOKUP($A1896,[1]Sheet1!$H$9:$H$2584,[1]Sheet1!$I$9:$I$2584,"N/A",0)</f>
        <v>63.49</v>
      </c>
      <c r="M1896">
        <f>_xlfn.XLOOKUP($A1896,[1]Sheet1!$K$9:$K$2584,[1]Sheet1!$L$9:$L$2584,"N/A",0)</f>
        <v>135.27</v>
      </c>
      <c r="N1896">
        <f>_xlfn.XLOOKUP($A1896,[1]Sheet1!$N$9:$N$2584,[1]Sheet1!$O$9:$O$2584,"N/A",0)</f>
        <v>118.22</v>
      </c>
      <c r="O1896">
        <v>104.47</v>
      </c>
      <c r="P1896">
        <v>133.97</v>
      </c>
      <c r="Q1896">
        <v>63.49</v>
      </c>
      <c r="R1896">
        <v>118.22</v>
      </c>
      <c r="S1896">
        <v>135.27</v>
      </c>
    </row>
    <row r="1897" spans="1:19">
      <c r="A1897" s="1">
        <v>45120</v>
      </c>
      <c r="B1897" t="s">
        <v>858</v>
      </c>
      <c r="C1897" t="s">
        <v>871</v>
      </c>
      <c r="D1897">
        <v>14.1923</v>
      </c>
      <c r="E1897">
        <v>15.9364</v>
      </c>
      <c r="F1897" s="2" t="s">
        <v>874</v>
      </c>
      <c r="G1897">
        <f ca="1" t="shared" si="87"/>
        <v>2.03510994145005</v>
      </c>
      <c r="H1897" t="str">
        <f ca="1" t="shared" si="88"/>
        <v>Risk-On</v>
      </c>
      <c r="I1897">
        <f ca="1" t="shared" si="89"/>
        <v>1</v>
      </c>
      <c r="J1897">
        <f>_xlfn.XLOOKUP($A1897,[1]Sheet1!$B$9:$B$2584,[1]Sheet1!$C$9:$C$2584,"N/A",0)</f>
        <v>104.84</v>
      </c>
      <c r="K1897">
        <f>_xlfn.XLOOKUP($A1897,[1]Sheet1!$E$9:$E$2584,[1]Sheet1!$F$9:$F$2584,"N/A",0)</f>
        <v>133.96</v>
      </c>
      <c r="L1897">
        <f>_xlfn.XLOOKUP($A1897,[1]Sheet1!$H$9:$H$2584,[1]Sheet1!$I$9:$I$2584,"N/A",0)</f>
        <v>63.19</v>
      </c>
      <c r="M1897">
        <f>_xlfn.XLOOKUP($A1897,[1]Sheet1!$K$9:$K$2584,[1]Sheet1!$L$9:$L$2584,"N/A",0)</f>
        <v>135.2</v>
      </c>
      <c r="N1897">
        <f>_xlfn.XLOOKUP($A1897,[1]Sheet1!$N$9:$N$2584,[1]Sheet1!$O$9:$O$2584,"N/A",0)</f>
        <v>118.19</v>
      </c>
      <c r="O1897">
        <v>104.84</v>
      </c>
      <c r="P1897">
        <v>133.96</v>
      </c>
      <c r="Q1897">
        <v>63.19</v>
      </c>
      <c r="R1897">
        <v>118.19</v>
      </c>
      <c r="S1897">
        <v>135.2</v>
      </c>
    </row>
    <row r="1898" spans="1:19">
      <c r="A1898" s="1">
        <v>45121</v>
      </c>
      <c r="B1898" t="s">
        <v>858</v>
      </c>
      <c r="C1898" t="s">
        <v>871</v>
      </c>
      <c r="D1898">
        <v>13.8048</v>
      </c>
      <c r="E1898">
        <v>15.7526</v>
      </c>
      <c r="F1898" s="2" t="s">
        <v>875</v>
      </c>
      <c r="G1898">
        <f ca="1" t="shared" si="87"/>
        <v>2.54287780705586</v>
      </c>
      <c r="H1898" t="str">
        <f ca="1" t="shared" si="88"/>
        <v>Risk-On</v>
      </c>
      <c r="I1898">
        <f ca="1" t="shared" si="89"/>
        <v>1</v>
      </c>
      <c r="J1898">
        <f>_xlfn.XLOOKUP($A1898,[1]Sheet1!$B$9:$B$2584,[1]Sheet1!$C$9:$C$2584,"N/A",0)</f>
        <v>104.74</v>
      </c>
      <c r="K1898">
        <f>_xlfn.XLOOKUP($A1898,[1]Sheet1!$E$9:$E$2584,[1]Sheet1!$F$9:$F$2584,"N/A",0)</f>
        <v>135.47</v>
      </c>
      <c r="L1898">
        <f>_xlfn.XLOOKUP($A1898,[1]Sheet1!$H$9:$H$2584,[1]Sheet1!$I$9:$I$2584,"N/A",0)</f>
        <v>62.96</v>
      </c>
      <c r="M1898">
        <f>_xlfn.XLOOKUP($A1898,[1]Sheet1!$K$9:$K$2584,[1]Sheet1!$L$9:$L$2584,"N/A",0)</f>
        <v>136.19</v>
      </c>
      <c r="N1898">
        <f>_xlfn.XLOOKUP($A1898,[1]Sheet1!$N$9:$N$2584,[1]Sheet1!$O$9:$O$2584,"N/A",0)</f>
        <v>118.47</v>
      </c>
      <c r="O1898">
        <v>104.74</v>
      </c>
      <c r="P1898">
        <v>135.47</v>
      </c>
      <c r="Q1898">
        <v>62.96</v>
      </c>
      <c r="R1898">
        <v>118.47</v>
      </c>
      <c r="S1898">
        <v>136.19</v>
      </c>
    </row>
    <row r="1899" spans="1:19">
      <c r="A1899" s="1">
        <v>45124</v>
      </c>
      <c r="B1899" t="s">
        <v>858</v>
      </c>
      <c r="C1899" t="s">
        <v>871</v>
      </c>
      <c r="D1899">
        <v>13.699</v>
      </c>
      <c r="E1899">
        <v>15.7475</v>
      </c>
      <c r="F1899" s="2" t="s">
        <v>876</v>
      </c>
      <c r="G1899">
        <f ca="1" t="shared" si="87"/>
        <v>2.78189404371443</v>
      </c>
      <c r="H1899" t="str">
        <f ca="1" t="shared" si="88"/>
        <v>Risk-On</v>
      </c>
      <c r="I1899">
        <f ca="1" t="shared" si="89"/>
        <v>1</v>
      </c>
      <c r="J1899">
        <f>_xlfn.XLOOKUP($A1899,[1]Sheet1!$B$9:$B$2584,[1]Sheet1!$C$9:$C$2584,"N/A",0)</f>
        <v>105.19</v>
      </c>
      <c r="K1899">
        <f>_xlfn.XLOOKUP($A1899,[1]Sheet1!$E$9:$E$2584,[1]Sheet1!$F$9:$F$2584,"N/A",0)</f>
        <v>136.73</v>
      </c>
      <c r="L1899">
        <f>_xlfn.XLOOKUP($A1899,[1]Sheet1!$H$9:$H$2584,[1]Sheet1!$I$9:$I$2584,"N/A",0)</f>
        <v>62.8</v>
      </c>
      <c r="M1899">
        <f>_xlfn.XLOOKUP($A1899,[1]Sheet1!$K$9:$K$2584,[1]Sheet1!$L$9:$L$2584,"N/A",0)</f>
        <v>136.62</v>
      </c>
      <c r="N1899">
        <f>_xlfn.XLOOKUP($A1899,[1]Sheet1!$N$9:$N$2584,[1]Sheet1!$O$9:$O$2584,"N/A",0)</f>
        <v>117.57</v>
      </c>
      <c r="O1899">
        <v>105.19</v>
      </c>
      <c r="P1899">
        <v>136.73</v>
      </c>
      <c r="Q1899">
        <v>62.8</v>
      </c>
      <c r="R1899">
        <v>117.57</v>
      </c>
      <c r="S1899">
        <v>136.62</v>
      </c>
    </row>
    <row r="1900" spans="1:19">
      <c r="A1900" s="1">
        <v>45125</v>
      </c>
      <c r="B1900" t="s">
        <v>858</v>
      </c>
      <c r="C1900" t="s">
        <v>871</v>
      </c>
      <c r="D1900">
        <v>13.3001</v>
      </c>
      <c r="E1900">
        <v>15.5365</v>
      </c>
      <c r="F1900" s="2" t="s">
        <v>877</v>
      </c>
      <c r="G1900">
        <f ca="1" t="shared" si="87"/>
        <v>3.30895599846263</v>
      </c>
      <c r="H1900" t="str">
        <f ca="1" t="shared" si="88"/>
        <v>Risk-On</v>
      </c>
      <c r="I1900">
        <f ca="1" t="shared" si="89"/>
        <v>1</v>
      </c>
      <c r="J1900">
        <f>_xlfn.XLOOKUP($A1900,[1]Sheet1!$B$9:$B$2584,[1]Sheet1!$C$9:$C$2584,"N/A",0)</f>
        <v>104.88</v>
      </c>
      <c r="K1900">
        <f>_xlfn.XLOOKUP($A1900,[1]Sheet1!$E$9:$E$2584,[1]Sheet1!$F$9:$F$2584,"N/A",0)</f>
        <v>135.91</v>
      </c>
      <c r="L1900">
        <f>_xlfn.XLOOKUP($A1900,[1]Sheet1!$H$9:$H$2584,[1]Sheet1!$I$9:$I$2584,"N/A",0)</f>
        <v>63.41</v>
      </c>
      <c r="M1900">
        <f>_xlfn.XLOOKUP($A1900,[1]Sheet1!$K$9:$K$2584,[1]Sheet1!$L$9:$L$2584,"N/A",0)</f>
        <v>136.12</v>
      </c>
      <c r="N1900">
        <f>_xlfn.XLOOKUP($A1900,[1]Sheet1!$N$9:$N$2584,[1]Sheet1!$O$9:$O$2584,"N/A",0)</f>
        <v>117.02</v>
      </c>
      <c r="O1900">
        <v>104.88</v>
      </c>
      <c r="P1900">
        <v>135.91</v>
      </c>
      <c r="Q1900">
        <v>63.41</v>
      </c>
      <c r="R1900">
        <v>117.02</v>
      </c>
      <c r="S1900">
        <v>136.12</v>
      </c>
    </row>
    <row r="1901" spans="1:19">
      <c r="A1901" s="1">
        <v>45126</v>
      </c>
      <c r="B1901" t="s">
        <v>858</v>
      </c>
      <c r="C1901" t="s">
        <v>871</v>
      </c>
      <c r="D1901">
        <v>13.02</v>
      </c>
      <c r="E1901">
        <v>15.905</v>
      </c>
      <c r="F1901" s="2" t="s">
        <v>878</v>
      </c>
      <c r="G1901">
        <f ca="1" t="shared" si="87"/>
        <v>4.80752235920965</v>
      </c>
      <c r="H1901" t="str">
        <f ca="1" t="shared" si="88"/>
        <v>Risk-On</v>
      </c>
      <c r="I1901">
        <f ca="1" t="shared" si="89"/>
        <v>1</v>
      </c>
      <c r="J1901">
        <f>_xlfn.XLOOKUP($A1901,[1]Sheet1!$B$9:$B$2584,[1]Sheet1!$C$9:$C$2584,"N/A",0)</f>
        <v>104.53</v>
      </c>
      <c r="K1901">
        <f>_xlfn.XLOOKUP($A1901,[1]Sheet1!$E$9:$E$2584,[1]Sheet1!$F$9:$F$2584,"N/A",0)</f>
        <v>132.13</v>
      </c>
      <c r="L1901">
        <f>_xlfn.XLOOKUP($A1901,[1]Sheet1!$H$9:$H$2584,[1]Sheet1!$I$9:$I$2584,"N/A",0)</f>
        <v>63.88</v>
      </c>
      <c r="M1901">
        <f>_xlfn.XLOOKUP($A1901,[1]Sheet1!$K$9:$K$2584,[1]Sheet1!$L$9:$L$2584,"N/A",0)</f>
        <v>135.35</v>
      </c>
      <c r="N1901">
        <f>_xlfn.XLOOKUP($A1901,[1]Sheet1!$N$9:$N$2584,[1]Sheet1!$O$9:$O$2584,"N/A",0)</f>
        <v>116.87</v>
      </c>
      <c r="O1901">
        <v>104.53</v>
      </c>
      <c r="P1901">
        <v>132.13</v>
      </c>
      <c r="Q1901">
        <v>63.88</v>
      </c>
      <c r="R1901">
        <v>116.87</v>
      </c>
      <c r="S1901">
        <v>135.35</v>
      </c>
    </row>
    <row r="1902" spans="1:19">
      <c r="A1902" s="1">
        <v>45127</v>
      </c>
      <c r="B1902" t="s">
        <v>871</v>
      </c>
      <c r="C1902" t="s">
        <v>879</v>
      </c>
      <c r="D1902">
        <v>15.846</v>
      </c>
      <c r="E1902">
        <v>17.2747</v>
      </c>
      <c r="F1902">
        <v>0.090161554966553</v>
      </c>
      <c r="G1902">
        <f ca="1" t="shared" si="87"/>
        <v>1.09729619337351</v>
      </c>
      <c r="H1902" t="str">
        <f ca="1" t="shared" si="88"/>
        <v>Risk-On</v>
      </c>
      <c r="I1902">
        <f ca="1" t="shared" si="89"/>
        <v>1</v>
      </c>
      <c r="J1902">
        <f>_xlfn.XLOOKUP($A1902,[1]Sheet1!$B$9:$B$2584,[1]Sheet1!$C$9:$C$2584,"N/A",0)</f>
        <v>104.43</v>
      </c>
      <c r="K1902">
        <f>_xlfn.XLOOKUP($A1902,[1]Sheet1!$E$9:$E$2584,[1]Sheet1!$F$9:$F$2584,"N/A",0)</f>
        <v>130.52</v>
      </c>
      <c r="L1902">
        <f>_xlfn.XLOOKUP($A1902,[1]Sheet1!$H$9:$H$2584,[1]Sheet1!$I$9:$I$2584,"N/A",0)</f>
        <v>64.07</v>
      </c>
      <c r="M1902">
        <f>_xlfn.XLOOKUP($A1902,[1]Sheet1!$K$9:$K$2584,[1]Sheet1!$L$9:$L$2584,"N/A",0)</f>
        <v>135.75</v>
      </c>
      <c r="N1902">
        <f>_xlfn.XLOOKUP($A1902,[1]Sheet1!$N$9:$N$2584,[1]Sheet1!$O$9:$O$2584,"N/A",0)</f>
        <v>117.2</v>
      </c>
      <c r="O1902">
        <v>104.43</v>
      </c>
      <c r="P1902">
        <v>130.52</v>
      </c>
      <c r="Q1902">
        <v>64.07</v>
      </c>
      <c r="R1902">
        <v>117.2</v>
      </c>
      <c r="S1902">
        <v>135.75</v>
      </c>
    </row>
    <row r="1903" spans="1:19">
      <c r="A1903" s="1">
        <v>45128</v>
      </c>
      <c r="B1903" t="s">
        <v>871</v>
      </c>
      <c r="C1903" t="s">
        <v>879</v>
      </c>
      <c r="D1903">
        <v>15.611</v>
      </c>
      <c r="E1903">
        <v>17.0242</v>
      </c>
      <c r="F1903">
        <v>0.0905259112164499</v>
      </c>
      <c r="G1903">
        <f ca="1" t="shared" si="87"/>
        <v>1.1070324858355</v>
      </c>
      <c r="H1903" t="str">
        <f ca="1" t="shared" si="88"/>
        <v>Risk-Off</v>
      </c>
      <c r="I1903">
        <f ca="1" t="shared" si="89"/>
        <v>1</v>
      </c>
      <c r="J1903">
        <f>_xlfn.XLOOKUP($A1903,[1]Sheet1!$B$9:$B$2584,[1]Sheet1!$C$9:$C$2584,"N/A",0)</f>
        <v>104.64</v>
      </c>
      <c r="K1903">
        <f>_xlfn.XLOOKUP($A1903,[1]Sheet1!$E$9:$E$2584,[1]Sheet1!$F$9:$F$2584,"N/A",0)</f>
        <v>130.26</v>
      </c>
      <c r="L1903">
        <f>_xlfn.XLOOKUP($A1903,[1]Sheet1!$H$9:$H$2584,[1]Sheet1!$I$9:$I$2584,"N/A",0)</f>
        <v>63.62</v>
      </c>
      <c r="M1903">
        <f>_xlfn.XLOOKUP($A1903,[1]Sheet1!$K$9:$K$2584,[1]Sheet1!$L$9:$L$2584,"N/A",0)</f>
        <v>135.61</v>
      </c>
      <c r="N1903">
        <f>_xlfn.XLOOKUP($A1903,[1]Sheet1!$N$9:$N$2584,[1]Sheet1!$O$9:$O$2584,"N/A",0)</f>
        <v>117.56</v>
      </c>
      <c r="O1903">
        <v>104.64</v>
      </c>
      <c r="P1903">
        <v>130.26</v>
      </c>
      <c r="Q1903">
        <v>63.62</v>
      </c>
      <c r="R1903">
        <v>117.56</v>
      </c>
      <c r="S1903">
        <v>135.61</v>
      </c>
    </row>
    <row r="1904" spans="1:19">
      <c r="A1904" s="1">
        <v>45131</v>
      </c>
      <c r="B1904" t="s">
        <v>871</v>
      </c>
      <c r="C1904" t="s">
        <v>879</v>
      </c>
      <c r="D1904">
        <v>15.3804</v>
      </c>
      <c r="E1904">
        <v>16.6594</v>
      </c>
      <c r="F1904">
        <v>0.083157785233154</v>
      </c>
      <c r="G1904">
        <f ca="1" t="shared" si="87"/>
        <v>0.895546872017665</v>
      </c>
      <c r="H1904" t="str">
        <f ca="1" t="shared" si="88"/>
        <v>Risk-On</v>
      </c>
      <c r="I1904">
        <f ca="1" t="shared" si="89"/>
        <v>1</v>
      </c>
      <c r="J1904">
        <f>_xlfn.XLOOKUP($A1904,[1]Sheet1!$B$9:$B$2584,[1]Sheet1!$C$9:$C$2584,"N/A",0)</f>
        <v>103.98</v>
      </c>
      <c r="K1904">
        <f>_xlfn.XLOOKUP($A1904,[1]Sheet1!$E$9:$E$2584,[1]Sheet1!$F$9:$F$2584,"N/A",0)</f>
        <v>129.59</v>
      </c>
      <c r="L1904">
        <f>_xlfn.XLOOKUP($A1904,[1]Sheet1!$H$9:$H$2584,[1]Sheet1!$I$9:$I$2584,"N/A",0)</f>
        <v>64.08</v>
      </c>
      <c r="M1904">
        <f>_xlfn.XLOOKUP($A1904,[1]Sheet1!$K$9:$K$2584,[1]Sheet1!$L$9:$L$2584,"N/A",0)</f>
        <v>135.54</v>
      </c>
      <c r="N1904">
        <f>_xlfn.XLOOKUP($A1904,[1]Sheet1!$N$9:$N$2584,[1]Sheet1!$O$9:$O$2584,"N/A",0)</f>
        <v>117.52</v>
      </c>
      <c r="O1904">
        <v>103.98</v>
      </c>
      <c r="P1904">
        <v>129.59</v>
      </c>
      <c r="Q1904">
        <v>64.08</v>
      </c>
      <c r="R1904">
        <v>117.52</v>
      </c>
      <c r="S1904">
        <v>135.54</v>
      </c>
    </row>
    <row r="1905" spans="1:19">
      <c r="A1905" s="1">
        <v>45132</v>
      </c>
      <c r="B1905" t="s">
        <v>871</v>
      </c>
      <c r="C1905" t="s">
        <v>879</v>
      </c>
      <c r="D1905">
        <v>15.3462</v>
      </c>
      <c r="E1905">
        <v>16.7516</v>
      </c>
      <c r="F1905">
        <v>0.0915796744470944</v>
      </c>
      <c r="G1905">
        <f ca="1" t="shared" si="87"/>
        <v>1.12526421229165</v>
      </c>
      <c r="H1905" t="str">
        <f ca="1" t="shared" si="88"/>
        <v>Risk-On</v>
      </c>
      <c r="I1905">
        <f ca="1" t="shared" si="89"/>
        <v>1</v>
      </c>
      <c r="J1905">
        <f>_xlfn.XLOOKUP($A1905,[1]Sheet1!$B$9:$B$2584,[1]Sheet1!$C$9:$C$2584,"N/A",0)</f>
        <v>104.03</v>
      </c>
      <c r="K1905">
        <f>_xlfn.XLOOKUP($A1905,[1]Sheet1!$E$9:$E$2584,[1]Sheet1!$F$9:$F$2584,"N/A",0)</f>
        <v>131.19</v>
      </c>
      <c r="L1905">
        <f>_xlfn.XLOOKUP($A1905,[1]Sheet1!$H$9:$H$2584,[1]Sheet1!$I$9:$I$2584,"N/A",0)</f>
        <v>63.93</v>
      </c>
      <c r="M1905">
        <f>_xlfn.XLOOKUP($A1905,[1]Sheet1!$K$9:$K$2584,[1]Sheet1!$L$9:$L$2584,"N/A",0)</f>
        <v>135.69</v>
      </c>
      <c r="N1905">
        <f>_xlfn.XLOOKUP($A1905,[1]Sheet1!$N$9:$N$2584,[1]Sheet1!$O$9:$O$2584,"N/A",0)</f>
        <v>117.64</v>
      </c>
      <c r="O1905">
        <v>104.03</v>
      </c>
      <c r="P1905">
        <v>131.19</v>
      </c>
      <c r="Q1905">
        <v>63.93</v>
      </c>
      <c r="R1905">
        <v>117.64</v>
      </c>
      <c r="S1905">
        <v>135.69</v>
      </c>
    </row>
    <row r="1906" spans="1:19">
      <c r="A1906" s="1">
        <v>45133</v>
      </c>
      <c r="B1906" t="s">
        <v>871</v>
      </c>
      <c r="C1906" t="s">
        <v>879</v>
      </c>
      <c r="D1906">
        <v>14.8878</v>
      </c>
      <c r="E1906">
        <v>16.3968</v>
      </c>
      <c r="F1906" s="2" t="s">
        <v>880</v>
      </c>
      <c r="G1906">
        <f ca="1" t="shared" si="87"/>
        <v>1.38964940867574</v>
      </c>
      <c r="H1906" t="str">
        <f ca="1" t="shared" si="88"/>
        <v>Risk-Off</v>
      </c>
      <c r="I1906">
        <f ca="1" t="shared" si="89"/>
        <v>1</v>
      </c>
      <c r="J1906">
        <f>_xlfn.XLOOKUP($A1906,[1]Sheet1!$B$9:$B$2584,[1]Sheet1!$C$9:$C$2584,"N/A",0)</f>
        <v>104.14</v>
      </c>
      <c r="K1906">
        <f>_xlfn.XLOOKUP($A1906,[1]Sheet1!$E$9:$E$2584,[1]Sheet1!$F$9:$F$2584,"N/A",0)</f>
        <v>128.91</v>
      </c>
      <c r="L1906">
        <f>_xlfn.XLOOKUP($A1906,[1]Sheet1!$H$9:$H$2584,[1]Sheet1!$I$9:$I$2584,"N/A",0)</f>
        <v>64.03</v>
      </c>
      <c r="M1906">
        <f>_xlfn.XLOOKUP($A1906,[1]Sheet1!$K$9:$K$2584,[1]Sheet1!$L$9:$L$2584,"N/A",0)</f>
        <v>135.87</v>
      </c>
      <c r="N1906">
        <f>_xlfn.XLOOKUP($A1906,[1]Sheet1!$N$9:$N$2584,[1]Sheet1!$O$9:$O$2584,"N/A",0)</f>
        <v>116.68</v>
      </c>
      <c r="O1906">
        <v>104.14</v>
      </c>
      <c r="P1906">
        <v>128.91</v>
      </c>
      <c r="Q1906">
        <v>64.03</v>
      </c>
      <c r="R1906">
        <v>116.68</v>
      </c>
      <c r="S1906">
        <v>135.87</v>
      </c>
    </row>
    <row r="1907" spans="1:19">
      <c r="A1907" s="1">
        <v>45134</v>
      </c>
      <c r="B1907" t="s">
        <v>871</v>
      </c>
      <c r="C1907" t="s">
        <v>879</v>
      </c>
      <c r="D1907">
        <v>15.6879</v>
      </c>
      <c r="E1907">
        <v>16.9633</v>
      </c>
      <c r="F1907">
        <v>0.081298325461024</v>
      </c>
      <c r="G1907">
        <f ca="1" t="shared" si="87"/>
        <v>0.831359990489511</v>
      </c>
      <c r="H1907" t="str">
        <f ca="1" t="shared" si="88"/>
        <v>Risk-Off</v>
      </c>
      <c r="I1907">
        <f ca="1" t="shared" si="89"/>
        <v>1</v>
      </c>
      <c r="J1907">
        <f>_xlfn.XLOOKUP($A1907,[1]Sheet1!$B$9:$B$2584,[1]Sheet1!$C$9:$C$2584,"N/A",0)</f>
        <v>104.02</v>
      </c>
      <c r="K1907">
        <f>_xlfn.XLOOKUP($A1907,[1]Sheet1!$E$9:$E$2584,[1]Sheet1!$F$9:$F$2584,"N/A",0)</f>
        <v>129.8</v>
      </c>
      <c r="L1907">
        <f>_xlfn.XLOOKUP($A1907,[1]Sheet1!$H$9:$H$2584,[1]Sheet1!$I$9:$I$2584,"N/A",0)</f>
        <v>65.04</v>
      </c>
      <c r="M1907">
        <f>_xlfn.XLOOKUP($A1907,[1]Sheet1!$K$9:$K$2584,[1]Sheet1!$L$9:$L$2584,"N/A",0)</f>
        <v>135.09</v>
      </c>
      <c r="N1907">
        <f>_xlfn.XLOOKUP($A1907,[1]Sheet1!$N$9:$N$2584,[1]Sheet1!$O$9:$O$2584,"N/A",0)</f>
        <v>117.28</v>
      </c>
      <c r="O1907">
        <v>104.02</v>
      </c>
      <c r="P1907">
        <v>129.8</v>
      </c>
      <c r="Q1907">
        <v>65.04</v>
      </c>
      <c r="R1907">
        <v>117.28</v>
      </c>
      <c r="S1907">
        <v>135.09</v>
      </c>
    </row>
    <row r="1908" spans="1:19">
      <c r="A1908" s="1">
        <v>45135</v>
      </c>
      <c r="B1908" t="s">
        <v>871</v>
      </c>
      <c r="C1908" t="s">
        <v>879</v>
      </c>
      <c r="D1908">
        <v>14.9886</v>
      </c>
      <c r="E1908">
        <v>16.5351</v>
      </c>
      <c r="F1908" s="2" t="s">
        <v>881</v>
      </c>
      <c r="G1908">
        <f ca="1" t="shared" si="87"/>
        <v>1.43391714985078</v>
      </c>
      <c r="H1908" t="str">
        <f ca="1" t="shared" si="88"/>
        <v>Risk-Off</v>
      </c>
      <c r="I1908">
        <f ca="1" t="shared" si="89"/>
        <v>1</v>
      </c>
      <c r="J1908">
        <f>_xlfn.XLOOKUP($A1908,[1]Sheet1!$B$9:$B$2584,[1]Sheet1!$C$9:$C$2584,"N/A",0)</f>
        <v>103.79</v>
      </c>
      <c r="K1908">
        <f>_xlfn.XLOOKUP($A1908,[1]Sheet1!$E$9:$E$2584,[1]Sheet1!$F$9:$F$2584,"N/A",0)</f>
        <v>130.1</v>
      </c>
      <c r="L1908">
        <f>_xlfn.XLOOKUP($A1908,[1]Sheet1!$H$9:$H$2584,[1]Sheet1!$I$9:$I$2584,"N/A",0)</f>
        <v>64.6</v>
      </c>
      <c r="M1908">
        <f>_xlfn.XLOOKUP($A1908,[1]Sheet1!$K$9:$K$2584,[1]Sheet1!$L$9:$L$2584,"N/A",0)</f>
        <v>135.01</v>
      </c>
      <c r="N1908">
        <f>_xlfn.XLOOKUP($A1908,[1]Sheet1!$N$9:$N$2584,[1]Sheet1!$O$9:$O$2584,"N/A",0)</f>
        <v>117.38</v>
      </c>
      <c r="O1908">
        <v>103.79</v>
      </c>
      <c r="P1908">
        <v>130.1</v>
      </c>
      <c r="Q1908">
        <v>64.6</v>
      </c>
      <c r="R1908">
        <v>117.38</v>
      </c>
      <c r="S1908">
        <v>135.01</v>
      </c>
    </row>
    <row r="1909" spans="1:19">
      <c r="A1909" s="1">
        <v>45138</v>
      </c>
      <c r="B1909" t="s">
        <v>871</v>
      </c>
      <c r="C1909" t="s">
        <v>879</v>
      </c>
      <c r="D1909">
        <v>14.8634</v>
      </c>
      <c r="E1909">
        <v>16.3393</v>
      </c>
      <c r="F1909">
        <v>0.0992976035092913</v>
      </c>
      <c r="G1909">
        <f ca="1" t="shared" si="87"/>
        <v>1.32543055776426</v>
      </c>
      <c r="H1909" t="str">
        <f ca="1" t="shared" si="88"/>
        <v>Risk-Off</v>
      </c>
      <c r="I1909">
        <f ca="1" t="shared" si="89"/>
        <v>1</v>
      </c>
      <c r="J1909">
        <f>_xlfn.XLOOKUP($A1909,[1]Sheet1!$B$9:$B$2584,[1]Sheet1!$C$9:$C$2584,"N/A",0)</f>
        <v>103.58</v>
      </c>
      <c r="K1909">
        <f>_xlfn.XLOOKUP($A1909,[1]Sheet1!$E$9:$E$2584,[1]Sheet1!$F$9:$F$2584,"N/A",0)</f>
        <v>130.73</v>
      </c>
      <c r="L1909">
        <f>_xlfn.XLOOKUP($A1909,[1]Sheet1!$H$9:$H$2584,[1]Sheet1!$I$9:$I$2584,"N/A",0)</f>
        <v>64.45</v>
      </c>
      <c r="M1909">
        <f>_xlfn.XLOOKUP($A1909,[1]Sheet1!$K$9:$K$2584,[1]Sheet1!$L$9:$L$2584,"N/A",0)</f>
        <v>134.13</v>
      </c>
      <c r="N1909">
        <f>_xlfn.XLOOKUP($A1909,[1]Sheet1!$N$9:$N$2584,[1]Sheet1!$O$9:$O$2584,"N/A",0)</f>
        <v>116.82</v>
      </c>
      <c r="O1909">
        <v>103.58</v>
      </c>
      <c r="P1909">
        <v>130.73</v>
      </c>
      <c r="Q1909">
        <v>64.45</v>
      </c>
      <c r="R1909">
        <v>116.82</v>
      </c>
      <c r="S1909">
        <v>134.13</v>
      </c>
    </row>
    <row r="1910" spans="1:19">
      <c r="A1910" s="1">
        <v>45139</v>
      </c>
      <c r="B1910" t="s">
        <v>871</v>
      </c>
      <c r="C1910" t="s">
        <v>879</v>
      </c>
      <c r="D1910">
        <v>15.0724</v>
      </c>
      <c r="E1910">
        <v>16.5652</v>
      </c>
      <c r="F1910">
        <v>0.0990419574852047</v>
      </c>
      <c r="G1910">
        <f ca="1" t="shared" si="87"/>
        <v>1.31011055769799</v>
      </c>
      <c r="H1910" t="str">
        <f ca="1" t="shared" si="88"/>
        <v>Risk-Off</v>
      </c>
      <c r="I1910">
        <f ca="1" t="shared" si="89"/>
        <v>1</v>
      </c>
      <c r="J1910">
        <f>_xlfn.XLOOKUP($A1910,[1]Sheet1!$B$9:$B$2584,[1]Sheet1!$C$9:$C$2584,"N/A",0)</f>
        <v>103.67</v>
      </c>
      <c r="K1910">
        <f>_xlfn.XLOOKUP($A1910,[1]Sheet1!$E$9:$E$2584,[1]Sheet1!$F$9:$F$2584,"N/A",0)</f>
        <v>131.57</v>
      </c>
      <c r="L1910">
        <f>_xlfn.XLOOKUP($A1910,[1]Sheet1!$H$9:$H$2584,[1]Sheet1!$I$9:$I$2584,"N/A",0)</f>
        <v>64.6</v>
      </c>
      <c r="M1910">
        <f>_xlfn.XLOOKUP($A1910,[1]Sheet1!$K$9:$K$2584,[1]Sheet1!$L$9:$L$2584,"N/A",0)</f>
        <v>134.57</v>
      </c>
      <c r="N1910">
        <f>_xlfn.XLOOKUP($A1910,[1]Sheet1!$N$9:$N$2584,[1]Sheet1!$O$9:$O$2584,"N/A",0)</f>
        <v>117.23</v>
      </c>
      <c r="O1910">
        <v>103.67</v>
      </c>
      <c r="P1910">
        <v>131.57</v>
      </c>
      <c r="Q1910">
        <v>64.6</v>
      </c>
      <c r="R1910">
        <v>117.23</v>
      </c>
      <c r="S1910">
        <v>134.57</v>
      </c>
    </row>
    <row r="1911" spans="1:19">
      <c r="A1911" s="1">
        <v>45140</v>
      </c>
      <c r="B1911" t="s">
        <v>871</v>
      </c>
      <c r="C1911" t="s">
        <v>879</v>
      </c>
      <c r="D1911">
        <v>16.7022</v>
      </c>
      <c r="E1911">
        <v>17.7566</v>
      </c>
      <c r="F1911">
        <v>0.0631294081019265</v>
      </c>
      <c r="G1911">
        <f ca="1" t="shared" si="87"/>
        <v>0.313992370551698</v>
      </c>
      <c r="H1911" t="str">
        <f ca="1" t="shared" si="88"/>
        <v>Risk-Off</v>
      </c>
      <c r="I1911">
        <f ca="1" t="shared" si="89"/>
        <v>1</v>
      </c>
      <c r="J1911">
        <f>_xlfn.XLOOKUP($A1911,[1]Sheet1!$B$9:$B$2584,[1]Sheet1!$C$9:$C$2584,"N/A",0)</f>
        <v>104.38</v>
      </c>
      <c r="K1911">
        <f>_xlfn.XLOOKUP($A1911,[1]Sheet1!$E$9:$E$2584,[1]Sheet1!$F$9:$F$2584,"N/A",0)</f>
        <v>130.46</v>
      </c>
      <c r="L1911">
        <f>_xlfn.XLOOKUP($A1911,[1]Sheet1!$H$9:$H$2584,[1]Sheet1!$I$9:$I$2584,"N/A",0)</f>
        <v>65.32</v>
      </c>
      <c r="M1911">
        <f>_xlfn.XLOOKUP($A1911,[1]Sheet1!$K$9:$K$2584,[1]Sheet1!$L$9:$L$2584,"N/A",0)</f>
        <v>135.49</v>
      </c>
      <c r="N1911">
        <f>_xlfn.XLOOKUP($A1911,[1]Sheet1!$N$9:$N$2584,[1]Sheet1!$O$9:$O$2584,"N/A",0)</f>
        <v>117.13</v>
      </c>
      <c r="O1911">
        <v>104.38</v>
      </c>
      <c r="P1911">
        <v>130.46</v>
      </c>
      <c r="Q1911">
        <v>65.32</v>
      </c>
      <c r="R1911">
        <v>117.13</v>
      </c>
      <c r="S1911">
        <v>135.49</v>
      </c>
    </row>
    <row r="1912" spans="1:19">
      <c r="A1912" s="1">
        <v>45141</v>
      </c>
      <c r="B1912" t="s">
        <v>871</v>
      </c>
      <c r="C1912" t="s">
        <v>879</v>
      </c>
      <c r="D1912">
        <v>16.7483</v>
      </c>
      <c r="E1912">
        <v>17.6502</v>
      </c>
      <c r="F1912">
        <v>0.0538502415170495</v>
      </c>
      <c r="G1912">
        <f ca="1" t="shared" si="87"/>
        <v>0.0605676177219813</v>
      </c>
      <c r="H1912" t="str">
        <f ca="1" t="shared" si="88"/>
        <v>Risk-Off</v>
      </c>
      <c r="I1912">
        <f ca="1" t="shared" si="89"/>
        <v>1</v>
      </c>
      <c r="J1912">
        <f>_xlfn.XLOOKUP($A1912,[1]Sheet1!$B$9:$B$2584,[1]Sheet1!$C$9:$C$2584,"N/A",0)</f>
        <v>105.13</v>
      </c>
      <c r="K1912">
        <f>_xlfn.XLOOKUP($A1912,[1]Sheet1!$E$9:$E$2584,[1]Sheet1!$F$9:$F$2584,"N/A",0)</f>
        <v>130.91</v>
      </c>
      <c r="L1912">
        <f>_xlfn.XLOOKUP($A1912,[1]Sheet1!$H$9:$H$2584,[1]Sheet1!$I$9:$I$2584,"N/A",0)</f>
        <v>65.42</v>
      </c>
      <c r="M1912">
        <f>_xlfn.XLOOKUP($A1912,[1]Sheet1!$K$9:$K$2584,[1]Sheet1!$L$9:$L$2584,"N/A",0)</f>
        <v>135.64</v>
      </c>
      <c r="N1912">
        <f>_xlfn.XLOOKUP($A1912,[1]Sheet1!$N$9:$N$2584,[1]Sheet1!$O$9:$O$2584,"N/A",0)</f>
        <v>117.28</v>
      </c>
      <c r="O1912">
        <v>105.13</v>
      </c>
      <c r="P1912">
        <v>130.91</v>
      </c>
      <c r="Q1912">
        <v>65.42</v>
      </c>
      <c r="R1912">
        <v>117.28</v>
      </c>
      <c r="S1912">
        <v>135.64</v>
      </c>
    </row>
    <row r="1913" spans="1:19">
      <c r="A1913" s="1">
        <v>45142</v>
      </c>
      <c r="B1913" t="s">
        <v>871</v>
      </c>
      <c r="C1913" t="s">
        <v>879</v>
      </c>
      <c r="D1913">
        <v>17.5076</v>
      </c>
      <c r="E1913">
        <v>18.1354</v>
      </c>
      <c r="F1913" s="2" t="s">
        <v>882</v>
      </c>
      <c r="G1913">
        <f ca="1" t="shared" si="87"/>
        <v>-0.433508235866587</v>
      </c>
      <c r="H1913" t="str">
        <f ca="1" t="shared" si="88"/>
        <v>Risk-Off</v>
      </c>
      <c r="I1913">
        <f ca="1" t="shared" si="89"/>
        <v>1</v>
      </c>
      <c r="J1913">
        <f>_xlfn.XLOOKUP($A1913,[1]Sheet1!$B$9:$B$2584,[1]Sheet1!$C$9:$C$2584,"N/A",0)</f>
        <v>104.7</v>
      </c>
      <c r="K1913">
        <f>_xlfn.XLOOKUP($A1913,[1]Sheet1!$E$9:$E$2584,[1]Sheet1!$F$9:$F$2584,"N/A",0)</f>
        <v>131.23</v>
      </c>
      <c r="L1913">
        <f>_xlfn.XLOOKUP($A1913,[1]Sheet1!$H$9:$H$2584,[1]Sheet1!$I$9:$I$2584,"N/A",0)</f>
        <v>65.62</v>
      </c>
      <c r="M1913">
        <f>_xlfn.XLOOKUP($A1913,[1]Sheet1!$K$9:$K$2584,[1]Sheet1!$L$9:$L$2584,"N/A",0)</f>
        <v>135.33</v>
      </c>
      <c r="N1913">
        <f>_xlfn.XLOOKUP($A1913,[1]Sheet1!$N$9:$N$2584,[1]Sheet1!$O$9:$O$2584,"N/A",0)</f>
        <v>117.03</v>
      </c>
      <c r="O1913">
        <v>104.7</v>
      </c>
      <c r="P1913">
        <v>131.23</v>
      </c>
      <c r="Q1913">
        <v>65.62</v>
      </c>
      <c r="R1913">
        <v>117.03</v>
      </c>
      <c r="S1913">
        <v>135.33</v>
      </c>
    </row>
    <row r="1914" spans="1:19">
      <c r="A1914" s="1">
        <v>45145</v>
      </c>
      <c r="B1914" t="s">
        <v>871</v>
      </c>
      <c r="C1914" t="s">
        <v>879</v>
      </c>
      <c r="D1914">
        <v>16.2943</v>
      </c>
      <c r="E1914">
        <v>17.4</v>
      </c>
      <c r="F1914">
        <v>0.0678580853427271</v>
      </c>
      <c r="G1914">
        <f ca="1" t="shared" si="87"/>
        <v>0.455757678822016</v>
      </c>
      <c r="H1914" t="str">
        <f ca="1" t="shared" si="88"/>
        <v>Risk-Off</v>
      </c>
      <c r="I1914">
        <f ca="1" t="shared" si="89"/>
        <v>1</v>
      </c>
      <c r="J1914">
        <f>_xlfn.XLOOKUP($A1914,[1]Sheet1!$B$9:$B$2584,[1]Sheet1!$C$9:$C$2584,"N/A",0)</f>
        <v>104.46</v>
      </c>
      <c r="K1914">
        <f>_xlfn.XLOOKUP($A1914,[1]Sheet1!$E$9:$E$2584,[1]Sheet1!$F$9:$F$2584,"N/A",0)</f>
        <v>132.63</v>
      </c>
      <c r="L1914">
        <f>_xlfn.XLOOKUP($A1914,[1]Sheet1!$H$9:$H$2584,[1]Sheet1!$I$9:$I$2584,"N/A",0)</f>
        <v>65.92</v>
      </c>
      <c r="M1914">
        <f>_xlfn.XLOOKUP($A1914,[1]Sheet1!$K$9:$K$2584,[1]Sheet1!$L$9:$L$2584,"N/A",0)</f>
        <v>136.12</v>
      </c>
      <c r="N1914">
        <f>_xlfn.XLOOKUP($A1914,[1]Sheet1!$N$9:$N$2584,[1]Sheet1!$O$9:$O$2584,"N/A",0)</f>
        <v>117.61</v>
      </c>
      <c r="O1914">
        <v>104.46</v>
      </c>
      <c r="P1914">
        <v>132.63</v>
      </c>
      <c r="Q1914">
        <v>65.92</v>
      </c>
      <c r="R1914">
        <v>117.61</v>
      </c>
      <c r="S1914">
        <v>136.12</v>
      </c>
    </row>
    <row r="1915" spans="1:19">
      <c r="A1915" s="1">
        <v>45146</v>
      </c>
      <c r="B1915" t="s">
        <v>871</v>
      </c>
      <c r="C1915" t="s">
        <v>879</v>
      </c>
      <c r="D1915">
        <v>16.4955</v>
      </c>
      <c r="E1915">
        <v>17.7233</v>
      </c>
      <c r="F1915">
        <v>0.0744324209632929</v>
      </c>
      <c r="G1915">
        <f ca="1" t="shared" si="87"/>
        <v>0.64252927993976</v>
      </c>
      <c r="H1915" t="str">
        <f ca="1" t="shared" si="88"/>
        <v>Risk-Off</v>
      </c>
      <c r="I1915">
        <f ca="1" t="shared" si="89"/>
        <v>1</v>
      </c>
      <c r="J1915">
        <f>_xlfn.XLOOKUP($A1915,[1]Sheet1!$B$9:$B$2584,[1]Sheet1!$C$9:$C$2584,"N/A",0)</f>
        <v>103.8</v>
      </c>
      <c r="K1915">
        <f>_xlfn.XLOOKUP($A1915,[1]Sheet1!$E$9:$E$2584,[1]Sheet1!$F$9:$F$2584,"N/A",0)</f>
        <v>132.6</v>
      </c>
      <c r="L1915">
        <f>_xlfn.XLOOKUP($A1915,[1]Sheet1!$H$9:$H$2584,[1]Sheet1!$I$9:$I$2584,"N/A",0)</f>
        <v>66.3</v>
      </c>
      <c r="M1915">
        <f>_xlfn.XLOOKUP($A1915,[1]Sheet1!$K$9:$K$2584,[1]Sheet1!$L$9:$L$2584,"N/A",0)</f>
        <v>136.83</v>
      </c>
      <c r="N1915">
        <f>_xlfn.XLOOKUP($A1915,[1]Sheet1!$N$9:$N$2584,[1]Sheet1!$O$9:$O$2584,"N/A",0)</f>
        <v>117.87</v>
      </c>
      <c r="O1915">
        <v>103.8</v>
      </c>
      <c r="P1915">
        <v>132.6</v>
      </c>
      <c r="Q1915">
        <v>66.3</v>
      </c>
      <c r="R1915">
        <v>117.87</v>
      </c>
      <c r="S1915">
        <v>136.83</v>
      </c>
    </row>
    <row r="1916" spans="1:19">
      <c r="A1916" s="1">
        <v>45147</v>
      </c>
      <c r="B1916" t="s">
        <v>871</v>
      </c>
      <c r="C1916" t="s">
        <v>879</v>
      </c>
      <c r="D1916">
        <v>16.3469</v>
      </c>
      <c r="E1916">
        <v>17.5875</v>
      </c>
      <c r="F1916">
        <v>0.0758920651622018</v>
      </c>
      <c r="G1916">
        <f ca="1" t="shared" si="87"/>
        <v>0.680133117627475</v>
      </c>
      <c r="H1916" t="str">
        <f ca="1" t="shared" si="88"/>
        <v>Risk-Off</v>
      </c>
      <c r="I1916">
        <f ca="1" t="shared" si="89"/>
        <v>1</v>
      </c>
      <c r="J1916">
        <f>_xlfn.XLOOKUP($A1916,[1]Sheet1!$B$9:$B$2584,[1]Sheet1!$C$9:$C$2584,"N/A",0)</f>
        <v>104.66</v>
      </c>
      <c r="K1916">
        <f>_xlfn.XLOOKUP($A1916,[1]Sheet1!$E$9:$E$2584,[1]Sheet1!$F$9:$F$2584,"N/A",0)</f>
        <v>131.99</v>
      </c>
      <c r="L1916">
        <f>_xlfn.XLOOKUP($A1916,[1]Sheet1!$H$9:$H$2584,[1]Sheet1!$I$9:$I$2584,"N/A",0)</f>
        <v>66.79</v>
      </c>
      <c r="M1916">
        <f>_xlfn.XLOOKUP($A1916,[1]Sheet1!$K$9:$K$2584,[1]Sheet1!$L$9:$L$2584,"N/A",0)</f>
        <v>137.58</v>
      </c>
      <c r="N1916">
        <f>_xlfn.XLOOKUP($A1916,[1]Sheet1!$N$9:$N$2584,[1]Sheet1!$O$9:$O$2584,"N/A",0)</f>
        <v>117.85</v>
      </c>
      <c r="O1916">
        <v>104.66</v>
      </c>
      <c r="P1916">
        <v>131.99</v>
      </c>
      <c r="Q1916">
        <v>66.79</v>
      </c>
      <c r="R1916">
        <v>117.85</v>
      </c>
      <c r="S1916">
        <v>137.58</v>
      </c>
    </row>
    <row r="1917" spans="1:19">
      <c r="A1917" s="1">
        <v>45148</v>
      </c>
      <c r="B1917" t="s">
        <v>871</v>
      </c>
      <c r="C1917" t="s">
        <v>879</v>
      </c>
      <c r="D1917">
        <v>16.0072</v>
      </c>
      <c r="E1917">
        <v>17.6997</v>
      </c>
      <c r="F1917" s="2" t="s">
        <v>883</v>
      </c>
      <c r="G1917">
        <f ca="1" t="shared" si="87"/>
        <v>1.51708878067637</v>
      </c>
      <c r="H1917" t="str">
        <f ca="1" t="shared" si="88"/>
        <v>Risk-Off</v>
      </c>
      <c r="I1917">
        <f ca="1" t="shared" si="89"/>
        <v>1</v>
      </c>
      <c r="J1917">
        <f>_xlfn.XLOOKUP($A1917,[1]Sheet1!$B$9:$B$2584,[1]Sheet1!$C$9:$C$2584,"N/A",0)</f>
        <v>104.66</v>
      </c>
      <c r="K1917">
        <f>_xlfn.XLOOKUP($A1917,[1]Sheet1!$E$9:$E$2584,[1]Sheet1!$F$9:$F$2584,"N/A",0)</f>
        <v>131.97</v>
      </c>
      <c r="L1917">
        <f>_xlfn.XLOOKUP($A1917,[1]Sheet1!$H$9:$H$2584,[1]Sheet1!$I$9:$I$2584,"N/A",0)</f>
        <v>66.61</v>
      </c>
      <c r="M1917">
        <f>_xlfn.XLOOKUP($A1917,[1]Sheet1!$K$9:$K$2584,[1]Sheet1!$L$9:$L$2584,"N/A",0)</f>
        <v>137.8</v>
      </c>
      <c r="N1917">
        <f>_xlfn.XLOOKUP($A1917,[1]Sheet1!$N$9:$N$2584,[1]Sheet1!$O$9:$O$2584,"N/A",0)</f>
        <v>118.13</v>
      </c>
      <c r="O1917">
        <v>104.66</v>
      </c>
      <c r="P1917">
        <v>131.97</v>
      </c>
      <c r="Q1917">
        <v>66.61</v>
      </c>
      <c r="R1917">
        <v>118.13</v>
      </c>
      <c r="S1917">
        <v>137.8</v>
      </c>
    </row>
    <row r="1918" spans="1:19">
      <c r="A1918" s="1">
        <v>45149</v>
      </c>
      <c r="B1918" t="s">
        <v>871</v>
      </c>
      <c r="C1918" t="s">
        <v>879</v>
      </c>
      <c r="D1918">
        <v>15.3536</v>
      </c>
      <c r="E1918">
        <v>17.0503</v>
      </c>
      <c r="F1918" s="2" t="s">
        <v>884</v>
      </c>
      <c r="G1918">
        <f ca="1" t="shared" si="87"/>
        <v>1.65721751468501</v>
      </c>
      <c r="H1918" t="str">
        <f ca="1" t="shared" si="88"/>
        <v>Risk-Off</v>
      </c>
      <c r="I1918">
        <f ca="1" t="shared" si="89"/>
        <v>1</v>
      </c>
      <c r="J1918">
        <f>_xlfn.XLOOKUP($A1918,[1]Sheet1!$B$9:$B$2584,[1]Sheet1!$C$9:$C$2584,"N/A",0)</f>
        <v>105.06</v>
      </c>
      <c r="K1918">
        <f>_xlfn.XLOOKUP($A1918,[1]Sheet1!$E$9:$E$2584,[1]Sheet1!$F$9:$F$2584,"N/A",0)</f>
        <v>131.49</v>
      </c>
      <c r="L1918">
        <f>_xlfn.XLOOKUP($A1918,[1]Sheet1!$H$9:$H$2584,[1]Sheet1!$I$9:$I$2584,"N/A",0)</f>
        <v>66.74</v>
      </c>
      <c r="M1918">
        <f>_xlfn.XLOOKUP($A1918,[1]Sheet1!$K$9:$K$2584,[1]Sheet1!$L$9:$L$2584,"N/A",0)</f>
        <v>137.79</v>
      </c>
      <c r="N1918">
        <f>_xlfn.XLOOKUP($A1918,[1]Sheet1!$N$9:$N$2584,[1]Sheet1!$O$9:$O$2584,"N/A",0)</f>
        <v>117.99</v>
      </c>
      <c r="O1918">
        <v>105.06</v>
      </c>
      <c r="P1918">
        <v>131.49</v>
      </c>
      <c r="Q1918">
        <v>66.74</v>
      </c>
      <c r="R1918">
        <v>117.99</v>
      </c>
      <c r="S1918">
        <v>137.79</v>
      </c>
    </row>
    <row r="1919" spans="1:19">
      <c r="A1919" s="1">
        <v>45152</v>
      </c>
      <c r="B1919" t="s">
        <v>871</v>
      </c>
      <c r="C1919" t="s">
        <v>879</v>
      </c>
      <c r="D1919">
        <v>14.8456</v>
      </c>
      <c r="E1919">
        <v>16.7773</v>
      </c>
      <c r="F1919" s="2" t="s">
        <v>885</v>
      </c>
      <c r="G1919">
        <f ca="1" t="shared" si="87"/>
        <v>2.20319059784092</v>
      </c>
      <c r="H1919" t="str">
        <f ca="1" t="shared" si="88"/>
        <v>Risk-Off</v>
      </c>
      <c r="I1919">
        <f ca="1" t="shared" si="89"/>
        <v>1</v>
      </c>
      <c r="J1919">
        <f>_xlfn.XLOOKUP($A1919,[1]Sheet1!$B$9:$B$2584,[1]Sheet1!$C$9:$C$2584,"N/A",0)</f>
        <v>105.12</v>
      </c>
      <c r="K1919">
        <f>_xlfn.XLOOKUP($A1919,[1]Sheet1!$E$9:$E$2584,[1]Sheet1!$F$9:$F$2584,"N/A",0)</f>
        <v>133.01</v>
      </c>
      <c r="L1919">
        <f>_xlfn.XLOOKUP($A1919,[1]Sheet1!$H$9:$H$2584,[1]Sheet1!$I$9:$I$2584,"N/A",0)</f>
        <v>66.4</v>
      </c>
      <c r="M1919">
        <f>_xlfn.XLOOKUP($A1919,[1]Sheet1!$K$9:$K$2584,[1]Sheet1!$L$9:$L$2584,"N/A",0)</f>
        <v>137.95</v>
      </c>
      <c r="N1919">
        <f>_xlfn.XLOOKUP($A1919,[1]Sheet1!$N$9:$N$2584,[1]Sheet1!$O$9:$O$2584,"N/A",0)</f>
        <v>118.73</v>
      </c>
      <c r="O1919">
        <v>105.12</v>
      </c>
      <c r="P1919">
        <v>133.01</v>
      </c>
      <c r="Q1919">
        <v>66.4</v>
      </c>
      <c r="R1919">
        <v>118.73</v>
      </c>
      <c r="S1919">
        <v>137.95</v>
      </c>
    </row>
    <row r="1920" spans="1:19">
      <c r="A1920" s="1">
        <v>45153</v>
      </c>
      <c r="B1920" t="s">
        <v>871</v>
      </c>
      <c r="C1920" t="s">
        <v>879</v>
      </c>
      <c r="D1920">
        <v>16.1726</v>
      </c>
      <c r="E1920">
        <v>17.696</v>
      </c>
      <c r="F1920">
        <v>0.0941963568010092</v>
      </c>
      <c r="G1920">
        <f ca="1" t="shared" si="87"/>
        <v>1.20309286622914</v>
      </c>
      <c r="H1920" t="str">
        <f ca="1" t="shared" si="88"/>
        <v>Risk-Off</v>
      </c>
      <c r="I1920">
        <f ca="1" t="shared" si="89"/>
        <v>1</v>
      </c>
      <c r="J1920">
        <f>_xlfn.XLOOKUP($A1920,[1]Sheet1!$B$9:$B$2584,[1]Sheet1!$C$9:$C$2584,"N/A",0)</f>
        <v>105.46</v>
      </c>
      <c r="K1920">
        <f>_xlfn.XLOOKUP($A1920,[1]Sheet1!$E$9:$E$2584,[1]Sheet1!$F$9:$F$2584,"N/A",0)</f>
        <v>133.57</v>
      </c>
      <c r="L1920">
        <f>_xlfn.XLOOKUP($A1920,[1]Sheet1!$H$9:$H$2584,[1]Sheet1!$I$9:$I$2584,"N/A",0)</f>
        <v>66.16</v>
      </c>
      <c r="M1920">
        <f>_xlfn.XLOOKUP($A1920,[1]Sheet1!$K$9:$K$2584,[1]Sheet1!$L$9:$L$2584,"N/A",0)</f>
        <v>138.64</v>
      </c>
      <c r="N1920">
        <f>_xlfn.XLOOKUP($A1920,[1]Sheet1!$N$9:$N$2584,[1]Sheet1!$O$9:$O$2584,"N/A",0)</f>
        <v>118.67</v>
      </c>
      <c r="O1920">
        <v>105.46</v>
      </c>
      <c r="P1920">
        <v>133.57</v>
      </c>
      <c r="Q1920">
        <v>66.16</v>
      </c>
      <c r="R1920">
        <v>118.67</v>
      </c>
      <c r="S1920">
        <v>138.64</v>
      </c>
    </row>
    <row r="1921" spans="1:19">
      <c r="A1921" s="1">
        <v>45154</v>
      </c>
      <c r="B1921" t="s">
        <v>871</v>
      </c>
      <c r="C1921" t="s">
        <v>879</v>
      </c>
      <c r="D1921">
        <v>16.28</v>
      </c>
      <c r="E1921">
        <v>18.0118</v>
      </c>
      <c r="F1921" s="2" t="s">
        <v>886</v>
      </c>
      <c r="G1921">
        <f ca="1" t="shared" si="87"/>
        <v>1.532420447639</v>
      </c>
      <c r="H1921" t="str">
        <f ca="1" t="shared" si="88"/>
        <v>Risk-Off</v>
      </c>
      <c r="I1921">
        <f ca="1" t="shared" si="89"/>
        <v>1</v>
      </c>
      <c r="J1921">
        <f>_xlfn.XLOOKUP($A1921,[1]Sheet1!$B$9:$B$2584,[1]Sheet1!$C$9:$C$2584,"N/A",0)</f>
        <v>105.39</v>
      </c>
      <c r="K1921">
        <f>_xlfn.XLOOKUP($A1921,[1]Sheet1!$E$9:$E$2584,[1]Sheet1!$F$9:$F$2584,"N/A",0)</f>
        <v>133.24</v>
      </c>
      <c r="L1921">
        <f>_xlfn.XLOOKUP($A1921,[1]Sheet1!$H$9:$H$2584,[1]Sheet1!$I$9:$I$2584,"N/A",0)</f>
        <v>66</v>
      </c>
      <c r="M1921">
        <f>_xlfn.XLOOKUP($A1921,[1]Sheet1!$K$9:$K$2584,[1]Sheet1!$L$9:$L$2584,"N/A",0)</f>
        <v>138.96</v>
      </c>
      <c r="N1921">
        <f>_xlfn.XLOOKUP($A1921,[1]Sheet1!$N$9:$N$2584,[1]Sheet1!$O$9:$O$2584,"N/A",0)</f>
        <v>119.28</v>
      </c>
      <c r="O1921">
        <v>105.39</v>
      </c>
      <c r="P1921">
        <v>133.24</v>
      </c>
      <c r="Q1921">
        <v>66</v>
      </c>
      <c r="R1921">
        <v>119.28</v>
      </c>
      <c r="S1921">
        <v>138.96</v>
      </c>
    </row>
    <row r="1922" spans="1:19">
      <c r="A1922" s="1">
        <v>45155</v>
      </c>
      <c r="B1922" t="s">
        <v>879</v>
      </c>
      <c r="C1922" t="s">
        <v>887</v>
      </c>
      <c r="D1922">
        <v>18.8548</v>
      </c>
      <c r="E1922">
        <v>19.2015</v>
      </c>
      <c r="F1922" s="2" t="s">
        <v>888</v>
      </c>
      <c r="G1922">
        <f ca="1" t="shared" si="87"/>
        <v>-0.913757514031152</v>
      </c>
      <c r="H1922" t="str">
        <f ca="1" t="shared" si="88"/>
        <v>Risk-Off</v>
      </c>
      <c r="I1922">
        <f ca="1" t="shared" si="89"/>
        <v>1</v>
      </c>
      <c r="J1922">
        <f>_xlfn.XLOOKUP($A1922,[1]Sheet1!$B$9:$B$2584,[1]Sheet1!$C$9:$C$2584,"N/A",0)</f>
        <v>105.05</v>
      </c>
      <c r="K1922">
        <f>_xlfn.XLOOKUP($A1922,[1]Sheet1!$E$9:$E$2584,[1]Sheet1!$F$9:$F$2584,"N/A",0)</f>
        <v>131.76</v>
      </c>
      <c r="L1922">
        <f>_xlfn.XLOOKUP($A1922,[1]Sheet1!$H$9:$H$2584,[1]Sheet1!$I$9:$I$2584,"N/A",0)</f>
        <v>66.42</v>
      </c>
      <c r="M1922">
        <f>_xlfn.XLOOKUP($A1922,[1]Sheet1!$K$9:$K$2584,[1]Sheet1!$L$9:$L$2584,"N/A",0)</f>
        <v>139.01</v>
      </c>
      <c r="N1922">
        <f>_xlfn.XLOOKUP($A1922,[1]Sheet1!$N$9:$N$2584,[1]Sheet1!$O$9:$O$2584,"N/A",0)</f>
        <v>119.88</v>
      </c>
      <c r="O1922">
        <v>105.05</v>
      </c>
      <c r="P1922">
        <v>131.76</v>
      </c>
      <c r="Q1922">
        <v>66.42</v>
      </c>
      <c r="R1922">
        <v>119.88</v>
      </c>
      <c r="S1922">
        <v>139.01</v>
      </c>
    </row>
    <row r="1923" spans="1:19">
      <c r="A1923" s="1">
        <v>45156</v>
      </c>
      <c r="B1923" t="s">
        <v>879</v>
      </c>
      <c r="C1923" t="s">
        <v>887</v>
      </c>
      <c r="D1923">
        <v>18.4487</v>
      </c>
      <c r="E1923">
        <v>18.925</v>
      </c>
      <c r="F1923">
        <v>0.0258175372790495</v>
      </c>
      <c r="G1923">
        <f ca="1" t="shared" ref="G1923:G1986" si="90">IF(ROW()-ROW($A$3)+1&gt;252,(F1923-AVERAGE(OFFSET(F1923,-252,0,252,1)))/_xlfn.STDEV.S(OFFSET(F1923,-252,0,252,1)),"N/A")</f>
        <v>-0.707203988834749</v>
      </c>
      <c r="H1923" t="str">
        <f ca="1" t="shared" ref="H1923:H1986" si="91">IF(G1923&lt;&gt;"N/A",IF(G2173&gt;-0.5,"Risk-On","Risk-Off"),"N/A")</f>
        <v>Risk-Off</v>
      </c>
      <c r="I1923">
        <f ca="1" t="shared" si="89"/>
        <v>1</v>
      </c>
      <c r="J1923">
        <f>_xlfn.XLOOKUP($A1923,[1]Sheet1!$B$9:$B$2584,[1]Sheet1!$C$9:$C$2584,"N/A",0)</f>
        <v>105.36</v>
      </c>
      <c r="K1923">
        <f>_xlfn.XLOOKUP($A1923,[1]Sheet1!$E$9:$E$2584,[1]Sheet1!$F$9:$F$2584,"N/A",0)</f>
        <v>132.2</v>
      </c>
      <c r="L1923">
        <f>_xlfn.XLOOKUP($A1923,[1]Sheet1!$H$9:$H$2584,[1]Sheet1!$I$9:$I$2584,"N/A",0)</f>
        <v>66.65</v>
      </c>
      <c r="M1923">
        <f>_xlfn.XLOOKUP($A1923,[1]Sheet1!$K$9:$K$2584,[1]Sheet1!$L$9:$L$2584,"N/A",0)</f>
        <v>139.18</v>
      </c>
      <c r="N1923">
        <f>_xlfn.XLOOKUP($A1923,[1]Sheet1!$N$9:$N$2584,[1]Sheet1!$O$9:$O$2584,"N/A",0)</f>
        <v>119.28</v>
      </c>
      <c r="O1923">
        <v>105.36</v>
      </c>
      <c r="P1923">
        <v>132.2</v>
      </c>
      <c r="Q1923">
        <v>66.65</v>
      </c>
      <c r="R1923">
        <v>119.28</v>
      </c>
      <c r="S1923">
        <v>139.18</v>
      </c>
    </row>
    <row r="1924" spans="1:19">
      <c r="A1924" s="1">
        <v>45159</v>
      </c>
      <c r="B1924" t="s">
        <v>879</v>
      </c>
      <c r="C1924" t="s">
        <v>887</v>
      </c>
      <c r="D1924">
        <v>17.8493</v>
      </c>
      <c r="E1924">
        <v>18.5019</v>
      </c>
      <c r="F1924">
        <v>0.0365616578801409</v>
      </c>
      <c r="G1924">
        <f ca="1" t="shared" si="90"/>
        <v>-0.404700809348046</v>
      </c>
      <c r="H1924" t="str">
        <f ca="1" t="shared" si="91"/>
        <v>Risk-On</v>
      </c>
      <c r="I1924">
        <f ca="1" t="shared" ref="I1924:I1987" si="92">IF(H1924&lt;&gt;"N/A",IF(H2174&gt;-0.5,1,0),0)</f>
        <v>1</v>
      </c>
      <c r="J1924">
        <f>_xlfn.XLOOKUP($A1924,[1]Sheet1!$B$9:$B$2584,[1]Sheet1!$C$9:$C$2584,"N/A",0)</f>
        <v>105.28</v>
      </c>
      <c r="K1924">
        <f>_xlfn.XLOOKUP($A1924,[1]Sheet1!$E$9:$E$2584,[1]Sheet1!$F$9:$F$2584,"N/A",0)</f>
        <v>132.59</v>
      </c>
      <c r="L1924">
        <f>_xlfn.XLOOKUP($A1924,[1]Sheet1!$H$9:$H$2584,[1]Sheet1!$I$9:$I$2584,"N/A",0)</f>
        <v>66.7</v>
      </c>
      <c r="M1924">
        <f>_xlfn.XLOOKUP($A1924,[1]Sheet1!$K$9:$K$2584,[1]Sheet1!$L$9:$L$2584,"N/A",0)</f>
        <v>139.03</v>
      </c>
      <c r="N1924">
        <f>_xlfn.XLOOKUP($A1924,[1]Sheet1!$N$9:$N$2584,[1]Sheet1!$O$9:$O$2584,"N/A",0)</f>
        <v>120.08</v>
      </c>
      <c r="O1924">
        <v>105.28</v>
      </c>
      <c r="P1924">
        <v>132.59</v>
      </c>
      <c r="Q1924">
        <v>66.7</v>
      </c>
      <c r="R1924">
        <v>120.08</v>
      </c>
      <c r="S1924">
        <v>139.03</v>
      </c>
    </row>
    <row r="1925" spans="1:19">
      <c r="A1925" s="1">
        <v>45160</v>
      </c>
      <c r="B1925" t="s">
        <v>879</v>
      </c>
      <c r="C1925" t="s">
        <v>887</v>
      </c>
      <c r="D1925">
        <v>17.901</v>
      </c>
      <c r="E1925">
        <v>18.6903</v>
      </c>
      <c r="F1925" s="2" t="s">
        <v>889</v>
      </c>
      <c r="G1925">
        <f ca="1" t="shared" si="90"/>
        <v>-0.187298631973676</v>
      </c>
      <c r="H1925" t="str">
        <f ca="1" t="shared" si="91"/>
        <v>Risk-Off</v>
      </c>
      <c r="I1925">
        <f ca="1" t="shared" si="92"/>
        <v>1</v>
      </c>
      <c r="J1925">
        <f>_xlfn.XLOOKUP($A1925,[1]Sheet1!$B$9:$B$2584,[1]Sheet1!$C$9:$C$2584,"N/A",0)</f>
        <v>105.57</v>
      </c>
      <c r="K1925">
        <f>_xlfn.XLOOKUP($A1925,[1]Sheet1!$E$9:$E$2584,[1]Sheet1!$F$9:$F$2584,"N/A",0)</f>
        <v>133.54</v>
      </c>
      <c r="L1925">
        <f>_xlfn.XLOOKUP($A1925,[1]Sheet1!$H$9:$H$2584,[1]Sheet1!$I$9:$I$2584,"N/A",0)</f>
        <v>66.1</v>
      </c>
      <c r="M1925">
        <f>_xlfn.XLOOKUP($A1925,[1]Sheet1!$K$9:$K$2584,[1]Sheet1!$L$9:$L$2584,"N/A",0)</f>
        <v>139.14</v>
      </c>
      <c r="N1925">
        <f>_xlfn.XLOOKUP($A1925,[1]Sheet1!$N$9:$N$2584,[1]Sheet1!$O$9:$O$2584,"N/A",0)</f>
        <v>119.77</v>
      </c>
      <c r="O1925">
        <v>105.57</v>
      </c>
      <c r="P1925">
        <v>133.54</v>
      </c>
      <c r="Q1925">
        <v>66.1</v>
      </c>
      <c r="R1925">
        <v>119.77</v>
      </c>
      <c r="S1925">
        <v>139.14</v>
      </c>
    </row>
    <row r="1926" spans="1:19">
      <c r="A1926" s="1">
        <v>45161</v>
      </c>
      <c r="B1926" t="s">
        <v>879</v>
      </c>
      <c r="C1926" t="s">
        <v>887</v>
      </c>
      <c r="D1926">
        <v>17.2933</v>
      </c>
      <c r="E1926">
        <v>18.1989</v>
      </c>
      <c r="F1926">
        <v>0.0523671017099107</v>
      </c>
      <c r="G1926">
        <f ca="1" t="shared" si="90"/>
        <v>0.0476732488261504</v>
      </c>
      <c r="H1926" t="str">
        <f ca="1" t="shared" si="91"/>
        <v>Risk-Off</v>
      </c>
      <c r="I1926">
        <f ca="1" t="shared" si="92"/>
        <v>1</v>
      </c>
      <c r="J1926">
        <f>_xlfn.XLOOKUP($A1926,[1]Sheet1!$B$9:$B$2584,[1]Sheet1!$C$9:$C$2584,"N/A",0)</f>
        <v>105.69</v>
      </c>
      <c r="K1926">
        <f>_xlfn.XLOOKUP($A1926,[1]Sheet1!$E$9:$E$2584,[1]Sheet1!$F$9:$F$2584,"N/A",0)</f>
        <v>134.43</v>
      </c>
      <c r="L1926">
        <f>_xlfn.XLOOKUP($A1926,[1]Sheet1!$H$9:$H$2584,[1]Sheet1!$I$9:$I$2584,"N/A",0)</f>
        <v>65.83</v>
      </c>
      <c r="M1926">
        <f>_xlfn.XLOOKUP($A1926,[1]Sheet1!$K$9:$K$2584,[1]Sheet1!$L$9:$L$2584,"N/A",0)</f>
        <v>138.91</v>
      </c>
      <c r="N1926">
        <f>_xlfn.XLOOKUP($A1926,[1]Sheet1!$N$9:$N$2584,[1]Sheet1!$O$9:$O$2584,"N/A",0)</f>
        <v>119.9</v>
      </c>
      <c r="O1926">
        <v>105.69</v>
      </c>
      <c r="P1926">
        <v>134.43</v>
      </c>
      <c r="Q1926">
        <v>65.83</v>
      </c>
      <c r="R1926">
        <v>119.9</v>
      </c>
      <c r="S1926">
        <v>138.91</v>
      </c>
    </row>
    <row r="1927" spans="1:19">
      <c r="A1927" s="1">
        <v>45162</v>
      </c>
      <c r="B1927" t="s">
        <v>879</v>
      </c>
      <c r="C1927" t="s">
        <v>887</v>
      </c>
      <c r="D1927">
        <v>18.0102</v>
      </c>
      <c r="E1927">
        <v>18.7774</v>
      </c>
      <c r="F1927">
        <v>0.0425980833083474</v>
      </c>
      <c r="G1927">
        <f ca="1" t="shared" si="90"/>
        <v>-0.225484452094892</v>
      </c>
      <c r="H1927" t="str">
        <f ca="1" t="shared" si="91"/>
        <v>Risk-On</v>
      </c>
      <c r="I1927">
        <f ca="1" t="shared" si="92"/>
        <v>1</v>
      </c>
      <c r="J1927">
        <f>_xlfn.XLOOKUP($A1927,[1]Sheet1!$B$9:$B$2584,[1]Sheet1!$C$9:$C$2584,"N/A",0)</f>
        <v>105.58</v>
      </c>
      <c r="K1927">
        <f>_xlfn.XLOOKUP($A1927,[1]Sheet1!$E$9:$E$2584,[1]Sheet1!$F$9:$F$2584,"N/A",0)</f>
        <v>133.61</v>
      </c>
      <c r="L1927">
        <f>_xlfn.XLOOKUP($A1927,[1]Sheet1!$H$9:$H$2584,[1]Sheet1!$I$9:$I$2584,"N/A",0)</f>
        <v>66.16</v>
      </c>
      <c r="M1927">
        <f>_xlfn.XLOOKUP($A1927,[1]Sheet1!$K$9:$K$2584,[1]Sheet1!$L$9:$L$2584,"N/A",0)</f>
        <v>139.3</v>
      </c>
      <c r="N1927">
        <f>_xlfn.XLOOKUP($A1927,[1]Sheet1!$N$9:$N$2584,[1]Sheet1!$O$9:$O$2584,"N/A",0)</f>
        <v>119.73</v>
      </c>
      <c r="O1927">
        <v>105.58</v>
      </c>
      <c r="P1927">
        <v>133.61</v>
      </c>
      <c r="Q1927">
        <v>66.16</v>
      </c>
      <c r="R1927">
        <v>119.73</v>
      </c>
      <c r="S1927">
        <v>139.3</v>
      </c>
    </row>
    <row r="1928" spans="1:19">
      <c r="A1928" s="1">
        <v>45163</v>
      </c>
      <c r="B1928" t="s">
        <v>879</v>
      </c>
      <c r="C1928" t="s">
        <v>887</v>
      </c>
      <c r="D1928">
        <v>17.1776</v>
      </c>
      <c r="E1928">
        <v>18.0894</v>
      </c>
      <c r="F1928">
        <v>0.05308075633383</v>
      </c>
      <c r="G1928">
        <f ca="1" t="shared" si="90"/>
        <v>0.0681005792426443</v>
      </c>
      <c r="H1928" t="str">
        <f ca="1" t="shared" si="91"/>
        <v>Risk-On</v>
      </c>
      <c r="I1928">
        <f ca="1" t="shared" si="92"/>
        <v>1</v>
      </c>
      <c r="J1928">
        <f>_xlfn.XLOOKUP($A1928,[1]Sheet1!$B$9:$B$2584,[1]Sheet1!$C$9:$C$2584,"N/A",0)</f>
        <v>105.83</v>
      </c>
      <c r="K1928">
        <f>_xlfn.XLOOKUP($A1928,[1]Sheet1!$E$9:$E$2584,[1]Sheet1!$F$9:$F$2584,"N/A",0)</f>
        <v>133.79</v>
      </c>
      <c r="L1928">
        <f>_xlfn.XLOOKUP($A1928,[1]Sheet1!$H$9:$H$2584,[1]Sheet1!$I$9:$I$2584,"N/A",0)</f>
        <v>65.89</v>
      </c>
      <c r="M1928">
        <f>_xlfn.XLOOKUP($A1928,[1]Sheet1!$K$9:$K$2584,[1]Sheet1!$L$9:$L$2584,"N/A",0)</f>
        <v>139.59</v>
      </c>
      <c r="N1928">
        <f>_xlfn.XLOOKUP($A1928,[1]Sheet1!$N$9:$N$2584,[1]Sheet1!$O$9:$O$2584,"N/A",0)</f>
        <v>120.17</v>
      </c>
      <c r="O1928">
        <v>105.83</v>
      </c>
      <c r="P1928">
        <v>133.79</v>
      </c>
      <c r="Q1928">
        <v>65.89</v>
      </c>
      <c r="R1928">
        <v>120.17</v>
      </c>
      <c r="S1928">
        <v>139.59</v>
      </c>
    </row>
    <row r="1929" spans="1:19">
      <c r="A1929" s="1">
        <v>45166</v>
      </c>
      <c r="B1929" t="s">
        <v>879</v>
      </c>
      <c r="C1929" t="s">
        <v>887</v>
      </c>
      <c r="D1929">
        <v>16.4326</v>
      </c>
      <c r="E1929">
        <v>17.5005</v>
      </c>
      <c r="F1929">
        <v>0.0649866728332703</v>
      </c>
      <c r="G1929">
        <f ca="1" t="shared" si="90"/>
        <v>0.403289110949932</v>
      </c>
      <c r="H1929" t="str">
        <f ca="1" t="shared" si="91"/>
        <v>Risk-On</v>
      </c>
      <c r="I1929">
        <f ca="1" t="shared" si="92"/>
        <v>1</v>
      </c>
      <c r="J1929">
        <f>_xlfn.XLOOKUP($A1929,[1]Sheet1!$B$9:$B$2584,[1]Sheet1!$C$9:$C$2584,"N/A",0)</f>
        <v>105.7</v>
      </c>
      <c r="K1929">
        <f>_xlfn.XLOOKUP($A1929,[1]Sheet1!$E$9:$E$2584,[1]Sheet1!$F$9:$F$2584,"N/A",0)</f>
        <v>134.12</v>
      </c>
      <c r="L1929">
        <f>_xlfn.XLOOKUP($A1929,[1]Sheet1!$H$9:$H$2584,[1]Sheet1!$I$9:$I$2584,"N/A",0)</f>
        <v>66.3</v>
      </c>
      <c r="M1929">
        <f>_xlfn.XLOOKUP($A1929,[1]Sheet1!$K$9:$K$2584,[1]Sheet1!$L$9:$L$2584,"N/A",0)</f>
        <v>139.24</v>
      </c>
      <c r="N1929">
        <f>_xlfn.XLOOKUP($A1929,[1]Sheet1!$N$9:$N$2584,[1]Sheet1!$O$9:$O$2584,"N/A",0)</f>
        <v>119.88</v>
      </c>
      <c r="O1929">
        <v>105.7</v>
      </c>
      <c r="P1929">
        <v>134.12</v>
      </c>
      <c r="Q1929">
        <v>66.3</v>
      </c>
      <c r="R1929">
        <v>119.88</v>
      </c>
      <c r="S1929">
        <v>139.24</v>
      </c>
    </row>
    <row r="1930" spans="1:19">
      <c r="A1930" s="1">
        <v>45167</v>
      </c>
      <c r="B1930" t="s">
        <v>879</v>
      </c>
      <c r="C1930" t="s">
        <v>887</v>
      </c>
      <c r="D1930">
        <v>15.9027</v>
      </c>
      <c r="E1930">
        <v>17.1967</v>
      </c>
      <c r="F1930">
        <v>0.0813698302803926</v>
      </c>
      <c r="G1930">
        <f ca="1" t="shared" si="90"/>
        <v>0.863853540155027</v>
      </c>
      <c r="H1930" t="str">
        <f ca="1" t="shared" si="91"/>
        <v>Risk-On</v>
      </c>
      <c r="I1930">
        <f ca="1" t="shared" si="92"/>
        <v>1</v>
      </c>
      <c r="J1930">
        <f>_xlfn.XLOOKUP($A1930,[1]Sheet1!$B$9:$B$2584,[1]Sheet1!$C$9:$C$2584,"N/A",0)</f>
        <v>106.3</v>
      </c>
      <c r="K1930">
        <f>_xlfn.XLOOKUP($A1930,[1]Sheet1!$E$9:$E$2584,[1]Sheet1!$F$9:$F$2584,"N/A",0)</f>
        <v>134.72</v>
      </c>
      <c r="L1930">
        <f>_xlfn.XLOOKUP($A1930,[1]Sheet1!$H$9:$H$2584,[1]Sheet1!$I$9:$I$2584,"N/A",0)</f>
        <v>66.32</v>
      </c>
      <c r="M1930">
        <f>_xlfn.XLOOKUP($A1930,[1]Sheet1!$K$9:$K$2584,[1]Sheet1!$L$9:$L$2584,"N/A",0)</f>
        <v>139.26</v>
      </c>
      <c r="N1930">
        <f>_xlfn.XLOOKUP($A1930,[1]Sheet1!$N$9:$N$2584,[1]Sheet1!$O$9:$O$2584,"N/A",0)</f>
        <v>120.12</v>
      </c>
      <c r="O1930">
        <v>106.3</v>
      </c>
      <c r="P1930">
        <v>134.72</v>
      </c>
      <c r="Q1930">
        <v>66.32</v>
      </c>
      <c r="R1930">
        <v>120.12</v>
      </c>
      <c r="S1930">
        <v>139.26</v>
      </c>
    </row>
    <row r="1931" spans="1:19">
      <c r="A1931" s="1">
        <v>45168</v>
      </c>
      <c r="B1931" t="s">
        <v>879</v>
      </c>
      <c r="C1931" t="s">
        <v>887</v>
      </c>
      <c r="D1931">
        <v>15.3029</v>
      </c>
      <c r="E1931">
        <v>16.7006</v>
      </c>
      <c r="F1931">
        <v>0.0913356291944665</v>
      </c>
      <c r="G1931">
        <f ca="1" t="shared" si="90"/>
        <v>1.13285309438012</v>
      </c>
      <c r="H1931" t="str">
        <f ca="1" t="shared" si="91"/>
        <v>Risk-On</v>
      </c>
      <c r="I1931">
        <f ca="1" t="shared" si="92"/>
        <v>1</v>
      </c>
      <c r="J1931">
        <f>_xlfn.XLOOKUP($A1931,[1]Sheet1!$B$9:$B$2584,[1]Sheet1!$C$9:$C$2584,"N/A",0)</f>
        <v>106.43</v>
      </c>
      <c r="K1931">
        <f>_xlfn.XLOOKUP($A1931,[1]Sheet1!$E$9:$E$2584,[1]Sheet1!$F$9:$F$2584,"N/A",0)</f>
        <v>135</v>
      </c>
      <c r="L1931">
        <f>_xlfn.XLOOKUP($A1931,[1]Sheet1!$H$9:$H$2584,[1]Sheet1!$I$9:$I$2584,"N/A",0)</f>
        <v>65.75</v>
      </c>
      <c r="M1931">
        <f>_xlfn.XLOOKUP($A1931,[1]Sheet1!$K$9:$K$2584,[1]Sheet1!$L$9:$L$2584,"N/A",0)</f>
        <v>139.09</v>
      </c>
      <c r="N1931">
        <f>_xlfn.XLOOKUP($A1931,[1]Sheet1!$N$9:$N$2584,[1]Sheet1!$O$9:$O$2584,"N/A",0)</f>
        <v>119.89</v>
      </c>
      <c r="O1931">
        <v>106.43</v>
      </c>
      <c r="P1931">
        <v>135</v>
      </c>
      <c r="Q1931">
        <v>65.75</v>
      </c>
      <c r="R1931">
        <v>119.89</v>
      </c>
      <c r="S1931">
        <v>139.09</v>
      </c>
    </row>
    <row r="1932" spans="1:19">
      <c r="A1932" s="1">
        <v>45169</v>
      </c>
      <c r="B1932" t="s">
        <v>879</v>
      </c>
      <c r="C1932" t="s">
        <v>887</v>
      </c>
      <c r="D1932">
        <v>15.0438</v>
      </c>
      <c r="E1932">
        <v>16.3736</v>
      </c>
      <c r="F1932">
        <v>0.0883952192929978</v>
      </c>
      <c r="G1932">
        <f ca="1" t="shared" si="90"/>
        <v>1.03757810146579</v>
      </c>
      <c r="H1932" t="str">
        <f ca="1" t="shared" si="91"/>
        <v>Risk-On</v>
      </c>
      <c r="I1932">
        <f ca="1" t="shared" si="92"/>
        <v>1</v>
      </c>
      <c r="J1932">
        <f>_xlfn.XLOOKUP($A1932,[1]Sheet1!$B$9:$B$2584,[1]Sheet1!$C$9:$C$2584,"N/A",0)</f>
        <v>106.54</v>
      </c>
      <c r="K1932">
        <f>_xlfn.XLOOKUP($A1932,[1]Sheet1!$E$9:$E$2584,[1]Sheet1!$F$9:$F$2584,"N/A",0)</f>
        <v>135.04</v>
      </c>
      <c r="L1932">
        <f>_xlfn.XLOOKUP($A1932,[1]Sheet1!$H$9:$H$2584,[1]Sheet1!$I$9:$I$2584,"N/A",0)</f>
        <v>65.6</v>
      </c>
      <c r="M1932">
        <f>_xlfn.XLOOKUP($A1932,[1]Sheet1!$K$9:$K$2584,[1]Sheet1!$L$9:$L$2584,"N/A",0)</f>
        <v>138.31</v>
      </c>
      <c r="N1932">
        <f>_xlfn.XLOOKUP($A1932,[1]Sheet1!$N$9:$N$2584,[1]Sheet1!$O$9:$O$2584,"N/A",0)</f>
        <v>119.83</v>
      </c>
      <c r="O1932">
        <v>106.54</v>
      </c>
      <c r="P1932">
        <v>135.04</v>
      </c>
      <c r="Q1932">
        <v>65.6</v>
      </c>
      <c r="R1932">
        <v>119.83</v>
      </c>
      <c r="S1932">
        <v>138.31</v>
      </c>
    </row>
    <row r="1933" spans="1:19">
      <c r="A1933" s="1">
        <v>45170</v>
      </c>
      <c r="B1933" t="s">
        <v>879</v>
      </c>
      <c r="C1933" t="s">
        <v>887</v>
      </c>
      <c r="D1933">
        <v>14.7971</v>
      </c>
      <c r="E1933">
        <v>16.2094</v>
      </c>
      <c r="F1933">
        <v>0.0954443776145324</v>
      </c>
      <c r="G1933">
        <f ca="1" t="shared" si="90"/>
        <v>1.22121967192766</v>
      </c>
      <c r="H1933" t="str">
        <f ca="1" t="shared" si="91"/>
        <v>Risk-On</v>
      </c>
      <c r="I1933">
        <f ca="1" t="shared" si="92"/>
        <v>1</v>
      </c>
      <c r="J1933">
        <f>_xlfn.XLOOKUP($A1933,[1]Sheet1!$B$9:$B$2584,[1]Sheet1!$C$9:$C$2584,"N/A",0)</f>
        <v>106.91</v>
      </c>
      <c r="K1933">
        <f>_xlfn.XLOOKUP($A1933,[1]Sheet1!$E$9:$E$2584,[1]Sheet1!$F$9:$F$2584,"N/A",0)</f>
        <v>135.2</v>
      </c>
      <c r="L1933">
        <f>_xlfn.XLOOKUP($A1933,[1]Sheet1!$H$9:$H$2584,[1]Sheet1!$I$9:$I$2584,"N/A",0)</f>
        <v>66.17</v>
      </c>
      <c r="M1933">
        <f>_xlfn.XLOOKUP($A1933,[1]Sheet1!$K$9:$K$2584,[1]Sheet1!$L$9:$L$2584,"N/A",0)</f>
        <v>138.59</v>
      </c>
      <c r="N1933">
        <f>_xlfn.XLOOKUP($A1933,[1]Sheet1!$N$9:$N$2584,[1]Sheet1!$O$9:$O$2584,"N/A",0)</f>
        <v>119.38</v>
      </c>
      <c r="O1933">
        <v>106.91</v>
      </c>
      <c r="P1933">
        <v>135.2</v>
      </c>
      <c r="Q1933">
        <v>66.17</v>
      </c>
      <c r="R1933">
        <v>119.38</v>
      </c>
      <c r="S1933">
        <v>138.59</v>
      </c>
    </row>
    <row r="1934" spans="1:19">
      <c r="A1934" s="1">
        <v>45174</v>
      </c>
      <c r="B1934" t="s">
        <v>879</v>
      </c>
      <c r="C1934" t="s">
        <v>887</v>
      </c>
      <c r="D1934">
        <v>14.9927</v>
      </c>
      <c r="E1934">
        <v>16.1975</v>
      </c>
      <c r="F1934">
        <v>0.0803591080992751</v>
      </c>
      <c r="G1934">
        <f ca="1" t="shared" si="90"/>
        <v>0.790317926446564</v>
      </c>
      <c r="H1934" t="str">
        <f ca="1" t="shared" si="91"/>
        <v>Risk-On</v>
      </c>
      <c r="I1934">
        <f ca="1" t="shared" si="92"/>
        <v>1</v>
      </c>
      <c r="J1934">
        <f>_xlfn.XLOOKUP($A1934,[1]Sheet1!$B$9:$B$2584,[1]Sheet1!$C$9:$C$2584,"N/A",0)</f>
        <v>107.22</v>
      </c>
      <c r="K1934">
        <f>_xlfn.XLOOKUP($A1934,[1]Sheet1!$E$9:$E$2584,[1]Sheet1!$F$9:$F$2584,"N/A",0)</f>
        <v>135.05</v>
      </c>
      <c r="L1934">
        <f>_xlfn.XLOOKUP($A1934,[1]Sheet1!$H$9:$H$2584,[1]Sheet1!$I$9:$I$2584,"N/A",0)</f>
        <v>65.83</v>
      </c>
      <c r="M1934">
        <f>_xlfn.XLOOKUP($A1934,[1]Sheet1!$K$9:$K$2584,[1]Sheet1!$L$9:$L$2584,"N/A",0)</f>
        <v>138.83</v>
      </c>
      <c r="N1934">
        <f>_xlfn.XLOOKUP($A1934,[1]Sheet1!$N$9:$N$2584,[1]Sheet1!$O$9:$O$2584,"N/A",0)</f>
        <v>121.12</v>
      </c>
      <c r="O1934">
        <v>107.22</v>
      </c>
      <c r="P1934">
        <v>135.05</v>
      </c>
      <c r="Q1934">
        <v>65.83</v>
      </c>
      <c r="R1934">
        <v>121.12</v>
      </c>
      <c r="S1934">
        <v>138.83</v>
      </c>
    </row>
    <row r="1935" spans="1:19">
      <c r="A1935" s="1">
        <v>45175</v>
      </c>
      <c r="B1935" t="s">
        <v>879</v>
      </c>
      <c r="C1935" t="s">
        <v>887</v>
      </c>
      <c r="D1935">
        <v>15.3467</v>
      </c>
      <c r="E1935">
        <v>16.4978</v>
      </c>
      <c r="F1935">
        <v>0.0750063531573563</v>
      </c>
      <c r="G1935">
        <f ca="1" t="shared" si="90"/>
        <v>0.638297169376749</v>
      </c>
      <c r="H1935" t="str">
        <f ca="1" t="shared" si="91"/>
        <v>Risk-On</v>
      </c>
      <c r="I1935">
        <f ca="1" t="shared" si="92"/>
        <v>1</v>
      </c>
      <c r="J1935">
        <f>_xlfn.XLOOKUP($A1935,[1]Sheet1!$B$9:$B$2584,[1]Sheet1!$C$9:$C$2584,"N/A",0)</f>
        <v>107.39</v>
      </c>
      <c r="K1935">
        <f>_xlfn.XLOOKUP($A1935,[1]Sheet1!$E$9:$E$2584,[1]Sheet1!$F$9:$F$2584,"N/A",0)</f>
        <v>136.78</v>
      </c>
      <c r="L1935">
        <f>_xlfn.XLOOKUP($A1935,[1]Sheet1!$H$9:$H$2584,[1]Sheet1!$I$9:$I$2584,"N/A",0)</f>
        <v>65.35</v>
      </c>
      <c r="M1935">
        <f>_xlfn.XLOOKUP($A1935,[1]Sheet1!$K$9:$K$2584,[1]Sheet1!$L$9:$L$2584,"N/A",0)</f>
        <v>139.23</v>
      </c>
      <c r="N1935">
        <f>_xlfn.XLOOKUP($A1935,[1]Sheet1!$N$9:$N$2584,[1]Sheet1!$O$9:$O$2584,"N/A",0)</f>
        <v>120.92</v>
      </c>
      <c r="O1935">
        <v>107.39</v>
      </c>
      <c r="P1935">
        <v>136.78</v>
      </c>
      <c r="Q1935">
        <v>65.35</v>
      </c>
      <c r="R1935">
        <v>120.92</v>
      </c>
      <c r="S1935">
        <v>139.23</v>
      </c>
    </row>
    <row r="1936" spans="1:19">
      <c r="A1936" s="1">
        <v>45176</v>
      </c>
      <c r="B1936" t="s">
        <v>879</v>
      </c>
      <c r="C1936" t="s">
        <v>887</v>
      </c>
      <c r="D1936">
        <v>15.3022</v>
      </c>
      <c r="E1936">
        <v>16.439</v>
      </c>
      <c r="F1936">
        <v>0.0742899713766648</v>
      </c>
      <c r="G1936">
        <f ca="1" t="shared" si="90"/>
        <v>0.615668517836311</v>
      </c>
      <c r="H1936" t="str">
        <f ca="1" t="shared" si="91"/>
        <v>Risk-On</v>
      </c>
      <c r="I1936">
        <f ca="1" t="shared" si="92"/>
        <v>1</v>
      </c>
      <c r="J1936">
        <f>_xlfn.XLOOKUP($A1936,[1]Sheet1!$B$9:$B$2584,[1]Sheet1!$C$9:$C$2584,"N/A",0)</f>
        <v>107.72</v>
      </c>
      <c r="K1936">
        <f>_xlfn.XLOOKUP($A1936,[1]Sheet1!$E$9:$E$2584,[1]Sheet1!$F$9:$F$2584,"N/A",0)</f>
        <v>137.96</v>
      </c>
      <c r="L1936">
        <f>_xlfn.XLOOKUP($A1936,[1]Sheet1!$H$9:$H$2584,[1]Sheet1!$I$9:$I$2584,"N/A",0)</f>
        <v>64.97</v>
      </c>
      <c r="M1936">
        <f>_xlfn.XLOOKUP($A1936,[1]Sheet1!$K$9:$K$2584,[1]Sheet1!$L$9:$L$2584,"N/A",0)</f>
        <v>139.54</v>
      </c>
      <c r="N1936">
        <f>_xlfn.XLOOKUP($A1936,[1]Sheet1!$N$9:$N$2584,[1]Sheet1!$O$9:$O$2584,"N/A",0)</f>
        <v>121.96</v>
      </c>
      <c r="O1936">
        <v>107.72</v>
      </c>
      <c r="P1936">
        <v>137.96</v>
      </c>
      <c r="Q1936">
        <v>64.97</v>
      </c>
      <c r="R1936">
        <v>121.96</v>
      </c>
      <c r="S1936">
        <v>139.54</v>
      </c>
    </row>
    <row r="1937" spans="1:19">
      <c r="A1937" s="1">
        <v>45177</v>
      </c>
      <c r="B1937" t="s">
        <v>879</v>
      </c>
      <c r="C1937" t="s">
        <v>887</v>
      </c>
      <c r="D1937">
        <v>14.9405</v>
      </c>
      <c r="E1937">
        <v>16.1484</v>
      </c>
      <c r="F1937">
        <v>0.0808473611994242</v>
      </c>
      <c r="G1937">
        <f ca="1" t="shared" si="90"/>
        <v>0.795078273259399</v>
      </c>
      <c r="H1937" t="str">
        <f ca="1" t="shared" si="91"/>
        <v>Risk-Off</v>
      </c>
      <c r="I1937">
        <f ca="1" t="shared" si="92"/>
        <v>1</v>
      </c>
      <c r="J1937">
        <f>_xlfn.XLOOKUP($A1937,[1]Sheet1!$B$9:$B$2584,[1]Sheet1!$C$9:$C$2584,"N/A",0)</f>
        <v>107.24</v>
      </c>
      <c r="K1937">
        <f>_xlfn.XLOOKUP($A1937,[1]Sheet1!$E$9:$E$2584,[1]Sheet1!$F$9:$F$2584,"N/A",0)</f>
        <v>137.73</v>
      </c>
      <c r="L1937">
        <f>_xlfn.XLOOKUP($A1937,[1]Sheet1!$H$9:$H$2584,[1]Sheet1!$I$9:$I$2584,"N/A",0)</f>
        <v>65.71</v>
      </c>
      <c r="M1937">
        <f>_xlfn.XLOOKUP($A1937,[1]Sheet1!$K$9:$K$2584,[1]Sheet1!$L$9:$L$2584,"N/A",0)</f>
        <v>139.34</v>
      </c>
      <c r="N1937">
        <f>_xlfn.XLOOKUP($A1937,[1]Sheet1!$N$9:$N$2584,[1]Sheet1!$O$9:$O$2584,"N/A",0)</f>
        <v>122.33</v>
      </c>
      <c r="O1937">
        <v>107.24</v>
      </c>
      <c r="P1937">
        <v>137.73</v>
      </c>
      <c r="Q1937">
        <v>65.71</v>
      </c>
      <c r="R1937">
        <v>122.33</v>
      </c>
      <c r="S1937">
        <v>139.34</v>
      </c>
    </row>
    <row r="1938" spans="1:19">
      <c r="A1938" s="1">
        <v>45180</v>
      </c>
      <c r="B1938" t="s">
        <v>879</v>
      </c>
      <c r="C1938" t="s">
        <v>887</v>
      </c>
      <c r="D1938">
        <v>14.5844</v>
      </c>
      <c r="E1938">
        <v>15.8099</v>
      </c>
      <c r="F1938">
        <v>0.0840281396560708</v>
      </c>
      <c r="G1938">
        <f ca="1" t="shared" si="90"/>
        <v>0.875828211642962</v>
      </c>
      <c r="H1938" t="str">
        <f ca="1" t="shared" si="91"/>
        <v>Risk-On</v>
      </c>
      <c r="I1938">
        <f ca="1" t="shared" si="92"/>
        <v>1</v>
      </c>
      <c r="J1938">
        <f>_xlfn.XLOOKUP($A1938,[1]Sheet1!$B$9:$B$2584,[1]Sheet1!$C$9:$C$2584,"N/A",0)</f>
        <v>107.41</v>
      </c>
      <c r="K1938">
        <f>_xlfn.XLOOKUP($A1938,[1]Sheet1!$E$9:$E$2584,[1]Sheet1!$F$9:$F$2584,"N/A",0)</f>
        <v>138.73</v>
      </c>
      <c r="L1938">
        <f>_xlfn.XLOOKUP($A1938,[1]Sheet1!$H$9:$H$2584,[1]Sheet1!$I$9:$I$2584,"N/A",0)</f>
        <v>65.62</v>
      </c>
      <c r="M1938">
        <f>_xlfn.XLOOKUP($A1938,[1]Sheet1!$K$9:$K$2584,[1]Sheet1!$L$9:$L$2584,"N/A",0)</f>
        <v>138.77</v>
      </c>
      <c r="N1938">
        <f>_xlfn.XLOOKUP($A1938,[1]Sheet1!$N$9:$N$2584,[1]Sheet1!$O$9:$O$2584,"N/A",0)</f>
        <v>122.62</v>
      </c>
      <c r="O1938">
        <v>107.41</v>
      </c>
      <c r="P1938">
        <v>138.73</v>
      </c>
      <c r="Q1938">
        <v>65.62</v>
      </c>
      <c r="R1938">
        <v>122.62</v>
      </c>
      <c r="S1938">
        <v>138.77</v>
      </c>
    </row>
    <row r="1939" spans="1:19">
      <c r="A1939" s="1">
        <v>45181</v>
      </c>
      <c r="B1939" t="s">
        <v>879</v>
      </c>
      <c r="C1939" t="s">
        <v>887</v>
      </c>
      <c r="D1939">
        <v>14.6385</v>
      </c>
      <c r="E1939">
        <v>15.8595</v>
      </c>
      <c r="F1939">
        <v>0.0834101854698227</v>
      </c>
      <c r="G1939">
        <f ca="1" t="shared" si="90"/>
        <v>0.852315987894228</v>
      </c>
      <c r="H1939" t="str">
        <f ca="1" t="shared" si="91"/>
        <v>Risk-On</v>
      </c>
      <c r="I1939">
        <f ca="1" t="shared" si="92"/>
        <v>1</v>
      </c>
      <c r="J1939">
        <f>_xlfn.XLOOKUP($A1939,[1]Sheet1!$B$9:$B$2584,[1]Sheet1!$C$9:$C$2584,"N/A",0)</f>
        <v>107.79</v>
      </c>
      <c r="K1939">
        <f>_xlfn.XLOOKUP($A1939,[1]Sheet1!$E$9:$E$2584,[1]Sheet1!$F$9:$F$2584,"N/A",0)</f>
        <v>137.16</v>
      </c>
      <c r="L1939">
        <f>_xlfn.XLOOKUP($A1939,[1]Sheet1!$H$9:$H$2584,[1]Sheet1!$I$9:$I$2584,"N/A",0)</f>
        <v>65.88</v>
      </c>
      <c r="M1939">
        <f>_xlfn.XLOOKUP($A1939,[1]Sheet1!$K$9:$K$2584,[1]Sheet1!$L$9:$L$2584,"N/A",0)</f>
        <v>138.11</v>
      </c>
      <c r="N1939">
        <f>_xlfn.XLOOKUP($A1939,[1]Sheet1!$N$9:$N$2584,[1]Sheet1!$O$9:$O$2584,"N/A",0)</f>
        <v>122.72</v>
      </c>
      <c r="O1939">
        <v>107.79</v>
      </c>
      <c r="P1939">
        <v>137.16</v>
      </c>
      <c r="Q1939">
        <v>65.88</v>
      </c>
      <c r="R1939">
        <v>122.72</v>
      </c>
      <c r="S1939">
        <v>138.11</v>
      </c>
    </row>
    <row r="1940" spans="1:19">
      <c r="A1940" s="1">
        <v>45182</v>
      </c>
      <c r="B1940" t="s">
        <v>879</v>
      </c>
      <c r="C1940" t="s">
        <v>887</v>
      </c>
      <c r="D1940">
        <v>13.9985</v>
      </c>
      <c r="E1940">
        <v>15.665</v>
      </c>
      <c r="F1940" s="2" t="s">
        <v>890</v>
      </c>
      <c r="G1940">
        <f ca="1" t="shared" si="90"/>
        <v>1.83196331825389</v>
      </c>
      <c r="H1940" t="str">
        <f ca="1" t="shared" si="91"/>
        <v>Risk-On</v>
      </c>
      <c r="I1940">
        <f ca="1" t="shared" si="92"/>
        <v>1</v>
      </c>
      <c r="J1940">
        <f>_xlfn.XLOOKUP($A1940,[1]Sheet1!$B$9:$B$2584,[1]Sheet1!$C$9:$C$2584,"N/A",0)</f>
        <v>107.48</v>
      </c>
      <c r="K1940">
        <f>_xlfn.XLOOKUP($A1940,[1]Sheet1!$E$9:$E$2584,[1]Sheet1!$F$9:$F$2584,"N/A",0)</f>
        <v>137.08</v>
      </c>
      <c r="L1940">
        <f>_xlfn.XLOOKUP($A1940,[1]Sheet1!$H$9:$H$2584,[1]Sheet1!$I$9:$I$2584,"N/A",0)</f>
        <v>65.47</v>
      </c>
      <c r="M1940">
        <f>_xlfn.XLOOKUP($A1940,[1]Sheet1!$K$9:$K$2584,[1]Sheet1!$L$9:$L$2584,"N/A",0)</f>
        <v>137.7</v>
      </c>
      <c r="N1940">
        <f>_xlfn.XLOOKUP($A1940,[1]Sheet1!$N$9:$N$2584,[1]Sheet1!$O$9:$O$2584,"N/A",0)</f>
        <v>123.23</v>
      </c>
      <c r="O1940">
        <v>107.48</v>
      </c>
      <c r="P1940">
        <v>137.08</v>
      </c>
      <c r="Q1940">
        <v>65.47</v>
      </c>
      <c r="R1940">
        <v>123.23</v>
      </c>
      <c r="S1940">
        <v>137.7</v>
      </c>
    </row>
    <row r="1941" spans="1:19">
      <c r="A1941" s="1">
        <v>45183</v>
      </c>
      <c r="B1941" t="s">
        <v>879</v>
      </c>
      <c r="C1941" t="s">
        <v>887</v>
      </c>
      <c r="D1941">
        <v>13.3689</v>
      </c>
      <c r="E1941">
        <v>15.2378</v>
      </c>
      <c r="F1941" s="2" t="s">
        <v>891</v>
      </c>
      <c r="G1941">
        <f ca="1" t="shared" si="90"/>
        <v>2.39899528667934</v>
      </c>
      <c r="H1941" t="str">
        <f ca="1" t="shared" si="91"/>
        <v>Risk-On</v>
      </c>
      <c r="I1941">
        <f ca="1" t="shared" si="92"/>
        <v>1</v>
      </c>
      <c r="J1941">
        <f>_xlfn.XLOOKUP($A1941,[1]Sheet1!$B$9:$B$2584,[1]Sheet1!$C$9:$C$2584,"N/A",0)</f>
        <v>107.25</v>
      </c>
      <c r="K1941">
        <f>_xlfn.XLOOKUP($A1941,[1]Sheet1!$E$9:$E$2584,[1]Sheet1!$F$9:$F$2584,"N/A",0)</f>
        <v>136.3</v>
      </c>
      <c r="L1941">
        <f>_xlfn.XLOOKUP($A1941,[1]Sheet1!$H$9:$H$2584,[1]Sheet1!$I$9:$I$2584,"N/A",0)</f>
        <v>65.68</v>
      </c>
      <c r="M1941">
        <f>_xlfn.XLOOKUP($A1941,[1]Sheet1!$K$9:$K$2584,[1]Sheet1!$L$9:$L$2584,"N/A",0)</f>
        <v>136.93</v>
      </c>
      <c r="N1941">
        <f>_xlfn.XLOOKUP($A1941,[1]Sheet1!$N$9:$N$2584,[1]Sheet1!$O$9:$O$2584,"N/A",0)</f>
        <v>122.56</v>
      </c>
      <c r="O1941">
        <v>107.25</v>
      </c>
      <c r="P1941">
        <v>136.3</v>
      </c>
      <c r="Q1941">
        <v>65.68</v>
      </c>
      <c r="R1941">
        <v>122.56</v>
      </c>
      <c r="S1941">
        <v>136.93</v>
      </c>
    </row>
    <row r="1942" spans="1:19">
      <c r="A1942" s="1">
        <v>45184</v>
      </c>
      <c r="B1942" t="s">
        <v>879</v>
      </c>
      <c r="C1942" t="s">
        <v>887</v>
      </c>
      <c r="D1942">
        <v>14.2528</v>
      </c>
      <c r="E1942">
        <v>15.7721</v>
      </c>
      <c r="F1942" s="2" t="s">
        <v>892</v>
      </c>
      <c r="G1942">
        <f ca="1" t="shared" si="90"/>
        <v>1.48547030837249</v>
      </c>
      <c r="H1942" t="str">
        <f ca="1" t="shared" si="91"/>
        <v>Risk-On</v>
      </c>
      <c r="I1942">
        <f ca="1" t="shared" si="92"/>
        <v>1</v>
      </c>
      <c r="J1942">
        <f>_xlfn.XLOOKUP($A1942,[1]Sheet1!$B$9:$B$2584,[1]Sheet1!$C$9:$C$2584,"N/A",0)</f>
        <v>107</v>
      </c>
      <c r="K1942">
        <f>_xlfn.XLOOKUP($A1942,[1]Sheet1!$E$9:$E$2584,[1]Sheet1!$F$9:$F$2584,"N/A",0)</f>
        <v>135.44</v>
      </c>
      <c r="L1942">
        <f>_xlfn.XLOOKUP($A1942,[1]Sheet1!$H$9:$H$2584,[1]Sheet1!$I$9:$I$2584,"N/A",0)</f>
        <v>65.84</v>
      </c>
      <c r="M1942">
        <f>_xlfn.XLOOKUP($A1942,[1]Sheet1!$K$9:$K$2584,[1]Sheet1!$L$9:$L$2584,"N/A",0)</f>
        <v>135.66</v>
      </c>
      <c r="N1942">
        <f>_xlfn.XLOOKUP($A1942,[1]Sheet1!$N$9:$N$2584,[1]Sheet1!$O$9:$O$2584,"N/A",0)</f>
        <v>122.31</v>
      </c>
      <c r="O1942">
        <v>107</v>
      </c>
      <c r="P1942">
        <v>135.44</v>
      </c>
      <c r="Q1942">
        <v>65.84</v>
      </c>
      <c r="R1942">
        <v>122.31</v>
      </c>
      <c r="S1942">
        <v>135.66</v>
      </c>
    </row>
    <row r="1943" spans="1:19">
      <c r="A1943" s="1">
        <v>45187</v>
      </c>
      <c r="B1943" t="s">
        <v>879</v>
      </c>
      <c r="C1943" t="s">
        <v>887</v>
      </c>
      <c r="D1943">
        <v>14.0971</v>
      </c>
      <c r="E1943">
        <v>15.6816</v>
      </c>
      <c r="F1943" s="2" t="s">
        <v>893</v>
      </c>
      <c r="G1943">
        <f ca="1" t="shared" si="90"/>
        <v>1.6384510106614</v>
      </c>
      <c r="H1943" t="str">
        <f ca="1" t="shared" si="91"/>
        <v>Risk-On</v>
      </c>
      <c r="I1943">
        <f ca="1" t="shared" si="92"/>
        <v>1</v>
      </c>
      <c r="J1943">
        <f>_xlfn.XLOOKUP($A1943,[1]Sheet1!$B$9:$B$2584,[1]Sheet1!$C$9:$C$2584,"N/A",0)</f>
        <v>107.26</v>
      </c>
      <c r="K1943">
        <f>_xlfn.XLOOKUP($A1943,[1]Sheet1!$E$9:$E$2584,[1]Sheet1!$F$9:$F$2584,"N/A",0)</f>
        <v>137.14</v>
      </c>
      <c r="L1943">
        <f>_xlfn.XLOOKUP($A1943,[1]Sheet1!$H$9:$H$2584,[1]Sheet1!$I$9:$I$2584,"N/A",0)</f>
        <v>65.58</v>
      </c>
      <c r="M1943">
        <f>_xlfn.XLOOKUP($A1943,[1]Sheet1!$K$9:$K$2584,[1]Sheet1!$L$9:$L$2584,"N/A",0)</f>
        <v>135.72</v>
      </c>
      <c r="N1943">
        <f>_xlfn.XLOOKUP($A1943,[1]Sheet1!$N$9:$N$2584,[1]Sheet1!$O$9:$O$2584,"N/A",0)</f>
        <v>122.8</v>
      </c>
      <c r="O1943">
        <v>107.26</v>
      </c>
      <c r="P1943">
        <v>137.14</v>
      </c>
      <c r="Q1943">
        <v>65.58</v>
      </c>
      <c r="R1943">
        <v>122.8</v>
      </c>
      <c r="S1943">
        <v>135.72</v>
      </c>
    </row>
    <row r="1944" spans="1:19">
      <c r="A1944" s="1">
        <v>45188</v>
      </c>
      <c r="B1944" t="s">
        <v>879</v>
      </c>
      <c r="C1944" t="s">
        <v>887</v>
      </c>
      <c r="D1944">
        <v>14.0519</v>
      </c>
      <c r="E1944">
        <v>15.5728</v>
      </c>
      <c r="F1944" s="2" t="s">
        <v>894</v>
      </c>
      <c r="G1944">
        <f ca="1" t="shared" si="90"/>
        <v>1.51757780929332</v>
      </c>
      <c r="H1944" t="str">
        <f ca="1" t="shared" si="91"/>
        <v>Risk-On</v>
      </c>
      <c r="I1944">
        <f ca="1" t="shared" si="92"/>
        <v>1</v>
      </c>
      <c r="J1944">
        <f>_xlfn.XLOOKUP($A1944,[1]Sheet1!$B$9:$B$2584,[1]Sheet1!$C$9:$C$2584,"N/A",0)</f>
        <v>107.35</v>
      </c>
      <c r="K1944">
        <f>_xlfn.XLOOKUP($A1944,[1]Sheet1!$E$9:$E$2584,[1]Sheet1!$F$9:$F$2584,"N/A",0)</f>
        <v>136.57</v>
      </c>
      <c r="L1944">
        <f>_xlfn.XLOOKUP($A1944,[1]Sheet1!$H$9:$H$2584,[1]Sheet1!$I$9:$I$2584,"N/A",0)</f>
        <v>66.12</v>
      </c>
      <c r="M1944">
        <f>_xlfn.XLOOKUP($A1944,[1]Sheet1!$K$9:$K$2584,[1]Sheet1!$L$9:$L$2584,"N/A",0)</f>
        <v>136.38</v>
      </c>
      <c r="N1944">
        <f>_xlfn.XLOOKUP($A1944,[1]Sheet1!$N$9:$N$2584,[1]Sheet1!$O$9:$O$2584,"N/A",0)</f>
        <v>122.71</v>
      </c>
      <c r="O1944">
        <v>107.35</v>
      </c>
      <c r="P1944">
        <v>136.57</v>
      </c>
      <c r="Q1944">
        <v>66.12</v>
      </c>
      <c r="R1944">
        <v>122.71</v>
      </c>
      <c r="S1944">
        <v>136.38</v>
      </c>
    </row>
    <row r="1945" spans="1:19">
      <c r="A1945" s="1">
        <v>45189</v>
      </c>
      <c r="B1945" t="s">
        <v>879</v>
      </c>
      <c r="C1945" t="s">
        <v>887</v>
      </c>
      <c r="D1945">
        <v>13.96</v>
      </c>
      <c r="E1945">
        <v>16.1696</v>
      </c>
      <c r="F1945" s="2" t="s">
        <v>895</v>
      </c>
      <c r="G1945">
        <f ca="1" t="shared" si="90"/>
        <v>2.8771485766823</v>
      </c>
      <c r="H1945" t="str">
        <f ca="1" t="shared" si="91"/>
        <v>Risk-Off</v>
      </c>
      <c r="I1945">
        <f ca="1" t="shared" si="92"/>
        <v>1</v>
      </c>
      <c r="J1945">
        <f>_xlfn.XLOOKUP($A1945,[1]Sheet1!$B$9:$B$2584,[1]Sheet1!$C$9:$C$2584,"N/A",0)</f>
        <v>107.38</v>
      </c>
      <c r="K1945">
        <f>_xlfn.XLOOKUP($A1945,[1]Sheet1!$E$9:$E$2584,[1]Sheet1!$F$9:$F$2584,"N/A",0)</f>
        <v>136.21</v>
      </c>
      <c r="L1945">
        <f>_xlfn.XLOOKUP($A1945,[1]Sheet1!$H$9:$H$2584,[1]Sheet1!$I$9:$I$2584,"N/A",0)</f>
        <v>66.08</v>
      </c>
      <c r="M1945">
        <f>_xlfn.XLOOKUP($A1945,[1]Sheet1!$K$9:$K$2584,[1]Sheet1!$L$9:$L$2584,"N/A",0)</f>
        <v>135.94</v>
      </c>
      <c r="N1945">
        <f>_xlfn.XLOOKUP($A1945,[1]Sheet1!$N$9:$N$2584,[1]Sheet1!$O$9:$O$2584,"N/A",0)</f>
        <v>122.6</v>
      </c>
      <c r="O1945">
        <v>107.38</v>
      </c>
      <c r="P1945">
        <v>136.21</v>
      </c>
      <c r="Q1945">
        <v>66.08</v>
      </c>
      <c r="R1945">
        <v>122.6</v>
      </c>
      <c r="S1945">
        <v>135.94</v>
      </c>
    </row>
    <row r="1946" spans="1:19">
      <c r="A1946" s="1">
        <v>45190</v>
      </c>
      <c r="B1946" t="s">
        <v>887</v>
      </c>
      <c r="C1946" t="s">
        <v>896</v>
      </c>
      <c r="D1946">
        <v>17.4859</v>
      </c>
      <c r="E1946">
        <v>17.7975</v>
      </c>
      <c r="F1946" s="2" t="s">
        <v>897</v>
      </c>
      <c r="G1946">
        <f ca="1" t="shared" si="90"/>
        <v>-0.956851461087468</v>
      </c>
      <c r="H1946" t="str">
        <f ca="1" t="shared" si="91"/>
        <v>Risk-Off</v>
      </c>
      <c r="I1946">
        <f ca="1" t="shared" si="92"/>
        <v>1</v>
      </c>
      <c r="J1946">
        <f>_xlfn.XLOOKUP($A1946,[1]Sheet1!$B$9:$B$2584,[1]Sheet1!$C$9:$C$2584,"N/A",0)</f>
        <v>106.84</v>
      </c>
      <c r="K1946">
        <f>_xlfn.XLOOKUP($A1946,[1]Sheet1!$E$9:$E$2584,[1]Sheet1!$F$9:$F$2584,"N/A",0)</f>
        <v>136.04</v>
      </c>
      <c r="L1946">
        <f>_xlfn.XLOOKUP($A1946,[1]Sheet1!$H$9:$H$2584,[1]Sheet1!$I$9:$I$2584,"N/A",0)</f>
        <v>66.67</v>
      </c>
      <c r="M1946">
        <f>_xlfn.XLOOKUP($A1946,[1]Sheet1!$K$9:$K$2584,[1]Sheet1!$L$9:$L$2584,"N/A",0)</f>
        <v>137.08</v>
      </c>
      <c r="N1946">
        <f>_xlfn.XLOOKUP($A1946,[1]Sheet1!$N$9:$N$2584,[1]Sheet1!$O$9:$O$2584,"N/A",0)</f>
        <v>122.25</v>
      </c>
      <c r="O1946">
        <v>106.84</v>
      </c>
      <c r="P1946">
        <v>136.04</v>
      </c>
      <c r="Q1946">
        <v>66.67</v>
      </c>
      <c r="R1946">
        <v>122.25</v>
      </c>
      <c r="S1946">
        <v>137.08</v>
      </c>
    </row>
    <row r="1947" spans="1:19">
      <c r="A1947" s="1">
        <v>45191</v>
      </c>
      <c r="B1947" t="s">
        <v>887</v>
      </c>
      <c r="C1947" t="s">
        <v>896</v>
      </c>
      <c r="D1947">
        <v>17.4916</v>
      </c>
      <c r="E1947">
        <v>17.8893</v>
      </c>
      <c r="F1947" s="2" t="s">
        <v>898</v>
      </c>
      <c r="G1947">
        <f ca="1" t="shared" si="90"/>
        <v>-0.822649718700667</v>
      </c>
      <c r="H1947" t="str">
        <f ca="1" t="shared" si="91"/>
        <v>Risk-Off</v>
      </c>
      <c r="I1947">
        <f ca="1" t="shared" si="92"/>
        <v>1</v>
      </c>
      <c r="J1947">
        <f>_xlfn.XLOOKUP($A1947,[1]Sheet1!$B$9:$B$2584,[1]Sheet1!$C$9:$C$2584,"N/A",0)</f>
        <v>107.02</v>
      </c>
      <c r="K1947">
        <f>_xlfn.XLOOKUP($A1947,[1]Sheet1!$E$9:$E$2584,[1]Sheet1!$F$9:$F$2584,"N/A",0)</f>
        <v>136.99</v>
      </c>
      <c r="L1947">
        <f>_xlfn.XLOOKUP($A1947,[1]Sheet1!$H$9:$H$2584,[1]Sheet1!$I$9:$I$2584,"N/A",0)</f>
        <v>66.57</v>
      </c>
      <c r="M1947">
        <f>_xlfn.XLOOKUP($A1947,[1]Sheet1!$K$9:$K$2584,[1]Sheet1!$L$9:$L$2584,"N/A",0)</f>
        <v>137.08</v>
      </c>
      <c r="N1947">
        <f>_xlfn.XLOOKUP($A1947,[1]Sheet1!$N$9:$N$2584,[1]Sheet1!$O$9:$O$2584,"N/A",0)</f>
        <v>122.35</v>
      </c>
      <c r="O1947">
        <v>107.02</v>
      </c>
      <c r="P1947">
        <v>136.99</v>
      </c>
      <c r="Q1947">
        <v>66.57</v>
      </c>
      <c r="R1947">
        <v>122.35</v>
      </c>
      <c r="S1947">
        <v>137.08</v>
      </c>
    </row>
    <row r="1948" spans="1:19">
      <c r="A1948" s="1">
        <v>45194</v>
      </c>
      <c r="B1948" t="s">
        <v>887</v>
      </c>
      <c r="C1948" t="s">
        <v>896</v>
      </c>
      <c r="D1948">
        <v>17.4974</v>
      </c>
      <c r="E1948">
        <v>17.9872</v>
      </c>
      <c r="F1948" s="2" t="s">
        <v>899</v>
      </c>
      <c r="G1948">
        <f ca="1" t="shared" si="90"/>
        <v>-0.676161033118353</v>
      </c>
      <c r="H1948" t="str">
        <f ca="1" t="shared" si="91"/>
        <v>Risk-Off</v>
      </c>
      <c r="I1948">
        <f ca="1" t="shared" si="92"/>
        <v>1</v>
      </c>
      <c r="J1948">
        <f>_xlfn.XLOOKUP($A1948,[1]Sheet1!$B$9:$B$2584,[1]Sheet1!$C$9:$C$2584,"N/A",0)</f>
        <v>106.58</v>
      </c>
      <c r="K1948">
        <f>_xlfn.XLOOKUP($A1948,[1]Sheet1!$E$9:$E$2584,[1]Sheet1!$F$9:$F$2584,"N/A",0)</f>
        <v>136.97</v>
      </c>
      <c r="L1948">
        <f>_xlfn.XLOOKUP($A1948,[1]Sheet1!$H$9:$H$2584,[1]Sheet1!$I$9:$I$2584,"N/A",0)</f>
        <v>66.75</v>
      </c>
      <c r="M1948">
        <f>_xlfn.XLOOKUP($A1948,[1]Sheet1!$K$9:$K$2584,[1]Sheet1!$L$9:$L$2584,"N/A",0)</f>
        <v>137.49</v>
      </c>
      <c r="N1948">
        <f>_xlfn.XLOOKUP($A1948,[1]Sheet1!$N$9:$N$2584,[1]Sheet1!$O$9:$O$2584,"N/A",0)</f>
        <v>122.29</v>
      </c>
      <c r="O1948">
        <v>106.58</v>
      </c>
      <c r="P1948">
        <v>136.97</v>
      </c>
      <c r="Q1948">
        <v>66.75</v>
      </c>
      <c r="R1948">
        <v>122.29</v>
      </c>
      <c r="S1948">
        <v>137.49</v>
      </c>
    </row>
    <row r="1949" spans="1:19">
      <c r="A1949" s="1">
        <v>45195</v>
      </c>
      <c r="B1949" t="s">
        <v>887</v>
      </c>
      <c r="C1949" t="s">
        <v>896</v>
      </c>
      <c r="D1949">
        <v>19.1742</v>
      </c>
      <c r="E1949">
        <v>19.2555</v>
      </c>
      <c r="F1949">
        <v>0.00424007259755308</v>
      </c>
      <c r="G1949">
        <f ca="1" t="shared" si="90"/>
        <v>-1.34045772424472</v>
      </c>
      <c r="H1949" t="str">
        <f ca="1" t="shared" si="91"/>
        <v>Risk-Off</v>
      </c>
      <c r="I1949">
        <f ca="1" t="shared" si="92"/>
        <v>1</v>
      </c>
      <c r="J1949">
        <f>_xlfn.XLOOKUP($A1949,[1]Sheet1!$B$9:$B$2584,[1]Sheet1!$C$9:$C$2584,"N/A",0)</f>
        <v>106.24</v>
      </c>
      <c r="K1949">
        <f>_xlfn.XLOOKUP($A1949,[1]Sheet1!$E$9:$E$2584,[1]Sheet1!$F$9:$F$2584,"N/A",0)</f>
        <v>136.5</v>
      </c>
      <c r="L1949">
        <f>_xlfn.XLOOKUP($A1949,[1]Sheet1!$H$9:$H$2584,[1]Sheet1!$I$9:$I$2584,"N/A",0)</f>
        <v>66.5</v>
      </c>
      <c r="M1949">
        <f>_xlfn.XLOOKUP($A1949,[1]Sheet1!$K$9:$K$2584,[1]Sheet1!$L$9:$L$2584,"N/A",0)</f>
        <v>137.27</v>
      </c>
      <c r="N1949">
        <f>_xlfn.XLOOKUP($A1949,[1]Sheet1!$N$9:$N$2584,[1]Sheet1!$O$9:$O$2584,"N/A",0)</f>
        <v>121.9</v>
      </c>
      <c r="O1949">
        <v>106.24</v>
      </c>
      <c r="P1949">
        <v>136.5</v>
      </c>
      <c r="Q1949">
        <v>66.5</v>
      </c>
      <c r="R1949">
        <v>121.9</v>
      </c>
      <c r="S1949">
        <v>137.27</v>
      </c>
    </row>
    <row r="1950" spans="1:19">
      <c r="A1950" s="1">
        <v>45196</v>
      </c>
      <c r="B1950" t="s">
        <v>887</v>
      </c>
      <c r="C1950" t="s">
        <v>896</v>
      </c>
      <c r="D1950">
        <v>18.3022</v>
      </c>
      <c r="E1950">
        <v>18.75</v>
      </c>
      <c r="F1950">
        <v>0.0244670039667362</v>
      </c>
      <c r="G1950">
        <f ca="1" t="shared" si="90"/>
        <v>-0.798122176180015</v>
      </c>
      <c r="H1950" t="str">
        <f ca="1" t="shared" si="91"/>
        <v>Risk-Off</v>
      </c>
      <c r="I1950">
        <f ca="1" t="shared" si="92"/>
        <v>1</v>
      </c>
      <c r="J1950">
        <f>_xlfn.XLOOKUP($A1950,[1]Sheet1!$B$9:$B$2584,[1]Sheet1!$C$9:$C$2584,"N/A",0)</f>
        <v>106.12</v>
      </c>
      <c r="K1950">
        <f>_xlfn.XLOOKUP($A1950,[1]Sheet1!$E$9:$E$2584,[1]Sheet1!$F$9:$F$2584,"N/A",0)</f>
        <v>136.92</v>
      </c>
      <c r="L1950">
        <f>_xlfn.XLOOKUP($A1950,[1]Sheet1!$H$9:$H$2584,[1]Sheet1!$I$9:$I$2584,"N/A",0)</f>
        <v>66.24</v>
      </c>
      <c r="M1950">
        <f>_xlfn.XLOOKUP($A1950,[1]Sheet1!$K$9:$K$2584,[1]Sheet1!$L$9:$L$2584,"N/A",0)</f>
        <v>138.31</v>
      </c>
      <c r="N1950">
        <f>_xlfn.XLOOKUP($A1950,[1]Sheet1!$N$9:$N$2584,[1]Sheet1!$O$9:$O$2584,"N/A",0)</f>
        <v>121.11</v>
      </c>
      <c r="O1950">
        <v>106.12</v>
      </c>
      <c r="P1950">
        <v>136.92</v>
      </c>
      <c r="Q1950">
        <v>66.24</v>
      </c>
      <c r="R1950">
        <v>121.11</v>
      </c>
      <c r="S1950">
        <v>138.31</v>
      </c>
    </row>
    <row r="1951" spans="1:19">
      <c r="A1951" s="1">
        <v>45197</v>
      </c>
      <c r="B1951" t="s">
        <v>887</v>
      </c>
      <c r="C1951" t="s">
        <v>896</v>
      </c>
      <c r="D1951">
        <v>17.3515</v>
      </c>
      <c r="E1951">
        <v>18.0194</v>
      </c>
      <c r="F1951" s="2" t="s">
        <v>900</v>
      </c>
      <c r="G1951">
        <f ca="1" t="shared" si="90"/>
        <v>-0.426174700913308</v>
      </c>
      <c r="H1951" t="str">
        <f ca="1" t="shared" si="91"/>
        <v>Risk-Off</v>
      </c>
      <c r="I1951">
        <f ca="1" t="shared" si="92"/>
        <v>1</v>
      </c>
      <c r="J1951">
        <f>_xlfn.XLOOKUP($A1951,[1]Sheet1!$B$9:$B$2584,[1]Sheet1!$C$9:$C$2584,"N/A",0)</f>
        <v>106.04</v>
      </c>
      <c r="K1951">
        <f>_xlfn.XLOOKUP($A1951,[1]Sheet1!$E$9:$E$2584,[1]Sheet1!$F$9:$F$2584,"N/A",0)</f>
        <v>137.63</v>
      </c>
      <c r="L1951">
        <f>_xlfn.XLOOKUP($A1951,[1]Sheet1!$H$9:$H$2584,[1]Sheet1!$I$9:$I$2584,"N/A",0)</f>
        <v>66.7</v>
      </c>
      <c r="M1951">
        <f>_xlfn.XLOOKUP($A1951,[1]Sheet1!$K$9:$K$2584,[1]Sheet1!$L$9:$L$2584,"N/A",0)</f>
        <v>138.76</v>
      </c>
      <c r="N1951">
        <f>_xlfn.XLOOKUP($A1951,[1]Sheet1!$N$9:$N$2584,[1]Sheet1!$O$9:$O$2584,"N/A",0)</f>
        <v>120.7</v>
      </c>
      <c r="O1951">
        <v>106.04</v>
      </c>
      <c r="P1951">
        <v>137.63</v>
      </c>
      <c r="Q1951">
        <v>66.7</v>
      </c>
      <c r="R1951">
        <v>120.7</v>
      </c>
      <c r="S1951">
        <v>138.76</v>
      </c>
    </row>
    <row r="1952" spans="1:19">
      <c r="A1952" s="1">
        <v>45198</v>
      </c>
      <c r="B1952" t="s">
        <v>887</v>
      </c>
      <c r="C1952" t="s">
        <v>896</v>
      </c>
      <c r="D1952">
        <v>17.7712</v>
      </c>
      <c r="E1952">
        <v>18.2463</v>
      </c>
      <c r="F1952" s="2" t="s">
        <v>901</v>
      </c>
      <c r="G1952">
        <f ca="1" t="shared" si="90"/>
        <v>-0.779721474265752</v>
      </c>
      <c r="H1952" t="str">
        <f ca="1" t="shared" si="91"/>
        <v>Risk-Off</v>
      </c>
      <c r="I1952">
        <f ca="1" t="shared" si="92"/>
        <v>1</v>
      </c>
      <c r="J1952">
        <f>_xlfn.XLOOKUP($A1952,[1]Sheet1!$B$9:$B$2584,[1]Sheet1!$C$9:$C$2584,"N/A",0)</f>
        <v>106.08</v>
      </c>
      <c r="K1952">
        <f>_xlfn.XLOOKUP($A1952,[1]Sheet1!$E$9:$E$2584,[1]Sheet1!$F$9:$F$2584,"N/A",0)</f>
        <v>136.09</v>
      </c>
      <c r="L1952">
        <f>_xlfn.XLOOKUP($A1952,[1]Sheet1!$H$9:$H$2584,[1]Sheet1!$I$9:$I$2584,"N/A",0)</f>
        <v>66.58</v>
      </c>
      <c r="M1952">
        <f>_xlfn.XLOOKUP($A1952,[1]Sheet1!$K$9:$K$2584,[1]Sheet1!$L$9:$L$2584,"N/A",0)</f>
        <v>137.93</v>
      </c>
      <c r="N1952">
        <f>_xlfn.XLOOKUP($A1952,[1]Sheet1!$N$9:$N$2584,[1]Sheet1!$O$9:$O$2584,"N/A",0)</f>
        <v>121.1</v>
      </c>
      <c r="O1952">
        <v>106.08</v>
      </c>
      <c r="P1952">
        <v>136.09</v>
      </c>
      <c r="Q1952">
        <v>66.58</v>
      </c>
      <c r="R1952">
        <v>121.1</v>
      </c>
      <c r="S1952">
        <v>137.93</v>
      </c>
    </row>
    <row r="1953" spans="1:19">
      <c r="A1953" s="1">
        <v>45201</v>
      </c>
      <c r="B1953" t="s">
        <v>887</v>
      </c>
      <c r="C1953" t="s">
        <v>896</v>
      </c>
      <c r="D1953">
        <v>17.8507</v>
      </c>
      <c r="E1953">
        <v>18.238</v>
      </c>
      <c r="F1953">
        <v>0.0216966281434341</v>
      </c>
      <c r="G1953">
        <f ca="1" t="shared" si="90"/>
        <v>-0.940581310138968</v>
      </c>
      <c r="H1953" t="str">
        <f ca="1" t="shared" si="91"/>
        <v>Risk-Off</v>
      </c>
      <c r="I1953">
        <f ca="1" t="shared" si="92"/>
        <v>1</v>
      </c>
      <c r="J1953">
        <f>_xlfn.XLOOKUP($A1953,[1]Sheet1!$B$9:$B$2584,[1]Sheet1!$C$9:$C$2584,"N/A",0)</f>
        <v>106.66</v>
      </c>
      <c r="K1953">
        <f>_xlfn.XLOOKUP($A1953,[1]Sheet1!$E$9:$E$2584,[1]Sheet1!$F$9:$F$2584,"N/A",0)</f>
        <v>137.28</v>
      </c>
      <c r="L1953">
        <f>_xlfn.XLOOKUP($A1953,[1]Sheet1!$H$9:$H$2584,[1]Sheet1!$I$9:$I$2584,"N/A",0)</f>
        <v>66.17</v>
      </c>
      <c r="M1953">
        <f>_xlfn.XLOOKUP($A1953,[1]Sheet1!$K$9:$K$2584,[1]Sheet1!$L$9:$L$2584,"N/A",0)</f>
        <v>139.16</v>
      </c>
      <c r="N1953">
        <f>_xlfn.XLOOKUP($A1953,[1]Sheet1!$N$9:$N$2584,[1]Sheet1!$O$9:$O$2584,"N/A",0)</f>
        <v>121.94</v>
      </c>
      <c r="O1953">
        <v>106.66</v>
      </c>
      <c r="P1953">
        <v>137.28</v>
      </c>
      <c r="Q1953">
        <v>66.17</v>
      </c>
      <c r="R1953">
        <v>121.94</v>
      </c>
      <c r="S1953">
        <v>139.16</v>
      </c>
    </row>
    <row r="1954" spans="1:19">
      <c r="A1954" s="1">
        <v>45202</v>
      </c>
      <c r="B1954" t="s">
        <v>887</v>
      </c>
      <c r="C1954" t="s">
        <v>896</v>
      </c>
      <c r="D1954">
        <v>19.6564</v>
      </c>
      <c r="E1954">
        <v>19.7982</v>
      </c>
      <c r="F1954">
        <v>0.0072139354103498</v>
      </c>
      <c r="G1954">
        <f ca="1" t="shared" si="90"/>
        <v>-1.37711167123282</v>
      </c>
      <c r="H1954" t="str">
        <f ca="1" t="shared" si="91"/>
        <v>Risk-Off</v>
      </c>
      <c r="I1954">
        <f ca="1" t="shared" si="92"/>
        <v>1</v>
      </c>
      <c r="J1954">
        <f>_xlfn.XLOOKUP($A1954,[1]Sheet1!$B$9:$B$2584,[1]Sheet1!$C$9:$C$2584,"N/A",0)</f>
        <v>106.48</v>
      </c>
      <c r="K1954">
        <f>_xlfn.XLOOKUP($A1954,[1]Sheet1!$E$9:$E$2584,[1]Sheet1!$F$9:$F$2584,"N/A",0)</f>
        <v>136.88</v>
      </c>
      <c r="L1954">
        <f>_xlfn.XLOOKUP($A1954,[1]Sheet1!$H$9:$H$2584,[1]Sheet1!$I$9:$I$2584,"N/A",0)</f>
        <v>65.89</v>
      </c>
      <c r="M1954">
        <f>_xlfn.XLOOKUP($A1954,[1]Sheet1!$K$9:$K$2584,[1]Sheet1!$L$9:$L$2584,"N/A",0)</f>
        <v>139.57</v>
      </c>
      <c r="N1954">
        <f>_xlfn.XLOOKUP($A1954,[1]Sheet1!$N$9:$N$2584,[1]Sheet1!$O$9:$O$2584,"N/A",0)</f>
        <v>122.05</v>
      </c>
      <c r="O1954">
        <v>106.48</v>
      </c>
      <c r="P1954">
        <v>136.88</v>
      </c>
      <c r="Q1954">
        <v>65.89</v>
      </c>
      <c r="R1954">
        <v>122.05</v>
      </c>
      <c r="S1954">
        <v>139.57</v>
      </c>
    </row>
    <row r="1955" spans="1:19">
      <c r="A1955" s="1">
        <v>45203</v>
      </c>
      <c r="B1955" t="s">
        <v>887</v>
      </c>
      <c r="C1955" t="s">
        <v>896</v>
      </c>
      <c r="D1955">
        <v>18.5177</v>
      </c>
      <c r="E1955">
        <v>18.9066</v>
      </c>
      <c r="F1955">
        <v>0.0210015282675494</v>
      </c>
      <c r="G1955">
        <f ca="1" t="shared" si="90"/>
        <v>-0.989742917186906</v>
      </c>
      <c r="H1955" t="str">
        <f ca="1" t="shared" si="91"/>
        <v>Risk-Off</v>
      </c>
      <c r="I1955">
        <f ca="1" t="shared" si="92"/>
        <v>1</v>
      </c>
      <c r="J1955">
        <f>_xlfn.XLOOKUP($A1955,[1]Sheet1!$B$9:$B$2584,[1]Sheet1!$C$9:$C$2584,"N/A",0)</f>
        <v>106.28</v>
      </c>
      <c r="K1955">
        <f>_xlfn.XLOOKUP($A1955,[1]Sheet1!$E$9:$E$2584,[1]Sheet1!$F$9:$F$2584,"N/A",0)</f>
        <v>137.35</v>
      </c>
      <c r="L1955">
        <f>_xlfn.XLOOKUP($A1955,[1]Sheet1!$H$9:$H$2584,[1]Sheet1!$I$9:$I$2584,"N/A",0)</f>
        <v>65.29</v>
      </c>
      <c r="M1955">
        <f>_xlfn.XLOOKUP($A1955,[1]Sheet1!$K$9:$K$2584,[1]Sheet1!$L$9:$L$2584,"N/A",0)</f>
        <v>140</v>
      </c>
      <c r="N1955">
        <f>_xlfn.XLOOKUP($A1955,[1]Sheet1!$N$9:$N$2584,[1]Sheet1!$O$9:$O$2584,"N/A",0)</f>
        <v>121.83</v>
      </c>
      <c r="O1955">
        <v>106.28</v>
      </c>
      <c r="P1955">
        <v>137.35</v>
      </c>
      <c r="Q1955">
        <v>65.29</v>
      </c>
      <c r="R1955">
        <v>121.83</v>
      </c>
      <c r="S1955">
        <v>140</v>
      </c>
    </row>
    <row r="1956" spans="1:19">
      <c r="A1956" s="1">
        <v>45204</v>
      </c>
      <c r="B1956" t="s">
        <v>887</v>
      </c>
      <c r="C1956" t="s">
        <v>896</v>
      </c>
      <c r="D1956">
        <v>18.1998</v>
      </c>
      <c r="E1956">
        <v>18.7461</v>
      </c>
      <c r="F1956">
        <v>0.0300168133715754</v>
      </c>
      <c r="G1956">
        <f ca="1" t="shared" si="90"/>
        <v>-0.737441346438889</v>
      </c>
      <c r="H1956" t="str">
        <f ca="1" t="shared" si="91"/>
        <v>Risk-Off</v>
      </c>
      <c r="I1956">
        <f ca="1" t="shared" si="92"/>
        <v>1</v>
      </c>
      <c r="J1956">
        <f>_xlfn.XLOOKUP($A1956,[1]Sheet1!$B$9:$B$2584,[1]Sheet1!$C$9:$C$2584,"N/A",0)</f>
        <v>105.77</v>
      </c>
      <c r="K1956">
        <f>_xlfn.XLOOKUP($A1956,[1]Sheet1!$E$9:$E$2584,[1]Sheet1!$F$9:$F$2584,"N/A",0)</f>
        <v>138.31</v>
      </c>
      <c r="L1956">
        <f>_xlfn.XLOOKUP($A1956,[1]Sheet1!$H$9:$H$2584,[1]Sheet1!$I$9:$I$2584,"N/A",0)</f>
        <v>65.68</v>
      </c>
      <c r="M1956">
        <f>_xlfn.XLOOKUP($A1956,[1]Sheet1!$K$9:$K$2584,[1]Sheet1!$L$9:$L$2584,"N/A",0)</f>
        <v>140.61</v>
      </c>
      <c r="N1956">
        <f>_xlfn.XLOOKUP($A1956,[1]Sheet1!$N$9:$N$2584,[1]Sheet1!$O$9:$O$2584,"N/A",0)</f>
        <v>121.24</v>
      </c>
      <c r="O1956">
        <v>105.77</v>
      </c>
      <c r="P1956">
        <v>138.31</v>
      </c>
      <c r="Q1956">
        <v>65.68</v>
      </c>
      <c r="R1956">
        <v>121.24</v>
      </c>
      <c r="S1956">
        <v>140.61</v>
      </c>
    </row>
    <row r="1957" spans="1:19">
      <c r="A1957" s="1">
        <v>45205</v>
      </c>
      <c r="B1957" t="s">
        <v>887</v>
      </c>
      <c r="C1957" t="s">
        <v>896</v>
      </c>
      <c r="D1957">
        <v>18.0342</v>
      </c>
      <c r="E1957">
        <v>18.4171</v>
      </c>
      <c r="F1957" s="2" t="s">
        <v>902</v>
      </c>
      <c r="G1957">
        <f ca="1" t="shared" si="90"/>
        <v>-1.00658832662863</v>
      </c>
      <c r="H1957" t="str">
        <f ca="1" t="shared" si="91"/>
        <v>Risk-Off</v>
      </c>
      <c r="I1957">
        <f ca="1" t="shared" si="92"/>
        <v>1</v>
      </c>
      <c r="J1957">
        <f>_xlfn.XLOOKUP($A1957,[1]Sheet1!$B$9:$B$2584,[1]Sheet1!$C$9:$C$2584,"N/A",0)</f>
        <v>105.9</v>
      </c>
      <c r="K1957">
        <f>_xlfn.XLOOKUP($A1957,[1]Sheet1!$E$9:$E$2584,[1]Sheet1!$F$9:$F$2584,"N/A",0)</f>
        <v>138.89</v>
      </c>
      <c r="L1957">
        <f>_xlfn.XLOOKUP($A1957,[1]Sheet1!$H$9:$H$2584,[1]Sheet1!$I$9:$I$2584,"N/A",0)</f>
        <v>65.68</v>
      </c>
      <c r="M1957">
        <f>_xlfn.XLOOKUP($A1957,[1]Sheet1!$K$9:$K$2584,[1]Sheet1!$L$9:$L$2584,"N/A",0)</f>
        <v>140.91</v>
      </c>
      <c r="N1957">
        <f>_xlfn.XLOOKUP($A1957,[1]Sheet1!$N$9:$N$2584,[1]Sheet1!$O$9:$O$2584,"N/A",0)</f>
        <v>121.94</v>
      </c>
      <c r="O1957">
        <v>105.9</v>
      </c>
      <c r="P1957">
        <v>138.89</v>
      </c>
      <c r="Q1957">
        <v>65.68</v>
      </c>
      <c r="R1957">
        <v>121.94</v>
      </c>
      <c r="S1957">
        <v>140.91</v>
      </c>
    </row>
    <row r="1958" spans="1:19">
      <c r="A1958" s="1">
        <v>45208</v>
      </c>
      <c r="B1958" t="s">
        <v>887</v>
      </c>
      <c r="C1958" t="s">
        <v>896</v>
      </c>
      <c r="D1958">
        <v>17.6467</v>
      </c>
      <c r="E1958">
        <v>18.2263</v>
      </c>
      <c r="F1958" s="2" t="s">
        <v>903</v>
      </c>
      <c r="G1958">
        <f ca="1" t="shared" si="90"/>
        <v>-0.677790215440678</v>
      </c>
      <c r="H1958" t="str">
        <f ca="1" t="shared" si="91"/>
        <v>Risk-Off</v>
      </c>
      <c r="I1958">
        <f ca="1" t="shared" si="92"/>
        <v>1</v>
      </c>
      <c r="J1958">
        <f>_xlfn.XLOOKUP($A1958,[1]Sheet1!$B$9:$B$2584,[1]Sheet1!$C$9:$C$2584,"N/A",0)</f>
        <v>106.01</v>
      </c>
      <c r="K1958">
        <f>_xlfn.XLOOKUP($A1958,[1]Sheet1!$E$9:$E$2584,[1]Sheet1!$F$9:$F$2584,"N/A",0)</f>
        <v>138.64</v>
      </c>
      <c r="L1958">
        <f>_xlfn.XLOOKUP($A1958,[1]Sheet1!$H$9:$H$2584,[1]Sheet1!$I$9:$I$2584,"N/A",0)</f>
        <v>65.81</v>
      </c>
      <c r="M1958">
        <f>_xlfn.XLOOKUP($A1958,[1]Sheet1!$K$9:$K$2584,[1]Sheet1!$L$9:$L$2584,"N/A",0)</f>
        <v>141.22</v>
      </c>
      <c r="N1958">
        <f>_xlfn.XLOOKUP($A1958,[1]Sheet1!$N$9:$N$2584,[1]Sheet1!$O$9:$O$2584,"N/A",0)</f>
        <v>122.2</v>
      </c>
      <c r="O1958">
        <v>106.01</v>
      </c>
      <c r="P1958">
        <v>138.64</v>
      </c>
      <c r="Q1958">
        <v>65.81</v>
      </c>
      <c r="R1958">
        <v>122.2</v>
      </c>
      <c r="S1958">
        <v>141.22</v>
      </c>
    </row>
    <row r="1959" spans="1:19">
      <c r="A1959" s="1">
        <v>45209</v>
      </c>
      <c r="B1959" t="s">
        <v>887</v>
      </c>
      <c r="C1959" t="s">
        <v>896</v>
      </c>
      <c r="D1959">
        <v>16.9878</v>
      </c>
      <c r="E1959">
        <v>17.6168</v>
      </c>
      <c r="F1959">
        <v>0.0370265720105017</v>
      </c>
      <c r="G1959">
        <f ca="1" t="shared" si="90"/>
        <v>-0.569123770177963</v>
      </c>
      <c r="H1959" t="str">
        <f ca="1" t="shared" si="91"/>
        <v>Risk-Off</v>
      </c>
      <c r="I1959">
        <f ca="1" t="shared" si="92"/>
        <v>1</v>
      </c>
      <c r="J1959">
        <f>_xlfn.XLOOKUP($A1959,[1]Sheet1!$B$9:$B$2584,[1]Sheet1!$C$9:$C$2584,"N/A",0)</f>
        <v>106.52</v>
      </c>
      <c r="K1959">
        <f>_xlfn.XLOOKUP($A1959,[1]Sheet1!$E$9:$E$2584,[1]Sheet1!$F$9:$F$2584,"N/A",0)</f>
        <v>138.16</v>
      </c>
      <c r="L1959">
        <f>_xlfn.XLOOKUP($A1959,[1]Sheet1!$H$9:$H$2584,[1]Sheet1!$I$9:$I$2584,"N/A",0)</f>
        <v>65.88</v>
      </c>
      <c r="M1959">
        <f>_xlfn.XLOOKUP($A1959,[1]Sheet1!$K$9:$K$2584,[1]Sheet1!$L$9:$L$2584,"N/A",0)</f>
        <v>140.48</v>
      </c>
      <c r="N1959">
        <f>_xlfn.XLOOKUP($A1959,[1]Sheet1!$N$9:$N$2584,[1]Sheet1!$O$9:$O$2584,"N/A",0)</f>
        <v>122.03</v>
      </c>
      <c r="O1959">
        <v>106.52</v>
      </c>
      <c r="P1959">
        <v>138.16</v>
      </c>
      <c r="Q1959">
        <v>65.88</v>
      </c>
      <c r="R1959">
        <v>122.03</v>
      </c>
      <c r="S1959">
        <v>140.48</v>
      </c>
    </row>
    <row r="1960" spans="1:19">
      <c r="A1960" s="1">
        <v>45210</v>
      </c>
      <c r="B1960" t="s">
        <v>887</v>
      </c>
      <c r="C1960" t="s">
        <v>896</v>
      </c>
      <c r="D1960">
        <v>16.5021</v>
      </c>
      <c r="E1960">
        <v>17.3537</v>
      </c>
      <c r="F1960">
        <v>0.0516055532326189</v>
      </c>
      <c r="G1960">
        <f ca="1" t="shared" si="90"/>
        <v>-0.144637762570298</v>
      </c>
      <c r="H1960" t="str">
        <f ca="1" t="shared" si="91"/>
        <v>Risk-Off</v>
      </c>
      <c r="I1960">
        <f ca="1" t="shared" si="92"/>
        <v>1</v>
      </c>
      <c r="J1960">
        <f>_xlfn.XLOOKUP($A1960,[1]Sheet1!$B$9:$B$2584,[1]Sheet1!$C$9:$C$2584,"N/A",0)</f>
        <v>106.41</v>
      </c>
      <c r="K1960">
        <f>_xlfn.XLOOKUP($A1960,[1]Sheet1!$E$9:$E$2584,[1]Sheet1!$F$9:$F$2584,"N/A",0)</f>
        <v>138.83</v>
      </c>
      <c r="L1960">
        <f>_xlfn.XLOOKUP($A1960,[1]Sheet1!$H$9:$H$2584,[1]Sheet1!$I$9:$I$2584,"N/A",0)</f>
        <v>65.83</v>
      </c>
      <c r="M1960">
        <f>_xlfn.XLOOKUP($A1960,[1]Sheet1!$K$9:$K$2584,[1]Sheet1!$L$9:$L$2584,"N/A",0)</f>
        <v>140.52</v>
      </c>
      <c r="N1960">
        <f>_xlfn.XLOOKUP($A1960,[1]Sheet1!$N$9:$N$2584,[1]Sheet1!$O$9:$O$2584,"N/A",0)</f>
        <v>122.68</v>
      </c>
      <c r="O1960">
        <v>106.41</v>
      </c>
      <c r="P1960">
        <v>138.83</v>
      </c>
      <c r="Q1960">
        <v>65.83</v>
      </c>
      <c r="R1960">
        <v>122.68</v>
      </c>
      <c r="S1960">
        <v>140.52</v>
      </c>
    </row>
    <row r="1961" spans="1:19">
      <c r="A1961" s="1">
        <v>45211</v>
      </c>
      <c r="B1961" t="s">
        <v>887</v>
      </c>
      <c r="C1961" t="s">
        <v>896</v>
      </c>
      <c r="D1961">
        <v>16.9479</v>
      </c>
      <c r="E1961">
        <v>17.7476</v>
      </c>
      <c r="F1961" s="2" t="s">
        <v>904</v>
      </c>
      <c r="G1961">
        <f ca="1" t="shared" si="90"/>
        <v>-0.294294746201853</v>
      </c>
      <c r="H1961" t="str">
        <f ca="1" t="shared" si="91"/>
        <v>Risk-Off</v>
      </c>
      <c r="I1961">
        <f ca="1" t="shared" si="92"/>
        <v>1</v>
      </c>
      <c r="J1961">
        <f>_xlfn.XLOOKUP($A1961,[1]Sheet1!$B$9:$B$2584,[1]Sheet1!$C$9:$C$2584,"N/A",0)</f>
        <v>106.3</v>
      </c>
      <c r="K1961">
        <f>_xlfn.XLOOKUP($A1961,[1]Sheet1!$E$9:$E$2584,[1]Sheet1!$F$9:$F$2584,"N/A",0)</f>
        <v>138.94</v>
      </c>
      <c r="L1961">
        <f>_xlfn.XLOOKUP($A1961,[1]Sheet1!$H$9:$H$2584,[1]Sheet1!$I$9:$I$2584,"N/A",0)</f>
        <v>65.58</v>
      </c>
      <c r="M1961">
        <f>_xlfn.XLOOKUP($A1961,[1]Sheet1!$K$9:$K$2584,[1]Sheet1!$L$9:$L$2584,"N/A",0)</f>
        <v>141.48</v>
      </c>
      <c r="N1961">
        <f>_xlfn.XLOOKUP($A1961,[1]Sheet1!$N$9:$N$2584,[1]Sheet1!$O$9:$O$2584,"N/A",0)</f>
        <v>123.86</v>
      </c>
      <c r="O1961">
        <v>106.3</v>
      </c>
      <c r="P1961">
        <v>138.94</v>
      </c>
      <c r="Q1961">
        <v>65.58</v>
      </c>
      <c r="R1961">
        <v>123.86</v>
      </c>
      <c r="S1961">
        <v>141.48</v>
      </c>
    </row>
    <row r="1962" spans="1:19">
      <c r="A1962" s="1">
        <v>45212</v>
      </c>
      <c r="B1962" t="s">
        <v>887</v>
      </c>
      <c r="C1962" t="s">
        <v>896</v>
      </c>
      <c r="D1962">
        <v>19.2567</v>
      </c>
      <c r="E1962">
        <v>19.9214</v>
      </c>
      <c r="F1962">
        <v>0.034517856122804</v>
      </c>
      <c r="G1962">
        <f ca="1" t="shared" si="90"/>
        <v>-0.706064913368485</v>
      </c>
      <c r="H1962" t="str">
        <f ca="1" t="shared" si="91"/>
        <v>Risk-Off</v>
      </c>
      <c r="I1962">
        <f ca="1" t="shared" si="92"/>
        <v>1</v>
      </c>
      <c r="J1962">
        <f>_xlfn.XLOOKUP($A1962,[1]Sheet1!$B$9:$B$2584,[1]Sheet1!$C$9:$C$2584,"N/A",0)</f>
        <v>106.08</v>
      </c>
      <c r="K1962">
        <f>_xlfn.XLOOKUP($A1962,[1]Sheet1!$E$9:$E$2584,[1]Sheet1!$F$9:$F$2584,"N/A",0)</f>
        <v>137.48</v>
      </c>
      <c r="L1962">
        <f>_xlfn.XLOOKUP($A1962,[1]Sheet1!$H$9:$H$2584,[1]Sheet1!$I$9:$I$2584,"N/A",0)</f>
        <v>65.22</v>
      </c>
      <c r="M1962">
        <f>_xlfn.XLOOKUP($A1962,[1]Sheet1!$K$9:$K$2584,[1]Sheet1!$L$9:$L$2584,"N/A",0)</f>
        <v>140.48</v>
      </c>
      <c r="N1962">
        <f>_xlfn.XLOOKUP($A1962,[1]Sheet1!$N$9:$N$2584,[1]Sheet1!$O$9:$O$2584,"N/A",0)</f>
        <v>124.33</v>
      </c>
      <c r="O1962">
        <v>106.08</v>
      </c>
      <c r="P1962">
        <v>137.48</v>
      </c>
      <c r="Q1962">
        <v>65.22</v>
      </c>
      <c r="R1962">
        <v>124.33</v>
      </c>
      <c r="S1962">
        <v>140.48</v>
      </c>
    </row>
    <row r="1963" spans="1:19">
      <c r="A1963" s="1">
        <v>45215</v>
      </c>
      <c r="B1963" t="s">
        <v>887</v>
      </c>
      <c r="C1963" t="s">
        <v>896</v>
      </c>
      <c r="D1963">
        <v>17.1597</v>
      </c>
      <c r="E1963">
        <v>17.978</v>
      </c>
      <c r="F1963">
        <v>0.0476873138807788</v>
      </c>
      <c r="G1963">
        <f ca="1" t="shared" si="90"/>
        <v>-0.312208557340439</v>
      </c>
      <c r="H1963" t="str">
        <f ca="1" t="shared" si="91"/>
        <v>Risk-Off</v>
      </c>
      <c r="I1963">
        <f ca="1" t="shared" si="92"/>
        <v>1</v>
      </c>
      <c r="J1963">
        <f>_xlfn.XLOOKUP($A1963,[1]Sheet1!$B$9:$B$2584,[1]Sheet1!$C$9:$C$2584,"N/A",0)</f>
        <v>106.45</v>
      </c>
      <c r="K1963">
        <f>_xlfn.XLOOKUP($A1963,[1]Sheet1!$E$9:$E$2584,[1]Sheet1!$F$9:$F$2584,"N/A",0)</f>
        <v>136.84</v>
      </c>
      <c r="L1963">
        <f>_xlfn.XLOOKUP($A1963,[1]Sheet1!$H$9:$H$2584,[1]Sheet1!$I$9:$I$2584,"N/A",0)</f>
        <v>65.25</v>
      </c>
      <c r="M1963">
        <f>_xlfn.XLOOKUP($A1963,[1]Sheet1!$K$9:$K$2584,[1]Sheet1!$L$9:$L$2584,"N/A",0)</f>
        <v>140.48</v>
      </c>
      <c r="N1963">
        <f>_xlfn.XLOOKUP($A1963,[1]Sheet1!$N$9:$N$2584,[1]Sheet1!$O$9:$O$2584,"N/A",0)</f>
        <v>123.63</v>
      </c>
      <c r="O1963">
        <v>106.45</v>
      </c>
      <c r="P1963">
        <v>136.84</v>
      </c>
      <c r="Q1963">
        <v>65.25</v>
      </c>
      <c r="R1963">
        <v>123.63</v>
      </c>
      <c r="S1963">
        <v>140.48</v>
      </c>
    </row>
    <row r="1964" spans="1:19">
      <c r="A1964" s="1">
        <v>45216</v>
      </c>
      <c r="B1964" t="s">
        <v>887</v>
      </c>
      <c r="C1964" t="s">
        <v>896</v>
      </c>
      <c r="D1964">
        <v>17.8484</v>
      </c>
      <c r="E1964">
        <v>18.4362</v>
      </c>
      <c r="F1964">
        <v>0.0329329239595704</v>
      </c>
      <c r="G1964">
        <f ca="1" t="shared" si="90"/>
        <v>-0.794874029909767</v>
      </c>
      <c r="H1964" t="str">
        <f ca="1" t="shared" si="91"/>
        <v>Risk-Off</v>
      </c>
      <c r="I1964">
        <f ca="1" t="shared" si="92"/>
        <v>1</v>
      </c>
      <c r="J1964">
        <f>_xlfn.XLOOKUP($A1964,[1]Sheet1!$B$9:$B$2584,[1]Sheet1!$C$9:$C$2584,"N/A",0)</f>
        <v>106.7</v>
      </c>
      <c r="K1964">
        <f>_xlfn.XLOOKUP($A1964,[1]Sheet1!$E$9:$E$2584,[1]Sheet1!$F$9:$F$2584,"N/A",0)</f>
        <v>136.6</v>
      </c>
      <c r="L1964">
        <f>_xlfn.XLOOKUP($A1964,[1]Sheet1!$H$9:$H$2584,[1]Sheet1!$I$9:$I$2584,"N/A",0)</f>
        <v>65.51</v>
      </c>
      <c r="M1964">
        <f>_xlfn.XLOOKUP($A1964,[1]Sheet1!$K$9:$K$2584,[1]Sheet1!$L$9:$L$2584,"N/A",0)</f>
        <v>140.48</v>
      </c>
      <c r="N1964">
        <f>_xlfn.XLOOKUP($A1964,[1]Sheet1!$N$9:$N$2584,[1]Sheet1!$O$9:$O$2584,"N/A",0)</f>
        <v>122.66</v>
      </c>
      <c r="O1964">
        <v>106.7</v>
      </c>
      <c r="P1964">
        <v>136.6</v>
      </c>
      <c r="Q1964">
        <v>65.51</v>
      </c>
      <c r="R1964">
        <v>122.66</v>
      </c>
      <c r="S1964">
        <v>140.48</v>
      </c>
    </row>
    <row r="1965" spans="1:19">
      <c r="A1965" s="1">
        <v>45217</v>
      </c>
      <c r="B1965" t="s">
        <v>887</v>
      </c>
      <c r="C1965" t="s">
        <v>896</v>
      </c>
      <c r="D1965">
        <v>18.37</v>
      </c>
      <c r="E1965">
        <v>19.5967</v>
      </c>
      <c r="F1965">
        <v>0.0667773543821446</v>
      </c>
      <c r="G1965">
        <f ca="1" t="shared" si="90"/>
        <v>0.274867066558289</v>
      </c>
      <c r="H1965" t="str">
        <f ca="1" t="shared" si="91"/>
        <v>Risk-Off</v>
      </c>
      <c r="I1965">
        <f ca="1" t="shared" si="92"/>
        <v>1</v>
      </c>
      <c r="J1965">
        <f>_xlfn.XLOOKUP($A1965,[1]Sheet1!$B$9:$B$2584,[1]Sheet1!$C$9:$C$2584,"N/A",0)</f>
        <v>106.82</v>
      </c>
      <c r="K1965">
        <f>_xlfn.XLOOKUP($A1965,[1]Sheet1!$E$9:$E$2584,[1]Sheet1!$F$9:$F$2584,"N/A",0)</f>
        <v>137.11</v>
      </c>
      <c r="L1965">
        <f>_xlfn.XLOOKUP($A1965,[1]Sheet1!$H$9:$H$2584,[1]Sheet1!$I$9:$I$2584,"N/A",0)</f>
        <v>65.41</v>
      </c>
      <c r="M1965">
        <f>_xlfn.XLOOKUP($A1965,[1]Sheet1!$K$9:$K$2584,[1]Sheet1!$L$9:$L$2584,"N/A",0)</f>
        <v>140.13</v>
      </c>
      <c r="N1965">
        <f>_xlfn.XLOOKUP($A1965,[1]Sheet1!$N$9:$N$2584,[1]Sheet1!$O$9:$O$2584,"N/A",0)</f>
        <v>122.76</v>
      </c>
      <c r="O1965">
        <v>106.82</v>
      </c>
      <c r="P1965">
        <v>137.11</v>
      </c>
      <c r="Q1965">
        <v>65.41</v>
      </c>
      <c r="R1965">
        <v>122.76</v>
      </c>
      <c r="S1965">
        <v>140.13</v>
      </c>
    </row>
    <row r="1966" spans="1:19">
      <c r="A1966" s="1">
        <v>45218</v>
      </c>
      <c r="B1966" t="s">
        <v>896</v>
      </c>
      <c r="C1966" t="s">
        <v>905</v>
      </c>
      <c r="D1966">
        <v>20.5549</v>
      </c>
      <c r="E1966">
        <v>20.5479</v>
      </c>
      <c r="F1966">
        <v>-0.000340551401369087</v>
      </c>
      <c r="G1966">
        <f ca="1" t="shared" si="90"/>
        <v>-1.93444856594572</v>
      </c>
      <c r="H1966" t="str">
        <f ca="1" t="shared" si="91"/>
        <v>Risk-Off</v>
      </c>
      <c r="I1966">
        <f ca="1" t="shared" si="92"/>
        <v>1</v>
      </c>
      <c r="J1966">
        <f>_xlfn.XLOOKUP($A1966,[1]Sheet1!$B$9:$B$2584,[1]Sheet1!$C$9:$C$2584,"N/A",0)</f>
        <v>106.64</v>
      </c>
      <c r="K1966">
        <f>_xlfn.XLOOKUP($A1966,[1]Sheet1!$E$9:$E$2584,[1]Sheet1!$F$9:$F$2584,"N/A",0)</f>
        <v>137.13</v>
      </c>
      <c r="L1966">
        <f>_xlfn.XLOOKUP($A1966,[1]Sheet1!$H$9:$H$2584,[1]Sheet1!$I$9:$I$2584,"N/A",0)</f>
        <v>65.33</v>
      </c>
      <c r="M1966">
        <f>_xlfn.XLOOKUP($A1966,[1]Sheet1!$K$9:$K$2584,[1]Sheet1!$L$9:$L$2584,"N/A",0)</f>
        <v>139.57</v>
      </c>
      <c r="N1966">
        <f>_xlfn.XLOOKUP($A1966,[1]Sheet1!$N$9:$N$2584,[1]Sheet1!$O$9:$O$2584,"N/A",0)</f>
        <v>123.34</v>
      </c>
      <c r="O1966">
        <v>106.64</v>
      </c>
      <c r="P1966">
        <v>137.13</v>
      </c>
      <c r="Q1966">
        <v>65.33</v>
      </c>
      <c r="R1966">
        <v>123.34</v>
      </c>
      <c r="S1966">
        <v>139.57</v>
      </c>
    </row>
    <row r="1967" spans="1:19">
      <c r="A1967" s="1">
        <v>45219</v>
      </c>
      <c r="B1967" t="s">
        <v>896</v>
      </c>
      <c r="C1967" t="s">
        <v>905</v>
      </c>
      <c r="D1967">
        <v>20.725</v>
      </c>
      <c r="E1967">
        <v>20.6987</v>
      </c>
      <c r="F1967">
        <v>-0.00126899879372751</v>
      </c>
      <c r="G1967">
        <f ca="1" t="shared" si="90"/>
        <v>-1.9924448522754</v>
      </c>
      <c r="H1967" t="str">
        <f ca="1" t="shared" si="91"/>
        <v>Risk-Off</v>
      </c>
      <c r="I1967">
        <f ca="1" t="shared" si="92"/>
        <v>1</v>
      </c>
      <c r="J1967">
        <f>_xlfn.XLOOKUP($A1967,[1]Sheet1!$B$9:$B$2584,[1]Sheet1!$C$9:$C$2584,"N/A",0)</f>
        <v>106.68</v>
      </c>
      <c r="K1967">
        <f>_xlfn.XLOOKUP($A1967,[1]Sheet1!$E$9:$E$2584,[1]Sheet1!$F$9:$F$2584,"N/A",0)</f>
        <v>137.95</v>
      </c>
      <c r="L1967">
        <f>_xlfn.XLOOKUP($A1967,[1]Sheet1!$H$9:$H$2584,[1]Sheet1!$I$9:$I$2584,"N/A",0)</f>
        <v>64.69</v>
      </c>
      <c r="M1967">
        <f>_xlfn.XLOOKUP($A1967,[1]Sheet1!$K$9:$K$2584,[1]Sheet1!$L$9:$L$2584,"N/A",0)</f>
        <v>138.63</v>
      </c>
      <c r="N1967">
        <f>_xlfn.XLOOKUP($A1967,[1]Sheet1!$N$9:$N$2584,[1]Sheet1!$O$9:$O$2584,"N/A",0)</f>
        <v>123.58</v>
      </c>
      <c r="O1967">
        <v>106.68</v>
      </c>
      <c r="P1967">
        <v>137.95</v>
      </c>
      <c r="Q1967">
        <v>64.69</v>
      </c>
      <c r="R1967">
        <v>123.58</v>
      </c>
      <c r="S1967">
        <v>138.63</v>
      </c>
    </row>
    <row r="1968" spans="1:19">
      <c r="A1968" s="1">
        <v>45222</v>
      </c>
      <c r="B1968" t="s">
        <v>896</v>
      </c>
      <c r="C1968" t="s">
        <v>905</v>
      </c>
      <c r="D1968">
        <v>20.0003</v>
      </c>
      <c r="E1968">
        <v>20.0471</v>
      </c>
      <c r="F1968">
        <v>0.00233996490052654</v>
      </c>
      <c r="G1968">
        <f ca="1" t="shared" si="90"/>
        <v>-1.93083527691767</v>
      </c>
      <c r="H1968" t="str">
        <f ca="1" t="shared" si="91"/>
        <v>Risk-Off</v>
      </c>
      <c r="I1968">
        <f ca="1" t="shared" si="92"/>
        <v>1</v>
      </c>
      <c r="J1968">
        <f>_xlfn.XLOOKUP($A1968,[1]Sheet1!$B$9:$B$2584,[1]Sheet1!$C$9:$C$2584,"N/A",0)</f>
        <v>107.15</v>
      </c>
      <c r="K1968">
        <f>_xlfn.XLOOKUP($A1968,[1]Sheet1!$E$9:$E$2584,[1]Sheet1!$F$9:$F$2584,"N/A",0)</f>
        <v>139.76</v>
      </c>
      <c r="L1968">
        <f>_xlfn.XLOOKUP($A1968,[1]Sheet1!$H$9:$H$2584,[1]Sheet1!$I$9:$I$2584,"N/A",0)</f>
        <v>64.31</v>
      </c>
      <c r="M1968">
        <f>_xlfn.XLOOKUP($A1968,[1]Sheet1!$K$9:$K$2584,[1]Sheet1!$L$9:$L$2584,"N/A",0)</f>
        <v>138.54</v>
      </c>
      <c r="N1968">
        <f>_xlfn.XLOOKUP($A1968,[1]Sheet1!$N$9:$N$2584,[1]Sheet1!$O$9:$O$2584,"N/A",0)</f>
        <v>124.06</v>
      </c>
      <c r="O1968">
        <v>107.15</v>
      </c>
      <c r="P1968">
        <v>139.76</v>
      </c>
      <c r="Q1968">
        <v>64.31</v>
      </c>
      <c r="R1968">
        <v>124.06</v>
      </c>
      <c r="S1968">
        <v>138.54</v>
      </c>
    </row>
    <row r="1969" spans="1:19">
      <c r="A1969" s="1">
        <v>45223</v>
      </c>
      <c r="B1969" t="s">
        <v>896</v>
      </c>
      <c r="C1969" t="s">
        <v>905</v>
      </c>
      <c r="D1969">
        <v>19.0875</v>
      </c>
      <c r="E1969">
        <v>19.2673</v>
      </c>
      <c r="F1969">
        <v>0.00941977734119189</v>
      </c>
      <c r="G1969">
        <f ca="1" t="shared" si="90"/>
        <v>-1.70048412310102</v>
      </c>
      <c r="H1969" t="str">
        <f ca="1" t="shared" si="91"/>
        <v>Risk-Off</v>
      </c>
      <c r="I1969">
        <f ca="1" t="shared" si="92"/>
        <v>1</v>
      </c>
      <c r="J1969">
        <f>_xlfn.XLOOKUP($A1969,[1]Sheet1!$B$9:$B$2584,[1]Sheet1!$C$9:$C$2584,"N/A",0)</f>
        <v>107.38</v>
      </c>
      <c r="K1969">
        <f>_xlfn.XLOOKUP($A1969,[1]Sheet1!$E$9:$E$2584,[1]Sheet1!$F$9:$F$2584,"N/A",0)</f>
        <v>140.53</v>
      </c>
      <c r="L1969">
        <f>_xlfn.XLOOKUP($A1969,[1]Sheet1!$H$9:$H$2584,[1]Sheet1!$I$9:$I$2584,"N/A",0)</f>
        <v>63.93</v>
      </c>
      <c r="M1969">
        <f>_xlfn.XLOOKUP($A1969,[1]Sheet1!$K$9:$K$2584,[1]Sheet1!$L$9:$L$2584,"N/A",0)</f>
        <v>137.87</v>
      </c>
      <c r="N1969">
        <f>_xlfn.XLOOKUP($A1969,[1]Sheet1!$N$9:$N$2584,[1]Sheet1!$O$9:$O$2584,"N/A",0)</f>
        <v>123.94</v>
      </c>
      <c r="O1969">
        <v>107.38</v>
      </c>
      <c r="P1969">
        <v>140.53</v>
      </c>
      <c r="Q1969">
        <v>63.93</v>
      </c>
      <c r="R1969">
        <v>123.94</v>
      </c>
      <c r="S1969">
        <v>137.87</v>
      </c>
    </row>
    <row r="1970" spans="1:19">
      <c r="A1970" s="1">
        <v>45224</v>
      </c>
      <c r="B1970" t="s">
        <v>896</v>
      </c>
      <c r="C1970" t="s">
        <v>905</v>
      </c>
      <c r="D1970">
        <v>20.3008</v>
      </c>
      <c r="E1970">
        <v>20.3601</v>
      </c>
      <c r="F1970">
        <v>0.00292106715006306</v>
      </c>
      <c r="G1970">
        <f ca="1" t="shared" si="90"/>
        <v>-1.94490960713901</v>
      </c>
      <c r="H1970" t="str">
        <f ca="1" t="shared" si="91"/>
        <v>Risk-Off</v>
      </c>
      <c r="I1970">
        <f ca="1" t="shared" si="92"/>
        <v>1</v>
      </c>
      <c r="J1970">
        <f>_xlfn.XLOOKUP($A1970,[1]Sheet1!$B$9:$B$2584,[1]Sheet1!$C$9:$C$2584,"N/A",0)</f>
        <v>107.33</v>
      </c>
      <c r="K1970">
        <f>_xlfn.XLOOKUP($A1970,[1]Sheet1!$E$9:$E$2584,[1]Sheet1!$F$9:$F$2584,"N/A",0)</f>
        <v>139.14</v>
      </c>
      <c r="L1970">
        <f>_xlfn.XLOOKUP($A1970,[1]Sheet1!$H$9:$H$2584,[1]Sheet1!$I$9:$I$2584,"N/A",0)</f>
        <v>64.41</v>
      </c>
      <c r="M1970">
        <f>_xlfn.XLOOKUP($A1970,[1]Sheet1!$K$9:$K$2584,[1]Sheet1!$L$9:$L$2584,"N/A",0)</f>
        <v>137.52</v>
      </c>
      <c r="N1970">
        <f>_xlfn.XLOOKUP($A1970,[1]Sheet1!$N$9:$N$2584,[1]Sheet1!$O$9:$O$2584,"N/A",0)</f>
        <v>123.89</v>
      </c>
      <c r="O1970">
        <v>107.33</v>
      </c>
      <c r="P1970">
        <v>139.14</v>
      </c>
      <c r="Q1970">
        <v>64.41</v>
      </c>
      <c r="R1970">
        <v>123.89</v>
      </c>
      <c r="S1970">
        <v>137.52</v>
      </c>
    </row>
    <row r="1971" spans="1:19">
      <c r="A1971" s="1">
        <v>45225</v>
      </c>
      <c r="B1971" t="s">
        <v>896</v>
      </c>
      <c r="C1971" t="s">
        <v>905</v>
      </c>
      <c r="D1971">
        <v>20.5375</v>
      </c>
      <c r="E1971">
        <v>20.4999</v>
      </c>
      <c r="F1971">
        <v>-0.00183079732197206</v>
      </c>
      <c r="G1971">
        <f ca="1" t="shared" si="90"/>
        <v>-2.11292244473199</v>
      </c>
      <c r="H1971" t="str">
        <f ca="1" t="shared" si="91"/>
        <v>Risk-Off</v>
      </c>
      <c r="I1971">
        <f ca="1" t="shared" si="92"/>
        <v>1</v>
      </c>
      <c r="J1971">
        <f>_xlfn.XLOOKUP($A1971,[1]Sheet1!$B$9:$B$2584,[1]Sheet1!$C$9:$C$2584,"N/A",0)</f>
        <v>106.81</v>
      </c>
      <c r="K1971">
        <f>_xlfn.XLOOKUP($A1971,[1]Sheet1!$E$9:$E$2584,[1]Sheet1!$F$9:$F$2584,"N/A",0)</f>
        <v>137.79</v>
      </c>
      <c r="L1971">
        <f>_xlfn.XLOOKUP($A1971,[1]Sheet1!$H$9:$H$2584,[1]Sheet1!$I$9:$I$2584,"N/A",0)</f>
        <v>65.43</v>
      </c>
      <c r="M1971">
        <f>_xlfn.XLOOKUP($A1971,[1]Sheet1!$K$9:$K$2584,[1]Sheet1!$L$9:$L$2584,"N/A",0)</f>
        <v>137.99</v>
      </c>
      <c r="N1971">
        <f>_xlfn.XLOOKUP($A1971,[1]Sheet1!$N$9:$N$2584,[1]Sheet1!$O$9:$O$2584,"N/A",0)</f>
        <v>123.14</v>
      </c>
      <c r="O1971">
        <v>106.81</v>
      </c>
      <c r="P1971">
        <v>137.79</v>
      </c>
      <c r="Q1971">
        <v>65.43</v>
      </c>
      <c r="R1971">
        <v>123.14</v>
      </c>
      <c r="S1971">
        <v>137.99</v>
      </c>
    </row>
    <row r="1972" spans="1:19">
      <c r="A1972" s="1">
        <v>45226</v>
      </c>
      <c r="B1972" t="s">
        <v>896</v>
      </c>
      <c r="C1972" t="s">
        <v>905</v>
      </c>
      <c r="D1972">
        <v>21.1865</v>
      </c>
      <c r="E1972">
        <v>21.2116</v>
      </c>
      <c r="F1972">
        <v>0.00118471668279337</v>
      </c>
      <c r="G1972">
        <f ca="1" t="shared" si="90"/>
        <v>-1.99833751539485</v>
      </c>
      <c r="H1972" t="str">
        <f ca="1" t="shared" si="91"/>
        <v>Risk-Off</v>
      </c>
      <c r="I1972">
        <f ca="1" t="shared" si="92"/>
        <v>1</v>
      </c>
      <c r="J1972">
        <f>_xlfn.XLOOKUP($A1972,[1]Sheet1!$B$9:$B$2584,[1]Sheet1!$C$9:$C$2584,"N/A",0)</f>
        <v>106.69</v>
      </c>
      <c r="K1972">
        <f>_xlfn.XLOOKUP($A1972,[1]Sheet1!$E$9:$E$2584,[1]Sheet1!$F$9:$F$2584,"N/A",0)</f>
        <v>139.68</v>
      </c>
      <c r="L1972">
        <f>_xlfn.XLOOKUP($A1972,[1]Sheet1!$H$9:$H$2584,[1]Sheet1!$I$9:$I$2584,"N/A",0)</f>
        <v>65.24</v>
      </c>
      <c r="M1972">
        <f>_xlfn.XLOOKUP($A1972,[1]Sheet1!$K$9:$K$2584,[1]Sheet1!$L$9:$L$2584,"N/A",0)</f>
        <v>137.01</v>
      </c>
      <c r="N1972">
        <f>_xlfn.XLOOKUP($A1972,[1]Sheet1!$N$9:$N$2584,[1]Sheet1!$O$9:$O$2584,"N/A",0)</f>
        <v>123.22</v>
      </c>
      <c r="O1972">
        <v>106.69</v>
      </c>
      <c r="P1972">
        <v>139.68</v>
      </c>
      <c r="Q1972">
        <v>65.24</v>
      </c>
      <c r="R1972">
        <v>123.22</v>
      </c>
      <c r="S1972">
        <v>137.01</v>
      </c>
    </row>
    <row r="1973" spans="1:19">
      <c r="A1973" s="1">
        <v>45229</v>
      </c>
      <c r="B1973" t="s">
        <v>896</v>
      </c>
      <c r="C1973" t="s">
        <v>905</v>
      </c>
      <c r="D1973">
        <v>19.5901</v>
      </c>
      <c r="E1973">
        <v>19.707</v>
      </c>
      <c r="F1973">
        <v>0.00596729980959776</v>
      </c>
      <c r="G1973">
        <f ca="1" t="shared" si="90"/>
        <v>-1.80321120090927</v>
      </c>
      <c r="H1973" t="str">
        <f ca="1" t="shared" si="91"/>
        <v>Risk-Off</v>
      </c>
      <c r="I1973">
        <f ca="1" t="shared" si="92"/>
        <v>1</v>
      </c>
      <c r="J1973">
        <f>_xlfn.XLOOKUP($A1973,[1]Sheet1!$B$9:$B$2584,[1]Sheet1!$C$9:$C$2584,"N/A",0)</f>
        <v>106.82</v>
      </c>
      <c r="K1973">
        <f>_xlfn.XLOOKUP($A1973,[1]Sheet1!$E$9:$E$2584,[1]Sheet1!$F$9:$F$2584,"N/A",0)</f>
        <v>139.6</v>
      </c>
      <c r="L1973">
        <f>_xlfn.XLOOKUP($A1973,[1]Sheet1!$H$9:$H$2584,[1]Sheet1!$I$9:$I$2584,"N/A",0)</f>
        <v>65.4</v>
      </c>
      <c r="M1973">
        <f>_xlfn.XLOOKUP($A1973,[1]Sheet1!$K$9:$K$2584,[1]Sheet1!$L$9:$L$2584,"N/A",0)</f>
        <v>137.58</v>
      </c>
      <c r="N1973">
        <f>_xlfn.XLOOKUP($A1973,[1]Sheet1!$N$9:$N$2584,[1]Sheet1!$O$9:$O$2584,"N/A",0)</f>
        <v>123.81</v>
      </c>
      <c r="O1973">
        <v>106.82</v>
      </c>
      <c r="P1973">
        <v>139.6</v>
      </c>
      <c r="Q1973">
        <v>65.4</v>
      </c>
      <c r="R1973">
        <v>123.81</v>
      </c>
      <c r="S1973">
        <v>137.58</v>
      </c>
    </row>
    <row r="1974" spans="1:19">
      <c r="A1974" s="1">
        <v>45230</v>
      </c>
      <c r="B1974" t="s">
        <v>896</v>
      </c>
      <c r="C1974" t="s">
        <v>905</v>
      </c>
      <c r="D1974">
        <v>18.1268</v>
      </c>
      <c r="E1974">
        <v>18.6006</v>
      </c>
      <c r="F1974" s="2" t="s">
        <v>906</v>
      </c>
      <c r="G1974">
        <f ca="1" t="shared" si="90"/>
        <v>-1.10858739393637</v>
      </c>
      <c r="H1974" t="str">
        <f ca="1" t="shared" si="91"/>
        <v>Risk-Off</v>
      </c>
      <c r="I1974">
        <f ca="1" t="shared" si="92"/>
        <v>1</v>
      </c>
      <c r="J1974">
        <f>_xlfn.XLOOKUP($A1974,[1]Sheet1!$B$9:$B$2584,[1]Sheet1!$C$9:$C$2584,"N/A",0)</f>
        <v>106.83</v>
      </c>
      <c r="K1974">
        <f>_xlfn.XLOOKUP($A1974,[1]Sheet1!$E$9:$E$2584,[1]Sheet1!$F$9:$F$2584,"N/A",0)</f>
        <v>139.42</v>
      </c>
      <c r="L1974">
        <f>_xlfn.XLOOKUP($A1974,[1]Sheet1!$H$9:$H$2584,[1]Sheet1!$I$9:$I$2584,"N/A",0)</f>
        <v>65.12</v>
      </c>
      <c r="M1974">
        <f>_xlfn.XLOOKUP($A1974,[1]Sheet1!$K$9:$K$2584,[1]Sheet1!$L$9:$L$2584,"N/A",0)</f>
        <v>137.95</v>
      </c>
      <c r="N1974">
        <f>_xlfn.XLOOKUP($A1974,[1]Sheet1!$N$9:$N$2584,[1]Sheet1!$O$9:$O$2584,"N/A",0)</f>
        <v>123.51</v>
      </c>
      <c r="O1974">
        <v>106.83</v>
      </c>
      <c r="P1974">
        <v>139.42</v>
      </c>
      <c r="Q1974">
        <v>65.12</v>
      </c>
      <c r="R1974">
        <v>123.51</v>
      </c>
      <c r="S1974">
        <v>137.95</v>
      </c>
    </row>
    <row r="1975" spans="1:19">
      <c r="A1975" s="1">
        <v>45231</v>
      </c>
      <c r="B1975" t="s">
        <v>896</v>
      </c>
      <c r="C1975" t="s">
        <v>905</v>
      </c>
      <c r="D1975">
        <v>17.3005</v>
      </c>
      <c r="E1975">
        <v>17.8499</v>
      </c>
      <c r="F1975">
        <v>0.0317563076211671</v>
      </c>
      <c r="G1975">
        <f ca="1" t="shared" si="90"/>
        <v>-0.918286302478113</v>
      </c>
      <c r="H1975" t="str">
        <f ca="1" t="shared" si="91"/>
        <v>Risk-Off</v>
      </c>
      <c r="I1975">
        <f ca="1" t="shared" si="92"/>
        <v>1</v>
      </c>
      <c r="J1975">
        <f>_xlfn.XLOOKUP($A1975,[1]Sheet1!$B$9:$B$2584,[1]Sheet1!$C$9:$C$2584,"N/A",0)</f>
        <v>107.26</v>
      </c>
      <c r="K1975">
        <f>_xlfn.XLOOKUP($A1975,[1]Sheet1!$E$9:$E$2584,[1]Sheet1!$F$9:$F$2584,"N/A",0)</f>
        <v>143.22</v>
      </c>
      <c r="L1975">
        <f>_xlfn.XLOOKUP($A1975,[1]Sheet1!$H$9:$H$2584,[1]Sheet1!$I$9:$I$2584,"N/A",0)</f>
        <v>65.56</v>
      </c>
      <c r="M1975">
        <f>_xlfn.XLOOKUP($A1975,[1]Sheet1!$K$9:$K$2584,[1]Sheet1!$L$9:$L$2584,"N/A",0)</f>
        <v>137.23</v>
      </c>
      <c r="N1975">
        <f>_xlfn.XLOOKUP($A1975,[1]Sheet1!$N$9:$N$2584,[1]Sheet1!$O$9:$O$2584,"N/A",0)</f>
        <v>123.7</v>
      </c>
      <c r="O1975">
        <v>107.26</v>
      </c>
      <c r="P1975">
        <v>143.22</v>
      </c>
      <c r="Q1975">
        <v>65.56</v>
      </c>
      <c r="R1975">
        <v>123.7</v>
      </c>
      <c r="S1975">
        <v>137.23</v>
      </c>
    </row>
    <row r="1976" spans="1:19">
      <c r="A1976" s="1">
        <v>45232</v>
      </c>
      <c r="B1976" t="s">
        <v>896</v>
      </c>
      <c r="C1976" t="s">
        <v>905</v>
      </c>
      <c r="D1976">
        <v>16.5565</v>
      </c>
      <c r="E1976">
        <v>17.3431</v>
      </c>
      <c r="F1976" s="2" t="s">
        <v>907</v>
      </c>
      <c r="G1976">
        <f ca="1" t="shared" si="90"/>
        <v>-0.388351708102226</v>
      </c>
      <c r="H1976" t="str">
        <f ca="1" t="shared" si="91"/>
        <v>Risk-Off</v>
      </c>
      <c r="I1976">
        <f ca="1" t="shared" si="92"/>
        <v>1</v>
      </c>
      <c r="J1976">
        <f>_xlfn.XLOOKUP($A1976,[1]Sheet1!$B$9:$B$2584,[1]Sheet1!$C$9:$C$2584,"N/A",0)</f>
        <v>107.3</v>
      </c>
      <c r="K1976">
        <f>_xlfn.XLOOKUP($A1976,[1]Sheet1!$E$9:$E$2584,[1]Sheet1!$F$9:$F$2584,"N/A",0)</f>
        <v>141.81</v>
      </c>
      <c r="L1976">
        <f>_xlfn.XLOOKUP($A1976,[1]Sheet1!$H$9:$H$2584,[1]Sheet1!$I$9:$I$2584,"N/A",0)</f>
        <v>65.7</v>
      </c>
      <c r="M1976">
        <f>_xlfn.XLOOKUP($A1976,[1]Sheet1!$K$9:$K$2584,[1]Sheet1!$L$9:$L$2584,"N/A",0)</f>
        <v>138.32</v>
      </c>
      <c r="N1976">
        <f>_xlfn.XLOOKUP($A1976,[1]Sheet1!$N$9:$N$2584,[1]Sheet1!$O$9:$O$2584,"N/A",0)</f>
        <v>123.74</v>
      </c>
      <c r="O1976">
        <v>107.3</v>
      </c>
      <c r="P1976">
        <v>141.81</v>
      </c>
      <c r="Q1976">
        <v>65.7</v>
      </c>
      <c r="R1976">
        <v>123.74</v>
      </c>
      <c r="S1976">
        <v>138.32</v>
      </c>
    </row>
    <row r="1977" spans="1:19">
      <c r="A1977" s="1">
        <v>45233</v>
      </c>
      <c r="B1977" t="s">
        <v>896</v>
      </c>
      <c r="C1977" t="s">
        <v>905</v>
      </c>
      <c r="D1977">
        <v>16.1519</v>
      </c>
      <c r="E1977">
        <v>16.9746</v>
      </c>
      <c r="F1977">
        <v>0.0509351840959885</v>
      </c>
      <c r="G1977">
        <f ca="1" t="shared" si="90"/>
        <v>-0.271999958165136</v>
      </c>
      <c r="H1977" t="str">
        <f ca="1" t="shared" si="91"/>
        <v>Risk-Off</v>
      </c>
      <c r="I1977">
        <f ca="1" t="shared" si="92"/>
        <v>1</v>
      </c>
      <c r="J1977">
        <f>_xlfn.XLOOKUP($A1977,[1]Sheet1!$B$9:$B$2584,[1]Sheet1!$C$9:$C$2584,"N/A",0)</f>
        <v>107.45</v>
      </c>
      <c r="K1977">
        <f>_xlfn.XLOOKUP($A1977,[1]Sheet1!$E$9:$E$2584,[1]Sheet1!$F$9:$F$2584,"N/A",0)</f>
        <v>141.23</v>
      </c>
      <c r="L1977">
        <f>_xlfn.XLOOKUP($A1977,[1]Sheet1!$H$9:$H$2584,[1]Sheet1!$I$9:$I$2584,"N/A",0)</f>
        <v>65.77</v>
      </c>
      <c r="M1977">
        <f>_xlfn.XLOOKUP($A1977,[1]Sheet1!$K$9:$K$2584,[1]Sheet1!$L$9:$L$2584,"N/A",0)</f>
        <v>137.09</v>
      </c>
      <c r="N1977">
        <f>_xlfn.XLOOKUP($A1977,[1]Sheet1!$N$9:$N$2584,[1]Sheet1!$O$9:$O$2584,"N/A",0)</f>
        <v>122.47</v>
      </c>
      <c r="O1977">
        <v>107.45</v>
      </c>
      <c r="P1977">
        <v>141.23</v>
      </c>
      <c r="Q1977">
        <v>65.77</v>
      </c>
      <c r="R1977">
        <v>122.47</v>
      </c>
      <c r="S1977">
        <v>137.09</v>
      </c>
    </row>
    <row r="1978" spans="1:19">
      <c r="A1978" s="1">
        <v>45236</v>
      </c>
      <c r="B1978" t="s">
        <v>896</v>
      </c>
      <c r="C1978" t="s">
        <v>905</v>
      </c>
      <c r="D1978">
        <v>15.6461</v>
      </c>
      <c r="E1978">
        <v>16.3841</v>
      </c>
      <c r="F1978" s="2" t="s">
        <v>908</v>
      </c>
      <c r="G1978">
        <f ca="1" t="shared" si="90"/>
        <v>-0.413040997954877</v>
      </c>
      <c r="H1978" t="str">
        <f ca="1" t="shared" si="91"/>
        <v>Risk-Off</v>
      </c>
      <c r="I1978">
        <f ca="1" t="shared" si="92"/>
        <v>1</v>
      </c>
      <c r="J1978">
        <f>_xlfn.XLOOKUP($A1978,[1]Sheet1!$B$9:$B$2584,[1]Sheet1!$C$9:$C$2584,"N/A",0)</f>
        <v>107.84</v>
      </c>
      <c r="K1978">
        <f>_xlfn.XLOOKUP($A1978,[1]Sheet1!$E$9:$E$2584,[1]Sheet1!$F$9:$F$2584,"N/A",0)</f>
        <v>143.05</v>
      </c>
      <c r="L1978">
        <f>_xlfn.XLOOKUP($A1978,[1]Sheet1!$H$9:$H$2584,[1]Sheet1!$I$9:$I$2584,"N/A",0)</f>
        <v>65.42</v>
      </c>
      <c r="M1978">
        <f>_xlfn.XLOOKUP($A1978,[1]Sheet1!$K$9:$K$2584,[1]Sheet1!$L$9:$L$2584,"N/A",0)</f>
        <v>137.31</v>
      </c>
      <c r="N1978">
        <f>_xlfn.XLOOKUP($A1978,[1]Sheet1!$N$9:$N$2584,[1]Sheet1!$O$9:$O$2584,"N/A",0)</f>
        <v>123.13</v>
      </c>
      <c r="O1978">
        <v>107.84</v>
      </c>
      <c r="P1978">
        <v>143.05</v>
      </c>
      <c r="Q1978">
        <v>65.42</v>
      </c>
      <c r="R1978">
        <v>123.13</v>
      </c>
      <c r="S1978">
        <v>137.31</v>
      </c>
    </row>
    <row r="1979" spans="1:19">
      <c r="A1979" s="1">
        <v>45237</v>
      </c>
      <c r="B1979" t="s">
        <v>896</v>
      </c>
      <c r="C1979" t="s">
        <v>905</v>
      </c>
      <c r="D1979">
        <v>15.5014</v>
      </c>
      <c r="E1979">
        <v>16.3245</v>
      </c>
      <c r="F1979">
        <v>0.0530984298192421</v>
      </c>
      <c r="G1979">
        <f ca="1" t="shared" si="90"/>
        <v>-0.209722803246247</v>
      </c>
      <c r="H1979" t="str">
        <f ca="1" t="shared" si="91"/>
        <v>Risk-Off</v>
      </c>
      <c r="I1979">
        <f ca="1" t="shared" si="92"/>
        <v>1</v>
      </c>
      <c r="J1979">
        <f>_xlfn.XLOOKUP($A1979,[1]Sheet1!$B$9:$B$2584,[1]Sheet1!$C$9:$C$2584,"N/A",0)</f>
        <v>108.38</v>
      </c>
      <c r="K1979">
        <f>_xlfn.XLOOKUP($A1979,[1]Sheet1!$E$9:$E$2584,[1]Sheet1!$F$9:$F$2584,"N/A",0)</f>
        <v>142.95</v>
      </c>
      <c r="L1979">
        <f>_xlfn.XLOOKUP($A1979,[1]Sheet1!$H$9:$H$2584,[1]Sheet1!$I$9:$I$2584,"N/A",0)</f>
        <v>64.59</v>
      </c>
      <c r="M1979">
        <f>_xlfn.XLOOKUP($A1979,[1]Sheet1!$K$9:$K$2584,[1]Sheet1!$L$9:$L$2584,"N/A",0)</f>
        <v>137.72</v>
      </c>
      <c r="N1979">
        <f>_xlfn.XLOOKUP($A1979,[1]Sheet1!$N$9:$N$2584,[1]Sheet1!$O$9:$O$2584,"N/A",0)</f>
        <v>123.74</v>
      </c>
      <c r="O1979">
        <v>108.38</v>
      </c>
      <c r="P1979">
        <v>142.95</v>
      </c>
      <c r="Q1979">
        <v>64.59</v>
      </c>
      <c r="R1979">
        <v>123.74</v>
      </c>
      <c r="S1979">
        <v>137.72</v>
      </c>
    </row>
    <row r="1980" spans="1:19">
      <c r="A1980" s="1">
        <v>45238</v>
      </c>
      <c r="B1980" t="s">
        <v>896</v>
      </c>
      <c r="C1980" t="s">
        <v>905</v>
      </c>
      <c r="D1980">
        <v>15.1093</v>
      </c>
      <c r="E1980">
        <v>16.046</v>
      </c>
      <c r="F1980">
        <v>0.0619949302747314</v>
      </c>
      <c r="G1980">
        <f ca="1" t="shared" si="90"/>
        <v>0.0969757369211478</v>
      </c>
      <c r="H1980" t="str">
        <f ca="1" t="shared" si="91"/>
        <v>Risk-Off</v>
      </c>
      <c r="I1980">
        <f ca="1" t="shared" si="92"/>
        <v>1</v>
      </c>
      <c r="J1980">
        <f>_xlfn.XLOOKUP($A1980,[1]Sheet1!$B$9:$B$2584,[1]Sheet1!$C$9:$C$2584,"N/A",0)</f>
        <v>107.75</v>
      </c>
      <c r="K1980">
        <f>_xlfn.XLOOKUP($A1980,[1]Sheet1!$E$9:$E$2584,[1]Sheet1!$F$9:$F$2584,"N/A",0)</f>
        <v>143.66</v>
      </c>
      <c r="L1980">
        <f>_xlfn.XLOOKUP($A1980,[1]Sheet1!$H$9:$H$2584,[1]Sheet1!$I$9:$I$2584,"N/A",0)</f>
        <v>64.02</v>
      </c>
      <c r="M1980">
        <f>_xlfn.XLOOKUP($A1980,[1]Sheet1!$K$9:$K$2584,[1]Sheet1!$L$9:$L$2584,"N/A",0)</f>
        <v>138.78</v>
      </c>
      <c r="N1980">
        <f>_xlfn.XLOOKUP($A1980,[1]Sheet1!$N$9:$N$2584,[1]Sheet1!$O$9:$O$2584,"N/A",0)</f>
        <v>124.59</v>
      </c>
      <c r="O1980">
        <v>107.75</v>
      </c>
      <c r="P1980">
        <v>143.66</v>
      </c>
      <c r="Q1980">
        <v>64.02</v>
      </c>
      <c r="R1980">
        <v>124.59</v>
      </c>
      <c r="S1980">
        <v>138.78</v>
      </c>
    </row>
    <row r="1981" spans="1:19">
      <c r="A1981" s="1">
        <v>45239</v>
      </c>
      <c r="B1981" t="s">
        <v>896</v>
      </c>
      <c r="C1981" t="s">
        <v>905</v>
      </c>
      <c r="D1981">
        <v>15.8874</v>
      </c>
      <c r="E1981">
        <v>16.6544</v>
      </c>
      <c r="F1981">
        <v>0.0482772511550033</v>
      </c>
      <c r="G1981">
        <f ca="1" t="shared" si="90"/>
        <v>-0.376681443244391</v>
      </c>
      <c r="H1981" t="str">
        <f ca="1" t="shared" si="91"/>
        <v>Risk-Off</v>
      </c>
      <c r="I1981">
        <f ca="1" t="shared" si="92"/>
        <v>1</v>
      </c>
      <c r="J1981">
        <f>_xlfn.XLOOKUP($A1981,[1]Sheet1!$B$9:$B$2584,[1]Sheet1!$C$9:$C$2584,"N/A",0)</f>
        <v>107.89</v>
      </c>
      <c r="K1981">
        <f>_xlfn.XLOOKUP($A1981,[1]Sheet1!$E$9:$E$2584,[1]Sheet1!$F$9:$F$2584,"N/A",0)</f>
        <v>145.26</v>
      </c>
      <c r="L1981">
        <f>_xlfn.XLOOKUP($A1981,[1]Sheet1!$H$9:$H$2584,[1]Sheet1!$I$9:$I$2584,"N/A",0)</f>
        <v>63.86</v>
      </c>
      <c r="M1981">
        <f>_xlfn.XLOOKUP($A1981,[1]Sheet1!$K$9:$K$2584,[1]Sheet1!$L$9:$L$2584,"N/A",0)</f>
        <v>138.22</v>
      </c>
      <c r="N1981">
        <f>_xlfn.XLOOKUP($A1981,[1]Sheet1!$N$9:$N$2584,[1]Sheet1!$O$9:$O$2584,"N/A",0)</f>
        <v>125.12</v>
      </c>
      <c r="O1981">
        <v>107.89</v>
      </c>
      <c r="P1981">
        <v>145.26</v>
      </c>
      <c r="Q1981">
        <v>63.86</v>
      </c>
      <c r="R1981">
        <v>125.12</v>
      </c>
      <c r="S1981">
        <v>138.22</v>
      </c>
    </row>
    <row r="1982" spans="1:19">
      <c r="A1982" s="1">
        <v>45240</v>
      </c>
      <c r="B1982" t="s">
        <v>896</v>
      </c>
      <c r="C1982" t="s">
        <v>905</v>
      </c>
      <c r="D1982">
        <v>14.8991</v>
      </c>
      <c r="E1982">
        <v>15.997</v>
      </c>
      <c r="F1982">
        <v>0.0736890147727043</v>
      </c>
      <c r="G1982">
        <f ca="1" t="shared" si="90"/>
        <v>0.495955873719931</v>
      </c>
      <c r="H1982" t="str">
        <f ca="1" t="shared" si="91"/>
        <v>Risk-On</v>
      </c>
      <c r="I1982">
        <f ca="1" t="shared" si="92"/>
        <v>1</v>
      </c>
      <c r="J1982">
        <f>_xlfn.XLOOKUP($A1982,[1]Sheet1!$B$9:$B$2584,[1]Sheet1!$C$9:$C$2584,"N/A",0)</f>
        <v>108.51</v>
      </c>
      <c r="K1982">
        <f>_xlfn.XLOOKUP($A1982,[1]Sheet1!$E$9:$E$2584,[1]Sheet1!$F$9:$F$2584,"N/A",0)</f>
        <v>147.01</v>
      </c>
      <c r="L1982">
        <f>_xlfn.XLOOKUP($A1982,[1]Sheet1!$H$9:$H$2584,[1]Sheet1!$I$9:$I$2584,"N/A",0)</f>
        <v>63.68</v>
      </c>
      <c r="M1982">
        <f>_xlfn.XLOOKUP($A1982,[1]Sheet1!$K$9:$K$2584,[1]Sheet1!$L$9:$L$2584,"N/A",0)</f>
        <v>138.69</v>
      </c>
      <c r="N1982">
        <f>_xlfn.XLOOKUP($A1982,[1]Sheet1!$N$9:$N$2584,[1]Sheet1!$O$9:$O$2584,"N/A",0)</f>
        <v>125.54</v>
      </c>
      <c r="O1982">
        <v>108.51</v>
      </c>
      <c r="P1982">
        <v>147.01</v>
      </c>
      <c r="Q1982">
        <v>63.68</v>
      </c>
      <c r="R1982">
        <v>125.54</v>
      </c>
      <c r="S1982">
        <v>138.69</v>
      </c>
    </row>
    <row r="1983" spans="1:19">
      <c r="A1983" s="1">
        <v>45243</v>
      </c>
      <c r="B1983" t="s">
        <v>896</v>
      </c>
      <c r="C1983" t="s">
        <v>905</v>
      </c>
      <c r="D1983">
        <v>14.8035</v>
      </c>
      <c r="E1983">
        <v>15.8467</v>
      </c>
      <c r="F1983">
        <v>0.0704698213260378</v>
      </c>
      <c r="G1983">
        <f ca="1" t="shared" si="90"/>
        <v>0.37217508167681</v>
      </c>
      <c r="H1983" t="str">
        <f ca="1" t="shared" si="91"/>
        <v>Risk-On</v>
      </c>
      <c r="I1983">
        <f ca="1" t="shared" si="92"/>
        <v>1</v>
      </c>
      <c r="J1983">
        <f>_xlfn.XLOOKUP($A1983,[1]Sheet1!$B$9:$B$2584,[1]Sheet1!$C$9:$C$2584,"N/A",0)</f>
        <v>109.09</v>
      </c>
      <c r="K1983">
        <f>_xlfn.XLOOKUP($A1983,[1]Sheet1!$E$9:$E$2584,[1]Sheet1!$F$9:$F$2584,"N/A",0)</f>
        <v>147.62</v>
      </c>
      <c r="L1983">
        <f>_xlfn.XLOOKUP($A1983,[1]Sheet1!$H$9:$H$2584,[1]Sheet1!$I$9:$I$2584,"N/A",0)</f>
        <v>63.3</v>
      </c>
      <c r="M1983">
        <f>_xlfn.XLOOKUP($A1983,[1]Sheet1!$K$9:$K$2584,[1]Sheet1!$L$9:$L$2584,"N/A",0)</f>
        <v>138.38</v>
      </c>
      <c r="N1983">
        <f>_xlfn.XLOOKUP($A1983,[1]Sheet1!$N$9:$N$2584,[1]Sheet1!$O$9:$O$2584,"N/A",0)</f>
        <v>125.58</v>
      </c>
      <c r="O1983">
        <v>109.09</v>
      </c>
      <c r="P1983">
        <v>147.62</v>
      </c>
      <c r="Q1983">
        <v>63.3</v>
      </c>
      <c r="R1983">
        <v>125.58</v>
      </c>
      <c r="S1983">
        <v>138.38</v>
      </c>
    </row>
    <row r="1984" spans="1:19">
      <c r="A1984" s="1">
        <v>45244</v>
      </c>
      <c r="B1984" t="s">
        <v>896</v>
      </c>
      <c r="C1984" t="s">
        <v>905</v>
      </c>
      <c r="D1984">
        <v>14.2701</v>
      </c>
      <c r="E1984">
        <v>15.7429</v>
      </c>
      <c r="F1984" s="2" t="s">
        <v>909</v>
      </c>
      <c r="G1984">
        <f ca="1" t="shared" si="90"/>
        <v>1.52288308997889</v>
      </c>
      <c r="H1984" t="str">
        <f ca="1" t="shared" si="91"/>
        <v>Risk-On</v>
      </c>
      <c r="I1984">
        <f ca="1" t="shared" si="92"/>
        <v>1</v>
      </c>
      <c r="J1984">
        <f>_xlfn.XLOOKUP($A1984,[1]Sheet1!$B$9:$B$2584,[1]Sheet1!$C$9:$C$2584,"N/A",0)</f>
        <v>108.88</v>
      </c>
      <c r="K1984">
        <f>_xlfn.XLOOKUP($A1984,[1]Sheet1!$E$9:$E$2584,[1]Sheet1!$F$9:$F$2584,"N/A",0)</f>
        <v>145.54</v>
      </c>
      <c r="L1984">
        <f>_xlfn.XLOOKUP($A1984,[1]Sheet1!$H$9:$H$2584,[1]Sheet1!$I$9:$I$2584,"N/A",0)</f>
        <v>63.77</v>
      </c>
      <c r="M1984">
        <f>_xlfn.XLOOKUP($A1984,[1]Sheet1!$K$9:$K$2584,[1]Sheet1!$L$9:$L$2584,"N/A",0)</f>
        <v>138.97</v>
      </c>
      <c r="N1984">
        <f>_xlfn.XLOOKUP($A1984,[1]Sheet1!$N$9:$N$2584,[1]Sheet1!$O$9:$O$2584,"N/A",0)</f>
        <v>122.6</v>
      </c>
      <c r="O1984">
        <v>108.88</v>
      </c>
      <c r="P1984">
        <v>145.54</v>
      </c>
      <c r="Q1984">
        <v>63.77</v>
      </c>
      <c r="R1984">
        <v>122.6</v>
      </c>
      <c r="S1984">
        <v>138.97</v>
      </c>
    </row>
    <row r="1985" spans="1:19">
      <c r="A1985" s="1">
        <v>45245</v>
      </c>
      <c r="B1985" t="s">
        <v>896</v>
      </c>
      <c r="C1985" t="s">
        <v>905</v>
      </c>
      <c r="D1985">
        <v>14.22</v>
      </c>
      <c r="E1985">
        <v>15.3507</v>
      </c>
      <c r="F1985">
        <v>0.0795147679324893</v>
      </c>
      <c r="G1985">
        <f ca="1" t="shared" si="90"/>
        <v>0.684047937186264</v>
      </c>
      <c r="H1985" t="str">
        <f ca="1" t="shared" si="91"/>
        <v>Risk-On</v>
      </c>
      <c r="I1985">
        <f ca="1" t="shared" si="92"/>
        <v>1</v>
      </c>
      <c r="J1985">
        <f>_xlfn.XLOOKUP($A1985,[1]Sheet1!$B$9:$B$2584,[1]Sheet1!$C$9:$C$2584,"N/A",0)</f>
        <v>108.73</v>
      </c>
      <c r="K1985">
        <f>_xlfn.XLOOKUP($A1985,[1]Sheet1!$E$9:$E$2584,[1]Sheet1!$F$9:$F$2584,"N/A",0)</f>
        <v>142.04</v>
      </c>
      <c r="L1985">
        <f>_xlfn.XLOOKUP($A1985,[1]Sheet1!$H$9:$H$2584,[1]Sheet1!$I$9:$I$2584,"N/A",0)</f>
        <v>64.47</v>
      </c>
      <c r="M1985">
        <f>_xlfn.XLOOKUP($A1985,[1]Sheet1!$K$9:$K$2584,[1]Sheet1!$L$9:$L$2584,"N/A",0)</f>
        <v>139.24</v>
      </c>
      <c r="N1985">
        <f>_xlfn.XLOOKUP($A1985,[1]Sheet1!$N$9:$N$2584,[1]Sheet1!$O$9:$O$2584,"N/A",0)</f>
        <v>122.91</v>
      </c>
      <c r="O1985">
        <v>108.73</v>
      </c>
      <c r="P1985">
        <v>142.04</v>
      </c>
      <c r="Q1985">
        <v>64.47</v>
      </c>
      <c r="R1985">
        <v>122.91</v>
      </c>
      <c r="S1985">
        <v>139.24</v>
      </c>
    </row>
    <row r="1986" spans="1:19">
      <c r="A1986" s="1">
        <v>45246</v>
      </c>
      <c r="B1986" t="s">
        <v>905</v>
      </c>
      <c r="C1986" t="s">
        <v>910</v>
      </c>
      <c r="D1986">
        <v>15.1459</v>
      </c>
      <c r="E1986">
        <v>16.6024</v>
      </c>
      <c r="F1986">
        <v>0.0961646386150707</v>
      </c>
      <c r="G1986">
        <f ca="1" t="shared" si="90"/>
        <v>1.26195709143112</v>
      </c>
      <c r="H1986" t="str">
        <f ca="1" t="shared" si="91"/>
        <v>Risk-On</v>
      </c>
      <c r="I1986">
        <f ca="1" t="shared" si="92"/>
        <v>1</v>
      </c>
      <c r="J1986">
        <f>_xlfn.XLOOKUP($A1986,[1]Sheet1!$B$9:$B$2584,[1]Sheet1!$C$9:$C$2584,"N/A",0)</f>
        <v>109.22</v>
      </c>
      <c r="K1986">
        <f>_xlfn.XLOOKUP($A1986,[1]Sheet1!$E$9:$E$2584,[1]Sheet1!$F$9:$F$2584,"N/A",0)</f>
        <v>143.52</v>
      </c>
      <c r="L1986">
        <f>_xlfn.XLOOKUP($A1986,[1]Sheet1!$H$9:$H$2584,[1]Sheet1!$I$9:$I$2584,"N/A",0)</f>
        <v>63.95</v>
      </c>
      <c r="M1986">
        <f>_xlfn.XLOOKUP($A1986,[1]Sheet1!$K$9:$K$2584,[1]Sheet1!$L$9:$L$2584,"N/A",0)</f>
        <v>138.4</v>
      </c>
      <c r="N1986">
        <f>_xlfn.XLOOKUP($A1986,[1]Sheet1!$N$9:$N$2584,[1]Sheet1!$O$9:$O$2584,"N/A",0)</f>
        <v>124.12</v>
      </c>
      <c r="O1986">
        <v>109.22</v>
      </c>
      <c r="P1986">
        <v>143.52</v>
      </c>
      <c r="Q1986">
        <v>63.95</v>
      </c>
      <c r="R1986">
        <v>124.12</v>
      </c>
      <c r="S1986">
        <v>138.4</v>
      </c>
    </row>
    <row r="1987" spans="1:19">
      <c r="A1987" s="1">
        <v>45247</v>
      </c>
      <c r="B1987" t="s">
        <v>905</v>
      </c>
      <c r="C1987" t="s">
        <v>910</v>
      </c>
      <c r="D1987">
        <v>14.9042</v>
      </c>
      <c r="E1987">
        <v>16.4004</v>
      </c>
      <c r="F1987" s="2" t="s">
        <v>911</v>
      </c>
      <c r="G1987">
        <f ca="1" t="shared" ref="G1987:G2050" si="93">IF(ROW()-ROW($A$3)+1&gt;252,(F1987-AVERAGE(OFFSET(F1987,-252,0,252,1)))/_xlfn.STDEV.S(OFFSET(F1987,-252,0,252,1)),"N/A")</f>
        <v>1.393101553141</v>
      </c>
      <c r="H1987" t="str">
        <f ca="1" t="shared" ref="H1987:H2050" si="94">IF(G1987&lt;&gt;"N/A",IF(G2237&gt;-0.5,"Risk-On","Risk-Off"),"N/A")</f>
        <v>Risk-Off</v>
      </c>
      <c r="I1987">
        <f ca="1" t="shared" si="92"/>
        <v>1</v>
      </c>
      <c r="J1987">
        <f>_xlfn.XLOOKUP($A1987,[1]Sheet1!$B$9:$B$2584,[1]Sheet1!$C$9:$C$2584,"N/A",0)</f>
        <v>109.11</v>
      </c>
      <c r="K1987">
        <f>_xlfn.XLOOKUP($A1987,[1]Sheet1!$E$9:$E$2584,[1]Sheet1!$F$9:$F$2584,"N/A",0)</f>
        <v>143.12</v>
      </c>
      <c r="L1987">
        <f>_xlfn.XLOOKUP($A1987,[1]Sheet1!$H$9:$H$2584,[1]Sheet1!$I$9:$I$2584,"N/A",0)</f>
        <v>64.35</v>
      </c>
      <c r="M1987">
        <f>_xlfn.XLOOKUP($A1987,[1]Sheet1!$K$9:$K$2584,[1]Sheet1!$L$9:$L$2584,"N/A",0)</f>
        <v>138.42</v>
      </c>
      <c r="N1987">
        <f>_xlfn.XLOOKUP($A1987,[1]Sheet1!$N$9:$N$2584,[1]Sheet1!$O$9:$O$2584,"N/A",0)</f>
        <v>123.24</v>
      </c>
      <c r="O1987">
        <v>109.11</v>
      </c>
      <c r="P1987">
        <v>143.12</v>
      </c>
      <c r="Q1987">
        <v>64.35</v>
      </c>
      <c r="R1987">
        <v>123.24</v>
      </c>
      <c r="S1987">
        <v>138.42</v>
      </c>
    </row>
    <row r="1988" spans="1:19">
      <c r="A1988" s="1">
        <v>45250</v>
      </c>
      <c r="B1988" t="s">
        <v>905</v>
      </c>
      <c r="C1988" t="s">
        <v>910</v>
      </c>
      <c r="D1988">
        <v>14.776</v>
      </c>
      <c r="E1988">
        <v>16.3301</v>
      </c>
      <c r="F1988" s="2" t="s">
        <v>912</v>
      </c>
      <c r="G1988">
        <f ca="1" t="shared" si="93"/>
        <v>1.56274477764954</v>
      </c>
      <c r="H1988" t="str">
        <f ca="1" t="shared" si="94"/>
        <v>Risk-On</v>
      </c>
      <c r="I1988">
        <f ca="1" t="shared" ref="I1988:I2051" si="95">IF(H1988&lt;&gt;"N/A",IF(H2238&gt;-0.5,1,0),0)</f>
        <v>1</v>
      </c>
      <c r="J1988">
        <f>_xlfn.XLOOKUP($A1988,[1]Sheet1!$B$9:$B$2584,[1]Sheet1!$C$9:$C$2584,"N/A",0)</f>
        <v>109.15</v>
      </c>
      <c r="K1988">
        <f>_xlfn.XLOOKUP($A1988,[1]Sheet1!$E$9:$E$2584,[1]Sheet1!$F$9:$F$2584,"N/A",0)</f>
        <v>143.37</v>
      </c>
      <c r="L1988">
        <f>_xlfn.XLOOKUP($A1988,[1]Sheet1!$H$9:$H$2584,[1]Sheet1!$I$9:$I$2584,"N/A",0)</f>
        <v>64.11</v>
      </c>
      <c r="M1988">
        <f>_xlfn.XLOOKUP($A1988,[1]Sheet1!$K$9:$K$2584,[1]Sheet1!$L$9:$L$2584,"N/A",0)</f>
        <v>138.88</v>
      </c>
      <c r="N1988">
        <f>_xlfn.XLOOKUP($A1988,[1]Sheet1!$N$9:$N$2584,[1]Sheet1!$O$9:$O$2584,"N/A",0)</f>
        <v>123.72</v>
      </c>
      <c r="O1988">
        <v>109.15</v>
      </c>
      <c r="P1988">
        <v>143.37</v>
      </c>
      <c r="Q1988">
        <v>64.11</v>
      </c>
      <c r="R1988">
        <v>123.72</v>
      </c>
      <c r="S1988">
        <v>138.88</v>
      </c>
    </row>
    <row r="1989" spans="1:19">
      <c r="A1989" s="1">
        <v>45251</v>
      </c>
      <c r="B1989" t="s">
        <v>905</v>
      </c>
      <c r="C1989" t="s">
        <v>910</v>
      </c>
      <c r="D1989">
        <v>14.4523</v>
      </c>
      <c r="E1989">
        <v>16.0213</v>
      </c>
      <c r="F1989" s="2" t="s">
        <v>913</v>
      </c>
      <c r="G1989">
        <f ca="1" t="shared" si="93"/>
        <v>1.68241101544331</v>
      </c>
      <c r="H1989" t="str">
        <f ca="1" t="shared" si="94"/>
        <v>Risk-Off</v>
      </c>
      <c r="I1989">
        <f ca="1" t="shared" si="95"/>
        <v>1</v>
      </c>
      <c r="J1989">
        <f>_xlfn.XLOOKUP($A1989,[1]Sheet1!$B$9:$B$2584,[1]Sheet1!$C$9:$C$2584,"N/A",0)</f>
        <v>109.39</v>
      </c>
      <c r="K1989">
        <f>_xlfn.XLOOKUP($A1989,[1]Sheet1!$E$9:$E$2584,[1]Sheet1!$F$9:$F$2584,"N/A",0)</f>
        <v>144.4</v>
      </c>
      <c r="L1989">
        <f>_xlfn.XLOOKUP($A1989,[1]Sheet1!$H$9:$H$2584,[1]Sheet1!$I$9:$I$2584,"N/A",0)</f>
        <v>63.87</v>
      </c>
      <c r="M1989">
        <f>_xlfn.XLOOKUP($A1989,[1]Sheet1!$K$9:$K$2584,[1]Sheet1!$L$9:$L$2584,"N/A",0)</f>
        <v>139.27</v>
      </c>
      <c r="N1989">
        <f>_xlfn.XLOOKUP($A1989,[1]Sheet1!$N$9:$N$2584,[1]Sheet1!$O$9:$O$2584,"N/A",0)</f>
        <v>124.63</v>
      </c>
      <c r="O1989">
        <v>109.39</v>
      </c>
      <c r="P1989">
        <v>144.4</v>
      </c>
      <c r="Q1989">
        <v>63.87</v>
      </c>
      <c r="R1989">
        <v>124.63</v>
      </c>
      <c r="S1989">
        <v>139.27</v>
      </c>
    </row>
    <row r="1990" spans="1:19">
      <c r="A1990" s="1">
        <v>45252</v>
      </c>
      <c r="B1990" t="s">
        <v>905</v>
      </c>
      <c r="C1990" t="s">
        <v>910</v>
      </c>
      <c r="D1990">
        <v>14.5628</v>
      </c>
      <c r="E1990">
        <v>16.2486</v>
      </c>
      <c r="F1990" s="2" t="s">
        <v>914</v>
      </c>
      <c r="G1990">
        <f ca="1" t="shared" si="93"/>
        <v>1.93811772801862</v>
      </c>
      <c r="H1990" t="str">
        <f ca="1" t="shared" si="94"/>
        <v>Risk-On</v>
      </c>
      <c r="I1990">
        <f ca="1" t="shared" si="95"/>
        <v>1</v>
      </c>
      <c r="J1990">
        <f>_xlfn.XLOOKUP($A1990,[1]Sheet1!$B$9:$B$2584,[1]Sheet1!$C$9:$C$2584,"N/A",0)</f>
        <v>109.66</v>
      </c>
      <c r="K1990">
        <f>_xlfn.XLOOKUP($A1990,[1]Sheet1!$E$9:$E$2584,[1]Sheet1!$F$9:$F$2584,"N/A",0)</f>
        <v>144.47</v>
      </c>
      <c r="L1990">
        <f>_xlfn.XLOOKUP($A1990,[1]Sheet1!$H$9:$H$2584,[1]Sheet1!$I$9:$I$2584,"N/A",0)</f>
        <v>63.5</v>
      </c>
      <c r="M1990">
        <f>_xlfn.XLOOKUP($A1990,[1]Sheet1!$K$9:$K$2584,[1]Sheet1!$L$9:$L$2584,"N/A",0)</f>
        <v>138.98</v>
      </c>
      <c r="N1990">
        <f>_xlfn.XLOOKUP($A1990,[1]Sheet1!$N$9:$N$2584,[1]Sheet1!$O$9:$O$2584,"N/A",0)</f>
        <v>124.33</v>
      </c>
      <c r="O1990">
        <v>109.66</v>
      </c>
      <c r="P1990">
        <v>144.47</v>
      </c>
      <c r="Q1990">
        <v>63.5</v>
      </c>
      <c r="R1990">
        <v>124.33</v>
      </c>
      <c r="S1990">
        <v>138.98</v>
      </c>
    </row>
    <row r="1991" spans="1:19">
      <c r="A1991" s="1">
        <v>45254</v>
      </c>
      <c r="B1991" t="s">
        <v>905</v>
      </c>
      <c r="C1991" t="s">
        <v>910</v>
      </c>
      <c r="D1991">
        <v>13.8496</v>
      </c>
      <c r="E1991">
        <v>15.6449</v>
      </c>
      <c r="F1991" s="2" t="s">
        <v>915</v>
      </c>
      <c r="G1991">
        <f ca="1" t="shared" si="93"/>
        <v>2.43396026216152</v>
      </c>
      <c r="H1991" t="str">
        <f ca="1" t="shared" si="94"/>
        <v>Risk-On</v>
      </c>
      <c r="I1991">
        <f ca="1" t="shared" si="95"/>
        <v>1</v>
      </c>
      <c r="J1991">
        <f>_xlfn.XLOOKUP($A1991,[1]Sheet1!$B$9:$B$2584,[1]Sheet1!$C$9:$C$2584,"N/A",0)</f>
        <v>109.66</v>
      </c>
      <c r="K1991">
        <f>_xlfn.XLOOKUP($A1991,[1]Sheet1!$E$9:$E$2584,[1]Sheet1!$F$9:$F$2584,"N/A",0)</f>
        <v>144.01</v>
      </c>
      <c r="L1991">
        <f>_xlfn.XLOOKUP($A1991,[1]Sheet1!$H$9:$H$2584,[1]Sheet1!$I$9:$I$2584,"N/A",0)</f>
        <v>63.49</v>
      </c>
      <c r="M1991">
        <f>_xlfn.XLOOKUP($A1991,[1]Sheet1!$K$9:$K$2584,[1]Sheet1!$L$9:$L$2584,"N/A",0)</f>
        <v>138.82</v>
      </c>
      <c r="N1991">
        <f>_xlfn.XLOOKUP($A1991,[1]Sheet1!$N$9:$N$2584,[1]Sheet1!$O$9:$O$2584,"N/A",0)</f>
        <v>123.9</v>
      </c>
      <c r="O1991">
        <v>109.66</v>
      </c>
      <c r="P1991">
        <v>144.01</v>
      </c>
      <c r="Q1991">
        <v>63.49</v>
      </c>
      <c r="R1991">
        <v>123.9</v>
      </c>
      <c r="S1991">
        <v>138.82</v>
      </c>
    </row>
    <row r="1992" spans="1:19">
      <c r="A1992" s="1">
        <v>45257</v>
      </c>
      <c r="B1992" t="s">
        <v>905</v>
      </c>
      <c r="C1992" t="s">
        <v>910</v>
      </c>
      <c r="D1992">
        <v>13.9533</v>
      </c>
      <c r="E1992">
        <v>15.7645</v>
      </c>
      <c r="F1992" s="2" t="s">
        <v>916</v>
      </c>
      <c r="G1992">
        <f ca="1" t="shared" si="93"/>
        <v>2.44016600918188</v>
      </c>
      <c r="H1992" t="str">
        <f ca="1" t="shared" si="94"/>
        <v>Risk-On</v>
      </c>
      <c r="I1992">
        <f ca="1" t="shared" si="95"/>
        <v>1</v>
      </c>
      <c r="J1992">
        <f>_xlfn.XLOOKUP($A1992,[1]Sheet1!$B$9:$B$2584,[1]Sheet1!$C$9:$C$2584,"N/A",0)</f>
        <v>109.78</v>
      </c>
      <c r="K1992">
        <f>_xlfn.XLOOKUP($A1992,[1]Sheet1!$E$9:$E$2584,[1]Sheet1!$F$9:$F$2584,"N/A",0)</f>
        <v>145.3</v>
      </c>
      <c r="L1992">
        <f>_xlfn.XLOOKUP($A1992,[1]Sheet1!$H$9:$H$2584,[1]Sheet1!$I$9:$I$2584,"N/A",0)</f>
        <v>62.75</v>
      </c>
      <c r="M1992">
        <f>_xlfn.XLOOKUP($A1992,[1]Sheet1!$K$9:$K$2584,[1]Sheet1!$L$9:$L$2584,"N/A",0)</f>
        <v>138.95</v>
      </c>
      <c r="N1992">
        <f>_xlfn.XLOOKUP($A1992,[1]Sheet1!$N$9:$N$2584,[1]Sheet1!$O$9:$O$2584,"N/A",0)</f>
        <v>123.96</v>
      </c>
      <c r="O1992">
        <v>109.78</v>
      </c>
      <c r="P1992">
        <v>145.3</v>
      </c>
      <c r="Q1992">
        <v>62.75</v>
      </c>
      <c r="R1992">
        <v>123.96</v>
      </c>
      <c r="S1992">
        <v>138.95</v>
      </c>
    </row>
    <row r="1993" spans="1:19">
      <c r="A1993" s="1">
        <v>45258</v>
      </c>
      <c r="B1993" t="s">
        <v>905</v>
      </c>
      <c r="C1993" t="s">
        <v>910</v>
      </c>
      <c r="D1993">
        <v>13.7842</v>
      </c>
      <c r="E1993">
        <v>15.5543</v>
      </c>
      <c r="F1993" s="2" t="s">
        <v>917</v>
      </c>
      <c r="G1993">
        <f ca="1" t="shared" si="93"/>
        <v>2.39121538950176</v>
      </c>
      <c r="H1993" t="str">
        <f ca="1" t="shared" si="94"/>
        <v>Risk-On</v>
      </c>
      <c r="I1993">
        <f ca="1" t="shared" si="95"/>
        <v>1</v>
      </c>
      <c r="J1993">
        <f>_xlfn.XLOOKUP($A1993,[1]Sheet1!$B$9:$B$2584,[1]Sheet1!$C$9:$C$2584,"N/A",0)</f>
        <v>109.69</v>
      </c>
      <c r="K1993">
        <f>_xlfn.XLOOKUP($A1993,[1]Sheet1!$E$9:$E$2584,[1]Sheet1!$F$9:$F$2584,"N/A",0)</f>
        <v>143.52</v>
      </c>
      <c r="L1993">
        <f>_xlfn.XLOOKUP($A1993,[1]Sheet1!$H$9:$H$2584,[1]Sheet1!$I$9:$I$2584,"N/A",0)</f>
        <v>62.73</v>
      </c>
      <c r="M1993">
        <f>_xlfn.XLOOKUP($A1993,[1]Sheet1!$K$9:$K$2584,[1]Sheet1!$L$9:$L$2584,"N/A",0)</f>
        <v>138.08</v>
      </c>
      <c r="N1993">
        <f>_xlfn.XLOOKUP($A1993,[1]Sheet1!$N$9:$N$2584,[1]Sheet1!$O$9:$O$2584,"N/A",0)</f>
        <v>124.8</v>
      </c>
      <c r="O1993">
        <v>109.69</v>
      </c>
      <c r="P1993">
        <v>143.52</v>
      </c>
      <c r="Q1993">
        <v>62.73</v>
      </c>
      <c r="R1993">
        <v>124.8</v>
      </c>
      <c r="S1993">
        <v>138.08</v>
      </c>
    </row>
    <row r="1994" spans="1:19">
      <c r="A1994" s="1">
        <v>45259</v>
      </c>
      <c r="B1994" t="s">
        <v>905</v>
      </c>
      <c r="C1994" t="s">
        <v>910</v>
      </c>
      <c r="D1994">
        <v>13.9997</v>
      </c>
      <c r="E1994">
        <v>15.8501</v>
      </c>
      <c r="F1994" s="2" t="s">
        <v>918</v>
      </c>
      <c r="G1994">
        <f ca="1" t="shared" si="93"/>
        <v>2.523666436223</v>
      </c>
      <c r="H1994" t="str">
        <f ca="1" t="shared" si="94"/>
        <v>Risk-On</v>
      </c>
      <c r="I1994">
        <f ca="1" t="shared" si="95"/>
        <v>1</v>
      </c>
      <c r="J1994">
        <f>_xlfn.XLOOKUP($A1994,[1]Sheet1!$B$9:$B$2584,[1]Sheet1!$C$9:$C$2584,"N/A",0)</f>
        <v>109.54</v>
      </c>
      <c r="K1994">
        <f>_xlfn.XLOOKUP($A1994,[1]Sheet1!$E$9:$E$2584,[1]Sheet1!$F$9:$F$2584,"N/A",0)</f>
        <v>141.57</v>
      </c>
      <c r="L1994">
        <f>_xlfn.XLOOKUP($A1994,[1]Sheet1!$H$9:$H$2584,[1]Sheet1!$I$9:$I$2584,"N/A",0)</f>
        <v>63.25</v>
      </c>
      <c r="M1994">
        <f>_xlfn.XLOOKUP($A1994,[1]Sheet1!$K$9:$K$2584,[1]Sheet1!$L$9:$L$2584,"N/A",0)</f>
        <v>138.27</v>
      </c>
      <c r="N1994">
        <f>_xlfn.XLOOKUP($A1994,[1]Sheet1!$N$9:$N$2584,[1]Sheet1!$O$9:$O$2584,"N/A",0)</f>
        <v>125.01</v>
      </c>
      <c r="O1994">
        <v>109.54</v>
      </c>
      <c r="P1994">
        <v>141.57</v>
      </c>
      <c r="Q1994">
        <v>63.25</v>
      </c>
      <c r="R1994">
        <v>125.01</v>
      </c>
      <c r="S1994">
        <v>138.27</v>
      </c>
    </row>
    <row r="1995" spans="1:19">
      <c r="A1995" s="1">
        <v>45260</v>
      </c>
      <c r="B1995" t="s">
        <v>905</v>
      </c>
      <c r="C1995" t="s">
        <v>910</v>
      </c>
      <c r="D1995">
        <v>13.7578</v>
      </c>
      <c r="E1995">
        <v>15.5681</v>
      </c>
      <c r="F1995" s="2" t="s">
        <v>919</v>
      </c>
      <c r="G1995">
        <f ca="1" t="shared" si="93"/>
        <v>2.50285255491051</v>
      </c>
      <c r="H1995" t="str">
        <f ca="1" t="shared" si="94"/>
        <v>Risk-On</v>
      </c>
      <c r="I1995">
        <f ca="1" t="shared" si="95"/>
        <v>1</v>
      </c>
      <c r="J1995">
        <f>_xlfn.XLOOKUP($A1995,[1]Sheet1!$B$9:$B$2584,[1]Sheet1!$C$9:$C$2584,"N/A",0)</f>
        <v>109.62</v>
      </c>
      <c r="K1995">
        <f>_xlfn.XLOOKUP($A1995,[1]Sheet1!$E$9:$E$2584,[1]Sheet1!$F$9:$F$2584,"N/A",0)</f>
        <v>141.68</v>
      </c>
      <c r="L1995">
        <f>_xlfn.XLOOKUP($A1995,[1]Sheet1!$H$9:$H$2584,[1]Sheet1!$I$9:$I$2584,"N/A",0)</f>
        <v>63.42</v>
      </c>
      <c r="M1995">
        <f>_xlfn.XLOOKUP($A1995,[1]Sheet1!$K$9:$K$2584,[1]Sheet1!$L$9:$L$2584,"N/A",0)</f>
        <v>138.16</v>
      </c>
      <c r="N1995">
        <f>_xlfn.XLOOKUP($A1995,[1]Sheet1!$N$9:$N$2584,[1]Sheet1!$O$9:$O$2584,"N/A",0)</f>
        <v>125.38</v>
      </c>
      <c r="O1995">
        <v>109.62</v>
      </c>
      <c r="P1995">
        <v>141.68</v>
      </c>
      <c r="Q1995">
        <v>63.42</v>
      </c>
      <c r="R1995">
        <v>125.38</v>
      </c>
      <c r="S1995">
        <v>138.16</v>
      </c>
    </row>
    <row r="1996" spans="1:19">
      <c r="A1996" s="1">
        <v>45261</v>
      </c>
      <c r="B1996" t="s">
        <v>905</v>
      </c>
      <c r="C1996" t="s">
        <v>910</v>
      </c>
      <c r="D1996">
        <v>13.6982</v>
      </c>
      <c r="E1996">
        <v>15.5089</v>
      </c>
      <c r="F1996" s="2" t="s">
        <v>920</v>
      </c>
      <c r="G1996">
        <f ca="1" t="shared" si="93"/>
        <v>2.52405365529855</v>
      </c>
      <c r="H1996" t="str">
        <f ca="1" t="shared" si="94"/>
        <v>Risk-On</v>
      </c>
      <c r="I1996">
        <f ca="1" t="shared" si="95"/>
        <v>1</v>
      </c>
      <c r="J1996">
        <f>_xlfn.XLOOKUP($A1996,[1]Sheet1!$B$9:$B$2584,[1]Sheet1!$C$9:$C$2584,"N/A",0)</f>
        <v>110</v>
      </c>
      <c r="K1996">
        <f>_xlfn.XLOOKUP($A1996,[1]Sheet1!$E$9:$E$2584,[1]Sheet1!$F$9:$F$2584,"N/A",0)</f>
        <v>138.87</v>
      </c>
      <c r="L1996">
        <f>_xlfn.XLOOKUP($A1996,[1]Sheet1!$H$9:$H$2584,[1]Sheet1!$I$9:$I$2584,"N/A",0)</f>
        <v>63.7</v>
      </c>
      <c r="M1996">
        <f>_xlfn.XLOOKUP($A1996,[1]Sheet1!$K$9:$K$2584,[1]Sheet1!$L$9:$L$2584,"N/A",0)</f>
        <v>138.08</v>
      </c>
      <c r="N1996">
        <f>_xlfn.XLOOKUP($A1996,[1]Sheet1!$N$9:$N$2584,[1]Sheet1!$O$9:$O$2584,"N/A",0)</f>
        <v>123.58</v>
      </c>
      <c r="O1996">
        <v>110</v>
      </c>
      <c r="P1996">
        <v>138.87</v>
      </c>
      <c r="Q1996">
        <v>63.7</v>
      </c>
      <c r="R1996">
        <v>123.58</v>
      </c>
      <c r="S1996">
        <v>138.08</v>
      </c>
    </row>
    <row r="1997" spans="1:19">
      <c r="A1997" s="1">
        <v>45264</v>
      </c>
      <c r="B1997" t="s">
        <v>905</v>
      </c>
      <c r="C1997" t="s">
        <v>910</v>
      </c>
      <c r="D1997">
        <v>13.8006</v>
      </c>
      <c r="E1997">
        <v>15.549</v>
      </c>
      <c r="F1997" s="2" t="s">
        <v>921</v>
      </c>
      <c r="G1997">
        <f ca="1" t="shared" si="93"/>
        <v>2.330435774513</v>
      </c>
      <c r="H1997" t="str">
        <f ca="1" t="shared" si="94"/>
        <v>Risk-On</v>
      </c>
      <c r="I1997">
        <f ca="1" t="shared" si="95"/>
        <v>1</v>
      </c>
      <c r="J1997">
        <f>_xlfn.XLOOKUP($A1997,[1]Sheet1!$B$9:$B$2584,[1]Sheet1!$C$9:$C$2584,"N/A",0)</f>
        <v>109.17</v>
      </c>
      <c r="K1997">
        <f>_xlfn.XLOOKUP($A1997,[1]Sheet1!$E$9:$E$2584,[1]Sheet1!$F$9:$F$2584,"N/A",0)</f>
        <v>136.97</v>
      </c>
      <c r="L1997">
        <f>_xlfn.XLOOKUP($A1997,[1]Sheet1!$H$9:$H$2584,[1]Sheet1!$I$9:$I$2584,"N/A",0)</f>
        <v>63.33</v>
      </c>
      <c r="M1997">
        <f>_xlfn.XLOOKUP($A1997,[1]Sheet1!$K$9:$K$2584,[1]Sheet1!$L$9:$L$2584,"N/A",0)</f>
        <v>137.43</v>
      </c>
      <c r="N1997">
        <f>_xlfn.XLOOKUP($A1997,[1]Sheet1!$N$9:$N$2584,[1]Sheet1!$O$9:$O$2584,"N/A",0)</f>
        <v>121.86</v>
      </c>
      <c r="O1997">
        <v>109.17</v>
      </c>
      <c r="P1997">
        <v>136.97</v>
      </c>
      <c r="Q1997">
        <v>63.33</v>
      </c>
      <c r="R1997">
        <v>121.86</v>
      </c>
      <c r="S1997">
        <v>137.43</v>
      </c>
    </row>
    <row r="1998" spans="1:19">
      <c r="A1998" s="1">
        <v>45265</v>
      </c>
      <c r="B1998" t="s">
        <v>905</v>
      </c>
      <c r="C1998" t="s">
        <v>910</v>
      </c>
      <c r="D1998">
        <v>13.663</v>
      </c>
      <c r="E1998">
        <v>15.417</v>
      </c>
      <c r="F1998" s="2" t="s">
        <v>922</v>
      </c>
      <c r="G1998">
        <f ca="1" t="shared" si="93"/>
        <v>2.38983291620578</v>
      </c>
      <c r="H1998" t="str">
        <f ca="1" t="shared" si="94"/>
        <v>Risk-On</v>
      </c>
      <c r="I1998">
        <f ca="1" t="shared" si="95"/>
        <v>1</v>
      </c>
      <c r="J1998">
        <f>_xlfn.XLOOKUP($A1998,[1]Sheet1!$B$9:$B$2584,[1]Sheet1!$C$9:$C$2584,"N/A",0)</f>
        <v>109.81</v>
      </c>
      <c r="K1998">
        <f>_xlfn.XLOOKUP($A1998,[1]Sheet1!$E$9:$E$2584,[1]Sheet1!$F$9:$F$2584,"N/A",0)</f>
        <v>138.75</v>
      </c>
      <c r="L1998">
        <f>_xlfn.XLOOKUP($A1998,[1]Sheet1!$H$9:$H$2584,[1]Sheet1!$I$9:$I$2584,"N/A",0)</f>
        <v>63.23</v>
      </c>
      <c r="M1998">
        <f>_xlfn.XLOOKUP($A1998,[1]Sheet1!$K$9:$K$2584,[1]Sheet1!$L$9:$L$2584,"N/A",0)</f>
        <v>137.75</v>
      </c>
      <c r="N1998">
        <f>_xlfn.XLOOKUP($A1998,[1]Sheet1!$N$9:$N$2584,[1]Sheet1!$O$9:$O$2584,"N/A",0)</f>
        <v>122.59</v>
      </c>
      <c r="O1998">
        <v>109.81</v>
      </c>
      <c r="P1998">
        <v>138.75</v>
      </c>
      <c r="Q1998">
        <v>63.23</v>
      </c>
      <c r="R1998">
        <v>122.59</v>
      </c>
      <c r="S1998">
        <v>137.75</v>
      </c>
    </row>
    <row r="1999" spans="1:19">
      <c r="A1999" s="1">
        <v>45266</v>
      </c>
      <c r="B1999" t="s">
        <v>905</v>
      </c>
      <c r="C1999" t="s">
        <v>910</v>
      </c>
      <c r="D1999">
        <v>13.737</v>
      </c>
      <c r="E1999">
        <v>15.5667</v>
      </c>
      <c r="F1999" s="2" t="s">
        <v>923</v>
      </c>
      <c r="G1999">
        <f ca="1" t="shared" si="93"/>
        <v>2.55963250080051</v>
      </c>
      <c r="H1999" t="str">
        <f ca="1" t="shared" si="94"/>
        <v>Risk-On</v>
      </c>
      <c r="I1999">
        <f ca="1" t="shared" si="95"/>
        <v>1</v>
      </c>
      <c r="J1999">
        <f>_xlfn.XLOOKUP($A1999,[1]Sheet1!$B$9:$B$2584,[1]Sheet1!$C$9:$C$2584,"N/A",0)</f>
        <v>109.73</v>
      </c>
      <c r="K1999">
        <f>_xlfn.XLOOKUP($A1999,[1]Sheet1!$E$9:$E$2584,[1]Sheet1!$F$9:$F$2584,"N/A",0)</f>
        <v>136.07</v>
      </c>
      <c r="L1999">
        <f>_xlfn.XLOOKUP($A1999,[1]Sheet1!$H$9:$H$2584,[1]Sheet1!$I$9:$I$2584,"N/A",0)</f>
        <v>63.16</v>
      </c>
      <c r="M1999">
        <f>_xlfn.XLOOKUP($A1999,[1]Sheet1!$K$9:$K$2584,[1]Sheet1!$L$9:$L$2584,"N/A",0)</f>
        <v>138.26</v>
      </c>
      <c r="N1999">
        <f>_xlfn.XLOOKUP($A1999,[1]Sheet1!$N$9:$N$2584,[1]Sheet1!$O$9:$O$2584,"N/A",0)</f>
        <v>122.86</v>
      </c>
      <c r="O1999">
        <v>109.73</v>
      </c>
      <c r="P1999">
        <v>136.07</v>
      </c>
      <c r="Q1999">
        <v>63.16</v>
      </c>
      <c r="R1999">
        <v>122.86</v>
      </c>
      <c r="S1999">
        <v>138.26</v>
      </c>
    </row>
    <row r="2000" spans="1:19">
      <c r="A2000" s="1">
        <v>45267</v>
      </c>
      <c r="B2000" t="s">
        <v>905</v>
      </c>
      <c r="C2000" t="s">
        <v>910</v>
      </c>
      <c r="D2000">
        <v>13.7485</v>
      </c>
      <c r="E2000">
        <v>15.5478</v>
      </c>
      <c r="F2000" s="2" t="s">
        <v>924</v>
      </c>
      <c r="G2000">
        <f ca="1" t="shared" si="93"/>
        <v>2.47779796268786</v>
      </c>
      <c r="H2000" t="str">
        <f ca="1" t="shared" si="94"/>
        <v>Risk-On</v>
      </c>
      <c r="I2000">
        <f ca="1" t="shared" si="95"/>
        <v>1</v>
      </c>
      <c r="J2000">
        <f>_xlfn.XLOOKUP($A2000,[1]Sheet1!$B$9:$B$2584,[1]Sheet1!$C$9:$C$2584,"N/A",0)</f>
        <v>109.17</v>
      </c>
      <c r="K2000">
        <f>_xlfn.XLOOKUP($A2000,[1]Sheet1!$E$9:$E$2584,[1]Sheet1!$F$9:$F$2584,"N/A",0)</f>
        <v>135.92</v>
      </c>
      <c r="L2000">
        <f>_xlfn.XLOOKUP($A2000,[1]Sheet1!$H$9:$H$2584,[1]Sheet1!$I$9:$I$2584,"N/A",0)</f>
        <v>63.41</v>
      </c>
      <c r="M2000">
        <f>_xlfn.XLOOKUP($A2000,[1]Sheet1!$K$9:$K$2584,[1]Sheet1!$L$9:$L$2584,"N/A",0)</f>
        <v>138.35</v>
      </c>
      <c r="N2000">
        <f>_xlfn.XLOOKUP($A2000,[1]Sheet1!$N$9:$N$2584,[1]Sheet1!$O$9:$O$2584,"N/A",0)</f>
        <v>122.56</v>
      </c>
      <c r="O2000">
        <v>109.17</v>
      </c>
      <c r="P2000">
        <v>135.92</v>
      </c>
      <c r="Q2000">
        <v>63.41</v>
      </c>
      <c r="R2000">
        <v>122.56</v>
      </c>
      <c r="S2000">
        <v>138.35</v>
      </c>
    </row>
    <row r="2001" spans="1:19">
      <c r="A2001" s="1">
        <v>45268</v>
      </c>
      <c r="B2001" t="s">
        <v>905</v>
      </c>
      <c r="C2001" t="s">
        <v>910</v>
      </c>
      <c r="D2001">
        <v>13.3417</v>
      </c>
      <c r="E2001">
        <v>15.0638</v>
      </c>
      <c r="F2001" s="2" t="s">
        <v>925</v>
      </c>
      <c r="G2001">
        <f ca="1" t="shared" si="93"/>
        <v>2.41451823258945</v>
      </c>
      <c r="H2001" t="str">
        <f ca="1" t="shared" si="94"/>
        <v>Risk-On</v>
      </c>
      <c r="I2001">
        <f ca="1" t="shared" si="95"/>
        <v>1</v>
      </c>
      <c r="J2001">
        <f>_xlfn.XLOOKUP($A2001,[1]Sheet1!$B$9:$B$2584,[1]Sheet1!$C$9:$C$2584,"N/A",0)</f>
        <v>108.94</v>
      </c>
      <c r="K2001">
        <f>_xlfn.XLOOKUP($A2001,[1]Sheet1!$E$9:$E$2584,[1]Sheet1!$F$9:$F$2584,"N/A",0)</f>
        <v>136.91</v>
      </c>
      <c r="L2001">
        <f>_xlfn.XLOOKUP($A2001,[1]Sheet1!$H$9:$H$2584,[1]Sheet1!$I$9:$I$2584,"N/A",0)</f>
        <v>63.33</v>
      </c>
      <c r="M2001">
        <f>_xlfn.XLOOKUP($A2001,[1]Sheet1!$K$9:$K$2584,[1]Sheet1!$L$9:$L$2584,"N/A",0)</f>
        <v>138.07</v>
      </c>
      <c r="N2001">
        <f>_xlfn.XLOOKUP($A2001,[1]Sheet1!$N$9:$N$2584,[1]Sheet1!$O$9:$O$2584,"N/A",0)</f>
        <v>122.57</v>
      </c>
      <c r="O2001">
        <v>108.94</v>
      </c>
      <c r="P2001">
        <v>136.91</v>
      </c>
      <c r="Q2001">
        <v>63.33</v>
      </c>
      <c r="R2001">
        <v>122.57</v>
      </c>
      <c r="S2001">
        <v>138.07</v>
      </c>
    </row>
    <row r="2002" spans="1:19">
      <c r="A2002" s="1">
        <v>45271</v>
      </c>
      <c r="B2002" t="s">
        <v>905</v>
      </c>
      <c r="C2002" t="s">
        <v>910</v>
      </c>
      <c r="D2002">
        <v>12.9471</v>
      </c>
      <c r="E2002">
        <v>14.7916</v>
      </c>
      <c r="F2002" s="2" t="s">
        <v>926</v>
      </c>
      <c r="G2002">
        <f ca="1" t="shared" si="93"/>
        <v>2.8862330931373</v>
      </c>
      <c r="H2002" t="str">
        <f ca="1" t="shared" si="94"/>
        <v>Risk-On</v>
      </c>
      <c r="I2002">
        <f ca="1" t="shared" si="95"/>
        <v>1</v>
      </c>
      <c r="J2002">
        <f>_xlfn.XLOOKUP($A2002,[1]Sheet1!$B$9:$B$2584,[1]Sheet1!$C$9:$C$2584,"N/A",0)</f>
        <v>108.65</v>
      </c>
      <c r="K2002">
        <f>_xlfn.XLOOKUP($A2002,[1]Sheet1!$E$9:$E$2584,[1]Sheet1!$F$9:$F$2584,"N/A",0)</f>
        <v>136.95</v>
      </c>
      <c r="L2002">
        <f>_xlfn.XLOOKUP($A2002,[1]Sheet1!$H$9:$H$2584,[1]Sheet1!$I$9:$I$2584,"N/A",0)</f>
        <v>63.13</v>
      </c>
      <c r="M2002">
        <f>_xlfn.XLOOKUP($A2002,[1]Sheet1!$K$9:$K$2584,[1]Sheet1!$L$9:$L$2584,"N/A",0)</f>
        <v>138.66</v>
      </c>
      <c r="N2002">
        <f>_xlfn.XLOOKUP($A2002,[1]Sheet1!$N$9:$N$2584,[1]Sheet1!$O$9:$O$2584,"N/A",0)</f>
        <v>123.27</v>
      </c>
      <c r="O2002">
        <v>108.65</v>
      </c>
      <c r="P2002">
        <v>136.95</v>
      </c>
      <c r="Q2002">
        <v>63.13</v>
      </c>
      <c r="R2002">
        <v>123.27</v>
      </c>
      <c r="S2002">
        <v>138.66</v>
      </c>
    </row>
    <row r="2003" spans="1:19">
      <c r="A2003" s="1">
        <v>45272</v>
      </c>
      <c r="B2003" t="s">
        <v>905</v>
      </c>
      <c r="C2003" t="s">
        <v>910</v>
      </c>
      <c r="D2003">
        <v>12.4035</v>
      </c>
      <c r="E2003">
        <v>14.3962</v>
      </c>
      <c r="F2003" s="2" t="s">
        <v>927</v>
      </c>
      <c r="G2003">
        <f ca="1" t="shared" si="93"/>
        <v>3.52721847556724</v>
      </c>
      <c r="H2003" t="str">
        <f ca="1" t="shared" si="94"/>
        <v>Risk-On</v>
      </c>
      <c r="I2003">
        <f ca="1" t="shared" si="95"/>
        <v>1</v>
      </c>
      <c r="J2003">
        <f>_xlfn.XLOOKUP($A2003,[1]Sheet1!$B$9:$B$2584,[1]Sheet1!$C$9:$C$2584,"N/A",0)</f>
        <v>108.49</v>
      </c>
      <c r="K2003">
        <f>_xlfn.XLOOKUP($A2003,[1]Sheet1!$E$9:$E$2584,[1]Sheet1!$F$9:$F$2584,"N/A",0)</f>
        <v>139.13</v>
      </c>
      <c r="L2003">
        <f>_xlfn.XLOOKUP($A2003,[1]Sheet1!$H$9:$H$2584,[1]Sheet1!$I$9:$I$2584,"N/A",0)</f>
        <v>62.38</v>
      </c>
      <c r="M2003">
        <f>_xlfn.XLOOKUP($A2003,[1]Sheet1!$K$9:$K$2584,[1]Sheet1!$L$9:$L$2584,"N/A",0)</f>
        <v>139.39</v>
      </c>
      <c r="N2003">
        <f>_xlfn.XLOOKUP($A2003,[1]Sheet1!$N$9:$N$2584,[1]Sheet1!$O$9:$O$2584,"N/A",0)</f>
        <v>123.29</v>
      </c>
      <c r="O2003">
        <v>108.49</v>
      </c>
      <c r="P2003">
        <v>139.13</v>
      </c>
      <c r="Q2003">
        <v>62.38</v>
      </c>
      <c r="R2003">
        <v>123.29</v>
      </c>
      <c r="S2003">
        <v>139.39</v>
      </c>
    </row>
    <row r="2004" spans="1:19">
      <c r="A2004" s="1">
        <v>45273</v>
      </c>
      <c r="B2004" t="s">
        <v>905</v>
      </c>
      <c r="C2004" t="s">
        <v>910</v>
      </c>
      <c r="D2004">
        <v>12.1843</v>
      </c>
      <c r="E2004">
        <v>14.2146</v>
      </c>
      <c r="F2004" s="2" t="s">
        <v>928</v>
      </c>
      <c r="G2004">
        <f ca="1" t="shared" si="93"/>
        <v>3.74185990938007</v>
      </c>
      <c r="H2004" t="str">
        <f ca="1" t="shared" si="94"/>
        <v>Risk-On</v>
      </c>
      <c r="I2004">
        <f ca="1" t="shared" si="95"/>
        <v>1</v>
      </c>
      <c r="J2004">
        <f>_xlfn.XLOOKUP($A2004,[1]Sheet1!$B$9:$B$2584,[1]Sheet1!$C$9:$C$2584,"N/A",0)</f>
        <v>108.18</v>
      </c>
      <c r="K2004">
        <f>_xlfn.XLOOKUP($A2004,[1]Sheet1!$E$9:$E$2584,[1]Sheet1!$F$9:$F$2584,"N/A",0)</f>
        <v>135.64</v>
      </c>
      <c r="L2004">
        <f>_xlfn.XLOOKUP($A2004,[1]Sheet1!$H$9:$H$2584,[1]Sheet1!$I$9:$I$2584,"N/A",0)</f>
        <v>62.64</v>
      </c>
      <c r="M2004">
        <f>_xlfn.XLOOKUP($A2004,[1]Sheet1!$K$9:$K$2584,[1]Sheet1!$L$9:$L$2584,"N/A",0)</f>
        <v>138.13</v>
      </c>
      <c r="N2004">
        <f>_xlfn.XLOOKUP($A2004,[1]Sheet1!$N$9:$N$2584,[1]Sheet1!$O$9:$O$2584,"N/A",0)</f>
        <v>122.14</v>
      </c>
      <c r="O2004">
        <v>108.18</v>
      </c>
      <c r="P2004">
        <v>135.64</v>
      </c>
      <c r="Q2004">
        <v>62.64</v>
      </c>
      <c r="R2004">
        <v>122.14</v>
      </c>
      <c r="S2004">
        <v>138.13</v>
      </c>
    </row>
    <row r="2005" spans="1:19">
      <c r="A2005" s="1">
        <v>45274</v>
      </c>
      <c r="B2005" t="s">
        <v>905</v>
      </c>
      <c r="C2005" t="s">
        <v>910</v>
      </c>
      <c r="D2005">
        <v>12.3048</v>
      </c>
      <c r="E2005">
        <v>14.1515</v>
      </c>
      <c r="F2005" s="2" t="s">
        <v>929</v>
      </c>
      <c r="G2005">
        <f ca="1" t="shared" si="93"/>
        <v>3.15759469719153</v>
      </c>
      <c r="H2005" t="str">
        <f ca="1" t="shared" si="94"/>
        <v>Risk-On</v>
      </c>
      <c r="I2005">
        <f ca="1" t="shared" si="95"/>
        <v>1</v>
      </c>
      <c r="J2005">
        <f>_xlfn.XLOOKUP($A2005,[1]Sheet1!$B$9:$B$2584,[1]Sheet1!$C$9:$C$2584,"N/A",0)</f>
        <v>108.16</v>
      </c>
      <c r="K2005">
        <f>_xlfn.XLOOKUP($A2005,[1]Sheet1!$E$9:$E$2584,[1]Sheet1!$F$9:$F$2584,"N/A",0)</f>
        <v>131.38</v>
      </c>
      <c r="L2005">
        <f>_xlfn.XLOOKUP($A2005,[1]Sheet1!$H$9:$H$2584,[1]Sheet1!$I$9:$I$2584,"N/A",0)</f>
        <v>64.21</v>
      </c>
      <c r="M2005">
        <f>_xlfn.XLOOKUP($A2005,[1]Sheet1!$K$9:$K$2584,[1]Sheet1!$L$9:$L$2584,"N/A",0)</f>
        <v>136.93</v>
      </c>
      <c r="N2005">
        <f>_xlfn.XLOOKUP($A2005,[1]Sheet1!$N$9:$N$2584,[1]Sheet1!$O$9:$O$2584,"N/A",0)</f>
        <v>121.29</v>
      </c>
      <c r="O2005">
        <v>108.16</v>
      </c>
      <c r="P2005">
        <v>131.38</v>
      </c>
      <c r="Q2005">
        <v>64.21</v>
      </c>
      <c r="R2005">
        <v>121.29</v>
      </c>
      <c r="S2005">
        <v>136.93</v>
      </c>
    </row>
    <row r="2006" spans="1:19">
      <c r="A2006" s="1">
        <v>45275</v>
      </c>
      <c r="B2006" t="s">
        <v>905</v>
      </c>
      <c r="C2006" t="s">
        <v>910</v>
      </c>
      <c r="D2006">
        <v>12.4649</v>
      </c>
      <c r="E2006">
        <v>14.6252</v>
      </c>
      <c r="F2006" s="2" t="s">
        <v>930</v>
      </c>
      <c r="G2006">
        <f ca="1" t="shared" si="93"/>
        <v>3.97414399673174</v>
      </c>
      <c r="H2006" t="str">
        <f ca="1" t="shared" si="94"/>
        <v>Risk-On</v>
      </c>
      <c r="I2006">
        <f ca="1" t="shared" si="95"/>
        <v>1</v>
      </c>
      <c r="J2006">
        <f>_xlfn.XLOOKUP($A2006,[1]Sheet1!$B$9:$B$2584,[1]Sheet1!$C$9:$C$2584,"N/A",0)</f>
        <v>108.83</v>
      </c>
      <c r="K2006">
        <f>_xlfn.XLOOKUP($A2006,[1]Sheet1!$E$9:$E$2584,[1]Sheet1!$F$9:$F$2584,"N/A",0)</f>
        <v>132.84</v>
      </c>
      <c r="L2006">
        <f>_xlfn.XLOOKUP($A2006,[1]Sheet1!$H$9:$H$2584,[1]Sheet1!$I$9:$I$2584,"N/A",0)</f>
        <v>64.04</v>
      </c>
      <c r="M2006">
        <f>_xlfn.XLOOKUP($A2006,[1]Sheet1!$K$9:$K$2584,[1]Sheet1!$L$9:$L$2584,"N/A",0)</f>
        <v>137.77</v>
      </c>
      <c r="N2006">
        <f>_xlfn.XLOOKUP($A2006,[1]Sheet1!$N$9:$N$2584,[1]Sheet1!$O$9:$O$2584,"N/A",0)</f>
        <v>121.87</v>
      </c>
      <c r="O2006">
        <v>108.83</v>
      </c>
      <c r="P2006">
        <v>132.84</v>
      </c>
      <c r="Q2006">
        <v>64.04</v>
      </c>
      <c r="R2006">
        <v>121.87</v>
      </c>
      <c r="S2006">
        <v>137.77</v>
      </c>
    </row>
    <row r="2007" spans="1:19">
      <c r="A2007" s="1">
        <v>45278</v>
      </c>
      <c r="B2007" t="s">
        <v>905</v>
      </c>
      <c r="C2007" t="s">
        <v>910</v>
      </c>
      <c r="D2007">
        <v>12.4176</v>
      </c>
      <c r="E2007">
        <v>14.6414</v>
      </c>
      <c r="F2007" s="2" t="s">
        <v>931</v>
      </c>
      <c r="G2007">
        <f ca="1" t="shared" si="93"/>
        <v>4.17709031934318</v>
      </c>
      <c r="H2007" t="str">
        <f ca="1" t="shared" si="94"/>
        <v>Risk-On</v>
      </c>
      <c r="I2007">
        <f ca="1" t="shared" si="95"/>
        <v>1</v>
      </c>
      <c r="J2007">
        <f>_xlfn.XLOOKUP($A2007,[1]Sheet1!$B$9:$B$2584,[1]Sheet1!$C$9:$C$2584,"N/A",0)</f>
        <v>109.07</v>
      </c>
      <c r="K2007">
        <f>_xlfn.XLOOKUP($A2007,[1]Sheet1!$E$9:$E$2584,[1]Sheet1!$F$9:$F$2584,"N/A",0)</f>
        <v>134.12</v>
      </c>
      <c r="L2007">
        <f>_xlfn.XLOOKUP($A2007,[1]Sheet1!$H$9:$H$2584,[1]Sheet1!$I$9:$I$2584,"N/A",0)</f>
        <v>63.57</v>
      </c>
      <c r="M2007">
        <f>_xlfn.XLOOKUP($A2007,[1]Sheet1!$K$9:$K$2584,[1]Sheet1!$L$9:$L$2584,"N/A",0)</f>
        <v>137.88</v>
      </c>
      <c r="N2007">
        <f>_xlfn.XLOOKUP($A2007,[1]Sheet1!$N$9:$N$2584,[1]Sheet1!$O$9:$O$2584,"N/A",0)</f>
        <v>121.97</v>
      </c>
      <c r="O2007">
        <v>109.07</v>
      </c>
      <c r="P2007">
        <v>134.12</v>
      </c>
      <c r="Q2007">
        <v>63.57</v>
      </c>
      <c r="R2007">
        <v>121.97</v>
      </c>
      <c r="S2007">
        <v>137.88</v>
      </c>
    </row>
    <row r="2008" spans="1:19">
      <c r="A2008" s="1">
        <v>45279</v>
      </c>
      <c r="B2008" t="s">
        <v>905</v>
      </c>
      <c r="C2008" t="s">
        <v>910</v>
      </c>
      <c r="D2008">
        <v>12.409</v>
      </c>
      <c r="E2008">
        <v>14.8894</v>
      </c>
      <c r="F2008" s="2" t="s">
        <v>932</v>
      </c>
      <c r="G2008">
        <f ca="1" t="shared" si="93"/>
        <v>4.90828496882259</v>
      </c>
      <c r="H2008" t="str">
        <f ca="1" t="shared" si="94"/>
        <v>Risk-On</v>
      </c>
      <c r="I2008">
        <f ca="1" t="shared" si="95"/>
        <v>1</v>
      </c>
      <c r="J2008">
        <f>_xlfn.XLOOKUP($A2008,[1]Sheet1!$B$9:$B$2584,[1]Sheet1!$C$9:$C$2584,"N/A",0)</f>
        <v>108.99</v>
      </c>
      <c r="K2008">
        <f>_xlfn.XLOOKUP($A2008,[1]Sheet1!$E$9:$E$2584,[1]Sheet1!$F$9:$F$2584,"N/A",0)</f>
        <v>132.26</v>
      </c>
      <c r="L2008">
        <f>_xlfn.XLOOKUP($A2008,[1]Sheet1!$H$9:$H$2584,[1]Sheet1!$I$9:$I$2584,"N/A",0)</f>
        <v>63.6</v>
      </c>
      <c r="M2008">
        <f>_xlfn.XLOOKUP($A2008,[1]Sheet1!$K$9:$K$2584,[1]Sheet1!$L$9:$L$2584,"N/A",0)</f>
        <v>137.38</v>
      </c>
      <c r="N2008">
        <f>_xlfn.XLOOKUP($A2008,[1]Sheet1!$N$9:$N$2584,[1]Sheet1!$O$9:$O$2584,"N/A",0)</f>
        <v>121.13</v>
      </c>
      <c r="O2008">
        <v>108.99</v>
      </c>
      <c r="P2008">
        <v>132.26</v>
      </c>
      <c r="Q2008">
        <v>63.6</v>
      </c>
      <c r="R2008">
        <v>121.13</v>
      </c>
      <c r="S2008">
        <v>137.38</v>
      </c>
    </row>
    <row r="2009" spans="1:19">
      <c r="A2009" s="1">
        <v>45280</v>
      </c>
      <c r="B2009" t="s">
        <v>905</v>
      </c>
      <c r="C2009" t="s">
        <v>910</v>
      </c>
      <c r="D2009">
        <v>12.31</v>
      </c>
      <c r="E2009">
        <v>15.8061</v>
      </c>
      <c r="F2009" s="2" t="s">
        <v>933</v>
      </c>
      <c r="G2009">
        <f ca="1" t="shared" si="93"/>
        <v>7.89894961416777</v>
      </c>
      <c r="H2009" t="str">
        <f ca="1" t="shared" si="94"/>
        <v>Risk-On</v>
      </c>
      <c r="I2009">
        <f ca="1" t="shared" si="95"/>
        <v>1</v>
      </c>
      <c r="J2009">
        <f>_xlfn.XLOOKUP($A2009,[1]Sheet1!$B$9:$B$2584,[1]Sheet1!$C$9:$C$2584,"N/A",0)</f>
        <v>108.71</v>
      </c>
      <c r="K2009">
        <f>_xlfn.XLOOKUP($A2009,[1]Sheet1!$E$9:$E$2584,[1]Sheet1!$F$9:$F$2584,"N/A",0)</f>
        <v>132.79</v>
      </c>
      <c r="L2009">
        <f>_xlfn.XLOOKUP($A2009,[1]Sheet1!$H$9:$H$2584,[1]Sheet1!$I$9:$I$2584,"N/A",0)</f>
        <v>63.68</v>
      </c>
      <c r="M2009">
        <f>_xlfn.XLOOKUP($A2009,[1]Sheet1!$K$9:$K$2584,[1]Sheet1!$L$9:$L$2584,"N/A",0)</f>
        <v>138.19</v>
      </c>
      <c r="N2009">
        <f>_xlfn.XLOOKUP($A2009,[1]Sheet1!$N$9:$N$2584,[1]Sheet1!$O$9:$O$2584,"N/A",0)</f>
        <v>120.98</v>
      </c>
      <c r="O2009">
        <v>108.71</v>
      </c>
      <c r="P2009">
        <v>132.79</v>
      </c>
      <c r="Q2009">
        <v>63.68</v>
      </c>
      <c r="R2009">
        <v>120.98</v>
      </c>
      <c r="S2009">
        <v>138.19</v>
      </c>
    </row>
    <row r="2010" spans="1:19">
      <c r="A2010" s="1">
        <v>45281</v>
      </c>
      <c r="B2010" t="s">
        <v>910</v>
      </c>
      <c r="C2010" t="s">
        <v>934</v>
      </c>
      <c r="D2010">
        <v>15.4414</v>
      </c>
      <c r="E2010">
        <v>16.5186</v>
      </c>
      <c r="F2010">
        <v>0.0697605139430362</v>
      </c>
      <c r="G2010">
        <f ca="1" t="shared" si="93"/>
        <v>0.350617339677978</v>
      </c>
      <c r="H2010" t="str">
        <f ca="1" t="shared" si="94"/>
        <v>Risk-Off</v>
      </c>
      <c r="I2010">
        <f ca="1" t="shared" si="95"/>
        <v>1</v>
      </c>
      <c r="J2010">
        <f>_xlfn.XLOOKUP($A2010,[1]Sheet1!$B$9:$B$2584,[1]Sheet1!$C$9:$C$2584,"N/A",0)</f>
        <v>108.84</v>
      </c>
      <c r="K2010">
        <f>_xlfn.XLOOKUP($A2010,[1]Sheet1!$E$9:$E$2584,[1]Sheet1!$F$9:$F$2584,"N/A",0)</f>
        <v>132.12</v>
      </c>
      <c r="L2010">
        <f>_xlfn.XLOOKUP($A2010,[1]Sheet1!$H$9:$H$2584,[1]Sheet1!$I$9:$I$2584,"N/A",0)</f>
        <v>63.3</v>
      </c>
      <c r="M2010">
        <f>_xlfn.XLOOKUP($A2010,[1]Sheet1!$K$9:$K$2584,[1]Sheet1!$L$9:$L$2584,"N/A",0)</f>
        <v>137.42</v>
      </c>
      <c r="N2010">
        <f>_xlfn.XLOOKUP($A2010,[1]Sheet1!$N$9:$N$2584,[1]Sheet1!$O$9:$O$2584,"N/A",0)</f>
        <v>120.53</v>
      </c>
      <c r="O2010">
        <v>108.84</v>
      </c>
      <c r="P2010">
        <v>132.12</v>
      </c>
      <c r="Q2010">
        <v>63.3</v>
      </c>
      <c r="R2010">
        <v>120.53</v>
      </c>
      <c r="S2010">
        <v>137.42</v>
      </c>
    </row>
    <row r="2011" spans="1:19">
      <c r="A2011" s="1">
        <v>45282</v>
      </c>
      <c r="B2011" t="s">
        <v>910</v>
      </c>
      <c r="C2011" t="s">
        <v>934</v>
      </c>
      <c r="D2011">
        <v>15.0372</v>
      </c>
      <c r="E2011">
        <v>16.296</v>
      </c>
      <c r="F2011">
        <v>0.0837123932647034</v>
      </c>
      <c r="G2011">
        <f ca="1" t="shared" si="93"/>
        <v>0.842281779473204</v>
      </c>
      <c r="H2011" t="str">
        <f ca="1" t="shared" si="94"/>
        <v>Risk-On</v>
      </c>
      <c r="I2011">
        <f ca="1" t="shared" si="95"/>
        <v>1</v>
      </c>
      <c r="J2011">
        <f>_xlfn.XLOOKUP($A2011,[1]Sheet1!$B$9:$B$2584,[1]Sheet1!$C$9:$C$2584,"N/A",0)</f>
        <v>108.03</v>
      </c>
      <c r="K2011">
        <f>_xlfn.XLOOKUP($A2011,[1]Sheet1!$E$9:$E$2584,[1]Sheet1!$F$9:$F$2584,"N/A",0)</f>
        <v>131.82</v>
      </c>
      <c r="L2011">
        <f>_xlfn.XLOOKUP($A2011,[1]Sheet1!$H$9:$H$2584,[1]Sheet1!$I$9:$I$2584,"N/A",0)</f>
        <v>63.32</v>
      </c>
      <c r="M2011">
        <f>_xlfn.XLOOKUP($A2011,[1]Sheet1!$K$9:$K$2584,[1]Sheet1!$L$9:$L$2584,"N/A",0)</f>
        <v>137.22</v>
      </c>
      <c r="N2011">
        <f>_xlfn.XLOOKUP($A2011,[1]Sheet1!$N$9:$N$2584,[1]Sheet1!$O$9:$O$2584,"N/A",0)</f>
        <v>120.02</v>
      </c>
      <c r="O2011">
        <v>108.03</v>
      </c>
      <c r="P2011">
        <v>131.82</v>
      </c>
      <c r="Q2011">
        <v>63.32</v>
      </c>
      <c r="R2011">
        <v>120.02</v>
      </c>
      <c r="S2011">
        <v>137.22</v>
      </c>
    </row>
    <row r="2012" spans="1:19">
      <c r="A2012" s="1">
        <v>45286</v>
      </c>
      <c r="B2012" t="s">
        <v>910</v>
      </c>
      <c r="C2012" t="s">
        <v>934</v>
      </c>
      <c r="D2012">
        <v>14.6063</v>
      </c>
      <c r="E2012">
        <v>15.9198</v>
      </c>
      <c r="F2012">
        <v>0.0899269493300836</v>
      </c>
      <c r="G2012">
        <f ca="1" t="shared" si="93"/>
        <v>1.05722105082294</v>
      </c>
      <c r="H2012" t="str">
        <f ca="1" t="shared" si="94"/>
        <v>Risk-On</v>
      </c>
      <c r="I2012">
        <f ca="1" t="shared" si="95"/>
        <v>1</v>
      </c>
      <c r="J2012">
        <f>_xlfn.XLOOKUP($A2012,[1]Sheet1!$B$9:$B$2584,[1]Sheet1!$C$9:$C$2584,"N/A",0)</f>
        <v>108.02</v>
      </c>
      <c r="K2012">
        <f>_xlfn.XLOOKUP($A2012,[1]Sheet1!$E$9:$E$2584,[1]Sheet1!$F$9:$F$2584,"N/A",0)</f>
        <v>131.15</v>
      </c>
      <c r="L2012">
        <f>_xlfn.XLOOKUP($A2012,[1]Sheet1!$H$9:$H$2584,[1]Sheet1!$I$9:$I$2584,"N/A",0)</f>
        <v>63.34</v>
      </c>
      <c r="M2012">
        <f>_xlfn.XLOOKUP($A2012,[1]Sheet1!$K$9:$K$2584,[1]Sheet1!$L$9:$L$2584,"N/A",0)</f>
        <v>136.69</v>
      </c>
      <c r="N2012">
        <f>_xlfn.XLOOKUP($A2012,[1]Sheet1!$N$9:$N$2584,[1]Sheet1!$O$9:$O$2584,"N/A",0)</f>
        <v>119.62</v>
      </c>
      <c r="O2012">
        <v>108.02</v>
      </c>
      <c r="P2012">
        <v>131.15</v>
      </c>
      <c r="Q2012">
        <v>63.34</v>
      </c>
      <c r="R2012">
        <v>119.62</v>
      </c>
      <c r="S2012">
        <v>136.69</v>
      </c>
    </row>
    <row r="2013" spans="1:19">
      <c r="A2013" s="1">
        <v>45287</v>
      </c>
      <c r="B2013" t="s">
        <v>910</v>
      </c>
      <c r="C2013" t="s">
        <v>934</v>
      </c>
      <c r="D2013">
        <v>13.9935</v>
      </c>
      <c r="E2013">
        <v>15.3641</v>
      </c>
      <c r="F2013">
        <v>0.0979454746846751</v>
      </c>
      <c r="G2013">
        <f ca="1" t="shared" si="93"/>
        <v>1.32622793839823</v>
      </c>
      <c r="H2013" t="str">
        <f ca="1" t="shared" si="94"/>
        <v>Risk-On</v>
      </c>
      <c r="I2013">
        <f ca="1" t="shared" si="95"/>
        <v>1</v>
      </c>
      <c r="J2013">
        <f>_xlfn.XLOOKUP($A2013,[1]Sheet1!$B$9:$B$2584,[1]Sheet1!$C$9:$C$2584,"N/A",0)</f>
        <v>107.99</v>
      </c>
      <c r="K2013">
        <f>_xlfn.XLOOKUP($A2013,[1]Sheet1!$E$9:$E$2584,[1]Sheet1!$F$9:$F$2584,"N/A",0)</f>
        <v>131.44</v>
      </c>
      <c r="L2013">
        <f>_xlfn.XLOOKUP($A2013,[1]Sheet1!$H$9:$H$2584,[1]Sheet1!$I$9:$I$2584,"N/A",0)</f>
        <v>63</v>
      </c>
      <c r="M2013">
        <f>_xlfn.XLOOKUP($A2013,[1]Sheet1!$K$9:$K$2584,[1]Sheet1!$L$9:$L$2584,"N/A",0)</f>
        <v>136.48</v>
      </c>
      <c r="N2013">
        <f>_xlfn.XLOOKUP($A2013,[1]Sheet1!$N$9:$N$2584,[1]Sheet1!$O$9:$O$2584,"N/A",0)</f>
        <v>119.87</v>
      </c>
      <c r="O2013">
        <v>107.99</v>
      </c>
      <c r="P2013">
        <v>131.44</v>
      </c>
      <c r="Q2013">
        <v>63</v>
      </c>
      <c r="R2013">
        <v>119.87</v>
      </c>
      <c r="S2013">
        <v>136.48</v>
      </c>
    </row>
    <row r="2014" spans="1:19">
      <c r="A2014" s="1">
        <v>45288</v>
      </c>
      <c r="B2014" t="s">
        <v>910</v>
      </c>
      <c r="C2014" t="s">
        <v>934</v>
      </c>
      <c r="D2014">
        <v>13.9837</v>
      </c>
      <c r="E2014">
        <v>15.3042</v>
      </c>
      <c r="F2014">
        <v>0.0944313736707737</v>
      </c>
      <c r="G2014">
        <f ca="1" t="shared" si="93"/>
        <v>1.18473688335305</v>
      </c>
      <c r="H2014" t="str">
        <f ca="1" t="shared" si="94"/>
        <v>Risk-On</v>
      </c>
      <c r="I2014">
        <f ca="1" t="shared" si="95"/>
        <v>1</v>
      </c>
      <c r="J2014">
        <f>_xlfn.XLOOKUP($A2014,[1]Sheet1!$B$9:$B$2584,[1]Sheet1!$C$9:$C$2584,"N/A",0)</f>
        <v>108.22</v>
      </c>
      <c r="K2014">
        <f>_xlfn.XLOOKUP($A2014,[1]Sheet1!$E$9:$E$2584,[1]Sheet1!$F$9:$F$2584,"N/A",0)</f>
        <v>131.13</v>
      </c>
      <c r="L2014">
        <f>_xlfn.XLOOKUP($A2014,[1]Sheet1!$H$9:$H$2584,[1]Sheet1!$I$9:$I$2584,"N/A",0)</f>
        <v>63.01</v>
      </c>
      <c r="M2014">
        <f>_xlfn.XLOOKUP($A2014,[1]Sheet1!$K$9:$K$2584,[1]Sheet1!$L$9:$L$2584,"N/A",0)</f>
        <v>136.55</v>
      </c>
      <c r="N2014">
        <f>_xlfn.XLOOKUP($A2014,[1]Sheet1!$N$9:$N$2584,[1]Sheet1!$O$9:$O$2584,"N/A",0)</f>
        <v>120.26</v>
      </c>
      <c r="O2014">
        <v>108.22</v>
      </c>
      <c r="P2014">
        <v>131.13</v>
      </c>
      <c r="Q2014">
        <v>63.01</v>
      </c>
      <c r="R2014">
        <v>120.26</v>
      </c>
      <c r="S2014">
        <v>136.55</v>
      </c>
    </row>
    <row r="2015" spans="1:19">
      <c r="A2015" s="1">
        <v>45289</v>
      </c>
      <c r="B2015" t="s">
        <v>910</v>
      </c>
      <c r="C2015" t="s">
        <v>934</v>
      </c>
      <c r="D2015">
        <v>14.0512</v>
      </c>
      <c r="E2015">
        <v>15.2954</v>
      </c>
      <c r="F2015">
        <v>0.0885475973582328</v>
      </c>
      <c r="G2015">
        <f ca="1" t="shared" si="93"/>
        <v>0.969023017613522</v>
      </c>
      <c r="H2015" t="str">
        <f ca="1" t="shared" si="94"/>
        <v>Risk-On</v>
      </c>
      <c r="I2015">
        <f ca="1" t="shared" si="95"/>
        <v>1</v>
      </c>
      <c r="J2015">
        <f>_xlfn.XLOOKUP($A2015,[1]Sheet1!$B$9:$B$2584,[1]Sheet1!$C$9:$C$2584,"N/A",0)</f>
        <v>108.12</v>
      </c>
      <c r="K2015">
        <f>_xlfn.XLOOKUP($A2015,[1]Sheet1!$E$9:$E$2584,[1]Sheet1!$F$9:$F$2584,"N/A",0)</f>
        <v>131.47</v>
      </c>
      <c r="L2015">
        <f>_xlfn.XLOOKUP($A2015,[1]Sheet1!$H$9:$H$2584,[1]Sheet1!$I$9:$I$2584,"N/A",0)</f>
        <v>63.24</v>
      </c>
      <c r="M2015">
        <f>_xlfn.XLOOKUP($A2015,[1]Sheet1!$K$9:$K$2584,[1]Sheet1!$L$9:$L$2584,"N/A",0)</f>
        <v>136.43</v>
      </c>
      <c r="N2015">
        <f>_xlfn.XLOOKUP($A2015,[1]Sheet1!$N$9:$N$2584,[1]Sheet1!$O$9:$O$2584,"N/A",0)</f>
        <v>121.09</v>
      </c>
      <c r="O2015">
        <v>108.12</v>
      </c>
      <c r="P2015">
        <v>131.47</v>
      </c>
      <c r="Q2015">
        <v>63.24</v>
      </c>
      <c r="R2015">
        <v>121.09</v>
      </c>
      <c r="S2015">
        <v>136.43</v>
      </c>
    </row>
    <row r="2016" spans="1:19">
      <c r="A2016" s="1">
        <v>45293</v>
      </c>
      <c r="B2016" t="s">
        <v>910</v>
      </c>
      <c r="C2016" t="s">
        <v>934</v>
      </c>
      <c r="D2016">
        <v>14.1016</v>
      </c>
      <c r="E2016">
        <v>15.1958</v>
      </c>
      <c r="F2016">
        <v>0.0775940318829069</v>
      </c>
      <c r="G2016">
        <f ca="1" t="shared" si="93"/>
        <v>0.57488502510059</v>
      </c>
      <c r="H2016" t="str">
        <f ca="1" t="shared" si="94"/>
        <v>Risk-On</v>
      </c>
      <c r="I2016">
        <f ca="1" t="shared" si="95"/>
        <v>1</v>
      </c>
      <c r="J2016">
        <f>_xlfn.XLOOKUP($A2016,[1]Sheet1!$B$9:$B$2584,[1]Sheet1!$C$9:$C$2584,"N/A",0)</f>
        <v>108.55</v>
      </c>
      <c r="K2016">
        <f>_xlfn.XLOOKUP($A2016,[1]Sheet1!$E$9:$E$2584,[1]Sheet1!$F$9:$F$2584,"N/A",0)</f>
        <v>128.12</v>
      </c>
      <c r="L2016">
        <f>_xlfn.XLOOKUP($A2016,[1]Sheet1!$H$9:$H$2584,[1]Sheet1!$I$9:$I$2584,"N/A",0)</f>
        <v>64.42</v>
      </c>
      <c r="M2016">
        <f>_xlfn.XLOOKUP($A2016,[1]Sheet1!$K$9:$K$2584,[1]Sheet1!$L$9:$L$2584,"N/A",0)</f>
        <v>136.68</v>
      </c>
      <c r="N2016">
        <f>_xlfn.XLOOKUP($A2016,[1]Sheet1!$N$9:$N$2584,[1]Sheet1!$O$9:$O$2584,"N/A",0)</f>
        <v>121.46</v>
      </c>
      <c r="O2016">
        <v>108.55</v>
      </c>
      <c r="P2016">
        <v>128.12</v>
      </c>
      <c r="Q2016">
        <v>64.42</v>
      </c>
      <c r="R2016">
        <v>121.46</v>
      </c>
      <c r="S2016">
        <v>136.68</v>
      </c>
    </row>
    <row r="2017" spans="1:19">
      <c r="A2017" s="1">
        <v>45294</v>
      </c>
      <c r="B2017" t="s">
        <v>910</v>
      </c>
      <c r="C2017" t="s">
        <v>934</v>
      </c>
      <c r="D2017">
        <v>14.6997</v>
      </c>
      <c r="E2017">
        <v>15.6212</v>
      </c>
      <c r="F2017">
        <v>0.0626883541840989</v>
      </c>
      <c r="G2017">
        <f ca="1" t="shared" si="93"/>
        <v>0.0488830695027992</v>
      </c>
      <c r="H2017" t="str">
        <f ca="1" t="shared" si="94"/>
        <v>Risk-On</v>
      </c>
      <c r="I2017">
        <f ca="1" t="shared" si="95"/>
        <v>1</v>
      </c>
      <c r="J2017">
        <f>_xlfn.XLOOKUP($A2017,[1]Sheet1!$B$9:$B$2584,[1]Sheet1!$C$9:$C$2584,"N/A",0)</f>
        <v>108.56</v>
      </c>
      <c r="K2017">
        <f>_xlfn.XLOOKUP($A2017,[1]Sheet1!$E$9:$E$2584,[1]Sheet1!$F$9:$F$2584,"N/A",0)</f>
        <v>129.55</v>
      </c>
      <c r="L2017">
        <f>_xlfn.XLOOKUP($A2017,[1]Sheet1!$H$9:$H$2584,[1]Sheet1!$I$9:$I$2584,"N/A",0)</f>
        <v>64.98</v>
      </c>
      <c r="M2017">
        <f>_xlfn.XLOOKUP($A2017,[1]Sheet1!$K$9:$K$2584,[1]Sheet1!$L$9:$L$2584,"N/A",0)</f>
        <v>136.07</v>
      </c>
      <c r="N2017">
        <f>_xlfn.XLOOKUP($A2017,[1]Sheet1!$N$9:$N$2584,[1]Sheet1!$O$9:$O$2584,"N/A",0)</f>
        <v>122.73</v>
      </c>
      <c r="O2017">
        <v>108.56</v>
      </c>
      <c r="P2017">
        <v>129.55</v>
      </c>
      <c r="Q2017">
        <v>64.98</v>
      </c>
      <c r="R2017">
        <v>122.73</v>
      </c>
      <c r="S2017">
        <v>136.07</v>
      </c>
    </row>
    <row r="2018" spans="1:19">
      <c r="A2018" s="1">
        <v>45295</v>
      </c>
      <c r="B2018" t="s">
        <v>910</v>
      </c>
      <c r="C2018" t="s">
        <v>934</v>
      </c>
      <c r="D2018">
        <v>14.6618</v>
      </c>
      <c r="E2018">
        <v>15.6042</v>
      </c>
      <c r="F2018">
        <v>0.0642758733579779</v>
      </c>
      <c r="G2018">
        <f ca="1" t="shared" si="93"/>
        <v>0.10428435465543</v>
      </c>
      <c r="H2018" t="str">
        <f ca="1" t="shared" si="94"/>
        <v>Risk-On</v>
      </c>
      <c r="I2018">
        <f ca="1" t="shared" si="95"/>
        <v>1</v>
      </c>
      <c r="J2018">
        <f>_xlfn.XLOOKUP($A2018,[1]Sheet1!$B$9:$B$2584,[1]Sheet1!$C$9:$C$2584,"N/A",0)</f>
        <v>108.82</v>
      </c>
      <c r="K2018">
        <f>_xlfn.XLOOKUP($A2018,[1]Sheet1!$E$9:$E$2584,[1]Sheet1!$F$9:$F$2584,"N/A",0)</f>
        <v>130.44</v>
      </c>
      <c r="L2018">
        <f>_xlfn.XLOOKUP($A2018,[1]Sheet1!$H$9:$H$2584,[1]Sheet1!$I$9:$I$2584,"N/A",0)</f>
        <v>64.6</v>
      </c>
      <c r="M2018">
        <f>_xlfn.XLOOKUP($A2018,[1]Sheet1!$K$9:$K$2584,[1]Sheet1!$L$9:$L$2584,"N/A",0)</f>
        <v>135.75</v>
      </c>
      <c r="N2018">
        <f>_xlfn.XLOOKUP($A2018,[1]Sheet1!$N$9:$N$2584,[1]Sheet1!$O$9:$O$2584,"N/A",0)</f>
        <v>122.83</v>
      </c>
      <c r="O2018">
        <v>108.82</v>
      </c>
      <c r="P2018">
        <v>130.44</v>
      </c>
      <c r="Q2018">
        <v>64.6</v>
      </c>
      <c r="R2018">
        <v>122.83</v>
      </c>
      <c r="S2018">
        <v>135.75</v>
      </c>
    </row>
    <row r="2019" spans="1:19">
      <c r="A2019" s="1">
        <v>45296</v>
      </c>
      <c r="B2019" t="s">
        <v>910</v>
      </c>
      <c r="C2019" t="s">
        <v>934</v>
      </c>
      <c r="D2019">
        <v>14.2034</v>
      </c>
      <c r="E2019">
        <v>15.0979</v>
      </c>
      <c r="F2019">
        <v>0.062977878536125</v>
      </c>
      <c r="G2019">
        <f ca="1" t="shared" si="93"/>
        <v>0.0544313689431282</v>
      </c>
      <c r="H2019" t="str">
        <f ca="1" t="shared" si="94"/>
        <v>Risk-On</v>
      </c>
      <c r="I2019">
        <f ca="1" t="shared" si="95"/>
        <v>1</v>
      </c>
      <c r="J2019">
        <f>_xlfn.XLOOKUP($A2019,[1]Sheet1!$B$9:$B$2584,[1]Sheet1!$C$9:$C$2584,"N/A",0)</f>
        <v>108.58</v>
      </c>
      <c r="K2019">
        <f>_xlfn.XLOOKUP($A2019,[1]Sheet1!$E$9:$E$2584,[1]Sheet1!$F$9:$F$2584,"N/A",0)</f>
        <v>130.45</v>
      </c>
      <c r="L2019">
        <f>_xlfn.XLOOKUP($A2019,[1]Sheet1!$H$9:$H$2584,[1]Sheet1!$I$9:$I$2584,"N/A",0)</f>
        <v>65.1</v>
      </c>
      <c r="M2019">
        <f>_xlfn.XLOOKUP($A2019,[1]Sheet1!$K$9:$K$2584,[1]Sheet1!$L$9:$L$2584,"N/A",0)</f>
        <v>135.5</v>
      </c>
      <c r="N2019">
        <f>_xlfn.XLOOKUP($A2019,[1]Sheet1!$N$9:$N$2584,[1]Sheet1!$O$9:$O$2584,"N/A",0)</f>
        <v>123.89</v>
      </c>
      <c r="O2019">
        <v>108.58</v>
      </c>
      <c r="P2019">
        <v>130.45</v>
      </c>
      <c r="Q2019">
        <v>65.1</v>
      </c>
      <c r="R2019">
        <v>123.89</v>
      </c>
      <c r="S2019">
        <v>135.5</v>
      </c>
    </row>
    <row r="2020" spans="1:19">
      <c r="A2020" s="1">
        <v>45299</v>
      </c>
      <c r="B2020" t="s">
        <v>910</v>
      </c>
      <c r="C2020" t="s">
        <v>934</v>
      </c>
      <c r="D2020">
        <v>13.7975</v>
      </c>
      <c r="E2020">
        <v>14.7882</v>
      </c>
      <c r="F2020">
        <v>0.0718028628374705</v>
      </c>
      <c r="G2020">
        <f ca="1" t="shared" si="93"/>
        <v>0.358675093925105</v>
      </c>
      <c r="H2020" t="str">
        <f ca="1" t="shared" si="94"/>
        <v>Risk-On</v>
      </c>
      <c r="I2020">
        <f ca="1" t="shared" si="95"/>
        <v>1</v>
      </c>
      <c r="J2020">
        <f>_xlfn.XLOOKUP($A2020,[1]Sheet1!$B$9:$B$2584,[1]Sheet1!$C$9:$C$2584,"N/A",0)</f>
        <v>109.06</v>
      </c>
      <c r="K2020">
        <f>_xlfn.XLOOKUP($A2020,[1]Sheet1!$E$9:$E$2584,[1]Sheet1!$F$9:$F$2584,"N/A",0)</f>
        <v>131.48</v>
      </c>
      <c r="L2020">
        <f>_xlfn.XLOOKUP($A2020,[1]Sheet1!$H$9:$H$2584,[1]Sheet1!$I$9:$I$2584,"N/A",0)</f>
        <v>64.93</v>
      </c>
      <c r="M2020">
        <f>_xlfn.XLOOKUP($A2020,[1]Sheet1!$K$9:$K$2584,[1]Sheet1!$L$9:$L$2584,"N/A",0)</f>
        <v>135.83</v>
      </c>
      <c r="N2020">
        <f>_xlfn.XLOOKUP($A2020,[1]Sheet1!$N$9:$N$2584,[1]Sheet1!$O$9:$O$2584,"N/A",0)</f>
        <v>123.19</v>
      </c>
      <c r="O2020">
        <v>109.06</v>
      </c>
      <c r="P2020">
        <v>131.48</v>
      </c>
      <c r="Q2020">
        <v>64.93</v>
      </c>
      <c r="R2020">
        <v>123.19</v>
      </c>
      <c r="S2020">
        <v>135.83</v>
      </c>
    </row>
    <row r="2021" spans="1:19">
      <c r="A2021" s="1">
        <v>45300</v>
      </c>
      <c r="B2021" t="s">
        <v>910</v>
      </c>
      <c r="C2021" t="s">
        <v>934</v>
      </c>
      <c r="D2021">
        <v>13.4039</v>
      </c>
      <c r="E2021">
        <v>14.4285</v>
      </c>
      <c r="F2021">
        <v>0.0764404389767157</v>
      </c>
      <c r="G2021">
        <f ca="1" t="shared" si="93"/>
        <v>0.514071233163882</v>
      </c>
      <c r="H2021" t="str">
        <f ca="1" t="shared" si="94"/>
        <v>Risk-On</v>
      </c>
      <c r="I2021">
        <f ca="1" t="shared" si="95"/>
        <v>1</v>
      </c>
      <c r="J2021">
        <f>_xlfn.XLOOKUP($A2021,[1]Sheet1!$B$9:$B$2584,[1]Sheet1!$C$9:$C$2584,"N/A",0)</f>
        <v>109.38</v>
      </c>
      <c r="K2021">
        <f>_xlfn.XLOOKUP($A2021,[1]Sheet1!$E$9:$E$2584,[1]Sheet1!$F$9:$F$2584,"N/A",0)</f>
        <v>132.49</v>
      </c>
      <c r="L2021">
        <f>_xlfn.XLOOKUP($A2021,[1]Sheet1!$H$9:$H$2584,[1]Sheet1!$I$9:$I$2584,"N/A",0)</f>
        <v>64.94</v>
      </c>
      <c r="M2021">
        <f>_xlfn.XLOOKUP($A2021,[1]Sheet1!$K$9:$K$2584,[1]Sheet1!$L$9:$L$2584,"N/A",0)</f>
        <v>136.46</v>
      </c>
      <c r="N2021">
        <f>_xlfn.XLOOKUP($A2021,[1]Sheet1!$N$9:$N$2584,[1]Sheet1!$O$9:$O$2584,"N/A",0)</f>
        <v>123.65</v>
      </c>
      <c r="O2021">
        <v>109.38</v>
      </c>
      <c r="P2021">
        <v>132.49</v>
      </c>
      <c r="Q2021">
        <v>64.94</v>
      </c>
      <c r="R2021">
        <v>123.65</v>
      </c>
      <c r="S2021">
        <v>136.46</v>
      </c>
    </row>
    <row r="2022" spans="1:19">
      <c r="A2022" s="1">
        <v>45301</v>
      </c>
      <c r="B2022" t="s">
        <v>910</v>
      </c>
      <c r="C2022" t="s">
        <v>934</v>
      </c>
      <c r="D2022">
        <v>13.3453</v>
      </c>
      <c r="E2022">
        <v>14.2977</v>
      </c>
      <c r="F2022">
        <v>0.071365949060718</v>
      </c>
      <c r="G2022">
        <f ca="1" t="shared" si="93"/>
        <v>0.326935859553504</v>
      </c>
      <c r="H2022" t="str">
        <f ca="1" t="shared" si="94"/>
        <v>Risk-On</v>
      </c>
      <c r="I2022">
        <f ca="1" t="shared" si="95"/>
        <v>1</v>
      </c>
      <c r="J2022">
        <f>_xlfn.XLOOKUP($A2022,[1]Sheet1!$B$9:$B$2584,[1]Sheet1!$C$9:$C$2584,"N/A",0)</f>
        <v>109.39</v>
      </c>
      <c r="K2022">
        <f>_xlfn.XLOOKUP($A2022,[1]Sheet1!$E$9:$E$2584,[1]Sheet1!$F$9:$F$2584,"N/A",0)</f>
        <v>134.41</v>
      </c>
      <c r="L2022">
        <f>_xlfn.XLOOKUP($A2022,[1]Sheet1!$H$9:$H$2584,[1]Sheet1!$I$9:$I$2584,"N/A",0)</f>
        <v>64.81</v>
      </c>
      <c r="M2022">
        <f>_xlfn.XLOOKUP($A2022,[1]Sheet1!$K$9:$K$2584,[1]Sheet1!$L$9:$L$2584,"N/A",0)</f>
        <v>136.48</v>
      </c>
      <c r="N2022">
        <f>_xlfn.XLOOKUP($A2022,[1]Sheet1!$N$9:$N$2584,[1]Sheet1!$O$9:$O$2584,"N/A",0)</f>
        <v>123.7</v>
      </c>
      <c r="O2022">
        <v>109.39</v>
      </c>
      <c r="P2022">
        <v>134.41</v>
      </c>
      <c r="Q2022">
        <v>64.81</v>
      </c>
      <c r="R2022">
        <v>123.7</v>
      </c>
      <c r="S2022">
        <v>136.48</v>
      </c>
    </row>
    <row r="2023" spans="1:19">
      <c r="A2023" s="1">
        <v>45302</v>
      </c>
      <c r="B2023" t="s">
        <v>910</v>
      </c>
      <c r="C2023" t="s">
        <v>934</v>
      </c>
      <c r="D2023">
        <v>13.0512</v>
      </c>
      <c r="E2023">
        <v>14.2522</v>
      </c>
      <c r="F2023">
        <v>0.0920221895304646</v>
      </c>
      <c r="G2023">
        <f ca="1" t="shared" si="93"/>
        <v>1.05362687396073</v>
      </c>
      <c r="H2023" t="str">
        <f ca="1" t="shared" si="94"/>
        <v>Risk-On</v>
      </c>
      <c r="I2023">
        <f ca="1" t="shared" si="95"/>
        <v>1</v>
      </c>
      <c r="J2023">
        <f>_xlfn.XLOOKUP($A2023,[1]Sheet1!$B$9:$B$2584,[1]Sheet1!$C$9:$C$2584,"N/A",0)</f>
        <v>109.63</v>
      </c>
      <c r="K2023">
        <f>_xlfn.XLOOKUP($A2023,[1]Sheet1!$E$9:$E$2584,[1]Sheet1!$F$9:$F$2584,"N/A",0)</f>
        <v>135.74</v>
      </c>
      <c r="L2023">
        <f>_xlfn.XLOOKUP($A2023,[1]Sheet1!$H$9:$H$2584,[1]Sheet1!$I$9:$I$2584,"N/A",0)</f>
        <v>64.8</v>
      </c>
      <c r="M2023">
        <f>_xlfn.XLOOKUP($A2023,[1]Sheet1!$K$9:$K$2584,[1]Sheet1!$L$9:$L$2584,"N/A",0)</f>
        <v>136.7</v>
      </c>
      <c r="N2023">
        <f>_xlfn.XLOOKUP($A2023,[1]Sheet1!$N$9:$N$2584,[1]Sheet1!$O$9:$O$2584,"N/A",0)</f>
        <v>124.08</v>
      </c>
      <c r="O2023">
        <v>109.63</v>
      </c>
      <c r="P2023">
        <v>135.74</v>
      </c>
      <c r="Q2023">
        <v>64.8</v>
      </c>
      <c r="R2023">
        <v>124.08</v>
      </c>
      <c r="S2023">
        <v>136.7</v>
      </c>
    </row>
    <row r="2024" spans="1:19">
      <c r="A2024" s="1">
        <v>45303</v>
      </c>
      <c r="B2024" t="s">
        <v>910</v>
      </c>
      <c r="C2024" t="s">
        <v>934</v>
      </c>
      <c r="D2024">
        <v>13.1811</v>
      </c>
      <c r="E2024">
        <v>14.4647</v>
      </c>
      <c r="F2024">
        <v>0.0973818573563663</v>
      </c>
      <c r="G2024">
        <f ca="1" t="shared" si="93"/>
        <v>1.22902695084753</v>
      </c>
      <c r="H2024" t="str">
        <f ca="1" t="shared" si="94"/>
        <v>Risk-On</v>
      </c>
      <c r="I2024">
        <f ca="1" t="shared" si="95"/>
        <v>1</v>
      </c>
      <c r="J2024">
        <f>_xlfn.XLOOKUP($A2024,[1]Sheet1!$B$9:$B$2584,[1]Sheet1!$C$9:$C$2584,"N/A",0)</f>
        <v>110.26</v>
      </c>
      <c r="K2024">
        <f>_xlfn.XLOOKUP($A2024,[1]Sheet1!$E$9:$E$2584,[1]Sheet1!$F$9:$F$2584,"N/A",0)</f>
        <v>136.43</v>
      </c>
      <c r="L2024">
        <f>_xlfn.XLOOKUP($A2024,[1]Sheet1!$H$9:$H$2584,[1]Sheet1!$I$9:$I$2584,"N/A",0)</f>
        <v>64.55</v>
      </c>
      <c r="M2024">
        <f>_xlfn.XLOOKUP($A2024,[1]Sheet1!$K$9:$K$2584,[1]Sheet1!$L$9:$L$2584,"N/A",0)</f>
        <v>136.29</v>
      </c>
      <c r="N2024">
        <f>_xlfn.XLOOKUP($A2024,[1]Sheet1!$N$9:$N$2584,[1]Sheet1!$O$9:$O$2584,"N/A",0)</f>
        <v>123.84</v>
      </c>
      <c r="O2024">
        <v>110.26</v>
      </c>
      <c r="P2024">
        <v>136.43</v>
      </c>
      <c r="Q2024">
        <v>64.55</v>
      </c>
      <c r="R2024">
        <v>123.84</v>
      </c>
      <c r="S2024">
        <v>136.29</v>
      </c>
    </row>
    <row r="2025" spans="1:19">
      <c r="A2025" s="1">
        <v>45307</v>
      </c>
      <c r="B2025" t="s">
        <v>910</v>
      </c>
      <c r="C2025" t="s">
        <v>934</v>
      </c>
      <c r="D2025">
        <v>13.9544</v>
      </c>
      <c r="E2025">
        <v>14.9876</v>
      </c>
      <c r="F2025">
        <v>0.0740411626440406</v>
      </c>
      <c r="G2025">
        <f ca="1" t="shared" si="93"/>
        <v>0.40035455601043</v>
      </c>
      <c r="H2025" t="str">
        <f ca="1" t="shared" si="94"/>
        <v>Risk-On</v>
      </c>
      <c r="I2025">
        <f ca="1" t="shared" si="95"/>
        <v>1</v>
      </c>
      <c r="J2025">
        <f>_xlfn.XLOOKUP($A2025,[1]Sheet1!$B$9:$B$2584,[1]Sheet1!$C$9:$C$2584,"N/A",0)</f>
        <v>110.64</v>
      </c>
      <c r="K2025">
        <f>_xlfn.XLOOKUP($A2025,[1]Sheet1!$E$9:$E$2584,[1]Sheet1!$F$9:$F$2584,"N/A",0)</f>
        <v>138.06</v>
      </c>
      <c r="L2025">
        <f>_xlfn.XLOOKUP($A2025,[1]Sheet1!$H$9:$H$2584,[1]Sheet1!$I$9:$I$2584,"N/A",0)</f>
        <v>64.42</v>
      </c>
      <c r="M2025">
        <f>_xlfn.XLOOKUP($A2025,[1]Sheet1!$K$9:$K$2584,[1]Sheet1!$L$9:$L$2584,"N/A",0)</f>
        <v>136.14</v>
      </c>
      <c r="N2025">
        <f>_xlfn.XLOOKUP($A2025,[1]Sheet1!$N$9:$N$2584,[1]Sheet1!$O$9:$O$2584,"N/A",0)</f>
        <v>124.28</v>
      </c>
      <c r="O2025">
        <v>110.64</v>
      </c>
      <c r="P2025">
        <v>138.06</v>
      </c>
      <c r="Q2025">
        <v>64.42</v>
      </c>
      <c r="R2025">
        <v>124.28</v>
      </c>
      <c r="S2025">
        <v>136.14</v>
      </c>
    </row>
    <row r="2026" spans="1:19">
      <c r="A2026" s="1">
        <v>45308</v>
      </c>
      <c r="B2026" t="s">
        <v>910</v>
      </c>
      <c r="C2026" t="s">
        <v>934</v>
      </c>
      <c r="D2026">
        <v>15.13</v>
      </c>
      <c r="E2026">
        <v>15.5187</v>
      </c>
      <c r="F2026">
        <v>0.0256906807666887</v>
      </c>
      <c r="G2026">
        <f ca="1" t="shared" si="93"/>
        <v>-1.29525672053122</v>
      </c>
      <c r="H2026" t="str">
        <f ca="1" t="shared" si="94"/>
        <v>Risk-On</v>
      </c>
      <c r="I2026">
        <f ca="1" t="shared" si="95"/>
        <v>1</v>
      </c>
      <c r="J2026">
        <f>_xlfn.XLOOKUP($A2026,[1]Sheet1!$B$9:$B$2584,[1]Sheet1!$C$9:$C$2584,"N/A",0)</f>
        <v>110.69</v>
      </c>
      <c r="K2026">
        <f>_xlfn.XLOOKUP($A2026,[1]Sheet1!$E$9:$E$2584,[1]Sheet1!$F$9:$F$2584,"N/A",0)</f>
        <v>138.65</v>
      </c>
      <c r="L2026">
        <f>_xlfn.XLOOKUP($A2026,[1]Sheet1!$H$9:$H$2584,[1]Sheet1!$I$9:$I$2584,"N/A",0)</f>
        <v>64.28</v>
      </c>
      <c r="M2026">
        <f>_xlfn.XLOOKUP($A2026,[1]Sheet1!$K$9:$K$2584,[1]Sheet1!$L$9:$L$2584,"N/A",0)</f>
        <v>137.33</v>
      </c>
      <c r="N2026">
        <f>_xlfn.XLOOKUP($A2026,[1]Sheet1!$N$9:$N$2584,[1]Sheet1!$O$9:$O$2584,"N/A",0)</f>
        <v>123.98</v>
      </c>
      <c r="O2026">
        <v>110.69</v>
      </c>
      <c r="P2026">
        <v>138.65</v>
      </c>
      <c r="Q2026">
        <v>64.28</v>
      </c>
      <c r="R2026">
        <v>123.98</v>
      </c>
      <c r="S2026">
        <v>137.33</v>
      </c>
    </row>
    <row r="2027" spans="1:19">
      <c r="A2027" s="1">
        <v>45309</v>
      </c>
      <c r="B2027" t="s">
        <v>934</v>
      </c>
      <c r="C2027" t="s">
        <v>935</v>
      </c>
      <c r="D2027">
        <v>15.0037</v>
      </c>
      <c r="E2027">
        <v>15.9966</v>
      </c>
      <c r="F2027">
        <v>0.0661770096709478</v>
      </c>
      <c r="G2027">
        <f ca="1" t="shared" si="93"/>
        <v>0.132199639923989</v>
      </c>
      <c r="H2027" t="str">
        <f ca="1" t="shared" si="94"/>
        <v>Risk-On</v>
      </c>
      <c r="I2027">
        <f ca="1" t="shared" si="95"/>
        <v>1</v>
      </c>
      <c r="J2027">
        <f>_xlfn.XLOOKUP($A2027,[1]Sheet1!$B$9:$B$2584,[1]Sheet1!$C$9:$C$2584,"N/A",0)</f>
        <v>110.17</v>
      </c>
      <c r="K2027">
        <f>_xlfn.XLOOKUP($A2027,[1]Sheet1!$E$9:$E$2584,[1]Sheet1!$F$9:$F$2584,"N/A",0)</f>
        <v>139.82</v>
      </c>
      <c r="L2027">
        <f>_xlfn.XLOOKUP($A2027,[1]Sheet1!$H$9:$H$2584,[1]Sheet1!$I$9:$I$2584,"N/A",0)</f>
        <v>63.92</v>
      </c>
      <c r="M2027">
        <f>_xlfn.XLOOKUP($A2027,[1]Sheet1!$K$9:$K$2584,[1]Sheet1!$L$9:$L$2584,"N/A",0)</f>
        <v>137.83</v>
      </c>
      <c r="N2027">
        <f>_xlfn.XLOOKUP($A2027,[1]Sheet1!$N$9:$N$2584,[1]Sheet1!$O$9:$O$2584,"N/A",0)</f>
        <v>123.6</v>
      </c>
      <c r="O2027">
        <v>110.17</v>
      </c>
      <c r="P2027">
        <v>139.82</v>
      </c>
      <c r="Q2027">
        <v>63.92</v>
      </c>
      <c r="R2027">
        <v>123.6</v>
      </c>
      <c r="S2027">
        <v>137.83</v>
      </c>
    </row>
    <row r="2028" spans="1:19">
      <c r="A2028" s="1">
        <v>45310</v>
      </c>
      <c r="B2028" t="s">
        <v>934</v>
      </c>
      <c r="C2028" t="s">
        <v>935</v>
      </c>
      <c r="D2028">
        <v>14.6052</v>
      </c>
      <c r="E2028">
        <v>15.6997</v>
      </c>
      <c r="F2028">
        <v>0.0749390627995508</v>
      </c>
      <c r="G2028">
        <f ca="1" t="shared" si="93"/>
        <v>0.44276886809873</v>
      </c>
      <c r="H2028" t="str">
        <f ca="1" t="shared" si="94"/>
        <v>Risk-On</v>
      </c>
      <c r="I2028">
        <f ca="1" t="shared" si="95"/>
        <v>1</v>
      </c>
      <c r="J2028">
        <f>_xlfn.XLOOKUP($A2028,[1]Sheet1!$B$9:$B$2584,[1]Sheet1!$C$9:$C$2584,"N/A",0)</f>
        <v>110.06</v>
      </c>
      <c r="K2028">
        <f>_xlfn.XLOOKUP($A2028,[1]Sheet1!$E$9:$E$2584,[1]Sheet1!$F$9:$F$2584,"N/A",0)</f>
        <v>141.04</v>
      </c>
      <c r="L2028">
        <f>_xlfn.XLOOKUP($A2028,[1]Sheet1!$H$9:$H$2584,[1]Sheet1!$I$9:$I$2584,"N/A",0)</f>
        <v>64.77</v>
      </c>
      <c r="M2028">
        <f>_xlfn.XLOOKUP($A2028,[1]Sheet1!$K$9:$K$2584,[1]Sheet1!$L$9:$L$2584,"N/A",0)</f>
        <v>137.36</v>
      </c>
      <c r="N2028">
        <f>_xlfn.XLOOKUP($A2028,[1]Sheet1!$N$9:$N$2584,[1]Sheet1!$O$9:$O$2584,"N/A",0)</f>
        <v>124.17</v>
      </c>
      <c r="O2028">
        <v>110.06</v>
      </c>
      <c r="P2028">
        <v>141.04</v>
      </c>
      <c r="Q2028">
        <v>64.77</v>
      </c>
      <c r="R2028">
        <v>124.17</v>
      </c>
      <c r="S2028">
        <v>137.36</v>
      </c>
    </row>
    <row r="2029" spans="1:19">
      <c r="A2029" s="1">
        <v>45313</v>
      </c>
      <c r="B2029" t="s">
        <v>934</v>
      </c>
      <c r="C2029" t="s">
        <v>935</v>
      </c>
      <c r="D2029">
        <v>14.0804</v>
      </c>
      <c r="E2029">
        <v>15.1727</v>
      </c>
      <c r="F2029">
        <v>0.0775759211386041</v>
      </c>
      <c r="G2029">
        <f ca="1" t="shared" si="93"/>
        <v>0.533381249197676</v>
      </c>
      <c r="H2029" t="str">
        <f ca="1" t="shared" si="94"/>
        <v>Risk-On</v>
      </c>
      <c r="I2029">
        <f ca="1" t="shared" si="95"/>
        <v>1</v>
      </c>
      <c r="J2029">
        <f>_xlfn.XLOOKUP($A2029,[1]Sheet1!$B$9:$B$2584,[1]Sheet1!$C$9:$C$2584,"N/A",0)</f>
        <v>109.93</v>
      </c>
      <c r="K2029">
        <f>_xlfn.XLOOKUP($A2029,[1]Sheet1!$E$9:$E$2584,[1]Sheet1!$F$9:$F$2584,"N/A",0)</f>
        <v>141.4</v>
      </c>
      <c r="L2029">
        <f>_xlfn.XLOOKUP($A2029,[1]Sheet1!$H$9:$H$2584,[1]Sheet1!$I$9:$I$2584,"N/A",0)</f>
        <v>64.47</v>
      </c>
      <c r="M2029">
        <f>_xlfn.XLOOKUP($A2029,[1]Sheet1!$K$9:$K$2584,[1]Sheet1!$L$9:$L$2584,"N/A",0)</f>
        <v>137.79</v>
      </c>
      <c r="N2029">
        <f>_xlfn.XLOOKUP($A2029,[1]Sheet1!$N$9:$N$2584,[1]Sheet1!$O$9:$O$2584,"N/A",0)</f>
        <v>122.42</v>
      </c>
      <c r="O2029">
        <v>109.93</v>
      </c>
      <c r="P2029">
        <v>141.4</v>
      </c>
      <c r="Q2029">
        <v>64.47</v>
      </c>
      <c r="R2029">
        <v>122.42</v>
      </c>
      <c r="S2029">
        <v>137.79</v>
      </c>
    </row>
    <row r="2030" spans="1:19">
      <c r="A2030" s="1">
        <v>45314</v>
      </c>
      <c r="B2030" t="s">
        <v>934</v>
      </c>
      <c r="C2030" t="s">
        <v>935</v>
      </c>
      <c r="D2030">
        <v>13.7002</v>
      </c>
      <c r="E2030">
        <v>14.7723</v>
      </c>
      <c r="F2030">
        <v>0.0782543320535465</v>
      </c>
      <c r="G2030">
        <f ca="1" t="shared" si="93"/>
        <v>0.548974404146722</v>
      </c>
      <c r="H2030" t="str">
        <f ca="1" t="shared" si="94"/>
        <v>Risk-On</v>
      </c>
      <c r="I2030">
        <f ca="1" t="shared" si="95"/>
        <v>1</v>
      </c>
      <c r="J2030">
        <f>_xlfn.XLOOKUP($A2030,[1]Sheet1!$B$9:$B$2584,[1]Sheet1!$C$9:$C$2584,"N/A",0)</f>
        <v>109.47</v>
      </c>
      <c r="K2030" t="str">
        <f>_xlfn.XLOOKUP($A2030,[1]Sheet1!$E$9:$E$2584,[1]Sheet1!$F$9:$F$2584,"N/A",0)</f>
        <v>N/A</v>
      </c>
      <c r="L2030" t="str">
        <f>_xlfn.XLOOKUP($A2030,[1]Sheet1!$H$9:$H$2584,[1]Sheet1!$I$9:$I$2584,"N/A",0)</f>
        <v>N/A</v>
      </c>
      <c r="M2030" t="str">
        <f>_xlfn.XLOOKUP($A2030,[1]Sheet1!$K$9:$K$2584,[1]Sheet1!$L$9:$L$2584,"N/A",0)</f>
        <v>N/A</v>
      </c>
      <c r="N2030">
        <f>_xlfn.XLOOKUP($A2030,[1]Sheet1!$N$9:$N$2584,[1]Sheet1!$O$9:$O$2584,"N/A",0)</f>
        <v>123.04</v>
      </c>
      <c r="O2030">
        <v>109.47</v>
      </c>
      <c r="P2030" t="s">
        <v>21</v>
      </c>
      <c r="Q2030" t="s">
        <v>21</v>
      </c>
      <c r="R2030">
        <v>123.04</v>
      </c>
      <c r="S2030" t="s">
        <v>21</v>
      </c>
    </row>
    <row r="2031" spans="1:19">
      <c r="A2031" s="1">
        <v>45315</v>
      </c>
      <c r="B2031" t="s">
        <v>934</v>
      </c>
      <c r="C2031" t="s">
        <v>935</v>
      </c>
      <c r="D2031">
        <v>14.038</v>
      </c>
      <c r="E2031">
        <v>15.1205</v>
      </c>
      <c r="F2031">
        <v>0.0771121242342213</v>
      </c>
      <c r="G2031">
        <f ca="1" t="shared" si="93"/>
        <v>0.501320618057102</v>
      </c>
      <c r="H2031" t="str">
        <f ca="1" t="shared" si="94"/>
        <v>Risk-On</v>
      </c>
      <c r="I2031">
        <f ca="1" t="shared" si="95"/>
        <v>1</v>
      </c>
      <c r="J2031">
        <f>_xlfn.XLOOKUP($A2031,[1]Sheet1!$B$9:$B$2584,[1]Sheet1!$C$9:$C$2584,"N/A",0)</f>
        <v>109.02</v>
      </c>
      <c r="K2031" t="str">
        <f>_xlfn.XLOOKUP($A2031,[1]Sheet1!$E$9:$E$2584,[1]Sheet1!$F$9:$F$2584,"N/A",0)</f>
        <v>N/A</v>
      </c>
      <c r="L2031" t="str">
        <f>_xlfn.XLOOKUP($A2031,[1]Sheet1!$H$9:$H$2584,[1]Sheet1!$I$9:$I$2584,"N/A",0)</f>
        <v>N/A</v>
      </c>
      <c r="M2031" t="str">
        <f>_xlfn.XLOOKUP($A2031,[1]Sheet1!$K$9:$K$2584,[1]Sheet1!$L$9:$L$2584,"N/A",0)</f>
        <v>N/A</v>
      </c>
      <c r="N2031">
        <f>_xlfn.XLOOKUP($A2031,[1]Sheet1!$N$9:$N$2584,[1]Sheet1!$O$9:$O$2584,"N/A",0)</f>
        <v>123.48</v>
      </c>
      <c r="O2031">
        <v>109.02</v>
      </c>
      <c r="P2031" t="s">
        <v>21</v>
      </c>
      <c r="Q2031" t="s">
        <v>21</v>
      </c>
      <c r="R2031">
        <v>123.48</v>
      </c>
      <c r="S2031" t="s">
        <v>21</v>
      </c>
    </row>
    <row r="2032" spans="1:19">
      <c r="A2032" s="1">
        <v>45316</v>
      </c>
      <c r="B2032" t="s">
        <v>934</v>
      </c>
      <c r="C2032" t="s">
        <v>935</v>
      </c>
      <c r="D2032">
        <v>14.2261</v>
      </c>
      <c r="E2032">
        <v>15.309</v>
      </c>
      <c r="F2032">
        <v>0.0761206514786201</v>
      </c>
      <c r="G2032">
        <f ca="1" t="shared" si="93"/>
        <v>0.464395991793753</v>
      </c>
      <c r="H2032" t="str">
        <f ca="1" t="shared" si="94"/>
        <v>Risk-On</v>
      </c>
      <c r="I2032">
        <f ca="1" t="shared" si="95"/>
        <v>1</v>
      </c>
      <c r="J2032">
        <f>_xlfn.XLOOKUP($A2032,[1]Sheet1!$B$9:$B$2584,[1]Sheet1!$C$9:$C$2584,"N/A",0)</f>
        <v>108.78</v>
      </c>
      <c r="K2032" t="str">
        <f>_xlfn.XLOOKUP($A2032,[1]Sheet1!$E$9:$E$2584,[1]Sheet1!$F$9:$F$2584,"N/A",0)</f>
        <v>N/A</v>
      </c>
      <c r="L2032" t="str">
        <f>_xlfn.XLOOKUP($A2032,[1]Sheet1!$H$9:$H$2584,[1]Sheet1!$I$9:$I$2584,"N/A",0)</f>
        <v>N/A</v>
      </c>
      <c r="M2032" t="str">
        <f>_xlfn.XLOOKUP($A2032,[1]Sheet1!$K$9:$K$2584,[1]Sheet1!$L$9:$L$2584,"N/A",0)</f>
        <v>N/A</v>
      </c>
      <c r="N2032">
        <f>_xlfn.XLOOKUP($A2032,[1]Sheet1!$N$9:$N$2584,[1]Sheet1!$O$9:$O$2584,"N/A",0)</f>
        <v>124.01</v>
      </c>
      <c r="O2032">
        <v>108.78</v>
      </c>
      <c r="P2032" t="s">
        <v>21</v>
      </c>
      <c r="Q2032" t="s">
        <v>21</v>
      </c>
      <c r="R2032">
        <v>124.01</v>
      </c>
      <c r="S2032" t="s">
        <v>21</v>
      </c>
    </row>
    <row r="2033" spans="1:19">
      <c r="A2033" s="1">
        <v>45317</v>
      </c>
      <c r="B2033" t="s">
        <v>934</v>
      </c>
      <c r="C2033" t="s">
        <v>935</v>
      </c>
      <c r="D2033">
        <v>14.1173</v>
      </c>
      <c r="E2033">
        <v>15.1767</v>
      </c>
      <c r="F2033">
        <v>0.075042678132504</v>
      </c>
      <c r="G2033">
        <f ca="1" t="shared" si="93"/>
        <v>0.424548939502556</v>
      </c>
      <c r="H2033" t="str">
        <f ca="1" t="shared" si="94"/>
        <v>Risk-On</v>
      </c>
      <c r="I2033">
        <f ca="1" t="shared" si="95"/>
        <v>1</v>
      </c>
      <c r="J2033">
        <f>_xlfn.XLOOKUP($A2033,[1]Sheet1!$B$9:$B$2584,[1]Sheet1!$C$9:$C$2584,"N/A",0)</f>
        <v>108.8</v>
      </c>
      <c r="K2033">
        <f>_xlfn.XLOOKUP($A2033,[1]Sheet1!$E$9:$E$2584,[1]Sheet1!$F$9:$F$2584,"N/A",0)</f>
        <v>141.19</v>
      </c>
      <c r="L2033">
        <f>_xlfn.XLOOKUP($A2033,[1]Sheet1!$H$9:$H$2584,[1]Sheet1!$I$9:$I$2584,"N/A",0)</f>
        <v>65.12</v>
      </c>
      <c r="M2033">
        <f>_xlfn.XLOOKUP($A2033,[1]Sheet1!$K$9:$K$2584,[1]Sheet1!$L$9:$L$2584,"N/A",0)</f>
        <v>137.15</v>
      </c>
      <c r="N2033">
        <f>_xlfn.XLOOKUP($A2033,[1]Sheet1!$N$9:$N$2584,[1]Sheet1!$O$9:$O$2584,"N/A",0)</f>
        <v>123.7</v>
      </c>
      <c r="O2033">
        <v>108.8</v>
      </c>
      <c r="P2033">
        <v>141.19</v>
      </c>
      <c r="Q2033">
        <v>65.12</v>
      </c>
      <c r="R2033">
        <v>123.7</v>
      </c>
      <c r="S2033">
        <v>137.15</v>
      </c>
    </row>
    <row r="2034" spans="1:19">
      <c r="A2034" s="1">
        <v>45320</v>
      </c>
      <c r="B2034" t="s">
        <v>934</v>
      </c>
      <c r="C2034" t="s">
        <v>935</v>
      </c>
      <c r="D2034">
        <v>14.2508</v>
      </c>
      <c r="E2034">
        <v>15.2503</v>
      </c>
      <c r="F2034">
        <v>0.0701364133943357</v>
      </c>
      <c r="G2034">
        <f ca="1" t="shared" si="93"/>
        <v>0.246826910801592</v>
      </c>
      <c r="H2034" t="str">
        <f ca="1" t="shared" si="94"/>
        <v>Risk-On</v>
      </c>
      <c r="I2034">
        <f ca="1" t="shared" si="95"/>
        <v>1</v>
      </c>
      <c r="J2034">
        <f>_xlfn.XLOOKUP($A2034,[1]Sheet1!$B$9:$B$2584,[1]Sheet1!$C$9:$C$2584,"N/A",0)</f>
        <v>109.25</v>
      </c>
      <c r="K2034">
        <f>_xlfn.XLOOKUP($A2034,[1]Sheet1!$E$9:$E$2584,[1]Sheet1!$F$9:$F$2584,"N/A",0)</f>
        <v>141.84</v>
      </c>
      <c r="L2034">
        <f>_xlfn.XLOOKUP($A2034,[1]Sheet1!$H$9:$H$2584,[1]Sheet1!$I$9:$I$2584,"N/A",0)</f>
        <v>64.41</v>
      </c>
      <c r="M2034">
        <f>_xlfn.XLOOKUP($A2034,[1]Sheet1!$K$9:$K$2584,[1]Sheet1!$L$9:$L$2584,"N/A",0)</f>
        <v>137.07</v>
      </c>
      <c r="N2034">
        <f>_xlfn.XLOOKUP($A2034,[1]Sheet1!$N$9:$N$2584,[1]Sheet1!$O$9:$O$2584,"N/A",0)</f>
        <v>123.04</v>
      </c>
      <c r="O2034">
        <v>109.25</v>
      </c>
      <c r="P2034">
        <v>141.84</v>
      </c>
      <c r="Q2034">
        <v>64.41</v>
      </c>
      <c r="R2034">
        <v>123.04</v>
      </c>
      <c r="S2034">
        <v>137.07</v>
      </c>
    </row>
    <row r="2035" spans="1:19">
      <c r="A2035" s="1">
        <v>45321</v>
      </c>
      <c r="B2035" t="s">
        <v>934</v>
      </c>
      <c r="C2035" t="s">
        <v>935</v>
      </c>
      <c r="D2035">
        <v>13.9929</v>
      </c>
      <c r="E2035">
        <v>15.0432</v>
      </c>
      <c r="F2035">
        <v>0.0750594944579036</v>
      </c>
      <c r="G2035">
        <f ca="1" t="shared" si="93"/>
        <v>0.420047703941446</v>
      </c>
      <c r="H2035" t="str">
        <f ca="1" t="shared" si="94"/>
        <v>Risk-On</v>
      </c>
      <c r="I2035">
        <f ca="1" t="shared" si="95"/>
        <v>1</v>
      </c>
      <c r="J2035">
        <f>_xlfn.XLOOKUP($A2035,[1]Sheet1!$B$9:$B$2584,[1]Sheet1!$C$9:$C$2584,"N/A",0)</f>
        <v>109.28</v>
      </c>
      <c r="K2035">
        <f>_xlfn.XLOOKUP($A2035,[1]Sheet1!$E$9:$E$2584,[1]Sheet1!$F$9:$F$2584,"N/A",0)</f>
        <v>142.96</v>
      </c>
      <c r="L2035">
        <f>_xlfn.XLOOKUP($A2035,[1]Sheet1!$H$9:$H$2584,[1]Sheet1!$I$9:$I$2584,"N/A",0)</f>
        <v>64.9</v>
      </c>
      <c r="M2035">
        <f>_xlfn.XLOOKUP($A2035,[1]Sheet1!$K$9:$K$2584,[1]Sheet1!$L$9:$L$2584,"N/A",0)</f>
        <v>137.35</v>
      </c>
      <c r="N2035">
        <f>_xlfn.XLOOKUP($A2035,[1]Sheet1!$N$9:$N$2584,[1]Sheet1!$O$9:$O$2584,"N/A",0)</f>
        <v>123.69</v>
      </c>
      <c r="O2035">
        <v>109.28</v>
      </c>
      <c r="P2035">
        <v>142.96</v>
      </c>
      <c r="Q2035">
        <v>64.9</v>
      </c>
      <c r="R2035">
        <v>123.69</v>
      </c>
      <c r="S2035">
        <v>137.35</v>
      </c>
    </row>
    <row r="2036" spans="1:19">
      <c r="A2036" s="1">
        <v>45322</v>
      </c>
      <c r="B2036" t="s">
        <v>934</v>
      </c>
      <c r="C2036" t="s">
        <v>935</v>
      </c>
      <c r="D2036">
        <v>14.8735</v>
      </c>
      <c r="E2036">
        <v>15.6748</v>
      </c>
      <c r="F2036">
        <v>0.0538743402696069</v>
      </c>
      <c r="G2036">
        <f ca="1" t="shared" si="93"/>
        <v>-0.332473298839481</v>
      </c>
      <c r="H2036" t="str">
        <f ca="1" t="shared" si="94"/>
        <v>Risk-On</v>
      </c>
      <c r="I2036">
        <f ca="1" t="shared" si="95"/>
        <v>1</v>
      </c>
      <c r="J2036">
        <f>_xlfn.XLOOKUP($A2036,[1]Sheet1!$B$9:$B$2584,[1]Sheet1!$C$9:$C$2584,"N/A",0)</f>
        <v>109.21</v>
      </c>
      <c r="K2036">
        <f>_xlfn.XLOOKUP($A2036,[1]Sheet1!$E$9:$E$2584,[1]Sheet1!$F$9:$F$2584,"N/A",0)</f>
        <v>144.05</v>
      </c>
      <c r="L2036">
        <f>_xlfn.XLOOKUP($A2036,[1]Sheet1!$H$9:$H$2584,[1]Sheet1!$I$9:$I$2584,"N/A",0)</f>
        <v>65.04</v>
      </c>
      <c r="M2036">
        <f>_xlfn.XLOOKUP($A2036,[1]Sheet1!$K$9:$K$2584,[1]Sheet1!$L$9:$L$2584,"N/A",0)</f>
        <v>137.13</v>
      </c>
      <c r="N2036">
        <f>_xlfn.XLOOKUP($A2036,[1]Sheet1!$N$9:$N$2584,[1]Sheet1!$O$9:$O$2584,"N/A",0)</f>
        <v>124.42</v>
      </c>
      <c r="O2036">
        <v>109.21</v>
      </c>
      <c r="P2036">
        <v>144.05</v>
      </c>
      <c r="Q2036">
        <v>65.04</v>
      </c>
      <c r="R2036">
        <v>124.42</v>
      </c>
      <c r="S2036">
        <v>137.13</v>
      </c>
    </row>
    <row r="2037" spans="1:19">
      <c r="A2037" s="1">
        <v>45323</v>
      </c>
      <c r="B2037" t="s">
        <v>934</v>
      </c>
      <c r="C2037" t="s">
        <v>935</v>
      </c>
      <c r="D2037">
        <v>14.6977</v>
      </c>
      <c r="E2037">
        <v>15.5533</v>
      </c>
      <c r="F2037">
        <v>0.0582131898188152</v>
      </c>
      <c r="G2037">
        <f ca="1" t="shared" si="93"/>
        <v>-0.177509302647155</v>
      </c>
      <c r="H2037" t="str">
        <f ca="1" t="shared" si="94"/>
        <v>Risk-On</v>
      </c>
      <c r="I2037">
        <f ca="1" t="shared" si="95"/>
        <v>1</v>
      </c>
      <c r="J2037">
        <f>_xlfn.XLOOKUP($A2037,[1]Sheet1!$B$9:$B$2584,[1]Sheet1!$C$9:$C$2584,"N/A",0)</f>
        <v>109.38</v>
      </c>
      <c r="K2037">
        <f>_xlfn.XLOOKUP($A2037,[1]Sheet1!$E$9:$E$2584,[1]Sheet1!$F$9:$F$2584,"N/A",0)</f>
        <v>144.77</v>
      </c>
      <c r="L2037">
        <f>_xlfn.XLOOKUP($A2037,[1]Sheet1!$H$9:$H$2584,[1]Sheet1!$I$9:$I$2584,"N/A",0)</f>
        <v>64.48</v>
      </c>
      <c r="M2037">
        <f>_xlfn.XLOOKUP($A2037,[1]Sheet1!$K$9:$K$2584,[1]Sheet1!$L$9:$L$2584,"N/A",0)</f>
        <v>137.25</v>
      </c>
      <c r="N2037">
        <f>_xlfn.XLOOKUP($A2037,[1]Sheet1!$N$9:$N$2584,[1]Sheet1!$O$9:$O$2584,"N/A",0)</f>
        <v>124.07</v>
      </c>
      <c r="O2037">
        <v>109.38</v>
      </c>
      <c r="P2037">
        <v>144.77</v>
      </c>
      <c r="Q2037">
        <v>64.48</v>
      </c>
      <c r="R2037">
        <v>124.07</v>
      </c>
      <c r="S2037">
        <v>137.25</v>
      </c>
    </row>
    <row r="2038" spans="1:19">
      <c r="A2038" s="1">
        <v>45324</v>
      </c>
      <c r="B2038" t="s">
        <v>934</v>
      </c>
      <c r="C2038" t="s">
        <v>935</v>
      </c>
      <c r="D2038">
        <v>14.5473</v>
      </c>
      <c r="E2038">
        <v>15.5485</v>
      </c>
      <c r="F2038">
        <v>0.068823767984437</v>
      </c>
      <c r="G2038">
        <f ca="1" t="shared" si="93"/>
        <v>0.19656797302425</v>
      </c>
      <c r="H2038" t="str">
        <f ca="1" t="shared" si="94"/>
        <v>Risk-On</v>
      </c>
      <c r="I2038">
        <f ca="1" t="shared" si="95"/>
        <v>1</v>
      </c>
      <c r="J2038">
        <f>_xlfn.XLOOKUP($A2038,[1]Sheet1!$B$9:$B$2584,[1]Sheet1!$C$9:$C$2584,"N/A",0)</f>
        <v>109.68</v>
      </c>
      <c r="K2038">
        <f>_xlfn.XLOOKUP($A2038,[1]Sheet1!$E$9:$E$2584,[1]Sheet1!$F$9:$F$2584,"N/A",0)</f>
        <v>147.78</v>
      </c>
      <c r="L2038">
        <f>_xlfn.XLOOKUP($A2038,[1]Sheet1!$H$9:$H$2584,[1]Sheet1!$I$9:$I$2584,"N/A",0)</f>
        <v>64.06</v>
      </c>
      <c r="M2038">
        <f>_xlfn.XLOOKUP($A2038,[1]Sheet1!$K$9:$K$2584,[1]Sheet1!$L$9:$L$2584,"N/A",0)</f>
        <v>139.09</v>
      </c>
      <c r="N2038">
        <f>_xlfn.XLOOKUP($A2038,[1]Sheet1!$N$9:$N$2584,[1]Sheet1!$O$9:$O$2584,"N/A",0)</f>
        <v>124.82</v>
      </c>
      <c r="O2038">
        <v>109.68</v>
      </c>
      <c r="P2038">
        <v>147.78</v>
      </c>
      <c r="Q2038">
        <v>64.06</v>
      </c>
      <c r="R2038">
        <v>124.82</v>
      </c>
      <c r="S2038">
        <v>139.09</v>
      </c>
    </row>
    <row r="2039" spans="1:19">
      <c r="A2039" s="1">
        <v>45327</v>
      </c>
      <c r="B2039" t="s">
        <v>934</v>
      </c>
      <c r="C2039" t="s">
        <v>935</v>
      </c>
      <c r="D2039">
        <v>13.9557</v>
      </c>
      <c r="E2039">
        <v>15.0004</v>
      </c>
      <c r="F2039">
        <v>0.074858301625859</v>
      </c>
      <c r="G2039">
        <f ca="1" t="shared" si="93"/>
        <v>0.409512921319357</v>
      </c>
      <c r="H2039" t="str">
        <f ca="1" t="shared" si="94"/>
        <v>Risk-On</v>
      </c>
      <c r="I2039">
        <f ca="1" t="shared" si="95"/>
        <v>1</v>
      </c>
      <c r="J2039">
        <f>_xlfn.XLOOKUP($A2039,[1]Sheet1!$B$9:$B$2584,[1]Sheet1!$C$9:$C$2584,"N/A",0)</f>
        <v>109.48</v>
      </c>
      <c r="K2039">
        <f>_xlfn.XLOOKUP($A2039,[1]Sheet1!$E$9:$E$2584,[1]Sheet1!$F$9:$F$2584,"N/A",0)</f>
        <v>149.18</v>
      </c>
      <c r="L2039">
        <f>_xlfn.XLOOKUP($A2039,[1]Sheet1!$H$9:$H$2584,[1]Sheet1!$I$9:$I$2584,"N/A",0)</f>
        <v>63.93</v>
      </c>
      <c r="M2039">
        <f>_xlfn.XLOOKUP($A2039,[1]Sheet1!$K$9:$K$2584,[1]Sheet1!$L$9:$L$2584,"N/A",0)</f>
        <v>139.99</v>
      </c>
      <c r="N2039">
        <f>_xlfn.XLOOKUP($A2039,[1]Sheet1!$N$9:$N$2584,[1]Sheet1!$O$9:$O$2584,"N/A",0)</f>
        <v>125.47</v>
      </c>
      <c r="O2039">
        <v>109.48</v>
      </c>
      <c r="P2039">
        <v>149.18</v>
      </c>
      <c r="Q2039">
        <v>63.93</v>
      </c>
      <c r="R2039">
        <v>125.47</v>
      </c>
      <c r="S2039">
        <v>139.99</v>
      </c>
    </row>
    <row r="2040" spans="1:19">
      <c r="A2040" s="1">
        <v>45328</v>
      </c>
      <c r="B2040" t="s">
        <v>934</v>
      </c>
      <c r="C2040" t="s">
        <v>935</v>
      </c>
      <c r="D2040">
        <v>13.5521</v>
      </c>
      <c r="E2040">
        <v>14.6468</v>
      </c>
      <c r="F2040">
        <v>0.0807771489289483</v>
      </c>
      <c r="G2040">
        <f ca="1" t="shared" si="93"/>
        <v>0.61460081316178</v>
      </c>
      <c r="H2040" t="str">
        <f ca="1" t="shared" si="94"/>
        <v>Risk-On</v>
      </c>
      <c r="I2040">
        <f ca="1" t="shared" si="95"/>
        <v>1</v>
      </c>
      <c r="J2040">
        <f>_xlfn.XLOOKUP($A2040,[1]Sheet1!$B$9:$B$2584,[1]Sheet1!$C$9:$C$2584,"N/A",0)</f>
        <v>109.28</v>
      </c>
      <c r="K2040">
        <f>_xlfn.XLOOKUP($A2040,[1]Sheet1!$E$9:$E$2584,[1]Sheet1!$F$9:$F$2584,"N/A",0)</f>
        <v>148.73</v>
      </c>
      <c r="L2040">
        <f>_xlfn.XLOOKUP($A2040,[1]Sheet1!$H$9:$H$2584,[1]Sheet1!$I$9:$I$2584,"N/A",0)</f>
        <v>63.97</v>
      </c>
      <c r="M2040">
        <f>_xlfn.XLOOKUP($A2040,[1]Sheet1!$K$9:$K$2584,[1]Sheet1!$L$9:$L$2584,"N/A",0)</f>
        <v>139.89</v>
      </c>
      <c r="N2040">
        <f>_xlfn.XLOOKUP($A2040,[1]Sheet1!$N$9:$N$2584,[1]Sheet1!$O$9:$O$2584,"N/A",0)</f>
        <v>125.44</v>
      </c>
      <c r="O2040">
        <v>109.28</v>
      </c>
      <c r="P2040">
        <v>148.73</v>
      </c>
      <c r="Q2040">
        <v>63.97</v>
      </c>
      <c r="R2040">
        <v>125.44</v>
      </c>
      <c r="S2040">
        <v>139.89</v>
      </c>
    </row>
    <row r="2041" spans="1:19">
      <c r="A2041" s="1">
        <v>45329</v>
      </c>
      <c r="B2041" t="s">
        <v>934</v>
      </c>
      <c r="C2041" t="s">
        <v>935</v>
      </c>
      <c r="D2041">
        <v>13.3847</v>
      </c>
      <c r="E2041">
        <v>14.6441</v>
      </c>
      <c r="F2041">
        <v>0.0940925086105777</v>
      </c>
      <c r="G2041">
        <f ca="1" t="shared" si="93"/>
        <v>1.08124512744299</v>
      </c>
      <c r="H2041" t="str">
        <f ca="1" t="shared" si="94"/>
        <v>Risk-On</v>
      </c>
      <c r="I2041">
        <f ca="1" t="shared" si="95"/>
        <v>1</v>
      </c>
      <c r="J2041">
        <f>_xlfn.XLOOKUP($A2041,[1]Sheet1!$B$9:$B$2584,[1]Sheet1!$C$9:$C$2584,"N/A",0)</f>
        <v>109.62</v>
      </c>
      <c r="K2041">
        <f>_xlfn.XLOOKUP($A2041,[1]Sheet1!$E$9:$E$2584,[1]Sheet1!$F$9:$F$2584,"N/A",0)</f>
        <v>150.35</v>
      </c>
      <c r="L2041">
        <f>_xlfn.XLOOKUP($A2041,[1]Sheet1!$H$9:$H$2584,[1]Sheet1!$I$9:$I$2584,"N/A",0)</f>
        <v>63.62</v>
      </c>
      <c r="M2041">
        <f>_xlfn.XLOOKUP($A2041,[1]Sheet1!$K$9:$K$2584,[1]Sheet1!$L$9:$L$2584,"N/A",0)</f>
        <v>140.29</v>
      </c>
      <c r="N2041">
        <f>_xlfn.XLOOKUP($A2041,[1]Sheet1!$N$9:$N$2584,[1]Sheet1!$O$9:$O$2584,"N/A",0)</f>
        <v>126.54</v>
      </c>
      <c r="O2041">
        <v>109.62</v>
      </c>
      <c r="P2041">
        <v>150.35</v>
      </c>
      <c r="Q2041">
        <v>63.62</v>
      </c>
      <c r="R2041">
        <v>126.54</v>
      </c>
      <c r="S2041">
        <v>140.29</v>
      </c>
    </row>
    <row r="2042" spans="1:19">
      <c r="A2042" s="1">
        <v>45330</v>
      </c>
      <c r="B2042" t="s">
        <v>934</v>
      </c>
      <c r="C2042" t="s">
        <v>935</v>
      </c>
      <c r="D2042">
        <v>13.3452</v>
      </c>
      <c r="E2042">
        <v>14.5328</v>
      </c>
      <c r="F2042">
        <v>0.0889907981896112</v>
      </c>
      <c r="G2042">
        <f ca="1" t="shared" si="93"/>
        <v>0.887476942078517</v>
      </c>
      <c r="H2042" t="str">
        <f ca="1" t="shared" si="94"/>
        <v>Risk-On</v>
      </c>
      <c r="I2042">
        <f ca="1" t="shared" si="95"/>
        <v>1</v>
      </c>
      <c r="J2042">
        <f>_xlfn.XLOOKUP($A2042,[1]Sheet1!$B$9:$B$2584,[1]Sheet1!$C$9:$C$2584,"N/A",0)</f>
        <v>109.44</v>
      </c>
      <c r="K2042">
        <f>_xlfn.XLOOKUP($A2042,[1]Sheet1!$E$9:$E$2584,[1]Sheet1!$F$9:$F$2584,"N/A",0)</f>
        <v>151.4</v>
      </c>
      <c r="L2042">
        <f>_xlfn.XLOOKUP($A2042,[1]Sheet1!$H$9:$H$2584,[1]Sheet1!$I$9:$I$2584,"N/A",0)</f>
        <v>62.8</v>
      </c>
      <c r="M2042">
        <f>_xlfn.XLOOKUP($A2042,[1]Sheet1!$K$9:$K$2584,[1]Sheet1!$L$9:$L$2584,"N/A",0)</f>
        <v>139.19</v>
      </c>
      <c r="N2042">
        <f>_xlfn.XLOOKUP($A2042,[1]Sheet1!$N$9:$N$2584,[1]Sheet1!$O$9:$O$2584,"N/A",0)</f>
        <v>125.07</v>
      </c>
      <c r="O2042">
        <v>109.44</v>
      </c>
      <c r="P2042">
        <v>151.4</v>
      </c>
      <c r="Q2042">
        <v>62.8</v>
      </c>
      <c r="R2042">
        <v>125.07</v>
      </c>
      <c r="S2042">
        <v>139.19</v>
      </c>
    </row>
    <row r="2043" spans="1:19">
      <c r="A2043" s="1">
        <v>45331</v>
      </c>
      <c r="B2043" t="s">
        <v>934</v>
      </c>
      <c r="C2043" t="s">
        <v>935</v>
      </c>
      <c r="D2043">
        <v>13.3705</v>
      </c>
      <c r="E2043">
        <v>14.6955</v>
      </c>
      <c r="F2043">
        <v>0.0990987622003664</v>
      </c>
      <c r="G2043">
        <f ca="1" t="shared" si="93"/>
        <v>1.23469131147213</v>
      </c>
      <c r="H2043" t="str">
        <f ca="1" t="shared" si="94"/>
        <v>Risk-On</v>
      </c>
      <c r="I2043">
        <f ca="1" t="shared" si="95"/>
        <v>1</v>
      </c>
      <c r="J2043">
        <f>_xlfn.XLOOKUP($A2043,[1]Sheet1!$B$9:$B$2584,[1]Sheet1!$C$9:$C$2584,"N/A",0)</f>
        <v>109.83</v>
      </c>
      <c r="K2043">
        <f>_xlfn.XLOOKUP($A2043,[1]Sheet1!$E$9:$E$2584,[1]Sheet1!$F$9:$F$2584,"N/A",0)</f>
        <v>153.31</v>
      </c>
      <c r="L2043">
        <f>_xlfn.XLOOKUP($A2043,[1]Sheet1!$H$9:$H$2584,[1]Sheet1!$I$9:$I$2584,"N/A",0)</f>
        <v>63</v>
      </c>
      <c r="M2043">
        <f>_xlfn.XLOOKUP($A2043,[1]Sheet1!$K$9:$K$2584,[1]Sheet1!$L$9:$L$2584,"N/A",0)</f>
        <v>139.57</v>
      </c>
      <c r="N2043">
        <f>_xlfn.XLOOKUP($A2043,[1]Sheet1!$N$9:$N$2584,[1]Sheet1!$O$9:$O$2584,"N/A",0)</f>
        <v>124.03</v>
      </c>
      <c r="O2043">
        <v>109.83</v>
      </c>
      <c r="P2043">
        <v>153.31</v>
      </c>
      <c r="Q2043">
        <v>63</v>
      </c>
      <c r="R2043">
        <v>124.03</v>
      </c>
      <c r="S2043">
        <v>139.57</v>
      </c>
    </row>
    <row r="2044" spans="1:19">
      <c r="A2044" s="1">
        <v>45334</v>
      </c>
      <c r="B2044" t="s">
        <v>934</v>
      </c>
      <c r="C2044" t="s">
        <v>935</v>
      </c>
      <c r="D2044">
        <v>13.8034</v>
      </c>
      <c r="E2044">
        <v>14.9534</v>
      </c>
      <c r="F2044">
        <v>0.0833128069895823</v>
      </c>
      <c r="G2044">
        <f ca="1" t="shared" si="93"/>
        <v>0.665362475050672</v>
      </c>
      <c r="H2044" t="str">
        <f ca="1" t="shared" si="94"/>
        <v>Risk-On</v>
      </c>
      <c r="I2044">
        <f ca="1" t="shared" si="95"/>
        <v>1</v>
      </c>
      <c r="J2044">
        <f>_xlfn.XLOOKUP($A2044,[1]Sheet1!$B$9:$B$2584,[1]Sheet1!$C$9:$C$2584,"N/A",0)</f>
        <v>109.72</v>
      </c>
      <c r="K2044">
        <f>_xlfn.XLOOKUP($A2044,[1]Sheet1!$E$9:$E$2584,[1]Sheet1!$F$9:$F$2584,"N/A",0)</f>
        <v>151.05</v>
      </c>
      <c r="L2044">
        <f>_xlfn.XLOOKUP($A2044,[1]Sheet1!$H$9:$H$2584,[1]Sheet1!$I$9:$I$2584,"N/A",0)</f>
        <v>63.74</v>
      </c>
      <c r="M2044">
        <f>_xlfn.XLOOKUP($A2044,[1]Sheet1!$K$9:$K$2584,[1]Sheet1!$L$9:$L$2584,"N/A",0)</f>
        <v>138.92</v>
      </c>
      <c r="N2044">
        <f>_xlfn.XLOOKUP($A2044,[1]Sheet1!$N$9:$N$2584,[1]Sheet1!$O$9:$O$2584,"N/A",0)</f>
        <v>122.72</v>
      </c>
      <c r="O2044">
        <v>109.72</v>
      </c>
      <c r="P2044">
        <v>151.05</v>
      </c>
      <c r="Q2044">
        <v>63.74</v>
      </c>
      <c r="R2044">
        <v>122.72</v>
      </c>
      <c r="S2044">
        <v>138.92</v>
      </c>
    </row>
    <row r="2045" spans="1:19">
      <c r="A2045" s="1">
        <v>45335</v>
      </c>
      <c r="B2045" t="s">
        <v>934</v>
      </c>
      <c r="C2045" t="s">
        <v>935</v>
      </c>
      <c r="D2045">
        <v>15.7525</v>
      </c>
      <c r="E2045">
        <v>16.0148</v>
      </c>
      <c r="F2045" s="2" t="s">
        <v>936</v>
      </c>
      <c r="G2045">
        <f ca="1" t="shared" si="93"/>
        <v>-1.68020132713199</v>
      </c>
      <c r="H2045" t="str">
        <f ca="1" t="shared" si="94"/>
        <v>Risk-On</v>
      </c>
      <c r="I2045">
        <f ca="1" t="shared" si="95"/>
        <v>1</v>
      </c>
      <c r="J2045">
        <f>_xlfn.XLOOKUP($A2045,[1]Sheet1!$B$9:$B$2584,[1]Sheet1!$C$9:$C$2584,"N/A",0)</f>
        <v>109.68</v>
      </c>
      <c r="K2045">
        <f>_xlfn.XLOOKUP($A2045,[1]Sheet1!$E$9:$E$2584,[1]Sheet1!$F$9:$F$2584,"N/A",0)</f>
        <v>152.42</v>
      </c>
      <c r="L2045">
        <f>_xlfn.XLOOKUP($A2045,[1]Sheet1!$H$9:$H$2584,[1]Sheet1!$I$9:$I$2584,"N/A",0)</f>
        <v>63.26</v>
      </c>
      <c r="M2045">
        <f>_xlfn.XLOOKUP($A2045,[1]Sheet1!$K$9:$K$2584,[1]Sheet1!$L$9:$L$2584,"N/A",0)</f>
        <v>139.54</v>
      </c>
      <c r="N2045">
        <f>_xlfn.XLOOKUP($A2045,[1]Sheet1!$N$9:$N$2584,[1]Sheet1!$O$9:$O$2584,"N/A",0)</f>
        <v>124.63</v>
      </c>
      <c r="O2045">
        <v>109.68</v>
      </c>
      <c r="P2045">
        <v>152.42</v>
      </c>
      <c r="Q2045">
        <v>63.26</v>
      </c>
      <c r="R2045">
        <v>124.63</v>
      </c>
      <c r="S2045">
        <v>139.54</v>
      </c>
    </row>
    <row r="2046" spans="1:19">
      <c r="A2046" s="1">
        <v>45336</v>
      </c>
      <c r="B2046" t="s">
        <v>934</v>
      </c>
      <c r="C2046" t="s">
        <v>935</v>
      </c>
      <c r="D2046">
        <v>14.32</v>
      </c>
      <c r="E2046">
        <v>15.1396</v>
      </c>
      <c r="F2046">
        <v>0.0572346368715083</v>
      </c>
      <c r="G2046">
        <f ca="1" t="shared" si="93"/>
        <v>-0.255888444810185</v>
      </c>
      <c r="H2046" t="str">
        <f ca="1" t="shared" si="94"/>
        <v>Risk-On</v>
      </c>
      <c r="I2046">
        <f ca="1" t="shared" si="95"/>
        <v>1</v>
      </c>
      <c r="J2046">
        <f>_xlfn.XLOOKUP($A2046,[1]Sheet1!$B$9:$B$2584,[1]Sheet1!$C$9:$C$2584,"N/A",0)</f>
        <v>109.44</v>
      </c>
      <c r="K2046">
        <f>_xlfn.XLOOKUP($A2046,[1]Sheet1!$E$9:$E$2584,[1]Sheet1!$F$9:$F$2584,"N/A",0)</f>
        <v>154.22</v>
      </c>
      <c r="L2046">
        <f>_xlfn.XLOOKUP($A2046,[1]Sheet1!$H$9:$H$2584,[1]Sheet1!$I$9:$I$2584,"N/A",0)</f>
        <v>63.02</v>
      </c>
      <c r="M2046">
        <f>_xlfn.XLOOKUP($A2046,[1]Sheet1!$K$9:$K$2584,[1]Sheet1!$L$9:$L$2584,"N/A",0)</f>
        <v>139.19</v>
      </c>
      <c r="N2046">
        <f>_xlfn.XLOOKUP($A2046,[1]Sheet1!$N$9:$N$2584,[1]Sheet1!$O$9:$O$2584,"N/A",0)</f>
        <v>123.65</v>
      </c>
      <c r="O2046">
        <v>109.44</v>
      </c>
      <c r="P2046">
        <v>154.22</v>
      </c>
      <c r="Q2046">
        <v>63.02</v>
      </c>
      <c r="R2046">
        <v>123.65</v>
      </c>
      <c r="S2046">
        <v>139.19</v>
      </c>
    </row>
    <row r="2047" spans="1:19">
      <c r="A2047" s="1">
        <v>45337</v>
      </c>
      <c r="B2047" t="s">
        <v>935</v>
      </c>
      <c r="C2047" t="s">
        <v>937</v>
      </c>
      <c r="D2047">
        <v>15.0189</v>
      </c>
      <c r="E2047">
        <v>15.9688</v>
      </c>
      <c r="F2047">
        <v>0.0632469754775649</v>
      </c>
      <c r="G2047">
        <f ca="1" t="shared" si="93"/>
        <v>-0.0429811328219269</v>
      </c>
      <c r="H2047" t="str">
        <f ca="1" t="shared" si="94"/>
        <v>Risk-On</v>
      </c>
      <c r="I2047">
        <f ca="1" t="shared" si="95"/>
        <v>1</v>
      </c>
      <c r="J2047">
        <f>_xlfn.XLOOKUP($A2047,[1]Sheet1!$B$9:$B$2584,[1]Sheet1!$C$9:$C$2584,"N/A",0)</f>
        <v>109.29</v>
      </c>
      <c r="K2047">
        <f>_xlfn.XLOOKUP($A2047,[1]Sheet1!$E$9:$E$2584,[1]Sheet1!$F$9:$F$2584,"N/A",0)</f>
        <v>152.83</v>
      </c>
      <c r="L2047">
        <f>_xlfn.XLOOKUP($A2047,[1]Sheet1!$H$9:$H$2584,[1]Sheet1!$I$9:$I$2584,"N/A",0)</f>
        <v>63.71</v>
      </c>
      <c r="M2047">
        <f>_xlfn.XLOOKUP($A2047,[1]Sheet1!$K$9:$K$2584,[1]Sheet1!$L$9:$L$2584,"N/A",0)</f>
        <v>138.8</v>
      </c>
      <c r="N2047">
        <f>_xlfn.XLOOKUP($A2047,[1]Sheet1!$N$9:$N$2584,[1]Sheet1!$O$9:$O$2584,"N/A",0)</f>
        <v>122.74</v>
      </c>
      <c r="O2047">
        <v>109.29</v>
      </c>
      <c r="P2047">
        <v>152.83</v>
      </c>
      <c r="Q2047">
        <v>63.71</v>
      </c>
      <c r="R2047">
        <v>122.74</v>
      </c>
      <c r="S2047">
        <v>138.8</v>
      </c>
    </row>
    <row r="2048" spans="1:19">
      <c r="A2048" s="1">
        <v>45338</v>
      </c>
      <c r="B2048" t="s">
        <v>935</v>
      </c>
      <c r="C2048" t="s">
        <v>937</v>
      </c>
      <c r="D2048">
        <v>14.9515</v>
      </c>
      <c r="E2048">
        <v>15.8956</v>
      </c>
      <c r="F2048">
        <v>0.0631441661371769</v>
      </c>
      <c r="G2048">
        <f ca="1" t="shared" si="93"/>
        <v>-0.0394819553044023</v>
      </c>
      <c r="H2048" t="str">
        <f ca="1" t="shared" si="94"/>
        <v>Risk-On</v>
      </c>
      <c r="I2048">
        <f ca="1" t="shared" si="95"/>
        <v>1</v>
      </c>
      <c r="J2048">
        <f>_xlfn.XLOOKUP($A2048,[1]Sheet1!$B$9:$B$2584,[1]Sheet1!$C$9:$C$2584,"N/A",0)</f>
        <v>110.06</v>
      </c>
      <c r="K2048">
        <f>_xlfn.XLOOKUP($A2048,[1]Sheet1!$E$9:$E$2584,[1]Sheet1!$F$9:$F$2584,"N/A",0)</f>
        <v>151.04</v>
      </c>
      <c r="L2048">
        <f>_xlfn.XLOOKUP($A2048,[1]Sheet1!$H$9:$H$2584,[1]Sheet1!$I$9:$I$2584,"N/A",0)</f>
        <v>63.51</v>
      </c>
      <c r="M2048">
        <f>_xlfn.XLOOKUP($A2048,[1]Sheet1!$K$9:$K$2584,[1]Sheet1!$L$9:$L$2584,"N/A",0)</f>
        <v>138.8</v>
      </c>
      <c r="N2048">
        <f>_xlfn.XLOOKUP($A2048,[1]Sheet1!$N$9:$N$2584,[1]Sheet1!$O$9:$O$2584,"N/A",0)</f>
        <v>123.14</v>
      </c>
      <c r="O2048">
        <v>110.06</v>
      </c>
      <c r="P2048">
        <v>151.04</v>
      </c>
      <c r="Q2048">
        <v>63.51</v>
      </c>
      <c r="R2048">
        <v>123.14</v>
      </c>
      <c r="S2048">
        <v>138.8</v>
      </c>
    </row>
    <row r="2049" spans="1:19">
      <c r="A2049" s="1">
        <v>45342</v>
      </c>
      <c r="B2049" t="s">
        <v>935</v>
      </c>
      <c r="C2049" t="s">
        <v>937</v>
      </c>
      <c r="D2049">
        <v>15.5273</v>
      </c>
      <c r="E2049">
        <v>16.2898</v>
      </c>
      <c r="F2049" s="2" t="s">
        <v>938</v>
      </c>
      <c r="G2049">
        <f ca="1" t="shared" si="93"/>
        <v>-0.531135596724423</v>
      </c>
      <c r="H2049" t="str">
        <f ca="1" t="shared" si="94"/>
        <v>Risk-On</v>
      </c>
      <c r="I2049">
        <f ca="1" t="shared" si="95"/>
        <v>1</v>
      </c>
      <c r="J2049">
        <f>_xlfn.XLOOKUP($A2049,[1]Sheet1!$B$9:$B$2584,[1]Sheet1!$C$9:$C$2584,"N/A",0)</f>
        <v>109.37</v>
      </c>
      <c r="K2049">
        <f>_xlfn.XLOOKUP($A2049,[1]Sheet1!$E$9:$E$2584,[1]Sheet1!$F$9:$F$2584,"N/A",0)</f>
        <v>150.27</v>
      </c>
      <c r="L2049">
        <f>_xlfn.XLOOKUP($A2049,[1]Sheet1!$H$9:$H$2584,[1]Sheet1!$I$9:$I$2584,"N/A",0)</f>
        <v>63.72</v>
      </c>
      <c r="M2049">
        <f>_xlfn.XLOOKUP($A2049,[1]Sheet1!$K$9:$K$2584,[1]Sheet1!$L$9:$L$2584,"N/A",0)</f>
        <v>138.72</v>
      </c>
      <c r="N2049">
        <f>_xlfn.XLOOKUP($A2049,[1]Sheet1!$N$9:$N$2584,[1]Sheet1!$O$9:$O$2584,"N/A",0)</f>
        <v>123.69</v>
      </c>
      <c r="O2049">
        <v>109.37</v>
      </c>
      <c r="P2049">
        <v>150.27</v>
      </c>
      <c r="Q2049">
        <v>63.72</v>
      </c>
      <c r="R2049">
        <v>123.69</v>
      </c>
      <c r="S2049">
        <v>138.72</v>
      </c>
    </row>
    <row r="2050" spans="1:19">
      <c r="A2050" s="1">
        <v>45343</v>
      </c>
      <c r="B2050" t="s">
        <v>935</v>
      </c>
      <c r="C2050" t="s">
        <v>937</v>
      </c>
      <c r="D2050">
        <v>15.3494</v>
      </c>
      <c r="E2050">
        <v>16.0978</v>
      </c>
      <c r="F2050">
        <v>0.0487576061605014</v>
      </c>
      <c r="G2050">
        <f ca="1" t="shared" si="93"/>
        <v>-0.543429969864045</v>
      </c>
      <c r="H2050" t="str">
        <f ca="1" t="shared" si="94"/>
        <v>Risk-On</v>
      </c>
      <c r="I2050">
        <f ca="1" t="shared" si="95"/>
        <v>1</v>
      </c>
      <c r="J2050">
        <f>_xlfn.XLOOKUP($A2050,[1]Sheet1!$B$9:$B$2584,[1]Sheet1!$C$9:$C$2584,"N/A",0)</f>
        <v>109.56</v>
      </c>
      <c r="K2050">
        <f>_xlfn.XLOOKUP($A2050,[1]Sheet1!$E$9:$E$2584,[1]Sheet1!$F$9:$F$2584,"N/A",0)</f>
        <v>148.36</v>
      </c>
      <c r="L2050">
        <f>_xlfn.XLOOKUP($A2050,[1]Sheet1!$H$9:$H$2584,[1]Sheet1!$I$9:$I$2584,"N/A",0)</f>
        <v>64.01</v>
      </c>
      <c r="M2050">
        <f>_xlfn.XLOOKUP($A2050,[1]Sheet1!$K$9:$K$2584,[1]Sheet1!$L$9:$L$2584,"N/A",0)</f>
        <v>138.7</v>
      </c>
      <c r="N2050">
        <f>_xlfn.XLOOKUP($A2050,[1]Sheet1!$N$9:$N$2584,[1]Sheet1!$O$9:$O$2584,"N/A",0)</f>
        <v>124.37</v>
      </c>
      <c r="O2050">
        <v>109.56</v>
      </c>
      <c r="P2050">
        <v>148.36</v>
      </c>
      <c r="Q2050">
        <v>64.01</v>
      </c>
      <c r="R2050">
        <v>124.37</v>
      </c>
      <c r="S2050">
        <v>138.7</v>
      </c>
    </row>
    <row r="2051" spans="1:19">
      <c r="A2051" s="1">
        <v>45344</v>
      </c>
      <c r="B2051" t="s">
        <v>935</v>
      </c>
      <c r="C2051" t="s">
        <v>937</v>
      </c>
      <c r="D2051">
        <v>15.0348</v>
      </c>
      <c r="E2051">
        <v>15.9232</v>
      </c>
      <c r="F2051" s="2" t="s">
        <v>939</v>
      </c>
      <c r="G2051">
        <f ca="1" t="shared" ref="G2051:G2114" si="96">IF(ROW()-ROW($A$3)+1&gt;252,(F2051-AVERAGE(OFFSET(F2051,-252,0,252,1)))/_xlfn.STDEV.S(OFFSET(F2051,-252,0,252,1)),"N/A")</f>
        <v>-0.184062874011054</v>
      </c>
      <c r="H2051" t="str">
        <f ca="1" t="shared" ref="H2051:H2114" si="97">IF(G2051&lt;&gt;"N/A",IF(G2301&gt;-0.5,"Risk-On","Risk-Off"),"N/A")</f>
        <v>Risk-On</v>
      </c>
      <c r="I2051">
        <f ca="1" t="shared" si="95"/>
        <v>1</v>
      </c>
      <c r="J2051">
        <f>_xlfn.XLOOKUP($A2051,[1]Sheet1!$B$9:$B$2584,[1]Sheet1!$C$9:$C$2584,"N/A",0)</f>
        <v>109.95</v>
      </c>
      <c r="K2051">
        <f>_xlfn.XLOOKUP($A2051,[1]Sheet1!$E$9:$E$2584,[1]Sheet1!$F$9:$F$2584,"N/A",0)</f>
        <v>152.67</v>
      </c>
      <c r="L2051">
        <f>_xlfn.XLOOKUP($A2051,[1]Sheet1!$H$9:$H$2584,[1]Sheet1!$I$9:$I$2584,"N/A",0)</f>
        <v>64.26</v>
      </c>
      <c r="M2051">
        <f>_xlfn.XLOOKUP($A2051,[1]Sheet1!$K$9:$K$2584,[1]Sheet1!$L$9:$L$2584,"N/A",0)</f>
        <v>140.15</v>
      </c>
      <c r="N2051">
        <f>_xlfn.XLOOKUP($A2051,[1]Sheet1!$N$9:$N$2584,[1]Sheet1!$O$9:$O$2584,"N/A",0)</f>
        <v>125.1</v>
      </c>
      <c r="O2051">
        <v>109.95</v>
      </c>
      <c r="P2051">
        <v>152.67</v>
      </c>
      <c r="Q2051">
        <v>64.26</v>
      </c>
      <c r="R2051">
        <v>125.1</v>
      </c>
      <c r="S2051">
        <v>140.15</v>
      </c>
    </row>
    <row r="2052" spans="1:19">
      <c r="A2052" s="1">
        <v>45345</v>
      </c>
      <c r="B2052" t="s">
        <v>935</v>
      </c>
      <c r="C2052" t="s">
        <v>937</v>
      </c>
      <c r="D2052">
        <v>14.4301</v>
      </c>
      <c r="E2052">
        <v>15.4033</v>
      </c>
      <c r="F2052">
        <v>0.0674423600668048</v>
      </c>
      <c r="G2052">
        <f ca="1" t="shared" si="96"/>
        <v>0.110681541593799</v>
      </c>
      <c r="H2052" t="str">
        <f ca="1" t="shared" si="97"/>
        <v>Risk-On</v>
      </c>
      <c r="I2052">
        <f ca="1" t="shared" ref="I2052:I2115" si="98">IF(H2052&lt;&gt;"N/A",IF(H2302&gt;-0.5,1,0),0)</f>
        <v>1</v>
      </c>
      <c r="J2052">
        <f>_xlfn.XLOOKUP($A2052,[1]Sheet1!$B$9:$B$2584,[1]Sheet1!$C$9:$C$2584,"N/A",0)</f>
        <v>110.01</v>
      </c>
      <c r="K2052">
        <f>_xlfn.XLOOKUP($A2052,[1]Sheet1!$E$9:$E$2584,[1]Sheet1!$F$9:$F$2584,"N/A",0)</f>
        <v>152.56</v>
      </c>
      <c r="L2052">
        <f>_xlfn.XLOOKUP($A2052,[1]Sheet1!$H$9:$H$2584,[1]Sheet1!$I$9:$I$2584,"N/A",0)</f>
        <v>64.34</v>
      </c>
      <c r="M2052">
        <f>_xlfn.XLOOKUP($A2052,[1]Sheet1!$K$9:$K$2584,[1]Sheet1!$L$9:$L$2584,"N/A",0)</f>
        <v>140.63</v>
      </c>
      <c r="N2052">
        <f>_xlfn.XLOOKUP($A2052,[1]Sheet1!$N$9:$N$2584,[1]Sheet1!$O$9:$O$2584,"N/A",0)</f>
        <v>124.72</v>
      </c>
      <c r="O2052">
        <v>110.01</v>
      </c>
      <c r="P2052">
        <v>152.56</v>
      </c>
      <c r="Q2052">
        <v>64.34</v>
      </c>
      <c r="R2052">
        <v>124.72</v>
      </c>
      <c r="S2052">
        <v>140.63</v>
      </c>
    </row>
    <row r="2053" spans="1:19">
      <c r="A2053" s="1">
        <v>45348</v>
      </c>
      <c r="B2053" t="s">
        <v>935</v>
      </c>
      <c r="C2053" t="s">
        <v>937</v>
      </c>
      <c r="D2053">
        <v>14.2522</v>
      </c>
      <c r="E2053">
        <v>15.2524</v>
      </c>
      <c r="F2053">
        <v>0.0701786390872987</v>
      </c>
      <c r="G2053">
        <f ca="1" t="shared" si="96"/>
        <v>0.198454099892843</v>
      </c>
      <c r="H2053" t="str">
        <f ca="1" t="shared" si="97"/>
        <v>Risk-On</v>
      </c>
      <c r="I2053">
        <f ca="1" t="shared" si="98"/>
        <v>1</v>
      </c>
      <c r="J2053">
        <f>_xlfn.XLOOKUP($A2053,[1]Sheet1!$B$9:$B$2584,[1]Sheet1!$C$9:$C$2584,"N/A",0)</f>
        <v>109.17</v>
      </c>
      <c r="K2053">
        <f>_xlfn.XLOOKUP($A2053,[1]Sheet1!$E$9:$E$2584,[1]Sheet1!$F$9:$F$2584,"N/A",0)</f>
        <v>154.74</v>
      </c>
      <c r="L2053">
        <f>_xlfn.XLOOKUP($A2053,[1]Sheet1!$H$9:$H$2584,[1]Sheet1!$I$9:$I$2584,"N/A",0)</f>
        <v>63.71</v>
      </c>
      <c r="M2053">
        <f>_xlfn.XLOOKUP($A2053,[1]Sheet1!$K$9:$K$2584,[1]Sheet1!$L$9:$L$2584,"N/A",0)</f>
        <v>140.59</v>
      </c>
      <c r="N2053">
        <f>_xlfn.XLOOKUP($A2053,[1]Sheet1!$N$9:$N$2584,[1]Sheet1!$O$9:$O$2584,"N/A",0)</f>
        <v>124.3</v>
      </c>
      <c r="O2053">
        <v>109.17</v>
      </c>
      <c r="P2053">
        <v>154.74</v>
      </c>
      <c r="Q2053">
        <v>63.71</v>
      </c>
      <c r="R2053">
        <v>124.3</v>
      </c>
      <c r="S2053">
        <v>140.59</v>
      </c>
    </row>
    <row r="2054" spans="1:19">
      <c r="A2054" s="1">
        <v>45349</v>
      </c>
      <c r="B2054" t="s">
        <v>935</v>
      </c>
      <c r="C2054" t="s">
        <v>937</v>
      </c>
      <c r="D2054">
        <v>13.9981</v>
      </c>
      <c r="E2054">
        <v>15.0229</v>
      </c>
      <c r="F2054">
        <v>0.0732099356341217</v>
      </c>
      <c r="G2054">
        <f ca="1" t="shared" si="96"/>
        <v>0.29938176558342</v>
      </c>
      <c r="H2054" t="str">
        <f ca="1" t="shared" si="97"/>
        <v>Risk-On</v>
      </c>
      <c r="I2054">
        <f ca="1" t="shared" si="98"/>
        <v>1</v>
      </c>
      <c r="J2054">
        <f>_xlfn.XLOOKUP($A2054,[1]Sheet1!$B$9:$B$2584,[1]Sheet1!$C$9:$C$2584,"N/A",0)</f>
        <v>108.13</v>
      </c>
      <c r="K2054">
        <f>_xlfn.XLOOKUP($A2054,[1]Sheet1!$E$9:$E$2584,[1]Sheet1!$F$9:$F$2584,"N/A",0)</f>
        <v>154.97</v>
      </c>
      <c r="L2054">
        <f>_xlfn.XLOOKUP($A2054,[1]Sheet1!$H$9:$H$2584,[1]Sheet1!$I$9:$I$2584,"N/A",0)</f>
        <v>63.85</v>
      </c>
      <c r="M2054">
        <f>_xlfn.XLOOKUP($A2054,[1]Sheet1!$K$9:$K$2584,[1]Sheet1!$L$9:$L$2584,"N/A",0)</f>
        <v>141.56</v>
      </c>
      <c r="N2054">
        <f>_xlfn.XLOOKUP($A2054,[1]Sheet1!$N$9:$N$2584,[1]Sheet1!$O$9:$O$2584,"N/A",0)</f>
        <v>123.45</v>
      </c>
      <c r="O2054">
        <v>108.13</v>
      </c>
      <c r="P2054">
        <v>154.97</v>
      </c>
      <c r="Q2054">
        <v>63.85</v>
      </c>
      <c r="R2054">
        <v>123.45</v>
      </c>
      <c r="S2054">
        <v>141.56</v>
      </c>
    </row>
    <row r="2055" spans="1:19">
      <c r="A2055" s="1">
        <v>45350</v>
      </c>
      <c r="B2055" t="s">
        <v>935</v>
      </c>
      <c r="C2055" t="s">
        <v>937</v>
      </c>
      <c r="D2055">
        <v>14.2232</v>
      </c>
      <c r="E2055">
        <v>15.2325</v>
      </c>
      <c r="F2055">
        <v>0.0709615276449743</v>
      </c>
      <c r="G2055">
        <f ca="1" t="shared" si="96"/>
        <v>0.210620815761541</v>
      </c>
      <c r="H2055" t="str">
        <f ca="1" t="shared" si="97"/>
        <v>Risk-On</v>
      </c>
      <c r="I2055">
        <f ca="1" t="shared" si="98"/>
        <v>1</v>
      </c>
      <c r="J2055">
        <f>_xlfn.XLOOKUP($A2055,[1]Sheet1!$B$9:$B$2584,[1]Sheet1!$C$9:$C$2584,"N/A",0)</f>
        <v>108.22</v>
      </c>
      <c r="K2055">
        <f>_xlfn.XLOOKUP($A2055,[1]Sheet1!$E$9:$E$2584,[1]Sheet1!$F$9:$F$2584,"N/A",0)</f>
        <v>155.59</v>
      </c>
      <c r="L2055">
        <f>_xlfn.XLOOKUP($A2055,[1]Sheet1!$H$9:$H$2584,[1]Sheet1!$I$9:$I$2584,"N/A",0)</f>
        <v>63.37</v>
      </c>
      <c r="M2055">
        <f>_xlfn.XLOOKUP($A2055,[1]Sheet1!$K$9:$K$2584,[1]Sheet1!$L$9:$L$2584,"N/A",0)</f>
        <v>142.47</v>
      </c>
      <c r="N2055">
        <f>_xlfn.XLOOKUP($A2055,[1]Sheet1!$N$9:$N$2584,[1]Sheet1!$O$9:$O$2584,"N/A",0)</f>
        <v>123.37</v>
      </c>
      <c r="O2055">
        <v>108.22</v>
      </c>
      <c r="P2055">
        <v>155.59</v>
      </c>
      <c r="Q2055">
        <v>63.37</v>
      </c>
      <c r="R2055">
        <v>123.37</v>
      </c>
      <c r="S2055">
        <v>142.47</v>
      </c>
    </row>
    <row r="2056" spans="1:19">
      <c r="A2056" s="1">
        <v>45351</v>
      </c>
      <c r="B2056" t="s">
        <v>935</v>
      </c>
      <c r="C2056" t="s">
        <v>937</v>
      </c>
      <c r="D2056">
        <v>14.0088</v>
      </c>
      <c r="E2056">
        <v>15.0507</v>
      </c>
      <c r="F2056">
        <v>0.0743746787733424</v>
      </c>
      <c r="G2056">
        <f ca="1" t="shared" si="96"/>
        <v>0.326987228186728</v>
      </c>
      <c r="H2056" t="str">
        <f ca="1" t="shared" si="97"/>
        <v>Risk-Off</v>
      </c>
      <c r="I2056">
        <f ca="1" t="shared" si="98"/>
        <v>1</v>
      </c>
      <c r="J2056">
        <f>_xlfn.XLOOKUP($A2056,[1]Sheet1!$B$9:$B$2584,[1]Sheet1!$C$9:$C$2584,"N/A",0)</f>
        <v>108.3</v>
      </c>
      <c r="K2056">
        <f>_xlfn.XLOOKUP($A2056,[1]Sheet1!$E$9:$E$2584,[1]Sheet1!$F$9:$F$2584,"N/A",0)</f>
        <v>156.23</v>
      </c>
      <c r="L2056">
        <f>_xlfn.XLOOKUP($A2056,[1]Sheet1!$H$9:$H$2584,[1]Sheet1!$I$9:$I$2584,"N/A",0)</f>
        <v>63.58</v>
      </c>
      <c r="M2056">
        <f>_xlfn.XLOOKUP($A2056,[1]Sheet1!$K$9:$K$2584,[1]Sheet1!$L$9:$L$2584,"N/A",0)</f>
        <v>141.8</v>
      </c>
      <c r="N2056">
        <f>_xlfn.XLOOKUP($A2056,[1]Sheet1!$N$9:$N$2584,[1]Sheet1!$O$9:$O$2584,"N/A",0)</f>
        <v>123.77</v>
      </c>
      <c r="O2056">
        <v>108.3</v>
      </c>
      <c r="P2056">
        <v>156.23</v>
      </c>
      <c r="Q2056">
        <v>63.58</v>
      </c>
      <c r="R2056">
        <v>123.77</v>
      </c>
      <c r="S2056">
        <v>141.8</v>
      </c>
    </row>
    <row r="2057" spans="1:19">
      <c r="A2057" s="1">
        <v>45352</v>
      </c>
      <c r="B2057" t="s">
        <v>935</v>
      </c>
      <c r="C2057" t="s">
        <v>937</v>
      </c>
      <c r="D2057">
        <v>14.0481</v>
      </c>
      <c r="E2057">
        <v>15.0964</v>
      </c>
      <c r="F2057">
        <v>0.0746221909012606</v>
      </c>
      <c r="G2057">
        <f ca="1" t="shared" si="96"/>
        <v>0.334735563030208</v>
      </c>
      <c r="H2057" t="str">
        <f ca="1" t="shared" si="97"/>
        <v>Risk-On</v>
      </c>
      <c r="I2057">
        <f ca="1" t="shared" si="98"/>
        <v>1</v>
      </c>
      <c r="J2057">
        <f>_xlfn.XLOOKUP($A2057,[1]Sheet1!$B$9:$B$2584,[1]Sheet1!$C$9:$C$2584,"N/A",0)</f>
        <v>107.28</v>
      </c>
      <c r="K2057">
        <f>_xlfn.XLOOKUP($A2057,[1]Sheet1!$E$9:$E$2584,[1]Sheet1!$F$9:$F$2584,"N/A",0)</f>
        <v>157.52</v>
      </c>
      <c r="L2057">
        <f>_xlfn.XLOOKUP($A2057,[1]Sheet1!$H$9:$H$2584,[1]Sheet1!$I$9:$I$2584,"N/A",0)</f>
        <v>63.87</v>
      </c>
      <c r="M2057">
        <f>_xlfn.XLOOKUP($A2057,[1]Sheet1!$K$9:$K$2584,[1]Sheet1!$L$9:$L$2584,"N/A",0)</f>
        <v>141</v>
      </c>
      <c r="N2057">
        <f>_xlfn.XLOOKUP($A2057,[1]Sheet1!$N$9:$N$2584,[1]Sheet1!$O$9:$O$2584,"N/A",0)</f>
        <v>123.6</v>
      </c>
      <c r="O2057">
        <v>107.28</v>
      </c>
      <c r="P2057">
        <v>157.52</v>
      </c>
      <c r="Q2057">
        <v>63.87</v>
      </c>
      <c r="R2057">
        <v>123.6</v>
      </c>
      <c r="S2057">
        <v>141</v>
      </c>
    </row>
    <row r="2058" spans="1:19">
      <c r="A2058" s="1">
        <v>45355</v>
      </c>
      <c r="B2058" t="s">
        <v>935</v>
      </c>
      <c r="C2058" t="s">
        <v>937</v>
      </c>
      <c r="D2058">
        <v>14.0297</v>
      </c>
      <c r="E2058">
        <v>15.051</v>
      </c>
      <c r="F2058">
        <v>0.0727955693992031</v>
      </c>
      <c r="G2058">
        <f ca="1" t="shared" si="96"/>
        <v>0.26320071549749</v>
      </c>
      <c r="H2058" t="str">
        <f ca="1" t="shared" si="97"/>
        <v>Risk-Off</v>
      </c>
      <c r="I2058">
        <f ca="1" t="shared" si="98"/>
        <v>1</v>
      </c>
      <c r="J2058">
        <f>_xlfn.XLOOKUP($A2058,[1]Sheet1!$B$9:$B$2584,[1]Sheet1!$C$9:$C$2584,"N/A",0)</f>
        <v>106.69</v>
      </c>
      <c r="K2058">
        <f>_xlfn.XLOOKUP($A2058,[1]Sheet1!$E$9:$E$2584,[1]Sheet1!$F$9:$F$2584,"N/A",0)</f>
        <v>159.67</v>
      </c>
      <c r="L2058">
        <f>_xlfn.XLOOKUP($A2058,[1]Sheet1!$H$9:$H$2584,[1]Sheet1!$I$9:$I$2584,"N/A",0)</f>
        <v>64.09</v>
      </c>
      <c r="M2058">
        <f>_xlfn.XLOOKUP($A2058,[1]Sheet1!$K$9:$K$2584,[1]Sheet1!$L$9:$L$2584,"N/A",0)</f>
        <v>141.14</v>
      </c>
      <c r="N2058">
        <f>_xlfn.XLOOKUP($A2058,[1]Sheet1!$N$9:$N$2584,[1]Sheet1!$O$9:$O$2584,"N/A",0)</f>
        <v>123.72</v>
      </c>
      <c r="O2058">
        <v>106.69</v>
      </c>
      <c r="P2058">
        <v>159.67</v>
      </c>
      <c r="Q2058">
        <v>64.09</v>
      </c>
      <c r="R2058">
        <v>123.72</v>
      </c>
      <c r="S2058">
        <v>141.14</v>
      </c>
    </row>
    <row r="2059" spans="1:19">
      <c r="A2059" s="1">
        <v>45356</v>
      </c>
      <c r="B2059" t="s">
        <v>935</v>
      </c>
      <c r="C2059" t="s">
        <v>937</v>
      </c>
      <c r="D2059">
        <v>14.703</v>
      </c>
      <c r="E2059">
        <v>15.6063</v>
      </c>
      <c r="F2059" s="2" t="s">
        <v>940</v>
      </c>
      <c r="G2059">
        <f ca="1" t="shared" si="96"/>
        <v>-0.150665434527043</v>
      </c>
      <c r="H2059" t="str">
        <f ca="1" t="shared" si="97"/>
        <v>Risk-Off</v>
      </c>
      <c r="I2059">
        <f ca="1" t="shared" si="98"/>
        <v>1</v>
      </c>
      <c r="J2059">
        <f>_xlfn.XLOOKUP($A2059,[1]Sheet1!$B$9:$B$2584,[1]Sheet1!$C$9:$C$2584,"N/A",0)</f>
        <v>106.13</v>
      </c>
      <c r="K2059">
        <f>_xlfn.XLOOKUP($A2059,[1]Sheet1!$E$9:$E$2584,[1]Sheet1!$F$9:$F$2584,"N/A",0)</f>
        <v>158.24</v>
      </c>
      <c r="L2059">
        <f>_xlfn.XLOOKUP($A2059,[1]Sheet1!$H$9:$H$2584,[1]Sheet1!$I$9:$I$2584,"N/A",0)</f>
        <v>64.65</v>
      </c>
      <c r="M2059">
        <f>_xlfn.XLOOKUP($A2059,[1]Sheet1!$K$9:$K$2584,[1]Sheet1!$L$9:$L$2584,"N/A",0)</f>
        <v>140.54</v>
      </c>
      <c r="N2059">
        <f>_xlfn.XLOOKUP($A2059,[1]Sheet1!$N$9:$N$2584,[1]Sheet1!$O$9:$O$2584,"N/A",0)</f>
        <v>123.52</v>
      </c>
      <c r="O2059">
        <v>106.13</v>
      </c>
      <c r="P2059">
        <v>158.24</v>
      </c>
      <c r="Q2059">
        <v>64.65</v>
      </c>
      <c r="R2059">
        <v>123.52</v>
      </c>
      <c r="S2059">
        <v>140.54</v>
      </c>
    </row>
    <row r="2060" spans="1:19">
      <c r="A2060" s="1">
        <v>45357</v>
      </c>
      <c r="B2060" t="s">
        <v>935</v>
      </c>
      <c r="C2060" t="s">
        <v>937</v>
      </c>
      <c r="D2060">
        <v>14.7897</v>
      </c>
      <c r="E2060">
        <v>15.6097</v>
      </c>
      <c r="F2060" s="2" t="s">
        <v>941</v>
      </c>
      <c r="G2060">
        <f ca="1" t="shared" si="96"/>
        <v>-0.366108636456202</v>
      </c>
      <c r="H2060" t="str">
        <f ca="1" t="shared" si="97"/>
        <v>Risk-Off</v>
      </c>
      <c r="I2060">
        <f ca="1" t="shared" si="98"/>
        <v>1</v>
      </c>
      <c r="J2060">
        <f>_xlfn.XLOOKUP($A2060,[1]Sheet1!$B$9:$B$2584,[1]Sheet1!$C$9:$C$2584,"N/A",0)</f>
        <v>106.18</v>
      </c>
      <c r="K2060">
        <f>_xlfn.XLOOKUP($A2060,[1]Sheet1!$E$9:$E$2584,[1]Sheet1!$F$9:$F$2584,"N/A",0)</f>
        <v>158.44</v>
      </c>
      <c r="L2060">
        <f>_xlfn.XLOOKUP($A2060,[1]Sheet1!$H$9:$H$2584,[1]Sheet1!$I$9:$I$2584,"N/A",0)</f>
        <v>64.92</v>
      </c>
      <c r="M2060">
        <f>_xlfn.XLOOKUP($A2060,[1]Sheet1!$K$9:$K$2584,[1]Sheet1!$L$9:$L$2584,"N/A",0)</f>
        <v>140.73</v>
      </c>
      <c r="N2060">
        <f>_xlfn.XLOOKUP($A2060,[1]Sheet1!$N$9:$N$2584,[1]Sheet1!$O$9:$O$2584,"N/A",0)</f>
        <v>123.73</v>
      </c>
      <c r="O2060">
        <v>106.18</v>
      </c>
      <c r="P2060">
        <v>158.44</v>
      </c>
      <c r="Q2060">
        <v>64.92</v>
      </c>
      <c r="R2060">
        <v>123.73</v>
      </c>
      <c r="S2060">
        <v>140.73</v>
      </c>
    </row>
    <row r="2061" spans="1:19">
      <c r="A2061" s="1">
        <v>45358</v>
      </c>
      <c r="B2061" t="s">
        <v>935</v>
      </c>
      <c r="C2061" t="s">
        <v>937</v>
      </c>
      <c r="D2061">
        <v>14.6174</v>
      </c>
      <c r="E2061">
        <v>15.6174</v>
      </c>
      <c r="F2061">
        <v>0.0684116190293759</v>
      </c>
      <c r="G2061">
        <f ca="1" t="shared" si="96"/>
        <v>0.0977942163136292</v>
      </c>
      <c r="H2061" t="str">
        <f ca="1" t="shared" si="97"/>
        <v>Risk-Off</v>
      </c>
      <c r="I2061">
        <f ca="1" t="shared" si="98"/>
        <v>1</v>
      </c>
      <c r="J2061">
        <f>_xlfn.XLOOKUP($A2061,[1]Sheet1!$B$9:$B$2584,[1]Sheet1!$C$9:$C$2584,"N/A",0)</f>
        <v>106.06</v>
      </c>
      <c r="K2061">
        <f>_xlfn.XLOOKUP($A2061,[1]Sheet1!$E$9:$E$2584,[1]Sheet1!$F$9:$F$2584,"N/A",0)</f>
        <v>159.35</v>
      </c>
      <c r="L2061">
        <f>_xlfn.XLOOKUP($A2061,[1]Sheet1!$H$9:$H$2584,[1]Sheet1!$I$9:$I$2584,"N/A",0)</f>
        <v>65.03</v>
      </c>
      <c r="M2061">
        <f>_xlfn.XLOOKUP($A2061,[1]Sheet1!$K$9:$K$2584,[1]Sheet1!$L$9:$L$2584,"N/A",0)</f>
        <v>140.68</v>
      </c>
      <c r="N2061">
        <f>_xlfn.XLOOKUP($A2061,[1]Sheet1!$N$9:$N$2584,[1]Sheet1!$O$9:$O$2584,"N/A",0)</f>
        <v>124.3</v>
      </c>
      <c r="O2061">
        <v>106.06</v>
      </c>
      <c r="P2061">
        <v>159.35</v>
      </c>
      <c r="Q2061">
        <v>65.03</v>
      </c>
      <c r="R2061">
        <v>124.3</v>
      </c>
      <c r="S2061">
        <v>140.68</v>
      </c>
    </row>
    <row r="2062" spans="1:19">
      <c r="A2062" s="1">
        <v>45359</v>
      </c>
      <c r="B2062" t="s">
        <v>935</v>
      </c>
      <c r="C2062" t="s">
        <v>937</v>
      </c>
      <c r="D2062">
        <v>15.0773</v>
      </c>
      <c r="E2062">
        <v>15.9453</v>
      </c>
      <c r="F2062" s="2" t="s">
        <v>942</v>
      </c>
      <c r="G2062">
        <f ca="1" t="shared" si="96"/>
        <v>-0.294049749947457</v>
      </c>
      <c r="H2062" t="str">
        <f ca="1" t="shared" si="97"/>
        <v>Risk-Off</v>
      </c>
      <c r="I2062">
        <f ca="1" t="shared" si="98"/>
        <v>1</v>
      </c>
      <c r="J2062">
        <f>_xlfn.XLOOKUP($A2062,[1]Sheet1!$B$9:$B$2584,[1]Sheet1!$C$9:$C$2584,"N/A",0)</f>
        <v>105.95</v>
      </c>
      <c r="K2062">
        <f>_xlfn.XLOOKUP($A2062,[1]Sheet1!$E$9:$E$2584,[1]Sheet1!$F$9:$F$2584,"N/A",0)</f>
        <v>157.19</v>
      </c>
      <c r="L2062">
        <f>_xlfn.XLOOKUP($A2062,[1]Sheet1!$H$9:$H$2584,[1]Sheet1!$I$9:$I$2584,"N/A",0)</f>
        <v>64.96</v>
      </c>
      <c r="M2062">
        <f>_xlfn.XLOOKUP($A2062,[1]Sheet1!$K$9:$K$2584,[1]Sheet1!$L$9:$L$2584,"N/A",0)</f>
        <v>140.05</v>
      </c>
      <c r="N2062">
        <f>_xlfn.XLOOKUP($A2062,[1]Sheet1!$N$9:$N$2584,[1]Sheet1!$O$9:$O$2584,"N/A",0)</f>
        <v>124.06</v>
      </c>
      <c r="O2062">
        <v>105.95</v>
      </c>
      <c r="P2062">
        <v>157.19</v>
      </c>
      <c r="Q2062">
        <v>64.96</v>
      </c>
      <c r="R2062">
        <v>124.06</v>
      </c>
      <c r="S2062">
        <v>140.05</v>
      </c>
    </row>
    <row r="2063" spans="1:19">
      <c r="A2063" s="1">
        <v>45362</v>
      </c>
      <c r="B2063" t="s">
        <v>935</v>
      </c>
      <c r="C2063" t="s">
        <v>937</v>
      </c>
      <c r="D2063">
        <v>14.8956</v>
      </c>
      <c r="E2063">
        <v>15.8192</v>
      </c>
      <c r="F2063">
        <v>0.0620048873492843</v>
      </c>
      <c r="G2063">
        <f ca="1" t="shared" si="96"/>
        <v>-0.136277631671125</v>
      </c>
      <c r="H2063" t="str">
        <f ca="1" t="shared" si="97"/>
        <v>Risk-Off</v>
      </c>
      <c r="I2063">
        <f ca="1" t="shared" si="98"/>
        <v>1</v>
      </c>
      <c r="J2063">
        <f>_xlfn.XLOOKUP($A2063,[1]Sheet1!$B$9:$B$2584,[1]Sheet1!$C$9:$C$2584,"N/A",0)</f>
        <v>106.01</v>
      </c>
      <c r="K2063">
        <f>_xlfn.XLOOKUP($A2063,[1]Sheet1!$E$9:$E$2584,[1]Sheet1!$F$9:$F$2584,"N/A",0)</f>
        <v>153.88</v>
      </c>
      <c r="L2063">
        <f>_xlfn.XLOOKUP($A2063,[1]Sheet1!$H$9:$H$2584,[1]Sheet1!$I$9:$I$2584,"N/A",0)</f>
        <v>64.96</v>
      </c>
      <c r="M2063">
        <f>_xlfn.XLOOKUP($A2063,[1]Sheet1!$K$9:$K$2584,[1]Sheet1!$L$9:$L$2584,"N/A",0)</f>
        <v>139.41</v>
      </c>
      <c r="N2063">
        <f>_xlfn.XLOOKUP($A2063,[1]Sheet1!$N$9:$N$2584,[1]Sheet1!$O$9:$O$2584,"N/A",0)</f>
        <v>124.78</v>
      </c>
      <c r="O2063">
        <v>106.01</v>
      </c>
      <c r="P2063">
        <v>153.88</v>
      </c>
      <c r="Q2063">
        <v>64.96</v>
      </c>
      <c r="R2063">
        <v>124.78</v>
      </c>
      <c r="S2063">
        <v>139.41</v>
      </c>
    </row>
    <row r="2064" spans="1:19">
      <c r="A2064" s="1">
        <v>45363</v>
      </c>
      <c r="B2064" t="s">
        <v>935</v>
      </c>
      <c r="C2064" t="s">
        <v>937</v>
      </c>
      <c r="D2064">
        <v>13.9606</v>
      </c>
      <c r="E2064">
        <v>15.1004</v>
      </c>
      <c r="F2064">
        <v>0.0816440554130912</v>
      </c>
      <c r="G2064">
        <f ca="1" t="shared" si="96"/>
        <v>0.567732777477985</v>
      </c>
      <c r="H2064" t="str">
        <f ca="1" t="shared" si="97"/>
        <v>Risk-Off</v>
      </c>
      <c r="I2064">
        <f ca="1" t="shared" si="98"/>
        <v>1</v>
      </c>
      <c r="J2064">
        <f>_xlfn.XLOOKUP($A2064,[1]Sheet1!$B$9:$B$2584,[1]Sheet1!$C$9:$C$2584,"N/A",0)</f>
        <v>106.22</v>
      </c>
      <c r="K2064">
        <f>_xlfn.XLOOKUP($A2064,[1]Sheet1!$E$9:$E$2584,[1]Sheet1!$F$9:$F$2584,"N/A",0)</f>
        <v>157.47</v>
      </c>
      <c r="L2064">
        <f>_xlfn.XLOOKUP($A2064,[1]Sheet1!$H$9:$H$2584,[1]Sheet1!$I$9:$I$2584,"N/A",0)</f>
        <v>64.91</v>
      </c>
      <c r="M2064">
        <f>_xlfn.XLOOKUP($A2064,[1]Sheet1!$K$9:$K$2584,[1]Sheet1!$L$9:$L$2584,"N/A",0)</f>
        <v>140.56</v>
      </c>
      <c r="N2064">
        <f>_xlfn.XLOOKUP($A2064,[1]Sheet1!$N$9:$N$2584,[1]Sheet1!$O$9:$O$2584,"N/A",0)</f>
        <v>125.37</v>
      </c>
      <c r="O2064">
        <v>106.22</v>
      </c>
      <c r="P2064">
        <v>157.47</v>
      </c>
      <c r="Q2064">
        <v>64.91</v>
      </c>
      <c r="R2064">
        <v>125.37</v>
      </c>
      <c r="S2064">
        <v>140.56</v>
      </c>
    </row>
    <row r="2065" spans="1:19">
      <c r="A2065" s="1">
        <v>45364</v>
      </c>
      <c r="B2065" t="s">
        <v>935</v>
      </c>
      <c r="C2065" t="s">
        <v>937</v>
      </c>
      <c r="D2065">
        <v>13.7973</v>
      </c>
      <c r="E2065">
        <v>15.0363</v>
      </c>
      <c r="F2065">
        <v>0.0898001782957535</v>
      </c>
      <c r="G2065">
        <f ca="1" t="shared" si="96"/>
        <v>0.85815444056306</v>
      </c>
      <c r="H2065" t="str">
        <f ca="1" t="shared" si="97"/>
        <v>Risk-Off</v>
      </c>
      <c r="I2065">
        <f ca="1" t="shared" si="98"/>
        <v>1</v>
      </c>
      <c r="J2065">
        <f>_xlfn.XLOOKUP($A2065,[1]Sheet1!$B$9:$B$2584,[1]Sheet1!$C$9:$C$2584,"N/A",0)</f>
        <v>106.12</v>
      </c>
      <c r="K2065">
        <f>_xlfn.XLOOKUP($A2065,[1]Sheet1!$E$9:$E$2584,[1]Sheet1!$F$9:$F$2584,"N/A",0)</f>
        <v>157.26</v>
      </c>
      <c r="L2065">
        <f>_xlfn.XLOOKUP($A2065,[1]Sheet1!$H$9:$H$2584,[1]Sheet1!$I$9:$I$2584,"N/A",0)</f>
        <v>65.38</v>
      </c>
      <c r="M2065">
        <f>_xlfn.XLOOKUP($A2065,[1]Sheet1!$K$9:$K$2584,[1]Sheet1!$L$9:$L$2584,"N/A",0)</f>
        <v>140.91</v>
      </c>
      <c r="N2065">
        <f>_xlfn.XLOOKUP($A2065,[1]Sheet1!$N$9:$N$2584,[1]Sheet1!$O$9:$O$2584,"N/A",0)</f>
        <v>125.39</v>
      </c>
      <c r="O2065">
        <v>106.12</v>
      </c>
      <c r="P2065">
        <v>157.26</v>
      </c>
      <c r="Q2065">
        <v>65.38</v>
      </c>
      <c r="R2065">
        <v>125.39</v>
      </c>
      <c r="S2065">
        <v>140.91</v>
      </c>
    </row>
    <row r="2066" spans="1:19">
      <c r="A2066" s="1">
        <v>45365</v>
      </c>
      <c r="B2066" t="s">
        <v>935</v>
      </c>
      <c r="C2066" t="s">
        <v>937</v>
      </c>
      <c r="D2066">
        <v>14.342</v>
      </c>
      <c r="E2066">
        <v>15.4042</v>
      </c>
      <c r="F2066">
        <v>0.0740621949518894</v>
      </c>
      <c r="G2066">
        <f ca="1" t="shared" si="96"/>
        <v>0.277297894954753</v>
      </c>
      <c r="H2066" t="str">
        <f ca="1" t="shared" si="97"/>
        <v>Risk-Off</v>
      </c>
      <c r="I2066">
        <f ca="1" t="shared" si="98"/>
        <v>1</v>
      </c>
      <c r="J2066">
        <f>_xlfn.XLOOKUP($A2066,[1]Sheet1!$B$9:$B$2584,[1]Sheet1!$C$9:$C$2584,"N/A",0)</f>
        <v>106.36</v>
      </c>
      <c r="K2066">
        <f>_xlfn.XLOOKUP($A2066,[1]Sheet1!$E$9:$E$2584,[1]Sheet1!$F$9:$F$2584,"N/A",0)</f>
        <v>158.39</v>
      </c>
      <c r="L2066">
        <f>_xlfn.XLOOKUP($A2066,[1]Sheet1!$H$9:$H$2584,[1]Sheet1!$I$9:$I$2584,"N/A",0)</f>
        <v>64.96</v>
      </c>
      <c r="M2066">
        <f>_xlfn.XLOOKUP($A2066,[1]Sheet1!$K$9:$K$2584,[1]Sheet1!$L$9:$L$2584,"N/A",0)</f>
        <v>141.48</v>
      </c>
      <c r="N2066">
        <f>_xlfn.XLOOKUP($A2066,[1]Sheet1!$N$9:$N$2584,[1]Sheet1!$O$9:$O$2584,"N/A",0)</f>
        <v>126.25</v>
      </c>
      <c r="O2066">
        <v>106.36</v>
      </c>
      <c r="P2066">
        <v>158.39</v>
      </c>
      <c r="Q2066">
        <v>64.96</v>
      </c>
      <c r="R2066">
        <v>126.25</v>
      </c>
      <c r="S2066">
        <v>141.48</v>
      </c>
    </row>
    <row r="2067" spans="1:19">
      <c r="A2067" s="1">
        <v>45366</v>
      </c>
      <c r="B2067" t="s">
        <v>935</v>
      </c>
      <c r="C2067" t="s">
        <v>937</v>
      </c>
      <c r="D2067">
        <v>14.5984</v>
      </c>
      <c r="E2067">
        <v>15.6778</v>
      </c>
      <c r="F2067">
        <v>0.0739396098202542</v>
      </c>
      <c r="G2067">
        <f ca="1" t="shared" si="96"/>
        <v>0.261237894354481</v>
      </c>
      <c r="H2067" t="str">
        <f ca="1" t="shared" si="97"/>
        <v>Risk-Off</v>
      </c>
      <c r="I2067">
        <f ca="1" t="shared" si="98"/>
        <v>1</v>
      </c>
      <c r="J2067">
        <f>_xlfn.XLOOKUP($A2067,[1]Sheet1!$B$9:$B$2584,[1]Sheet1!$C$9:$C$2584,"N/A",0)</f>
        <v>105.54</v>
      </c>
      <c r="K2067">
        <f>_xlfn.XLOOKUP($A2067,[1]Sheet1!$E$9:$E$2584,[1]Sheet1!$F$9:$F$2584,"N/A",0)</f>
        <v>157.01</v>
      </c>
      <c r="L2067">
        <f>_xlfn.XLOOKUP($A2067,[1]Sheet1!$H$9:$H$2584,[1]Sheet1!$I$9:$I$2584,"N/A",0)</f>
        <v>65.2</v>
      </c>
      <c r="M2067">
        <f>_xlfn.XLOOKUP($A2067,[1]Sheet1!$K$9:$K$2584,[1]Sheet1!$L$9:$L$2584,"N/A",0)</f>
        <v>141.27</v>
      </c>
      <c r="N2067">
        <f>_xlfn.XLOOKUP($A2067,[1]Sheet1!$N$9:$N$2584,[1]Sheet1!$O$9:$O$2584,"N/A",0)</f>
        <v>125.73</v>
      </c>
      <c r="O2067">
        <v>105.54</v>
      </c>
      <c r="P2067">
        <v>157.01</v>
      </c>
      <c r="Q2067">
        <v>65.2</v>
      </c>
      <c r="R2067">
        <v>125.73</v>
      </c>
      <c r="S2067">
        <v>141.27</v>
      </c>
    </row>
    <row r="2068" spans="1:19">
      <c r="A2068" s="1">
        <v>45369</v>
      </c>
      <c r="B2068" t="s">
        <v>935</v>
      </c>
      <c r="C2068" t="s">
        <v>937</v>
      </c>
      <c r="D2068">
        <v>14.3579</v>
      </c>
      <c r="E2068">
        <v>15.3308</v>
      </c>
      <c r="F2068">
        <v>0.0677606056596019</v>
      </c>
      <c r="G2068">
        <f ca="1" t="shared" si="96"/>
        <v>0.0165322244462031</v>
      </c>
      <c r="H2068" t="str">
        <f ca="1" t="shared" si="97"/>
        <v>Risk-Off</v>
      </c>
      <c r="I2068">
        <f ca="1" t="shared" si="98"/>
        <v>1</v>
      </c>
      <c r="J2068">
        <f>_xlfn.XLOOKUP($A2068,[1]Sheet1!$B$9:$B$2584,[1]Sheet1!$C$9:$C$2584,"N/A",0)</f>
        <v>106.1</v>
      </c>
      <c r="K2068">
        <f>_xlfn.XLOOKUP($A2068,[1]Sheet1!$E$9:$E$2584,[1]Sheet1!$F$9:$F$2584,"N/A",0)</f>
        <v>157.4</v>
      </c>
      <c r="L2068">
        <f>_xlfn.XLOOKUP($A2068,[1]Sheet1!$H$9:$H$2584,[1]Sheet1!$I$9:$I$2584,"N/A",0)</f>
        <v>65.15</v>
      </c>
      <c r="M2068">
        <f>_xlfn.XLOOKUP($A2068,[1]Sheet1!$K$9:$K$2584,[1]Sheet1!$L$9:$L$2584,"N/A",0)</f>
        <v>141.26</v>
      </c>
      <c r="N2068">
        <f>_xlfn.XLOOKUP($A2068,[1]Sheet1!$N$9:$N$2584,[1]Sheet1!$O$9:$O$2584,"N/A",0)</f>
        <v>126.75</v>
      </c>
      <c r="O2068">
        <v>106.1</v>
      </c>
      <c r="P2068">
        <v>157.4</v>
      </c>
      <c r="Q2068">
        <v>65.15</v>
      </c>
      <c r="R2068">
        <v>126.75</v>
      </c>
      <c r="S2068">
        <v>141.26</v>
      </c>
    </row>
    <row r="2069" spans="1:19">
      <c r="A2069" s="1">
        <v>45370</v>
      </c>
      <c r="B2069" t="s">
        <v>935</v>
      </c>
      <c r="C2069" t="s">
        <v>937</v>
      </c>
      <c r="D2069">
        <v>13.9448</v>
      </c>
      <c r="E2069">
        <v>14.9214</v>
      </c>
      <c r="F2069">
        <v>0.0700332740519763</v>
      </c>
      <c r="G2069">
        <f ca="1" t="shared" si="96"/>
        <v>0.0919935349357663</v>
      </c>
      <c r="H2069" t="str">
        <f ca="1" t="shared" si="97"/>
        <v>Risk-Off</v>
      </c>
      <c r="I2069">
        <f ca="1" t="shared" si="98"/>
        <v>1</v>
      </c>
      <c r="J2069">
        <f>_xlfn.XLOOKUP($A2069,[1]Sheet1!$B$9:$B$2584,[1]Sheet1!$C$9:$C$2584,"N/A",0)</f>
        <v>106.17</v>
      </c>
      <c r="K2069">
        <f>_xlfn.XLOOKUP($A2069,[1]Sheet1!$E$9:$E$2584,[1]Sheet1!$F$9:$F$2584,"N/A",0)</f>
        <v>157.46</v>
      </c>
      <c r="L2069">
        <f>_xlfn.XLOOKUP($A2069,[1]Sheet1!$H$9:$H$2584,[1]Sheet1!$I$9:$I$2584,"N/A",0)</f>
        <v>64.82</v>
      </c>
      <c r="M2069">
        <f>_xlfn.XLOOKUP($A2069,[1]Sheet1!$K$9:$K$2584,[1]Sheet1!$L$9:$L$2584,"N/A",0)</f>
        <v>141.62</v>
      </c>
      <c r="N2069">
        <f>_xlfn.XLOOKUP($A2069,[1]Sheet1!$N$9:$N$2584,[1]Sheet1!$O$9:$O$2584,"N/A",0)</f>
        <v>126.32</v>
      </c>
      <c r="O2069">
        <v>106.17</v>
      </c>
      <c r="P2069">
        <v>157.46</v>
      </c>
      <c r="Q2069">
        <v>64.82</v>
      </c>
      <c r="R2069">
        <v>126.32</v>
      </c>
      <c r="S2069">
        <v>141.62</v>
      </c>
    </row>
    <row r="2070" spans="1:19">
      <c r="A2070" s="1">
        <v>45371</v>
      </c>
      <c r="B2070" t="s">
        <v>935</v>
      </c>
      <c r="C2070" t="s">
        <v>937</v>
      </c>
      <c r="D2070">
        <v>14.17</v>
      </c>
      <c r="E2070">
        <v>14.5645</v>
      </c>
      <c r="F2070" s="2" t="s">
        <v>943</v>
      </c>
      <c r="G2070">
        <f ca="1" t="shared" si="96"/>
        <v>-1.51383916185114</v>
      </c>
      <c r="H2070" t="str">
        <f ca="1" t="shared" si="97"/>
        <v>Risk-On</v>
      </c>
      <c r="I2070">
        <f ca="1" t="shared" si="98"/>
        <v>1</v>
      </c>
      <c r="J2070">
        <f>_xlfn.XLOOKUP($A2070,[1]Sheet1!$B$9:$B$2584,[1]Sheet1!$C$9:$C$2584,"N/A",0)</f>
        <v>105.76</v>
      </c>
      <c r="K2070">
        <f>_xlfn.XLOOKUP($A2070,[1]Sheet1!$E$9:$E$2584,[1]Sheet1!$F$9:$F$2584,"N/A",0)</f>
        <v>158.13</v>
      </c>
      <c r="L2070">
        <f>_xlfn.XLOOKUP($A2070,[1]Sheet1!$H$9:$H$2584,[1]Sheet1!$I$9:$I$2584,"N/A",0)</f>
        <v>65.33</v>
      </c>
      <c r="M2070">
        <f>_xlfn.XLOOKUP($A2070,[1]Sheet1!$K$9:$K$2584,[1]Sheet1!$L$9:$L$2584,"N/A",0)</f>
        <v>141.9</v>
      </c>
      <c r="N2070">
        <f>_xlfn.XLOOKUP($A2070,[1]Sheet1!$N$9:$N$2584,[1]Sheet1!$O$9:$O$2584,"N/A",0)</f>
        <v>126.44</v>
      </c>
      <c r="O2070">
        <v>105.76</v>
      </c>
      <c r="P2070">
        <v>158.13</v>
      </c>
      <c r="Q2070">
        <v>65.33</v>
      </c>
      <c r="R2070">
        <v>126.44</v>
      </c>
      <c r="S2070">
        <v>141.9</v>
      </c>
    </row>
    <row r="2071" spans="1:19">
      <c r="A2071" s="1">
        <v>45372</v>
      </c>
      <c r="B2071" t="s">
        <v>937</v>
      </c>
      <c r="C2071" t="s">
        <v>944</v>
      </c>
      <c r="D2071">
        <v>14.4567</v>
      </c>
      <c r="E2071">
        <v>15.5371</v>
      </c>
      <c r="F2071">
        <v>0.0747335145641813</v>
      </c>
      <c r="G2071">
        <f ca="1" t="shared" si="96"/>
        <v>0.262534637351553</v>
      </c>
      <c r="H2071" t="str">
        <f ca="1" t="shared" si="97"/>
        <v>Risk-On</v>
      </c>
      <c r="I2071">
        <f ca="1" t="shared" si="98"/>
        <v>1</v>
      </c>
      <c r="J2071">
        <f>_xlfn.XLOOKUP($A2071,[1]Sheet1!$B$9:$B$2584,[1]Sheet1!$C$9:$C$2584,"N/A",0)</f>
        <v>105.4</v>
      </c>
      <c r="K2071">
        <f>_xlfn.XLOOKUP($A2071,[1]Sheet1!$E$9:$E$2584,[1]Sheet1!$F$9:$F$2584,"N/A",0)</f>
        <v>158.99</v>
      </c>
      <c r="L2071">
        <f>_xlfn.XLOOKUP($A2071,[1]Sheet1!$H$9:$H$2584,[1]Sheet1!$I$9:$I$2584,"N/A",0)</f>
        <v>65.61</v>
      </c>
      <c r="M2071">
        <f>_xlfn.XLOOKUP($A2071,[1]Sheet1!$K$9:$K$2584,[1]Sheet1!$L$9:$L$2584,"N/A",0)</f>
        <v>141.83</v>
      </c>
      <c r="N2071">
        <f>_xlfn.XLOOKUP($A2071,[1]Sheet1!$N$9:$N$2584,[1]Sheet1!$O$9:$O$2584,"N/A",0)</f>
        <v>126.23</v>
      </c>
      <c r="O2071">
        <v>105.4</v>
      </c>
      <c r="P2071">
        <v>158.99</v>
      </c>
      <c r="Q2071">
        <v>65.61</v>
      </c>
      <c r="R2071">
        <v>126.23</v>
      </c>
      <c r="S2071">
        <v>141.83</v>
      </c>
    </row>
    <row r="2072" spans="1:19">
      <c r="A2072" s="1">
        <v>45373</v>
      </c>
      <c r="B2072" t="s">
        <v>937</v>
      </c>
      <c r="C2072" t="s">
        <v>944</v>
      </c>
      <c r="D2072">
        <v>14.4814</v>
      </c>
      <c r="E2072">
        <v>15.5795</v>
      </c>
      <c r="F2072">
        <v>0.0758283038932699</v>
      </c>
      <c r="G2072">
        <f ca="1" t="shared" si="96"/>
        <v>0.299540554354165</v>
      </c>
      <c r="H2072" t="str">
        <f ca="1" t="shared" si="97"/>
        <v>Risk-On</v>
      </c>
      <c r="I2072">
        <f ca="1" t="shared" si="98"/>
        <v>1</v>
      </c>
      <c r="J2072">
        <f>_xlfn.XLOOKUP($A2072,[1]Sheet1!$B$9:$B$2584,[1]Sheet1!$C$9:$C$2584,"N/A",0)</f>
        <v>105.85</v>
      </c>
      <c r="K2072">
        <f>_xlfn.XLOOKUP($A2072,[1]Sheet1!$E$9:$E$2584,[1]Sheet1!$F$9:$F$2584,"N/A",0)</f>
        <v>159.51</v>
      </c>
      <c r="L2072">
        <f>_xlfn.XLOOKUP($A2072,[1]Sheet1!$H$9:$H$2584,[1]Sheet1!$I$9:$I$2584,"N/A",0)</f>
        <v>65.61</v>
      </c>
      <c r="M2072">
        <f>_xlfn.XLOOKUP($A2072,[1]Sheet1!$K$9:$K$2584,[1]Sheet1!$L$9:$L$2584,"N/A",0)</f>
        <v>141.33</v>
      </c>
      <c r="N2072">
        <f>_xlfn.XLOOKUP($A2072,[1]Sheet1!$N$9:$N$2584,[1]Sheet1!$O$9:$O$2584,"N/A",0)</f>
        <v>126.52</v>
      </c>
      <c r="O2072">
        <v>105.85</v>
      </c>
      <c r="P2072">
        <v>159.51</v>
      </c>
      <c r="Q2072">
        <v>65.61</v>
      </c>
      <c r="R2072">
        <v>126.52</v>
      </c>
      <c r="S2072">
        <v>141.33</v>
      </c>
    </row>
    <row r="2073" spans="1:19">
      <c r="A2073" s="1">
        <v>45376</v>
      </c>
      <c r="B2073" t="s">
        <v>937</v>
      </c>
      <c r="C2073" t="s">
        <v>944</v>
      </c>
      <c r="D2073">
        <v>14.4005</v>
      </c>
      <c r="E2073">
        <v>15.4969</v>
      </c>
      <c r="F2073">
        <v>0.0761362452692615</v>
      </c>
      <c r="G2073">
        <f ca="1" t="shared" si="96"/>
        <v>0.31029104638274</v>
      </c>
      <c r="H2073" t="str">
        <f ca="1" t="shared" si="97"/>
        <v>Risk-On</v>
      </c>
      <c r="I2073">
        <f ca="1" t="shared" si="98"/>
        <v>1</v>
      </c>
      <c r="J2073">
        <f>_xlfn.XLOOKUP($A2073,[1]Sheet1!$B$9:$B$2584,[1]Sheet1!$C$9:$C$2584,"N/A",0)</f>
        <v>105.89</v>
      </c>
      <c r="K2073">
        <f>_xlfn.XLOOKUP($A2073,[1]Sheet1!$E$9:$E$2584,[1]Sheet1!$F$9:$F$2584,"N/A",0)</f>
        <v>159.46</v>
      </c>
      <c r="L2073">
        <f>_xlfn.XLOOKUP($A2073,[1]Sheet1!$H$9:$H$2584,[1]Sheet1!$I$9:$I$2584,"N/A",0)</f>
        <v>65.7</v>
      </c>
      <c r="M2073">
        <f>_xlfn.XLOOKUP($A2073,[1]Sheet1!$K$9:$K$2584,[1]Sheet1!$L$9:$L$2584,"N/A",0)</f>
        <v>141.27</v>
      </c>
      <c r="N2073">
        <f>_xlfn.XLOOKUP($A2073,[1]Sheet1!$N$9:$N$2584,[1]Sheet1!$O$9:$O$2584,"N/A",0)</f>
        <v>126.82</v>
      </c>
      <c r="O2073">
        <v>105.89</v>
      </c>
      <c r="P2073">
        <v>159.46</v>
      </c>
      <c r="Q2073">
        <v>65.7</v>
      </c>
      <c r="R2073">
        <v>126.82</v>
      </c>
      <c r="S2073">
        <v>141.27</v>
      </c>
    </row>
    <row r="2074" spans="1:19">
      <c r="A2074" s="1">
        <v>45377</v>
      </c>
      <c r="B2074" t="s">
        <v>937</v>
      </c>
      <c r="C2074" t="s">
        <v>944</v>
      </c>
      <c r="D2074">
        <v>14.3463</v>
      </c>
      <c r="E2074">
        <v>15.3954</v>
      </c>
      <c r="F2074">
        <v>0.0731268689487882</v>
      </c>
      <c r="G2074">
        <f ca="1" t="shared" si="96"/>
        <v>0.193636005641988</v>
      </c>
      <c r="H2074" t="str">
        <f ca="1" t="shared" si="97"/>
        <v>Risk-On</v>
      </c>
      <c r="I2074">
        <f ca="1" t="shared" si="98"/>
        <v>1</v>
      </c>
      <c r="J2074">
        <f>_xlfn.XLOOKUP($A2074,[1]Sheet1!$B$9:$B$2584,[1]Sheet1!$C$9:$C$2584,"N/A",0)</f>
        <v>105.82</v>
      </c>
      <c r="K2074">
        <f>_xlfn.XLOOKUP($A2074,[1]Sheet1!$E$9:$E$2584,[1]Sheet1!$F$9:$F$2584,"N/A",0)</f>
        <v>160.33</v>
      </c>
      <c r="L2074">
        <f>_xlfn.XLOOKUP($A2074,[1]Sheet1!$H$9:$H$2584,[1]Sheet1!$I$9:$I$2584,"N/A",0)</f>
        <v>65.57</v>
      </c>
      <c r="M2074">
        <f>_xlfn.XLOOKUP($A2074,[1]Sheet1!$K$9:$K$2584,[1]Sheet1!$L$9:$L$2584,"N/A",0)</f>
        <v>140.95</v>
      </c>
      <c r="N2074">
        <f>_xlfn.XLOOKUP($A2074,[1]Sheet1!$N$9:$N$2584,[1]Sheet1!$O$9:$O$2584,"N/A",0)</f>
        <v>126.57</v>
      </c>
      <c r="O2074">
        <v>105.82</v>
      </c>
      <c r="P2074">
        <v>160.33</v>
      </c>
      <c r="Q2074">
        <v>65.57</v>
      </c>
      <c r="R2074">
        <v>126.57</v>
      </c>
      <c r="S2074">
        <v>140.95</v>
      </c>
    </row>
    <row r="2075" spans="1:19">
      <c r="A2075" s="1">
        <v>45378</v>
      </c>
      <c r="B2075" t="s">
        <v>937</v>
      </c>
      <c r="C2075" t="s">
        <v>944</v>
      </c>
      <c r="D2075">
        <v>14.0661</v>
      </c>
      <c r="E2075">
        <v>15.1988</v>
      </c>
      <c r="F2075">
        <v>0.0805269406587469</v>
      </c>
      <c r="G2075">
        <f ca="1" t="shared" si="96"/>
        <v>0.470622402503627</v>
      </c>
      <c r="H2075" t="str">
        <f ca="1" t="shared" si="97"/>
        <v>Risk-On</v>
      </c>
      <c r="I2075">
        <f ca="1" t="shared" si="98"/>
        <v>1</v>
      </c>
      <c r="J2075">
        <f>_xlfn.XLOOKUP($A2075,[1]Sheet1!$B$9:$B$2584,[1]Sheet1!$C$9:$C$2584,"N/A",0)</f>
        <v>105.31</v>
      </c>
      <c r="K2075">
        <f>_xlfn.XLOOKUP($A2075,[1]Sheet1!$E$9:$E$2584,[1]Sheet1!$F$9:$F$2584,"N/A",0)</f>
        <v>156.35</v>
      </c>
      <c r="L2075">
        <f>_xlfn.XLOOKUP($A2075,[1]Sheet1!$H$9:$H$2584,[1]Sheet1!$I$9:$I$2584,"N/A",0)</f>
        <v>65.69</v>
      </c>
      <c r="M2075">
        <f>_xlfn.XLOOKUP($A2075,[1]Sheet1!$K$9:$K$2584,[1]Sheet1!$L$9:$L$2584,"N/A",0)</f>
        <v>139.79</v>
      </c>
      <c r="N2075">
        <f>_xlfn.XLOOKUP($A2075,[1]Sheet1!$N$9:$N$2584,[1]Sheet1!$O$9:$O$2584,"N/A",0)</f>
        <v>125.69</v>
      </c>
      <c r="O2075">
        <v>105.31</v>
      </c>
      <c r="P2075">
        <v>156.35</v>
      </c>
      <c r="Q2075">
        <v>65.69</v>
      </c>
      <c r="R2075">
        <v>125.69</v>
      </c>
      <c r="S2075">
        <v>139.79</v>
      </c>
    </row>
    <row r="2076" spans="1:19">
      <c r="A2076" s="1">
        <v>45379</v>
      </c>
      <c r="B2076" t="s">
        <v>937</v>
      </c>
      <c r="C2076" t="s">
        <v>944</v>
      </c>
      <c r="D2076">
        <v>14.3687</v>
      </c>
      <c r="E2076">
        <v>15.4185</v>
      </c>
      <c r="F2076">
        <v>0.0730615852512752</v>
      </c>
      <c r="G2076">
        <f ca="1" t="shared" si="96"/>
        <v>0.172170154444403</v>
      </c>
      <c r="H2076" t="str">
        <f ca="1" t="shared" si="97"/>
        <v>Risk-On</v>
      </c>
      <c r="I2076">
        <f ca="1" t="shared" si="98"/>
        <v>1</v>
      </c>
      <c r="J2076">
        <f>_xlfn.XLOOKUP($A2076,[1]Sheet1!$B$9:$B$2584,[1]Sheet1!$C$9:$C$2584,"N/A",0)</f>
        <v>105.25</v>
      </c>
      <c r="K2076">
        <f>_xlfn.XLOOKUP($A2076,[1]Sheet1!$E$9:$E$2584,[1]Sheet1!$F$9:$F$2584,"N/A",0)</f>
        <v>155.45</v>
      </c>
      <c r="L2076">
        <f>_xlfn.XLOOKUP($A2076,[1]Sheet1!$H$9:$H$2584,[1]Sheet1!$I$9:$I$2584,"N/A",0)</f>
        <v>66.08</v>
      </c>
      <c r="M2076">
        <f>_xlfn.XLOOKUP($A2076,[1]Sheet1!$K$9:$K$2584,[1]Sheet1!$L$9:$L$2584,"N/A",0)</f>
        <v>139.12</v>
      </c>
      <c r="N2076">
        <f>_xlfn.XLOOKUP($A2076,[1]Sheet1!$N$9:$N$2584,[1]Sheet1!$O$9:$O$2584,"N/A",0)</f>
        <v>125.45</v>
      </c>
      <c r="O2076">
        <v>105.25</v>
      </c>
      <c r="P2076">
        <v>155.45</v>
      </c>
      <c r="Q2076">
        <v>66.08</v>
      </c>
      <c r="R2076">
        <v>125.45</v>
      </c>
      <c r="S2076">
        <v>139.12</v>
      </c>
    </row>
    <row r="2077" spans="1:19">
      <c r="A2077" s="1">
        <v>45383</v>
      </c>
      <c r="B2077" t="s">
        <v>937</v>
      </c>
      <c r="C2077" t="s">
        <v>944</v>
      </c>
      <c r="D2077">
        <v>14.5022</v>
      </c>
      <c r="E2077">
        <v>15.4306</v>
      </c>
      <c r="F2077">
        <v>0.0640178731502806</v>
      </c>
      <c r="G2077">
        <f ca="1" t="shared" si="96"/>
        <v>-0.185657661366393</v>
      </c>
      <c r="H2077" t="str">
        <f ca="1" t="shared" si="97"/>
        <v>Risk-Off</v>
      </c>
      <c r="I2077">
        <f ca="1" t="shared" si="98"/>
        <v>1</v>
      </c>
      <c r="J2077">
        <f>_xlfn.XLOOKUP($A2077,[1]Sheet1!$B$9:$B$2584,[1]Sheet1!$C$9:$C$2584,"N/A",0)</f>
        <v>105.15</v>
      </c>
      <c r="K2077">
        <f>_xlfn.XLOOKUP($A2077,[1]Sheet1!$E$9:$E$2584,[1]Sheet1!$F$9:$F$2584,"N/A",0)</f>
        <v>156.92</v>
      </c>
      <c r="L2077">
        <f>_xlfn.XLOOKUP($A2077,[1]Sheet1!$H$9:$H$2584,[1]Sheet1!$I$9:$I$2584,"N/A",0)</f>
        <v>66.1</v>
      </c>
      <c r="M2077">
        <f>_xlfn.XLOOKUP($A2077,[1]Sheet1!$K$9:$K$2584,[1]Sheet1!$L$9:$L$2584,"N/A",0)</f>
        <v>138.21</v>
      </c>
      <c r="N2077">
        <f>_xlfn.XLOOKUP($A2077,[1]Sheet1!$N$9:$N$2584,[1]Sheet1!$O$9:$O$2584,"N/A",0)</f>
        <v>125.95</v>
      </c>
      <c r="O2077">
        <v>105.15</v>
      </c>
      <c r="P2077">
        <v>156.92</v>
      </c>
      <c r="Q2077">
        <v>66.1</v>
      </c>
      <c r="R2077">
        <v>125.95</v>
      </c>
      <c r="S2077">
        <v>138.21</v>
      </c>
    </row>
    <row r="2078" spans="1:19">
      <c r="A2078" s="1">
        <v>45384</v>
      </c>
      <c r="B2078" t="s">
        <v>937</v>
      </c>
      <c r="C2078" t="s">
        <v>944</v>
      </c>
      <c r="D2078">
        <v>14.9996</v>
      </c>
      <c r="E2078">
        <v>15.7777</v>
      </c>
      <c r="F2078">
        <v>0.0518747166591109</v>
      </c>
      <c r="G2078">
        <f ca="1" t="shared" si="96"/>
        <v>-0.659592690277641</v>
      </c>
      <c r="H2078" t="str">
        <f ca="1" t="shared" si="97"/>
        <v>Risk-Off</v>
      </c>
      <c r="I2078">
        <f ca="1" t="shared" si="98"/>
        <v>1</v>
      </c>
      <c r="J2078">
        <f>_xlfn.XLOOKUP($A2078,[1]Sheet1!$B$9:$B$2584,[1]Sheet1!$C$9:$C$2584,"N/A",0)</f>
        <v>105.73</v>
      </c>
      <c r="K2078">
        <f>_xlfn.XLOOKUP($A2078,[1]Sheet1!$E$9:$E$2584,[1]Sheet1!$F$9:$F$2584,"N/A",0)</f>
        <v>156.9</v>
      </c>
      <c r="L2078">
        <f>_xlfn.XLOOKUP($A2078,[1]Sheet1!$H$9:$H$2584,[1]Sheet1!$I$9:$I$2584,"N/A",0)</f>
        <v>65.75</v>
      </c>
      <c r="M2078">
        <f>_xlfn.XLOOKUP($A2078,[1]Sheet1!$K$9:$K$2584,[1]Sheet1!$L$9:$L$2584,"N/A",0)</f>
        <v>137.94</v>
      </c>
      <c r="N2078">
        <f>_xlfn.XLOOKUP($A2078,[1]Sheet1!$N$9:$N$2584,[1]Sheet1!$O$9:$O$2584,"N/A",0)</f>
        <v>126.89</v>
      </c>
      <c r="O2078">
        <v>105.73</v>
      </c>
      <c r="P2078">
        <v>156.9</v>
      </c>
      <c r="Q2078">
        <v>65.75</v>
      </c>
      <c r="R2078">
        <v>126.89</v>
      </c>
      <c r="S2078">
        <v>137.94</v>
      </c>
    </row>
    <row r="2079" spans="1:19">
      <c r="A2079" s="1">
        <v>45385</v>
      </c>
      <c r="B2079" t="s">
        <v>937</v>
      </c>
      <c r="C2079" t="s">
        <v>944</v>
      </c>
      <c r="D2079">
        <v>14.9446</v>
      </c>
      <c r="E2079">
        <v>15.644</v>
      </c>
      <c r="F2079">
        <v>0.0467995128675241</v>
      </c>
      <c r="G2079">
        <f ca="1" t="shared" si="96"/>
        <v>-0.852971945440731</v>
      </c>
      <c r="H2079" t="str">
        <f ca="1" t="shared" si="97"/>
        <v>Risk-Off</v>
      </c>
      <c r="I2079">
        <f ca="1" t="shared" si="98"/>
        <v>1</v>
      </c>
      <c r="J2079">
        <f>_xlfn.XLOOKUP($A2079,[1]Sheet1!$B$9:$B$2584,[1]Sheet1!$C$9:$C$2584,"N/A",0)</f>
        <v>105.85</v>
      </c>
      <c r="K2079">
        <f>_xlfn.XLOOKUP($A2079,[1]Sheet1!$E$9:$E$2584,[1]Sheet1!$F$9:$F$2584,"N/A",0)</f>
        <v>157.89</v>
      </c>
      <c r="L2079">
        <f>_xlfn.XLOOKUP($A2079,[1]Sheet1!$H$9:$H$2584,[1]Sheet1!$I$9:$I$2584,"N/A",0)</f>
        <v>65.89</v>
      </c>
      <c r="M2079">
        <f>_xlfn.XLOOKUP($A2079,[1]Sheet1!$K$9:$K$2584,[1]Sheet1!$L$9:$L$2584,"N/A",0)</f>
        <v>137.44</v>
      </c>
      <c r="N2079">
        <f>_xlfn.XLOOKUP($A2079,[1]Sheet1!$N$9:$N$2584,[1]Sheet1!$O$9:$O$2584,"N/A",0)</f>
        <v>126.85</v>
      </c>
      <c r="O2079">
        <v>105.85</v>
      </c>
      <c r="P2079">
        <v>157.89</v>
      </c>
      <c r="Q2079">
        <v>65.89</v>
      </c>
      <c r="R2079">
        <v>126.85</v>
      </c>
      <c r="S2079">
        <v>137.44</v>
      </c>
    </row>
    <row r="2080" spans="1:19">
      <c r="A2080" s="1">
        <v>45386</v>
      </c>
      <c r="B2080" t="s">
        <v>937</v>
      </c>
      <c r="C2080" t="s">
        <v>944</v>
      </c>
      <c r="D2080">
        <v>15.8308</v>
      </c>
      <c r="E2080">
        <v>16.2118</v>
      </c>
      <c r="F2080" s="2" t="s">
        <v>945</v>
      </c>
      <c r="G2080">
        <f ca="1" t="shared" si="96"/>
        <v>-1.72762461531183</v>
      </c>
      <c r="H2080" t="str">
        <f ca="1" t="shared" si="97"/>
        <v>Risk-Off</v>
      </c>
      <c r="I2080">
        <f ca="1" t="shared" si="98"/>
        <v>1</v>
      </c>
      <c r="J2080">
        <f>_xlfn.XLOOKUP($A2080,[1]Sheet1!$B$9:$B$2584,[1]Sheet1!$C$9:$C$2584,"N/A",0)</f>
        <v>106.1</v>
      </c>
      <c r="K2080">
        <f>_xlfn.XLOOKUP($A2080,[1]Sheet1!$E$9:$E$2584,[1]Sheet1!$F$9:$F$2584,"N/A",0)</f>
        <v>156.69</v>
      </c>
      <c r="L2080">
        <f>_xlfn.XLOOKUP($A2080,[1]Sheet1!$H$9:$H$2584,[1]Sheet1!$I$9:$I$2584,"N/A",0)</f>
        <v>66.13</v>
      </c>
      <c r="M2080">
        <f>_xlfn.XLOOKUP($A2080,[1]Sheet1!$K$9:$K$2584,[1]Sheet1!$L$9:$L$2584,"N/A",0)</f>
        <v>137.25</v>
      </c>
      <c r="N2080">
        <f>_xlfn.XLOOKUP($A2080,[1]Sheet1!$N$9:$N$2584,[1]Sheet1!$O$9:$O$2584,"N/A",0)</f>
        <v>126.4</v>
      </c>
      <c r="O2080">
        <v>106.1</v>
      </c>
      <c r="P2080">
        <v>156.69</v>
      </c>
      <c r="Q2080">
        <v>66.13</v>
      </c>
      <c r="R2080">
        <v>126.4</v>
      </c>
      <c r="S2080">
        <v>137.25</v>
      </c>
    </row>
    <row r="2081" spans="1:19">
      <c r="A2081" s="1">
        <v>45387</v>
      </c>
      <c r="B2081" t="s">
        <v>937</v>
      </c>
      <c r="C2081" t="s">
        <v>944</v>
      </c>
      <c r="D2081">
        <v>16.0774</v>
      </c>
      <c r="E2081">
        <v>16.5142</v>
      </c>
      <c r="F2081">
        <v>0.0271685720327912</v>
      </c>
      <c r="G2081">
        <f ca="1" t="shared" si="96"/>
        <v>-1.60282143091552</v>
      </c>
      <c r="H2081" t="str">
        <f ca="1" t="shared" si="97"/>
        <v>Risk-Off</v>
      </c>
      <c r="I2081">
        <f ca="1" t="shared" si="98"/>
        <v>1</v>
      </c>
      <c r="J2081">
        <f>_xlfn.XLOOKUP($A2081,[1]Sheet1!$B$9:$B$2584,[1]Sheet1!$C$9:$C$2584,"N/A",0)</f>
        <v>106.25</v>
      </c>
      <c r="K2081">
        <f>_xlfn.XLOOKUP($A2081,[1]Sheet1!$E$9:$E$2584,[1]Sheet1!$F$9:$F$2584,"N/A",0)</f>
        <v>159.26</v>
      </c>
      <c r="L2081">
        <f>_xlfn.XLOOKUP($A2081,[1]Sheet1!$H$9:$H$2584,[1]Sheet1!$I$9:$I$2584,"N/A",0)</f>
        <v>65.85</v>
      </c>
      <c r="M2081">
        <f>_xlfn.XLOOKUP($A2081,[1]Sheet1!$K$9:$K$2584,[1]Sheet1!$L$9:$L$2584,"N/A",0)</f>
        <v>137.74</v>
      </c>
      <c r="N2081">
        <f>_xlfn.XLOOKUP($A2081,[1]Sheet1!$N$9:$N$2584,[1]Sheet1!$O$9:$O$2584,"N/A",0)</f>
        <v>127.19</v>
      </c>
      <c r="O2081">
        <v>106.25</v>
      </c>
      <c r="P2081">
        <v>159.26</v>
      </c>
      <c r="Q2081">
        <v>65.85</v>
      </c>
      <c r="R2081">
        <v>127.19</v>
      </c>
      <c r="S2081">
        <v>137.74</v>
      </c>
    </row>
    <row r="2082" spans="1:19">
      <c r="A2082" s="1">
        <v>45390</v>
      </c>
      <c r="B2082" t="s">
        <v>937</v>
      </c>
      <c r="C2082" t="s">
        <v>944</v>
      </c>
      <c r="D2082">
        <v>15.347</v>
      </c>
      <c r="E2082">
        <v>15.9546</v>
      </c>
      <c r="F2082">
        <v>0.0395907995047891</v>
      </c>
      <c r="G2082">
        <f ca="1" t="shared" si="96"/>
        <v>-1.10363701102487</v>
      </c>
      <c r="H2082" t="str">
        <f ca="1" t="shared" si="97"/>
        <v>Risk-Off</v>
      </c>
      <c r="I2082">
        <f ca="1" t="shared" si="98"/>
        <v>1</v>
      </c>
      <c r="J2082">
        <f>_xlfn.XLOOKUP($A2082,[1]Sheet1!$B$9:$B$2584,[1]Sheet1!$C$9:$C$2584,"N/A",0)</f>
        <v>106.53</v>
      </c>
      <c r="K2082">
        <f>_xlfn.XLOOKUP($A2082,[1]Sheet1!$E$9:$E$2584,[1]Sheet1!$F$9:$F$2584,"N/A",0)</f>
        <v>158.04</v>
      </c>
      <c r="L2082">
        <f>_xlfn.XLOOKUP($A2082,[1]Sheet1!$H$9:$H$2584,[1]Sheet1!$I$9:$I$2584,"N/A",0)</f>
        <v>65.81</v>
      </c>
      <c r="M2082">
        <f>_xlfn.XLOOKUP($A2082,[1]Sheet1!$K$9:$K$2584,[1]Sheet1!$L$9:$L$2584,"N/A",0)</f>
        <v>137.05</v>
      </c>
      <c r="N2082">
        <f>_xlfn.XLOOKUP($A2082,[1]Sheet1!$N$9:$N$2584,[1]Sheet1!$O$9:$O$2584,"N/A",0)</f>
        <v>126.59</v>
      </c>
      <c r="O2082">
        <v>106.53</v>
      </c>
      <c r="P2082">
        <v>158.04</v>
      </c>
      <c r="Q2082">
        <v>65.81</v>
      </c>
      <c r="R2082">
        <v>126.59</v>
      </c>
      <c r="S2082">
        <v>137.05</v>
      </c>
    </row>
    <row r="2083" spans="1:19">
      <c r="A2083" s="1">
        <v>45391</v>
      </c>
      <c r="B2083" t="s">
        <v>937</v>
      </c>
      <c r="C2083" t="s">
        <v>944</v>
      </c>
      <c r="D2083">
        <v>15.0753</v>
      </c>
      <c r="E2083">
        <v>15.8977</v>
      </c>
      <c r="F2083" s="2" t="s">
        <v>946</v>
      </c>
      <c r="G2083">
        <f ca="1" t="shared" si="96"/>
        <v>-0.520707788904487</v>
      </c>
      <c r="H2083" t="str">
        <f ca="1" t="shared" si="97"/>
        <v>Risk-Off</v>
      </c>
      <c r="I2083">
        <f ca="1" t="shared" si="98"/>
        <v>1</v>
      </c>
      <c r="J2083">
        <f>_xlfn.XLOOKUP($A2083,[1]Sheet1!$B$9:$B$2584,[1]Sheet1!$C$9:$C$2584,"N/A",0)</f>
        <v>106.44</v>
      </c>
      <c r="K2083">
        <f>_xlfn.XLOOKUP($A2083,[1]Sheet1!$E$9:$E$2584,[1]Sheet1!$F$9:$F$2584,"N/A",0)</f>
        <v>154.21</v>
      </c>
      <c r="L2083">
        <f>_xlfn.XLOOKUP($A2083,[1]Sheet1!$H$9:$H$2584,[1]Sheet1!$I$9:$I$2584,"N/A",0)</f>
        <v>65.8</v>
      </c>
      <c r="M2083">
        <f>_xlfn.XLOOKUP($A2083,[1]Sheet1!$K$9:$K$2584,[1]Sheet1!$L$9:$L$2584,"N/A",0)</f>
        <v>136.18</v>
      </c>
      <c r="N2083">
        <f>_xlfn.XLOOKUP($A2083,[1]Sheet1!$N$9:$N$2584,[1]Sheet1!$O$9:$O$2584,"N/A",0)</f>
        <v>126.71</v>
      </c>
      <c r="O2083">
        <v>106.44</v>
      </c>
      <c r="P2083">
        <v>154.21</v>
      </c>
      <c r="Q2083">
        <v>65.8</v>
      </c>
      <c r="R2083">
        <v>126.71</v>
      </c>
      <c r="S2083">
        <v>136.18</v>
      </c>
    </row>
    <row r="2084" spans="1:19">
      <c r="A2084" s="1">
        <v>45392</v>
      </c>
      <c r="B2084" t="s">
        <v>937</v>
      </c>
      <c r="C2084" t="s">
        <v>944</v>
      </c>
      <c r="D2084">
        <v>15.3171</v>
      </c>
      <c r="E2084">
        <v>16.1527</v>
      </c>
      <c r="F2084">
        <v>0.0545534076293815</v>
      </c>
      <c r="G2084">
        <f ca="1" t="shared" si="96"/>
        <v>-0.517213242591636</v>
      </c>
      <c r="H2084" t="str">
        <f ca="1" t="shared" si="97"/>
        <v>Risk-Off</v>
      </c>
      <c r="I2084">
        <f ca="1" t="shared" si="98"/>
        <v>1</v>
      </c>
      <c r="J2084">
        <f>_xlfn.XLOOKUP($A2084,[1]Sheet1!$B$9:$B$2584,[1]Sheet1!$C$9:$C$2584,"N/A",0)</f>
        <v>107.1</v>
      </c>
      <c r="K2084">
        <f>_xlfn.XLOOKUP($A2084,[1]Sheet1!$E$9:$E$2584,[1]Sheet1!$F$9:$F$2584,"N/A",0)</f>
        <v>155.83</v>
      </c>
      <c r="L2084">
        <f>_xlfn.XLOOKUP($A2084,[1]Sheet1!$H$9:$H$2584,[1]Sheet1!$I$9:$I$2584,"N/A",0)</f>
        <v>65.23</v>
      </c>
      <c r="M2084">
        <f>_xlfn.XLOOKUP($A2084,[1]Sheet1!$K$9:$K$2584,[1]Sheet1!$L$9:$L$2584,"N/A",0)</f>
        <v>135.89</v>
      </c>
      <c r="N2084">
        <f>_xlfn.XLOOKUP($A2084,[1]Sheet1!$N$9:$N$2584,[1]Sheet1!$O$9:$O$2584,"N/A",0)</f>
        <v>127.62</v>
      </c>
      <c r="O2084">
        <v>107.1</v>
      </c>
      <c r="P2084">
        <v>155.83</v>
      </c>
      <c r="Q2084">
        <v>65.23</v>
      </c>
      <c r="R2084">
        <v>127.62</v>
      </c>
      <c r="S2084">
        <v>135.89</v>
      </c>
    </row>
    <row r="2085" spans="1:19">
      <c r="A2085" s="1">
        <v>45393</v>
      </c>
      <c r="B2085" t="s">
        <v>937</v>
      </c>
      <c r="C2085" t="s">
        <v>944</v>
      </c>
      <c r="D2085">
        <v>15.0239</v>
      </c>
      <c r="E2085">
        <v>15.8992</v>
      </c>
      <c r="F2085" s="2" t="s">
        <v>947</v>
      </c>
      <c r="G2085">
        <f ca="1" t="shared" si="96"/>
        <v>-0.371559604619263</v>
      </c>
      <c r="H2085" t="str">
        <f ca="1" t="shared" si="97"/>
        <v>Risk-Off</v>
      </c>
      <c r="I2085">
        <f ca="1" t="shared" si="98"/>
        <v>1</v>
      </c>
      <c r="J2085">
        <f>_xlfn.XLOOKUP($A2085,[1]Sheet1!$B$9:$B$2584,[1]Sheet1!$C$9:$C$2584,"N/A",0)</f>
        <v>107.02</v>
      </c>
      <c r="K2085">
        <f>_xlfn.XLOOKUP($A2085,[1]Sheet1!$E$9:$E$2584,[1]Sheet1!$F$9:$F$2584,"N/A",0)</f>
        <v>156.86</v>
      </c>
      <c r="L2085">
        <f>_xlfn.XLOOKUP($A2085,[1]Sheet1!$H$9:$H$2584,[1]Sheet1!$I$9:$I$2584,"N/A",0)</f>
        <v>64.78</v>
      </c>
      <c r="M2085">
        <f>_xlfn.XLOOKUP($A2085,[1]Sheet1!$K$9:$K$2584,[1]Sheet1!$L$9:$L$2584,"N/A",0)</f>
        <v>136.02</v>
      </c>
      <c r="N2085">
        <f>_xlfn.XLOOKUP($A2085,[1]Sheet1!$N$9:$N$2584,[1]Sheet1!$O$9:$O$2584,"N/A",0)</f>
        <v>127.44</v>
      </c>
      <c r="O2085">
        <v>107.02</v>
      </c>
      <c r="P2085">
        <v>156.86</v>
      </c>
      <c r="Q2085">
        <v>64.78</v>
      </c>
      <c r="R2085">
        <v>127.44</v>
      </c>
      <c r="S2085">
        <v>136.02</v>
      </c>
    </row>
    <row r="2086" spans="1:19">
      <c r="A2086" s="1">
        <v>45394</v>
      </c>
      <c r="B2086" t="s">
        <v>937</v>
      </c>
      <c r="C2086" t="s">
        <v>944</v>
      </c>
      <c r="D2086">
        <v>17.0882</v>
      </c>
      <c r="E2086">
        <v>17.1165</v>
      </c>
      <c r="F2086">
        <v>0.0016561135754496</v>
      </c>
      <c r="G2086">
        <f ca="1" t="shared" si="96"/>
        <v>-2.52467004223917</v>
      </c>
      <c r="H2086" t="str">
        <f ca="1" t="shared" si="97"/>
        <v>Risk-Off</v>
      </c>
      <c r="I2086">
        <f ca="1" t="shared" si="98"/>
        <v>1</v>
      </c>
      <c r="J2086">
        <f>_xlfn.XLOOKUP($A2086,[1]Sheet1!$B$9:$B$2584,[1]Sheet1!$C$9:$C$2584,"N/A",0)</f>
        <v>106.87</v>
      </c>
      <c r="K2086">
        <f>_xlfn.XLOOKUP($A2086,[1]Sheet1!$E$9:$E$2584,[1]Sheet1!$F$9:$F$2584,"N/A",0)</f>
        <v>157.96</v>
      </c>
      <c r="L2086">
        <f>_xlfn.XLOOKUP($A2086,[1]Sheet1!$H$9:$H$2584,[1]Sheet1!$I$9:$I$2584,"N/A",0)</f>
        <v>64.78</v>
      </c>
      <c r="M2086">
        <f>_xlfn.XLOOKUP($A2086,[1]Sheet1!$K$9:$K$2584,[1]Sheet1!$L$9:$L$2584,"N/A",0)</f>
        <v>136.6</v>
      </c>
      <c r="N2086">
        <f>_xlfn.XLOOKUP($A2086,[1]Sheet1!$N$9:$N$2584,[1]Sheet1!$O$9:$O$2584,"N/A",0)</f>
        <v>127.57</v>
      </c>
      <c r="O2086">
        <v>106.87</v>
      </c>
      <c r="P2086">
        <v>157.96</v>
      </c>
      <c r="Q2086">
        <v>64.78</v>
      </c>
      <c r="R2086">
        <v>127.57</v>
      </c>
      <c r="S2086">
        <v>136.6</v>
      </c>
    </row>
    <row r="2087" spans="1:19">
      <c r="A2087" s="1">
        <v>45397</v>
      </c>
      <c r="B2087" t="s">
        <v>937</v>
      </c>
      <c r="C2087" t="s">
        <v>944</v>
      </c>
      <c r="D2087">
        <v>18.4081</v>
      </c>
      <c r="E2087">
        <v>18.0133</v>
      </c>
      <c r="F2087">
        <v>-0.0214470803613626</v>
      </c>
      <c r="G2087">
        <f ca="1" t="shared" si="96"/>
        <v>-3.32506163146476</v>
      </c>
      <c r="H2087" t="str">
        <f ca="1" t="shared" si="97"/>
        <v>Risk-Off</v>
      </c>
      <c r="I2087">
        <f ca="1" t="shared" si="98"/>
        <v>1</v>
      </c>
      <c r="J2087">
        <f>_xlfn.XLOOKUP($A2087,[1]Sheet1!$B$9:$B$2584,[1]Sheet1!$C$9:$C$2584,"N/A",0)</f>
        <v>106.88</v>
      </c>
      <c r="K2087">
        <f>_xlfn.XLOOKUP($A2087,[1]Sheet1!$E$9:$E$2584,[1]Sheet1!$F$9:$F$2584,"N/A",0)</f>
        <v>157.37</v>
      </c>
      <c r="L2087">
        <f>_xlfn.XLOOKUP($A2087,[1]Sheet1!$H$9:$H$2584,[1]Sheet1!$I$9:$I$2584,"N/A",0)</f>
        <v>65.23</v>
      </c>
      <c r="M2087">
        <f>_xlfn.XLOOKUP($A2087,[1]Sheet1!$K$9:$K$2584,[1]Sheet1!$L$9:$L$2584,"N/A",0)</f>
        <v>136.46</v>
      </c>
      <c r="N2087">
        <f>_xlfn.XLOOKUP($A2087,[1]Sheet1!$N$9:$N$2584,[1]Sheet1!$O$9:$O$2584,"N/A",0)</f>
        <v>127.45</v>
      </c>
      <c r="O2087">
        <v>106.88</v>
      </c>
      <c r="P2087">
        <v>157.37</v>
      </c>
      <c r="Q2087">
        <v>65.23</v>
      </c>
      <c r="R2087">
        <v>127.45</v>
      </c>
      <c r="S2087">
        <v>136.46</v>
      </c>
    </row>
    <row r="2088" spans="1:19">
      <c r="A2088" s="1">
        <v>45398</v>
      </c>
      <c r="B2088" t="s">
        <v>937</v>
      </c>
      <c r="C2088" t="s">
        <v>944</v>
      </c>
      <c r="D2088">
        <v>18.2475</v>
      </c>
      <c r="E2088">
        <v>17.4557</v>
      </c>
      <c r="F2088">
        <v>-0.0433922455130839</v>
      </c>
      <c r="G2088">
        <f ca="1" t="shared" si="96"/>
        <v>-3.98683469439661</v>
      </c>
      <c r="H2088" t="str">
        <f ca="1" t="shared" si="97"/>
        <v>Risk-Off</v>
      </c>
      <c r="I2088">
        <f ca="1" t="shared" si="98"/>
        <v>1</v>
      </c>
      <c r="J2088">
        <f>_xlfn.XLOOKUP($A2088,[1]Sheet1!$B$9:$B$2584,[1]Sheet1!$C$9:$C$2584,"N/A",0)</f>
        <v>107.17</v>
      </c>
      <c r="K2088">
        <f>_xlfn.XLOOKUP($A2088,[1]Sheet1!$E$9:$E$2584,[1]Sheet1!$F$9:$F$2584,"N/A",0)</f>
        <v>158.92</v>
      </c>
      <c r="L2088">
        <f>_xlfn.XLOOKUP($A2088,[1]Sheet1!$H$9:$H$2584,[1]Sheet1!$I$9:$I$2584,"N/A",0)</f>
        <v>64.83</v>
      </c>
      <c r="M2088">
        <f>_xlfn.XLOOKUP($A2088,[1]Sheet1!$K$9:$K$2584,[1]Sheet1!$L$9:$L$2584,"N/A",0)</f>
        <v>136.57</v>
      </c>
      <c r="N2088">
        <f>_xlfn.XLOOKUP($A2088,[1]Sheet1!$N$9:$N$2584,[1]Sheet1!$O$9:$O$2584,"N/A",0)</f>
        <v>127.34</v>
      </c>
      <c r="O2088">
        <v>107.17</v>
      </c>
      <c r="P2088">
        <v>158.92</v>
      </c>
      <c r="Q2088">
        <v>64.83</v>
      </c>
      <c r="R2088">
        <v>127.34</v>
      </c>
      <c r="S2088">
        <v>136.57</v>
      </c>
    </row>
    <row r="2089" spans="1:19">
      <c r="A2089" s="1">
        <v>45399</v>
      </c>
      <c r="B2089" t="s">
        <v>937</v>
      </c>
      <c r="C2089" t="s">
        <v>944</v>
      </c>
      <c r="D2089">
        <v>18.03</v>
      </c>
      <c r="E2089">
        <v>17.2093</v>
      </c>
      <c r="F2089">
        <v>-0.0455185801442042</v>
      </c>
      <c r="G2089">
        <f ca="1" t="shared" si="96"/>
        <v>-3.85147171623835</v>
      </c>
      <c r="H2089" t="str">
        <f ca="1" t="shared" si="97"/>
        <v>Risk-Off</v>
      </c>
      <c r="I2089">
        <f ca="1" t="shared" si="98"/>
        <v>1</v>
      </c>
      <c r="J2089">
        <f>_xlfn.XLOOKUP($A2089,[1]Sheet1!$B$9:$B$2584,[1]Sheet1!$C$9:$C$2584,"N/A",0)</f>
        <v>106.78</v>
      </c>
      <c r="K2089">
        <f>_xlfn.XLOOKUP($A2089,[1]Sheet1!$E$9:$E$2584,[1]Sheet1!$F$9:$F$2584,"N/A",0)</f>
        <v>157.82</v>
      </c>
      <c r="L2089">
        <f>_xlfn.XLOOKUP($A2089,[1]Sheet1!$H$9:$H$2584,[1]Sheet1!$I$9:$I$2584,"N/A",0)</f>
        <v>64.9</v>
      </c>
      <c r="M2089">
        <f>_xlfn.XLOOKUP($A2089,[1]Sheet1!$K$9:$K$2584,[1]Sheet1!$L$9:$L$2584,"N/A",0)</f>
        <v>136.25</v>
      </c>
      <c r="N2089">
        <f>_xlfn.XLOOKUP($A2089,[1]Sheet1!$N$9:$N$2584,[1]Sheet1!$O$9:$O$2584,"N/A",0)</f>
        <v>127.96</v>
      </c>
      <c r="O2089">
        <v>106.78</v>
      </c>
      <c r="P2089">
        <v>157.82</v>
      </c>
      <c r="Q2089">
        <v>64.9</v>
      </c>
      <c r="R2089">
        <v>127.96</v>
      </c>
      <c r="S2089">
        <v>136.25</v>
      </c>
    </row>
    <row r="2090" spans="1:19">
      <c r="A2090" s="1">
        <v>45400</v>
      </c>
      <c r="B2090" t="s">
        <v>944</v>
      </c>
      <c r="C2090" t="s">
        <v>948</v>
      </c>
      <c r="D2090">
        <v>17.3829</v>
      </c>
      <c r="E2090">
        <v>17.6459</v>
      </c>
      <c r="F2090" s="2" t="s">
        <v>949</v>
      </c>
      <c r="G2090">
        <f ca="1" t="shared" si="96"/>
        <v>-1.66141081725353</v>
      </c>
      <c r="H2090" t="str">
        <f ca="1" t="shared" si="97"/>
        <v>Risk-Off</v>
      </c>
      <c r="I2090">
        <f ca="1" t="shared" si="98"/>
        <v>1</v>
      </c>
      <c r="J2090">
        <f>_xlfn.XLOOKUP($A2090,[1]Sheet1!$B$9:$B$2584,[1]Sheet1!$C$9:$C$2584,"N/A",0)</f>
        <v>106.72</v>
      </c>
      <c r="K2090">
        <f>_xlfn.XLOOKUP($A2090,[1]Sheet1!$E$9:$E$2584,[1]Sheet1!$F$9:$F$2584,"N/A",0)</f>
        <v>156.78</v>
      </c>
      <c r="L2090">
        <f>_xlfn.XLOOKUP($A2090,[1]Sheet1!$H$9:$H$2584,[1]Sheet1!$I$9:$I$2584,"N/A",0)</f>
        <v>65.01</v>
      </c>
      <c r="M2090">
        <f>_xlfn.XLOOKUP($A2090,[1]Sheet1!$K$9:$K$2584,[1]Sheet1!$L$9:$L$2584,"N/A",0)</f>
        <v>135.97</v>
      </c>
      <c r="N2090">
        <f>_xlfn.XLOOKUP($A2090,[1]Sheet1!$N$9:$N$2584,[1]Sheet1!$O$9:$O$2584,"N/A",0)</f>
        <v>127.74</v>
      </c>
      <c r="O2090">
        <v>106.72</v>
      </c>
      <c r="P2090">
        <v>156.78</v>
      </c>
      <c r="Q2090">
        <v>65.01</v>
      </c>
      <c r="R2090">
        <v>127.74</v>
      </c>
      <c r="S2090">
        <v>135.97</v>
      </c>
    </row>
    <row r="2091" spans="1:19">
      <c r="A2091" s="1">
        <v>45401</v>
      </c>
      <c r="B2091" t="s">
        <v>944</v>
      </c>
      <c r="C2091" t="s">
        <v>948</v>
      </c>
      <c r="D2091">
        <v>17.8354</v>
      </c>
      <c r="E2091">
        <v>17.9513</v>
      </c>
      <c r="F2091">
        <v>0.0064983123451114</v>
      </c>
      <c r="G2091">
        <f ca="1" t="shared" si="96"/>
        <v>-1.94694469164642</v>
      </c>
      <c r="H2091" t="str">
        <f ca="1" t="shared" si="97"/>
        <v>Risk-Off</v>
      </c>
      <c r="I2091">
        <f ca="1" t="shared" si="98"/>
        <v>1</v>
      </c>
      <c r="J2091">
        <f>_xlfn.XLOOKUP($A2091,[1]Sheet1!$B$9:$B$2584,[1]Sheet1!$C$9:$C$2584,"N/A",0)</f>
        <v>106.43</v>
      </c>
      <c r="K2091">
        <f>_xlfn.XLOOKUP($A2091,[1]Sheet1!$E$9:$E$2584,[1]Sheet1!$F$9:$F$2584,"N/A",0)</f>
        <v>154.04</v>
      </c>
      <c r="L2091">
        <f>_xlfn.XLOOKUP($A2091,[1]Sheet1!$H$9:$H$2584,[1]Sheet1!$I$9:$I$2584,"N/A",0)</f>
        <v>65.33</v>
      </c>
      <c r="M2091">
        <f>_xlfn.XLOOKUP($A2091,[1]Sheet1!$K$9:$K$2584,[1]Sheet1!$L$9:$L$2584,"N/A",0)</f>
        <v>135.28</v>
      </c>
      <c r="N2091">
        <f>_xlfn.XLOOKUP($A2091,[1]Sheet1!$N$9:$N$2584,[1]Sheet1!$O$9:$O$2584,"N/A",0)</f>
        <v>126.43</v>
      </c>
      <c r="O2091">
        <v>106.43</v>
      </c>
      <c r="P2091">
        <v>154.04</v>
      </c>
      <c r="Q2091">
        <v>65.33</v>
      </c>
      <c r="R2091">
        <v>126.43</v>
      </c>
      <c r="S2091">
        <v>135.28</v>
      </c>
    </row>
    <row r="2092" spans="1:19">
      <c r="A2092" s="1">
        <v>45404</v>
      </c>
      <c r="B2092" t="s">
        <v>944</v>
      </c>
      <c r="C2092" t="s">
        <v>948</v>
      </c>
      <c r="D2092">
        <v>16.4697</v>
      </c>
      <c r="E2092">
        <v>16.8052</v>
      </c>
      <c r="F2092" s="2" t="s">
        <v>950</v>
      </c>
      <c r="G2092">
        <f ca="1" t="shared" si="96"/>
        <v>-1.46272484468163</v>
      </c>
      <c r="H2092" t="str">
        <f ca="1" t="shared" si="97"/>
        <v>Risk-Off</v>
      </c>
      <c r="I2092">
        <f ca="1" t="shared" si="98"/>
        <v>1</v>
      </c>
      <c r="J2092">
        <f>_xlfn.XLOOKUP($A2092,[1]Sheet1!$B$9:$B$2584,[1]Sheet1!$C$9:$C$2584,"N/A",0)</f>
        <v>106.12</v>
      </c>
      <c r="K2092">
        <f>_xlfn.XLOOKUP($A2092,[1]Sheet1!$E$9:$E$2584,[1]Sheet1!$F$9:$F$2584,"N/A",0)</f>
        <v>154.91</v>
      </c>
      <c r="L2092">
        <f>_xlfn.XLOOKUP($A2092,[1]Sheet1!$H$9:$H$2584,[1]Sheet1!$I$9:$I$2584,"N/A",0)</f>
        <v>65.2</v>
      </c>
      <c r="M2092">
        <f>_xlfn.XLOOKUP($A2092,[1]Sheet1!$K$9:$K$2584,[1]Sheet1!$L$9:$L$2584,"N/A",0)</f>
        <v>135.53</v>
      </c>
      <c r="N2092">
        <f>_xlfn.XLOOKUP($A2092,[1]Sheet1!$N$9:$N$2584,[1]Sheet1!$O$9:$O$2584,"N/A",0)</f>
        <v>126.38</v>
      </c>
      <c r="O2092">
        <v>106.12</v>
      </c>
      <c r="P2092">
        <v>154.91</v>
      </c>
      <c r="Q2092">
        <v>65.2</v>
      </c>
      <c r="R2092">
        <v>126.38</v>
      </c>
      <c r="S2092">
        <v>135.53</v>
      </c>
    </row>
    <row r="2093" spans="1:19">
      <c r="A2093" s="1">
        <v>45405</v>
      </c>
      <c r="B2093" t="s">
        <v>944</v>
      </c>
      <c r="C2093" t="s">
        <v>948</v>
      </c>
      <c r="D2093">
        <v>15.7943</v>
      </c>
      <c r="E2093">
        <v>16.2121</v>
      </c>
      <c r="F2093">
        <v>0.0264525809944093</v>
      </c>
      <c r="G2093">
        <f ca="1" t="shared" si="96"/>
        <v>-1.25716235358236</v>
      </c>
      <c r="H2093" t="str">
        <f ca="1" t="shared" si="97"/>
        <v>Risk-Off</v>
      </c>
      <c r="I2093">
        <f ca="1" t="shared" si="98"/>
        <v>1</v>
      </c>
      <c r="J2093">
        <f>_xlfn.XLOOKUP($A2093,[1]Sheet1!$B$9:$B$2584,[1]Sheet1!$C$9:$C$2584,"N/A",0)</f>
        <v>106</v>
      </c>
      <c r="K2093">
        <f>_xlfn.XLOOKUP($A2093,[1]Sheet1!$E$9:$E$2584,[1]Sheet1!$F$9:$F$2584,"N/A",0)</f>
        <v>157.31</v>
      </c>
      <c r="L2093">
        <f>_xlfn.XLOOKUP($A2093,[1]Sheet1!$H$9:$H$2584,[1]Sheet1!$I$9:$I$2584,"N/A",0)</f>
        <v>65.04</v>
      </c>
      <c r="M2093">
        <f>_xlfn.XLOOKUP($A2093,[1]Sheet1!$K$9:$K$2584,[1]Sheet1!$L$9:$L$2584,"N/A",0)</f>
        <v>135.35</v>
      </c>
      <c r="N2093">
        <f>_xlfn.XLOOKUP($A2093,[1]Sheet1!$N$9:$N$2584,[1]Sheet1!$O$9:$O$2584,"N/A",0)</f>
        <v>125.74</v>
      </c>
      <c r="O2093">
        <v>106</v>
      </c>
      <c r="P2093">
        <v>157.31</v>
      </c>
      <c r="Q2093">
        <v>65.04</v>
      </c>
      <c r="R2093">
        <v>125.74</v>
      </c>
      <c r="S2093">
        <v>135.35</v>
      </c>
    </row>
    <row r="2094" spans="1:19">
      <c r="A2094" s="1">
        <v>45406</v>
      </c>
      <c r="B2094" t="s">
        <v>944</v>
      </c>
      <c r="C2094" t="s">
        <v>948</v>
      </c>
      <c r="D2094">
        <v>15.6252</v>
      </c>
      <c r="E2094">
        <v>16.0272</v>
      </c>
      <c r="F2094" s="2" t="s">
        <v>951</v>
      </c>
      <c r="G2094">
        <f ca="1" t="shared" si="96"/>
        <v>-1.2706236474113</v>
      </c>
      <c r="H2094" t="str">
        <f ca="1" t="shared" si="97"/>
        <v>Risk-Off</v>
      </c>
      <c r="I2094">
        <f ca="1" t="shared" si="98"/>
        <v>1</v>
      </c>
      <c r="J2094">
        <f>_xlfn.XLOOKUP($A2094,[1]Sheet1!$B$9:$B$2584,[1]Sheet1!$C$9:$C$2584,"N/A",0)</f>
        <v>106.69</v>
      </c>
      <c r="K2094">
        <f>_xlfn.XLOOKUP($A2094,[1]Sheet1!$E$9:$E$2584,[1]Sheet1!$F$9:$F$2584,"N/A",0)</f>
        <v>157.42</v>
      </c>
      <c r="L2094">
        <f>_xlfn.XLOOKUP($A2094,[1]Sheet1!$H$9:$H$2584,[1]Sheet1!$I$9:$I$2584,"N/A",0)</f>
        <v>65.01</v>
      </c>
      <c r="M2094">
        <f>_xlfn.XLOOKUP($A2094,[1]Sheet1!$K$9:$K$2584,[1]Sheet1!$L$9:$L$2584,"N/A",0)</f>
        <v>135</v>
      </c>
      <c r="N2094">
        <f>_xlfn.XLOOKUP($A2094,[1]Sheet1!$N$9:$N$2584,[1]Sheet1!$O$9:$O$2584,"N/A",0)</f>
        <v>125.85</v>
      </c>
      <c r="O2094">
        <v>106.69</v>
      </c>
      <c r="P2094">
        <v>157.42</v>
      </c>
      <c r="Q2094">
        <v>65.01</v>
      </c>
      <c r="R2094">
        <v>125.85</v>
      </c>
      <c r="S2094">
        <v>135</v>
      </c>
    </row>
    <row r="2095" spans="1:19">
      <c r="A2095" s="1">
        <v>45407</v>
      </c>
      <c r="B2095" t="s">
        <v>944</v>
      </c>
      <c r="C2095" t="s">
        <v>948</v>
      </c>
      <c r="D2095">
        <v>16.0018</v>
      </c>
      <c r="E2095">
        <v>16.2415</v>
      </c>
      <c r="F2095" s="2" t="s">
        <v>952</v>
      </c>
      <c r="G2095">
        <f ca="1" t="shared" si="96"/>
        <v>-1.62270292109964</v>
      </c>
      <c r="H2095" t="str">
        <f ca="1" t="shared" si="97"/>
        <v>Risk-Off</v>
      </c>
      <c r="I2095">
        <f ca="1" t="shared" si="98"/>
        <v>1</v>
      </c>
      <c r="J2095">
        <f>_xlfn.XLOOKUP($A2095,[1]Sheet1!$B$9:$B$2584,[1]Sheet1!$C$9:$C$2584,"N/A",0)</f>
        <v>106.84</v>
      </c>
      <c r="K2095">
        <f>_xlfn.XLOOKUP($A2095,[1]Sheet1!$E$9:$E$2584,[1]Sheet1!$F$9:$F$2584,"N/A",0)</f>
        <v>158.18</v>
      </c>
      <c r="L2095">
        <f>_xlfn.XLOOKUP($A2095,[1]Sheet1!$H$9:$H$2584,[1]Sheet1!$I$9:$I$2584,"N/A",0)</f>
        <v>64.92</v>
      </c>
      <c r="M2095">
        <f>_xlfn.XLOOKUP($A2095,[1]Sheet1!$K$9:$K$2584,[1]Sheet1!$L$9:$L$2584,"N/A",0)</f>
        <v>134.33</v>
      </c>
      <c r="N2095">
        <f>_xlfn.XLOOKUP($A2095,[1]Sheet1!$N$9:$N$2584,[1]Sheet1!$O$9:$O$2584,"N/A",0)</f>
        <v>126.48</v>
      </c>
      <c r="O2095">
        <v>106.84</v>
      </c>
      <c r="P2095">
        <v>158.18</v>
      </c>
      <c r="Q2095">
        <v>64.92</v>
      </c>
      <c r="R2095">
        <v>126.48</v>
      </c>
      <c r="S2095">
        <v>134.33</v>
      </c>
    </row>
    <row r="2096" spans="1:19">
      <c r="A2096" s="1">
        <v>45408</v>
      </c>
      <c r="B2096" t="s">
        <v>944</v>
      </c>
      <c r="C2096" t="s">
        <v>948</v>
      </c>
      <c r="D2096">
        <v>15.3964</v>
      </c>
      <c r="E2096">
        <v>15.9111</v>
      </c>
      <c r="F2096">
        <v>0.03342989270219</v>
      </c>
      <c r="G2096">
        <f ca="1" t="shared" si="96"/>
        <v>-1.01193437935317</v>
      </c>
      <c r="H2096" t="str">
        <f ca="1" t="shared" si="97"/>
        <v>Risk-On</v>
      </c>
      <c r="I2096">
        <f ca="1" t="shared" si="98"/>
        <v>1</v>
      </c>
      <c r="J2096">
        <f>_xlfn.XLOOKUP($A2096,[1]Sheet1!$B$9:$B$2584,[1]Sheet1!$C$9:$C$2584,"N/A",0)</f>
        <v>106.77</v>
      </c>
      <c r="K2096">
        <f>_xlfn.XLOOKUP($A2096,[1]Sheet1!$E$9:$E$2584,[1]Sheet1!$F$9:$F$2584,"N/A",0)</f>
        <v>158.94</v>
      </c>
      <c r="L2096">
        <f>_xlfn.XLOOKUP($A2096,[1]Sheet1!$H$9:$H$2584,[1]Sheet1!$I$9:$I$2584,"N/A",0)</f>
        <v>65.01</v>
      </c>
      <c r="M2096">
        <f>_xlfn.XLOOKUP($A2096,[1]Sheet1!$K$9:$K$2584,[1]Sheet1!$L$9:$L$2584,"N/A",0)</f>
        <v>134.32</v>
      </c>
      <c r="N2096">
        <f>_xlfn.XLOOKUP($A2096,[1]Sheet1!$N$9:$N$2584,[1]Sheet1!$O$9:$O$2584,"N/A",0)</f>
        <v>126.14</v>
      </c>
      <c r="O2096">
        <v>106.77</v>
      </c>
      <c r="P2096">
        <v>158.94</v>
      </c>
      <c r="Q2096">
        <v>65.01</v>
      </c>
      <c r="R2096">
        <v>126.14</v>
      </c>
      <c r="S2096">
        <v>134.32</v>
      </c>
    </row>
    <row r="2097" spans="1:19">
      <c r="A2097" s="1">
        <v>45411</v>
      </c>
      <c r="B2097" t="s">
        <v>944</v>
      </c>
      <c r="C2097" t="s">
        <v>948</v>
      </c>
      <c r="D2097">
        <v>15.1678</v>
      </c>
      <c r="E2097">
        <v>15.6545</v>
      </c>
      <c r="F2097" s="2" t="s">
        <v>953</v>
      </c>
      <c r="G2097">
        <f ca="1" t="shared" si="96"/>
        <v>-1.04937860719489</v>
      </c>
      <c r="H2097" t="str">
        <f ca="1" t="shared" si="97"/>
        <v>Risk-On</v>
      </c>
      <c r="I2097">
        <f ca="1" t="shared" si="98"/>
        <v>1</v>
      </c>
      <c r="J2097">
        <f>_xlfn.XLOOKUP($A2097,[1]Sheet1!$B$9:$B$2584,[1]Sheet1!$C$9:$C$2584,"N/A",0)</f>
        <v>107.04</v>
      </c>
      <c r="K2097">
        <f>_xlfn.XLOOKUP($A2097,[1]Sheet1!$E$9:$E$2584,[1]Sheet1!$F$9:$F$2584,"N/A",0)</f>
        <v>157.45</v>
      </c>
      <c r="L2097">
        <f>_xlfn.XLOOKUP($A2097,[1]Sheet1!$H$9:$H$2584,[1]Sheet1!$I$9:$I$2584,"N/A",0)</f>
        <v>65.37</v>
      </c>
      <c r="M2097">
        <f>_xlfn.XLOOKUP($A2097,[1]Sheet1!$K$9:$K$2584,[1]Sheet1!$L$9:$L$2584,"N/A",0)</f>
        <v>134.8</v>
      </c>
      <c r="N2097">
        <f>_xlfn.XLOOKUP($A2097,[1]Sheet1!$N$9:$N$2584,[1]Sheet1!$O$9:$O$2584,"N/A",0)</f>
        <v>126.02</v>
      </c>
      <c r="O2097">
        <v>107.04</v>
      </c>
      <c r="P2097">
        <v>157.45</v>
      </c>
      <c r="Q2097">
        <v>65.37</v>
      </c>
      <c r="R2097">
        <v>126.02</v>
      </c>
      <c r="S2097">
        <v>134.8</v>
      </c>
    </row>
    <row r="2098" spans="1:19">
      <c r="A2098" s="1">
        <v>45412</v>
      </c>
      <c r="B2098" t="s">
        <v>944</v>
      </c>
      <c r="C2098" t="s">
        <v>948</v>
      </c>
      <c r="D2098">
        <v>15.6634</v>
      </c>
      <c r="E2098">
        <v>15.952</v>
      </c>
      <c r="F2098" s="2" t="s">
        <v>954</v>
      </c>
      <c r="G2098">
        <f ca="1" t="shared" si="96"/>
        <v>-1.49672281504934</v>
      </c>
      <c r="H2098" t="str">
        <f ca="1" t="shared" si="97"/>
        <v>Risk-On</v>
      </c>
      <c r="I2098">
        <f ca="1" t="shared" si="98"/>
        <v>1</v>
      </c>
      <c r="J2098">
        <f>_xlfn.XLOOKUP($A2098,[1]Sheet1!$B$9:$B$2584,[1]Sheet1!$C$9:$C$2584,"N/A",0)</f>
        <v>107</v>
      </c>
      <c r="K2098">
        <f>_xlfn.XLOOKUP($A2098,[1]Sheet1!$E$9:$E$2584,[1]Sheet1!$F$9:$F$2584,"N/A",0)</f>
        <v>157.06</v>
      </c>
      <c r="L2098">
        <f>_xlfn.XLOOKUP($A2098,[1]Sheet1!$H$9:$H$2584,[1]Sheet1!$I$9:$I$2584,"N/A",0)</f>
        <v>65.13</v>
      </c>
      <c r="M2098">
        <f>_xlfn.XLOOKUP($A2098,[1]Sheet1!$K$9:$K$2584,[1]Sheet1!$L$9:$L$2584,"N/A",0)</f>
        <v>135.25</v>
      </c>
      <c r="N2098">
        <f>_xlfn.XLOOKUP($A2098,[1]Sheet1!$N$9:$N$2584,[1]Sheet1!$O$9:$O$2584,"N/A",0)</f>
        <v>125.51</v>
      </c>
      <c r="O2098">
        <v>107</v>
      </c>
      <c r="P2098">
        <v>157.06</v>
      </c>
      <c r="Q2098">
        <v>65.13</v>
      </c>
      <c r="R2098">
        <v>125.51</v>
      </c>
      <c r="S2098">
        <v>135.25</v>
      </c>
    </row>
    <row r="2099" spans="1:19">
      <c r="A2099" s="1">
        <v>45413</v>
      </c>
      <c r="B2099" t="s">
        <v>944</v>
      </c>
      <c r="C2099" t="s">
        <v>948</v>
      </c>
      <c r="D2099">
        <v>15.7081</v>
      </c>
      <c r="E2099">
        <v>16.0814</v>
      </c>
      <c r="F2099" s="2" t="s">
        <v>955</v>
      </c>
      <c r="G2099">
        <f ca="1" t="shared" si="96"/>
        <v>-1.32188926527128</v>
      </c>
      <c r="H2099" t="str">
        <f ca="1" t="shared" si="97"/>
        <v>Risk-On</v>
      </c>
      <c r="I2099">
        <f ca="1" t="shared" si="98"/>
        <v>1</v>
      </c>
      <c r="J2099">
        <f>_xlfn.XLOOKUP($A2099,[1]Sheet1!$B$9:$B$2584,[1]Sheet1!$C$9:$C$2584,"N/A",0)</f>
        <v>107.72</v>
      </c>
      <c r="K2099">
        <f>_xlfn.XLOOKUP($A2099,[1]Sheet1!$E$9:$E$2584,[1]Sheet1!$F$9:$F$2584,"N/A",0)</f>
        <v>156.39</v>
      </c>
      <c r="L2099">
        <f>_xlfn.XLOOKUP($A2099,[1]Sheet1!$H$9:$H$2584,[1]Sheet1!$I$9:$I$2584,"N/A",0)</f>
        <v>64.58</v>
      </c>
      <c r="M2099">
        <f>_xlfn.XLOOKUP($A2099,[1]Sheet1!$K$9:$K$2584,[1]Sheet1!$L$9:$L$2584,"N/A",0)</f>
        <v>135.74</v>
      </c>
      <c r="N2099">
        <f>_xlfn.XLOOKUP($A2099,[1]Sheet1!$N$9:$N$2584,[1]Sheet1!$O$9:$O$2584,"N/A",0)</f>
        <v>124.41</v>
      </c>
      <c r="O2099">
        <v>107.72</v>
      </c>
      <c r="P2099">
        <v>156.39</v>
      </c>
      <c r="Q2099">
        <v>64.58</v>
      </c>
      <c r="R2099">
        <v>124.41</v>
      </c>
      <c r="S2099">
        <v>135.74</v>
      </c>
    </row>
    <row r="2100" spans="1:19">
      <c r="A2100" s="1">
        <v>45414</v>
      </c>
      <c r="B2100" t="s">
        <v>944</v>
      </c>
      <c r="C2100" t="s">
        <v>948</v>
      </c>
      <c r="D2100">
        <v>15.1632</v>
      </c>
      <c r="E2100">
        <v>15.6452</v>
      </c>
      <c r="F2100">
        <v>0.0317874854911892</v>
      </c>
      <c r="G2100">
        <f ca="1" t="shared" si="96"/>
        <v>-1.0592087060432</v>
      </c>
      <c r="H2100" t="str">
        <f ca="1" t="shared" si="97"/>
        <v>Risk-On</v>
      </c>
      <c r="I2100">
        <f ca="1" t="shared" si="98"/>
        <v>1</v>
      </c>
      <c r="J2100">
        <f>_xlfn.XLOOKUP($A2100,[1]Sheet1!$B$9:$B$2584,[1]Sheet1!$C$9:$C$2584,"N/A",0)</f>
        <v>106.9</v>
      </c>
      <c r="K2100">
        <f>_xlfn.XLOOKUP($A2100,[1]Sheet1!$E$9:$E$2584,[1]Sheet1!$F$9:$F$2584,"N/A",0)</f>
        <v>156.59</v>
      </c>
      <c r="L2100">
        <f>_xlfn.XLOOKUP($A2100,[1]Sheet1!$H$9:$H$2584,[1]Sheet1!$I$9:$I$2584,"N/A",0)</f>
        <v>64.37</v>
      </c>
      <c r="M2100">
        <f>_xlfn.XLOOKUP($A2100,[1]Sheet1!$K$9:$K$2584,[1]Sheet1!$L$9:$L$2584,"N/A",0)</f>
        <v>134.82</v>
      </c>
      <c r="N2100">
        <f>_xlfn.XLOOKUP($A2100,[1]Sheet1!$N$9:$N$2584,[1]Sheet1!$O$9:$O$2584,"N/A",0)</f>
        <v>123.82</v>
      </c>
      <c r="O2100">
        <v>106.9</v>
      </c>
      <c r="P2100">
        <v>156.59</v>
      </c>
      <c r="Q2100">
        <v>64.37</v>
      </c>
      <c r="R2100">
        <v>123.82</v>
      </c>
      <c r="S2100">
        <v>134.82</v>
      </c>
    </row>
    <row r="2101" spans="1:19">
      <c r="A2101" s="1">
        <v>45415</v>
      </c>
      <c r="B2101" t="s">
        <v>944</v>
      </c>
      <c r="C2101" t="s">
        <v>948</v>
      </c>
      <c r="D2101">
        <v>14.5915</v>
      </c>
      <c r="E2101">
        <v>15.1674</v>
      </c>
      <c r="F2101">
        <v>0.0394681835315081</v>
      </c>
      <c r="G2101">
        <f ca="1" t="shared" si="96"/>
        <v>-0.800728680259845</v>
      </c>
      <c r="H2101" t="str">
        <f ca="1" t="shared" si="97"/>
        <v>Risk-On</v>
      </c>
      <c r="I2101">
        <f ca="1" t="shared" si="98"/>
        <v>1</v>
      </c>
      <c r="J2101">
        <f>_xlfn.XLOOKUP($A2101,[1]Sheet1!$B$9:$B$2584,[1]Sheet1!$C$9:$C$2584,"N/A",0)</f>
        <v>106.53</v>
      </c>
      <c r="K2101">
        <f>_xlfn.XLOOKUP($A2101,[1]Sheet1!$E$9:$E$2584,[1]Sheet1!$F$9:$F$2584,"N/A",0)</f>
        <v>156.92</v>
      </c>
      <c r="L2101">
        <f>_xlfn.XLOOKUP($A2101,[1]Sheet1!$H$9:$H$2584,[1]Sheet1!$I$9:$I$2584,"N/A",0)</f>
        <v>64.58</v>
      </c>
      <c r="M2101">
        <f>_xlfn.XLOOKUP($A2101,[1]Sheet1!$K$9:$K$2584,[1]Sheet1!$L$9:$L$2584,"N/A",0)</f>
        <v>135.83</v>
      </c>
      <c r="N2101">
        <f>_xlfn.XLOOKUP($A2101,[1]Sheet1!$N$9:$N$2584,[1]Sheet1!$O$9:$O$2584,"N/A",0)</f>
        <v>123.9</v>
      </c>
      <c r="O2101">
        <v>106.53</v>
      </c>
      <c r="P2101">
        <v>156.92</v>
      </c>
      <c r="Q2101">
        <v>64.58</v>
      </c>
      <c r="R2101">
        <v>123.9</v>
      </c>
      <c r="S2101">
        <v>135.83</v>
      </c>
    </row>
    <row r="2102" spans="1:19">
      <c r="A2102" s="1">
        <v>45418</v>
      </c>
      <c r="B2102" t="s">
        <v>944</v>
      </c>
      <c r="C2102" t="s">
        <v>948</v>
      </c>
      <c r="D2102">
        <v>14.1983</v>
      </c>
      <c r="E2102">
        <v>14.7946</v>
      </c>
      <c r="F2102" s="2" t="s">
        <v>956</v>
      </c>
      <c r="G2102">
        <f ca="1" t="shared" si="96"/>
        <v>-0.713711515261096</v>
      </c>
      <c r="H2102" t="str">
        <f ca="1" t="shared" si="97"/>
        <v>Risk-On</v>
      </c>
      <c r="I2102">
        <f ca="1" t="shared" si="98"/>
        <v>1</v>
      </c>
      <c r="J2102">
        <f>_xlfn.XLOOKUP($A2102,[1]Sheet1!$B$9:$B$2584,[1]Sheet1!$C$9:$C$2584,"N/A",0)</f>
        <v>106.71</v>
      </c>
      <c r="K2102">
        <f>_xlfn.XLOOKUP($A2102,[1]Sheet1!$E$9:$E$2584,[1]Sheet1!$F$9:$F$2584,"N/A",0)</f>
        <v>158.66</v>
      </c>
      <c r="L2102">
        <f>_xlfn.XLOOKUP($A2102,[1]Sheet1!$H$9:$H$2584,[1]Sheet1!$I$9:$I$2584,"N/A",0)</f>
        <v>64.67</v>
      </c>
      <c r="M2102">
        <f>_xlfn.XLOOKUP($A2102,[1]Sheet1!$K$9:$K$2584,[1]Sheet1!$L$9:$L$2584,"N/A",0)</f>
        <v>135.85</v>
      </c>
      <c r="N2102">
        <f>_xlfn.XLOOKUP($A2102,[1]Sheet1!$N$9:$N$2584,[1]Sheet1!$O$9:$O$2584,"N/A",0)</f>
        <v>123.88</v>
      </c>
      <c r="O2102">
        <v>106.71</v>
      </c>
      <c r="P2102">
        <v>158.66</v>
      </c>
      <c r="Q2102">
        <v>64.67</v>
      </c>
      <c r="R2102">
        <v>123.88</v>
      </c>
      <c r="S2102">
        <v>135.85</v>
      </c>
    </row>
    <row r="2103" spans="1:19">
      <c r="A2103" s="1">
        <v>45419</v>
      </c>
      <c r="B2103" t="s">
        <v>944</v>
      </c>
      <c r="C2103" t="s">
        <v>948</v>
      </c>
      <c r="D2103">
        <v>14.0973</v>
      </c>
      <c r="E2103">
        <v>14.7108</v>
      </c>
      <c r="F2103">
        <v>0.0435189717179885</v>
      </c>
      <c r="G2103">
        <f ca="1" t="shared" si="96"/>
        <v>-0.658794802669015</v>
      </c>
      <c r="H2103" t="str">
        <f ca="1" t="shared" si="97"/>
        <v>Risk-Off</v>
      </c>
      <c r="I2103">
        <f ca="1" t="shared" si="98"/>
        <v>1</v>
      </c>
      <c r="J2103">
        <f>_xlfn.XLOOKUP($A2103,[1]Sheet1!$B$9:$B$2584,[1]Sheet1!$C$9:$C$2584,"N/A",0)</f>
        <v>106.67</v>
      </c>
      <c r="K2103">
        <f>_xlfn.XLOOKUP($A2103,[1]Sheet1!$E$9:$E$2584,[1]Sheet1!$F$9:$F$2584,"N/A",0)</f>
        <v>157.63</v>
      </c>
      <c r="L2103">
        <f>_xlfn.XLOOKUP($A2103,[1]Sheet1!$H$9:$H$2584,[1]Sheet1!$I$9:$I$2584,"N/A",0)</f>
        <v>64.5</v>
      </c>
      <c r="M2103">
        <f>_xlfn.XLOOKUP($A2103,[1]Sheet1!$K$9:$K$2584,[1]Sheet1!$L$9:$L$2584,"N/A",0)</f>
        <v>135.86</v>
      </c>
      <c r="N2103">
        <f>_xlfn.XLOOKUP($A2103,[1]Sheet1!$N$9:$N$2584,[1]Sheet1!$O$9:$O$2584,"N/A",0)</f>
        <v>123.31</v>
      </c>
      <c r="O2103">
        <v>106.67</v>
      </c>
      <c r="P2103">
        <v>157.63</v>
      </c>
      <c r="Q2103">
        <v>64.5</v>
      </c>
      <c r="R2103">
        <v>123.31</v>
      </c>
      <c r="S2103">
        <v>135.86</v>
      </c>
    </row>
    <row r="2104" spans="1:19">
      <c r="A2104" s="1">
        <v>45420</v>
      </c>
      <c r="B2104" t="s">
        <v>944</v>
      </c>
      <c r="C2104" t="s">
        <v>948</v>
      </c>
      <c r="D2104">
        <v>13.9112</v>
      </c>
      <c r="E2104">
        <v>14.6128</v>
      </c>
      <c r="F2104">
        <v>0.0504341825291851</v>
      </c>
      <c r="G2104">
        <f ca="1" t="shared" si="96"/>
        <v>-0.429299054151942</v>
      </c>
      <c r="H2104" t="str">
        <f ca="1" t="shared" si="97"/>
        <v>Risk-On</v>
      </c>
      <c r="I2104">
        <f ca="1" t="shared" si="98"/>
        <v>1</v>
      </c>
      <c r="J2104">
        <f>_xlfn.XLOOKUP($A2104,[1]Sheet1!$B$9:$B$2584,[1]Sheet1!$C$9:$C$2584,"N/A",0)</f>
        <v>105.74</v>
      </c>
      <c r="K2104">
        <f>_xlfn.XLOOKUP($A2104,[1]Sheet1!$E$9:$E$2584,[1]Sheet1!$F$9:$F$2584,"N/A",0)</f>
        <v>158.2</v>
      </c>
      <c r="L2104">
        <f>_xlfn.XLOOKUP($A2104,[1]Sheet1!$H$9:$H$2584,[1]Sheet1!$I$9:$I$2584,"N/A",0)</f>
        <v>64.77</v>
      </c>
      <c r="M2104">
        <f>_xlfn.XLOOKUP($A2104,[1]Sheet1!$K$9:$K$2584,[1]Sheet1!$L$9:$L$2584,"N/A",0)</f>
        <v>136.48</v>
      </c>
      <c r="N2104">
        <f>_xlfn.XLOOKUP($A2104,[1]Sheet1!$N$9:$N$2584,[1]Sheet1!$O$9:$O$2584,"N/A",0)</f>
        <v>123.4</v>
      </c>
      <c r="O2104">
        <v>105.74</v>
      </c>
      <c r="P2104">
        <v>158.2</v>
      </c>
      <c r="Q2104">
        <v>64.77</v>
      </c>
      <c r="R2104">
        <v>123.4</v>
      </c>
      <c r="S2104">
        <v>136.48</v>
      </c>
    </row>
    <row r="2105" spans="1:19">
      <c r="A2105" s="1">
        <v>45421</v>
      </c>
      <c r="B2105" t="s">
        <v>944</v>
      </c>
      <c r="C2105" t="s">
        <v>948</v>
      </c>
      <c r="D2105">
        <v>13.8112</v>
      </c>
      <c r="E2105">
        <v>14.5709</v>
      </c>
      <c r="F2105" s="2" t="s">
        <v>957</v>
      </c>
      <c r="G2105">
        <f ca="1" t="shared" si="96"/>
        <v>-0.27756003779448</v>
      </c>
      <c r="H2105" t="str">
        <f ca="1" t="shared" si="97"/>
        <v>Risk-On</v>
      </c>
      <c r="I2105">
        <f ca="1" t="shared" si="98"/>
        <v>1</v>
      </c>
      <c r="J2105">
        <f>_xlfn.XLOOKUP($A2105,[1]Sheet1!$B$9:$B$2584,[1]Sheet1!$C$9:$C$2584,"N/A",0)</f>
        <v>105.62</v>
      </c>
      <c r="K2105">
        <f>_xlfn.XLOOKUP($A2105,[1]Sheet1!$E$9:$E$2584,[1]Sheet1!$F$9:$F$2584,"N/A",0)</f>
        <v>158.26</v>
      </c>
      <c r="L2105">
        <f>_xlfn.XLOOKUP($A2105,[1]Sheet1!$H$9:$H$2584,[1]Sheet1!$I$9:$I$2584,"N/A",0)</f>
        <v>64.74</v>
      </c>
      <c r="M2105">
        <f>_xlfn.XLOOKUP($A2105,[1]Sheet1!$K$9:$K$2584,[1]Sheet1!$L$9:$L$2584,"N/A",0)</f>
        <v>136.77</v>
      </c>
      <c r="N2105">
        <f>_xlfn.XLOOKUP($A2105,[1]Sheet1!$N$9:$N$2584,[1]Sheet1!$O$9:$O$2584,"N/A",0)</f>
        <v>123.2</v>
      </c>
      <c r="O2105">
        <v>105.62</v>
      </c>
      <c r="P2105">
        <v>158.26</v>
      </c>
      <c r="Q2105">
        <v>64.74</v>
      </c>
      <c r="R2105">
        <v>123.2</v>
      </c>
      <c r="S2105">
        <v>136.77</v>
      </c>
    </row>
    <row r="2106" spans="1:19">
      <c r="A2106" s="1">
        <v>45422</v>
      </c>
      <c r="B2106" t="s">
        <v>944</v>
      </c>
      <c r="C2106" t="s">
        <v>948</v>
      </c>
      <c r="D2106">
        <v>13.5511</v>
      </c>
      <c r="E2106">
        <v>14.3785</v>
      </c>
      <c r="F2106">
        <v>0.0610577739076533</v>
      </c>
      <c r="G2106">
        <f ca="1" t="shared" si="96"/>
        <v>-0.0716671128914636</v>
      </c>
      <c r="H2106" t="str">
        <f ca="1" t="shared" si="97"/>
        <v>Risk-On</v>
      </c>
      <c r="I2106">
        <f ca="1" t="shared" si="98"/>
        <v>1</v>
      </c>
      <c r="J2106">
        <f>_xlfn.XLOOKUP($A2106,[1]Sheet1!$B$9:$B$2584,[1]Sheet1!$C$9:$C$2584,"N/A",0)</f>
        <v>105.96</v>
      </c>
      <c r="K2106">
        <f>_xlfn.XLOOKUP($A2106,[1]Sheet1!$E$9:$E$2584,[1]Sheet1!$F$9:$F$2584,"N/A",0)</f>
        <v>158.19</v>
      </c>
      <c r="L2106">
        <f>_xlfn.XLOOKUP($A2106,[1]Sheet1!$H$9:$H$2584,[1]Sheet1!$I$9:$I$2584,"N/A",0)</f>
        <v>64.93</v>
      </c>
      <c r="M2106">
        <f>_xlfn.XLOOKUP($A2106,[1]Sheet1!$K$9:$K$2584,[1]Sheet1!$L$9:$L$2584,"N/A",0)</f>
        <v>136.3</v>
      </c>
      <c r="N2106">
        <f>_xlfn.XLOOKUP($A2106,[1]Sheet1!$N$9:$N$2584,[1]Sheet1!$O$9:$O$2584,"N/A",0)</f>
        <v>123.54</v>
      </c>
      <c r="O2106">
        <v>105.96</v>
      </c>
      <c r="P2106">
        <v>158.19</v>
      </c>
      <c r="Q2106">
        <v>64.93</v>
      </c>
      <c r="R2106">
        <v>123.54</v>
      </c>
      <c r="S2106">
        <v>136.3</v>
      </c>
    </row>
    <row r="2107" spans="1:19">
      <c r="A2107" s="1">
        <v>45425</v>
      </c>
      <c r="B2107" t="s">
        <v>944</v>
      </c>
      <c r="C2107" t="s">
        <v>948</v>
      </c>
      <c r="D2107">
        <v>13.8191</v>
      </c>
      <c r="E2107">
        <v>14.5261</v>
      </c>
      <c r="F2107">
        <v>0.0511610741654665</v>
      </c>
      <c r="G2107">
        <f ca="1" t="shared" si="96"/>
        <v>-0.397837280130058</v>
      </c>
      <c r="H2107" t="str">
        <f ca="1" t="shared" si="97"/>
        <v>Risk-On</v>
      </c>
      <c r="I2107">
        <f ca="1" t="shared" si="98"/>
        <v>1</v>
      </c>
      <c r="J2107">
        <f>_xlfn.XLOOKUP($A2107,[1]Sheet1!$B$9:$B$2584,[1]Sheet1!$C$9:$C$2584,"N/A",0)</f>
        <v>104.83</v>
      </c>
      <c r="K2107">
        <f>_xlfn.XLOOKUP($A2107,[1]Sheet1!$E$9:$E$2584,[1]Sheet1!$F$9:$F$2584,"N/A",0)</f>
        <v>155.87</v>
      </c>
      <c r="L2107">
        <f>_xlfn.XLOOKUP($A2107,[1]Sheet1!$H$9:$H$2584,[1]Sheet1!$I$9:$I$2584,"N/A",0)</f>
        <v>65.18</v>
      </c>
      <c r="M2107">
        <f>_xlfn.XLOOKUP($A2107,[1]Sheet1!$K$9:$K$2584,[1]Sheet1!$L$9:$L$2584,"N/A",0)</f>
        <v>135.89</v>
      </c>
      <c r="N2107">
        <f>_xlfn.XLOOKUP($A2107,[1]Sheet1!$N$9:$N$2584,[1]Sheet1!$O$9:$O$2584,"N/A",0)</f>
        <v>123.82</v>
      </c>
      <c r="O2107">
        <v>104.83</v>
      </c>
      <c r="P2107">
        <v>155.87</v>
      </c>
      <c r="Q2107">
        <v>65.18</v>
      </c>
      <c r="R2107">
        <v>123.82</v>
      </c>
      <c r="S2107">
        <v>135.89</v>
      </c>
    </row>
    <row r="2108" spans="1:19">
      <c r="A2108" s="1">
        <v>45426</v>
      </c>
      <c r="B2108" t="s">
        <v>944</v>
      </c>
      <c r="C2108" t="s">
        <v>948</v>
      </c>
      <c r="D2108">
        <v>13.5162</v>
      </c>
      <c r="E2108">
        <v>14.2591</v>
      </c>
      <c r="F2108" s="2" t="s">
        <v>958</v>
      </c>
      <c r="G2108">
        <f ca="1" t="shared" si="96"/>
        <v>-0.27066985685749</v>
      </c>
      <c r="H2108" t="str">
        <f ca="1" t="shared" si="97"/>
        <v>Risk-On</v>
      </c>
      <c r="I2108">
        <f ca="1" t="shared" si="98"/>
        <v>1</v>
      </c>
      <c r="J2108">
        <f>_xlfn.XLOOKUP($A2108,[1]Sheet1!$B$9:$B$2584,[1]Sheet1!$C$9:$C$2584,"N/A",0)</f>
        <v>103.61</v>
      </c>
      <c r="K2108">
        <f>_xlfn.XLOOKUP($A2108,[1]Sheet1!$E$9:$E$2584,[1]Sheet1!$F$9:$F$2584,"N/A",0)</f>
        <v>155.91</v>
      </c>
      <c r="L2108">
        <f>_xlfn.XLOOKUP($A2108,[1]Sheet1!$H$9:$H$2584,[1]Sheet1!$I$9:$I$2584,"N/A",0)</f>
        <v>65.08</v>
      </c>
      <c r="M2108">
        <f>_xlfn.XLOOKUP($A2108,[1]Sheet1!$K$9:$K$2584,[1]Sheet1!$L$9:$L$2584,"N/A",0)</f>
        <v>135.59</v>
      </c>
      <c r="N2108">
        <f>_xlfn.XLOOKUP($A2108,[1]Sheet1!$N$9:$N$2584,[1]Sheet1!$O$9:$O$2584,"N/A",0)</f>
        <v>123.25</v>
      </c>
      <c r="O2108">
        <v>103.61</v>
      </c>
      <c r="P2108">
        <v>155.91</v>
      </c>
      <c r="Q2108">
        <v>65.08</v>
      </c>
      <c r="R2108">
        <v>123.25</v>
      </c>
      <c r="S2108">
        <v>135.59</v>
      </c>
    </row>
    <row r="2109" spans="1:19">
      <c r="A2109" s="1">
        <v>45427</v>
      </c>
      <c r="B2109" t="s">
        <v>944</v>
      </c>
      <c r="C2109" t="s">
        <v>948</v>
      </c>
      <c r="D2109">
        <v>12.879</v>
      </c>
      <c r="E2109">
        <v>13.7759</v>
      </c>
      <c r="F2109">
        <v>0.0696405000388229</v>
      </c>
      <c r="G2109">
        <f ca="1" t="shared" si="96"/>
        <v>0.21465323404304</v>
      </c>
      <c r="H2109" t="str">
        <f ca="1" t="shared" si="97"/>
        <v>Risk-On</v>
      </c>
      <c r="I2109">
        <f ca="1" t="shared" si="98"/>
        <v>1</v>
      </c>
      <c r="J2109">
        <f>_xlfn.XLOOKUP($A2109,[1]Sheet1!$B$9:$B$2584,[1]Sheet1!$C$9:$C$2584,"N/A",0)</f>
        <v>104.22</v>
      </c>
      <c r="K2109">
        <f>_xlfn.XLOOKUP($A2109,[1]Sheet1!$E$9:$E$2584,[1]Sheet1!$F$9:$F$2584,"N/A",0)</f>
        <v>158.87</v>
      </c>
      <c r="L2109">
        <f>_xlfn.XLOOKUP($A2109,[1]Sheet1!$H$9:$H$2584,[1]Sheet1!$I$9:$I$2584,"N/A",0)</f>
        <v>64.82</v>
      </c>
      <c r="M2109">
        <f>_xlfn.XLOOKUP($A2109,[1]Sheet1!$K$9:$K$2584,[1]Sheet1!$L$9:$L$2584,"N/A",0)</f>
        <v>136.03</v>
      </c>
      <c r="N2109">
        <f>_xlfn.XLOOKUP($A2109,[1]Sheet1!$N$9:$N$2584,[1]Sheet1!$O$9:$O$2584,"N/A",0)</f>
        <v>123.82</v>
      </c>
      <c r="O2109">
        <v>104.22</v>
      </c>
      <c r="P2109">
        <v>158.87</v>
      </c>
      <c r="Q2109">
        <v>64.82</v>
      </c>
      <c r="R2109">
        <v>123.82</v>
      </c>
      <c r="S2109">
        <v>136.03</v>
      </c>
    </row>
    <row r="2110" spans="1:19">
      <c r="A2110" s="1">
        <v>45428</v>
      </c>
      <c r="B2110" t="s">
        <v>944</v>
      </c>
      <c r="C2110" t="s">
        <v>948</v>
      </c>
      <c r="D2110">
        <v>12.8347</v>
      </c>
      <c r="E2110">
        <v>13.7394</v>
      </c>
      <c r="F2110">
        <v>0.0704885973182076</v>
      </c>
      <c r="G2110">
        <f ca="1" t="shared" si="96"/>
        <v>0.242090978190228</v>
      </c>
      <c r="H2110" t="str">
        <f ca="1" t="shared" si="97"/>
        <v>Risk-On</v>
      </c>
      <c r="I2110">
        <f ca="1" t="shared" si="98"/>
        <v>1</v>
      </c>
      <c r="J2110">
        <f>_xlfn.XLOOKUP($A2110,[1]Sheet1!$B$9:$B$2584,[1]Sheet1!$C$9:$C$2584,"N/A",0)</f>
        <v>104.68</v>
      </c>
      <c r="K2110">
        <f>_xlfn.XLOOKUP($A2110,[1]Sheet1!$E$9:$E$2584,[1]Sheet1!$F$9:$F$2584,"N/A",0)</f>
        <v>156.56</v>
      </c>
      <c r="L2110">
        <f>_xlfn.XLOOKUP($A2110,[1]Sheet1!$H$9:$H$2584,[1]Sheet1!$I$9:$I$2584,"N/A",0)</f>
        <v>64.75</v>
      </c>
      <c r="M2110">
        <f>_xlfn.XLOOKUP($A2110,[1]Sheet1!$K$9:$K$2584,[1]Sheet1!$L$9:$L$2584,"N/A",0)</f>
        <v>135.81</v>
      </c>
      <c r="N2110">
        <f>_xlfn.XLOOKUP($A2110,[1]Sheet1!$N$9:$N$2584,[1]Sheet1!$O$9:$O$2584,"N/A",0)</f>
        <v>123.48</v>
      </c>
      <c r="O2110">
        <v>104.68</v>
      </c>
      <c r="P2110">
        <v>156.56</v>
      </c>
      <c r="Q2110">
        <v>64.75</v>
      </c>
      <c r="R2110">
        <v>123.48</v>
      </c>
      <c r="S2110">
        <v>135.81</v>
      </c>
    </row>
    <row r="2111" spans="1:19">
      <c r="A2111" s="1">
        <v>45429</v>
      </c>
      <c r="B2111" t="s">
        <v>944</v>
      </c>
      <c r="C2111" t="s">
        <v>948</v>
      </c>
      <c r="D2111">
        <v>12.6503</v>
      </c>
      <c r="E2111">
        <v>13.6146</v>
      </c>
      <c r="F2111">
        <v>0.0762274412464526</v>
      </c>
      <c r="G2111">
        <f ca="1" t="shared" si="96"/>
        <v>0.432196791856011</v>
      </c>
      <c r="H2111" t="str">
        <f ca="1" t="shared" si="97"/>
        <v>Risk-On</v>
      </c>
      <c r="I2111">
        <f ca="1" t="shared" si="98"/>
        <v>1</v>
      </c>
      <c r="J2111">
        <f>_xlfn.XLOOKUP($A2111,[1]Sheet1!$B$9:$B$2584,[1]Sheet1!$C$9:$C$2584,"N/A",0)</f>
        <v>104.9</v>
      </c>
      <c r="K2111">
        <f>_xlfn.XLOOKUP($A2111,[1]Sheet1!$E$9:$E$2584,[1]Sheet1!$F$9:$F$2584,"N/A",0)</f>
        <v>156.95</v>
      </c>
      <c r="L2111">
        <f>_xlfn.XLOOKUP($A2111,[1]Sheet1!$H$9:$H$2584,[1]Sheet1!$I$9:$I$2584,"N/A",0)</f>
        <v>64.7</v>
      </c>
      <c r="M2111">
        <f>_xlfn.XLOOKUP($A2111,[1]Sheet1!$K$9:$K$2584,[1]Sheet1!$L$9:$L$2584,"N/A",0)</f>
        <v>135.22</v>
      </c>
      <c r="N2111">
        <f>_xlfn.XLOOKUP($A2111,[1]Sheet1!$N$9:$N$2584,[1]Sheet1!$O$9:$O$2584,"N/A",0)</f>
        <v>124.05</v>
      </c>
      <c r="O2111">
        <v>104.9</v>
      </c>
      <c r="P2111">
        <v>156.95</v>
      </c>
      <c r="Q2111">
        <v>64.7</v>
      </c>
      <c r="R2111">
        <v>124.05</v>
      </c>
      <c r="S2111">
        <v>135.22</v>
      </c>
    </row>
    <row r="2112" spans="1:19">
      <c r="A2112" s="1">
        <v>45432</v>
      </c>
      <c r="B2112" t="s">
        <v>944</v>
      </c>
      <c r="C2112" t="s">
        <v>948</v>
      </c>
      <c r="D2112">
        <v>12.5725</v>
      </c>
      <c r="E2112">
        <v>13.6021</v>
      </c>
      <c r="F2112">
        <v>0.081893020481209</v>
      </c>
      <c r="G2112">
        <f ca="1" t="shared" si="96"/>
        <v>0.663868920332963</v>
      </c>
      <c r="H2112" t="str">
        <f ca="1" t="shared" si="97"/>
        <v>Risk-On</v>
      </c>
      <c r="I2112">
        <f ca="1" t="shared" si="98"/>
        <v>1</v>
      </c>
      <c r="J2112">
        <f>_xlfn.XLOOKUP($A2112,[1]Sheet1!$B$9:$B$2584,[1]Sheet1!$C$9:$C$2584,"N/A",0)</f>
        <v>104.7</v>
      </c>
      <c r="K2112">
        <f>_xlfn.XLOOKUP($A2112,[1]Sheet1!$E$9:$E$2584,[1]Sheet1!$F$9:$F$2584,"N/A",0)</f>
        <v>157.8</v>
      </c>
      <c r="L2112">
        <f>_xlfn.XLOOKUP($A2112,[1]Sheet1!$H$9:$H$2584,[1]Sheet1!$I$9:$I$2584,"N/A",0)</f>
        <v>64.48</v>
      </c>
      <c r="M2112">
        <f>_xlfn.XLOOKUP($A2112,[1]Sheet1!$K$9:$K$2584,[1]Sheet1!$L$9:$L$2584,"N/A",0)</f>
        <v>134.93</v>
      </c>
      <c r="N2112">
        <f>_xlfn.XLOOKUP($A2112,[1]Sheet1!$N$9:$N$2584,[1]Sheet1!$O$9:$O$2584,"N/A",0)</f>
        <v>123.32</v>
      </c>
      <c r="O2112">
        <v>104.7</v>
      </c>
      <c r="P2112">
        <v>157.8</v>
      </c>
      <c r="Q2112">
        <v>64.48</v>
      </c>
      <c r="R2112">
        <v>123.32</v>
      </c>
      <c r="S2112">
        <v>134.93</v>
      </c>
    </row>
    <row r="2113" spans="1:19">
      <c r="A2113" s="1">
        <v>45433</v>
      </c>
      <c r="B2113" t="s">
        <v>944</v>
      </c>
      <c r="C2113" t="s">
        <v>948</v>
      </c>
      <c r="D2113">
        <v>12.1979</v>
      </c>
      <c r="E2113">
        <v>13.3887</v>
      </c>
      <c r="F2113">
        <v>0.0976233613982734</v>
      </c>
      <c r="G2113">
        <f ca="1" t="shared" si="96"/>
        <v>1.21282032316944</v>
      </c>
      <c r="H2113" t="str">
        <f ca="1" t="shared" si="97"/>
        <v>Risk-On</v>
      </c>
      <c r="I2113">
        <f ca="1" t="shared" si="98"/>
        <v>1</v>
      </c>
      <c r="J2113">
        <f>_xlfn.XLOOKUP($A2113,[1]Sheet1!$B$9:$B$2584,[1]Sheet1!$C$9:$C$2584,"N/A",0)</f>
        <v>105.31</v>
      </c>
      <c r="K2113">
        <f>_xlfn.XLOOKUP($A2113,[1]Sheet1!$E$9:$E$2584,[1]Sheet1!$F$9:$F$2584,"N/A",0)</f>
        <v>158.79</v>
      </c>
      <c r="L2113">
        <f>_xlfn.XLOOKUP($A2113,[1]Sheet1!$H$9:$H$2584,[1]Sheet1!$I$9:$I$2584,"N/A",0)</f>
        <v>64.62</v>
      </c>
      <c r="M2113">
        <f>_xlfn.XLOOKUP($A2113,[1]Sheet1!$K$9:$K$2584,[1]Sheet1!$L$9:$L$2584,"N/A",0)</f>
        <v>134.68</v>
      </c>
      <c r="N2113">
        <f>_xlfn.XLOOKUP($A2113,[1]Sheet1!$N$9:$N$2584,[1]Sheet1!$O$9:$O$2584,"N/A",0)</f>
        <v>123.56</v>
      </c>
      <c r="O2113">
        <v>105.31</v>
      </c>
      <c r="P2113">
        <v>158.79</v>
      </c>
      <c r="Q2113">
        <v>64.62</v>
      </c>
      <c r="R2113">
        <v>123.56</v>
      </c>
      <c r="S2113">
        <v>134.68</v>
      </c>
    </row>
    <row r="2114" spans="1:19">
      <c r="A2114" s="1">
        <v>45434</v>
      </c>
      <c r="B2114" t="s">
        <v>944</v>
      </c>
      <c r="C2114" t="s">
        <v>948</v>
      </c>
      <c r="D2114">
        <v>12</v>
      </c>
      <c r="E2114">
        <v>13.6649</v>
      </c>
      <c r="F2114" s="2" t="s">
        <v>959</v>
      </c>
      <c r="G2114">
        <f ca="1" t="shared" si="96"/>
        <v>2.63372368546713</v>
      </c>
      <c r="H2114" t="str">
        <f ca="1" t="shared" si="97"/>
        <v>Risk-On</v>
      </c>
      <c r="I2114">
        <f ca="1" t="shared" si="98"/>
        <v>1</v>
      </c>
      <c r="J2114">
        <f>_xlfn.XLOOKUP($A2114,[1]Sheet1!$B$9:$B$2584,[1]Sheet1!$C$9:$C$2584,"N/A",0)</f>
        <v>105.52</v>
      </c>
      <c r="K2114">
        <f>_xlfn.XLOOKUP($A2114,[1]Sheet1!$E$9:$E$2584,[1]Sheet1!$F$9:$F$2584,"N/A",0)</f>
        <v>156.6</v>
      </c>
      <c r="L2114">
        <f>_xlfn.XLOOKUP($A2114,[1]Sheet1!$H$9:$H$2584,[1]Sheet1!$I$9:$I$2584,"N/A",0)</f>
        <v>64.8</v>
      </c>
      <c r="M2114">
        <f>_xlfn.XLOOKUP($A2114,[1]Sheet1!$K$9:$K$2584,[1]Sheet1!$L$9:$L$2584,"N/A",0)</f>
        <v>134.4</v>
      </c>
      <c r="N2114">
        <f>_xlfn.XLOOKUP($A2114,[1]Sheet1!$N$9:$N$2584,[1]Sheet1!$O$9:$O$2584,"N/A",0)</f>
        <v>124.25</v>
      </c>
      <c r="O2114">
        <v>105.52</v>
      </c>
      <c r="P2114">
        <v>156.6</v>
      </c>
      <c r="Q2114">
        <v>64.8</v>
      </c>
      <c r="R2114">
        <v>124.25</v>
      </c>
      <c r="S2114">
        <v>134.4</v>
      </c>
    </row>
    <row r="2115" spans="1:19">
      <c r="A2115" s="1">
        <v>45435</v>
      </c>
      <c r="B2115" t="s">
        <v>948</v>
      </c>
      <c r="C2115" t="s">
        <v>960</v>
      </c>
      <c r="D2115">
        <v>13.8561</v>
      </c>
      <c r="E2115">
        <v>14.6702</v>
      </c>
      <c r="F2115" s="2" t="s">
        <v>961</v>
      </c>
      <c r="G2115">
        <f ca="1" t="shared" ref="G2115:G2178" si="99">IF(ROW()-ROW($A$3)+1&gt;252,(F2115-AVERAGE(OFFSET(F2115,-252,0,252,1)))/_xlfn.STDEV.S(OFFSET(F2115,-252,0,252,1)),"N/A")</f>
        <v>-0.127830525908783</v>
      </c>
      <c r="H2115" t="str">
        <f ca="1" t="shared" ref="H2115:H2178" si="100">IF(G2115&lt;&gt;"N/A",IF(G2365&gt;-0.5,"Risk-On","Risk-Off"),"N/A")</f>
        <v>Risk-On</v>
      </c>
      <c r="I2115">
        <f ca="1" t="shared" si="98"/>
        <v>1</v>
      </c>
      <c r="J2115">
        <f>_xlfn.XLOOKUP($A2115,[1]Sheet1!$B$9:$B$2584,[1]Sheet1!$C$9:$C$2584,"N/A",0)</f>
        <v>105.72</v>
      </c>
      <c r="K2115">
        <f>_xlfn.XLOOKUP($A2115,[1]Sheet1!$E$9:$E$2584,[1]Sheet1!$F$9:$F$2584,"N/A",0)</f>
        <v>159.66</v>
      </c>
      <c r="L2115">
        <f>_xlfn.XLOOKUP($A2115,[1]Sheet1!$H$9:$H$2584,[1]Sheet1!$I$9:$I$2584,"N/A",0)</f>
        <v>64.8</v>
      </c>
      <c r="M2115">
        <f>_xlfn.XLOOKUP($A2115,[1]Sheet1!$K$9:$K$2584,[1]Sheet1!$L$9:$L$2584,"N/A",0)</f>
        <v>134.77</v>
      </c>
      <c r="N2115">
        <f>_xlfn.XLOOKUP($A2115,[1]Sheet1!$N$9:$N$2584,[1]Sheet1!$O$9:$O$2584,"N/A",0)</f>
        <v>124.37</v>
      </c>
      <c r="O2115">
        <v>105.72</v>
      </c>
      <c r="P2115">
        <v>159.66</v>
      </c>
      <c r="Q2115">
        <v>64.8</v>
      </c>
      <c r="R2115">
        <v>124.37</v>
      </c>
      <c r="S2115">
        <v>134.77</v>
      </c>
    </row>
    <row r="2116" spans="1:19">
      <c r="A2116" s="1">
        <v>45436</v>
      </c>
      <c r="B2116" t="s">
        <v>948</v>
      </c>
      <c r="C2116" t="s">
        <v>960</v>
      </c>
      <c r="D2116">
        <v>13.4272</v>
      </c>
      <c r="E2116">
        <v>14.3147</v>
      </c>
      <c r="F2116">
        <v>0.0660971758817922</v>
      </c>
      <c r="G2116">
        <f ca="1" t="shared" si="99"/>
        <v>0.129667267967625</v>
      </c>
      <c r="H2116" t="str">
        <f ca="1" t="shared" si="100"/>
        <v>Risk-On</v>
      </c>
      <c r="I2116">
        <f ca="1" t="shared" ref="I2116:I2179" si="101">IF(H2116&lt;&gt;"N/A",IF(H2366&gt;-0.5,1,0),0)</f>
        <v>1</v>
      </c>
      <c r="J2116">
        <f>_xlfn.XLOOKUP($A2116,[1]Sheet1!$B$9:$B$2584,[1]Sheet1!$C$9:$C$2584,"N/A",0)</f>
        <v>106.06</v>
      </c>
      <c r="K2116">
        <f>_xlfn.XLOOKUP($A2116,[1]Sheet1!$E$9:$E$2584,[1]Sheet1!$F$9:$F$2584,"N/A",0)</f>
        <v>161.44</v>
      </c>
      <c r="L2116">
        <f>_xlfn.XLOOKUP($A2116,[1]Sheet1!$H$9:$H$2584,[1]Sheet1!$I$9:$I$2584,"N/A",0)</f>
        <v>64.73</v>
      </c>
      <c r="M2116">
        <f>_xlfn.XLOOKUP($A2116,[1]Sheet1!$K$9:$K$2584,[1]Sheet1!$L$9:$L$2584,"N/A",0)</f>
        <v>134.46</v>
      </c>
      <c r="N2116">
        <f>_xlfn.XLOOKUP($A2116,[1]Sheet1!$N$9:$N$2584,[1]Sheet1!$O$9:$O$2584,"N/A",0)</f>
        <v>124.03</v>
      </c>
      <c r="O2116">
        <v>106.06</v>
      </c>
      <c r="P2116">
        <v>161.44</v>
      </c>
      <c r="Q2116">
        <v>64.73</v>
      </c>
      <c r="R2116">
        <v>124.03</v>
      </c>
      <c r="S2116">
        <v>134.46</v>
      </c>
    </row>
    <row r="2117" spans="1:19">
      <c r="A2117" s="1">
        <v>45440</v>
      </c>
      <c r="B2117" t="s">
        <v>948</v>
      </c>
      <c r="C2117" t="s">
        <v>960</v>
      </c>
      <c r="D2117">
        <v>13.7256</v>
      </c>
      <c r="E2117">
        <v>14.5635</v>
      </c>
      <c r="F2117">
        <v>0.0610465116279069</v>
      </c>
      <c r="G2117">
        <f ca="1" t="shared" si="99"/>
        <v>-0.0464871007948542</v>
      </c>
      <c r="H2117" t="str">
        <f ca="1" t="shared" si="100"/>
        <v>Risk-On</v>
      </c>
      <c r="I2117">
        <f ca="1" t="shared" si="101"/>
        <v>1</v>
      </c>
      <c r="J2117">
        <f>_xlfn.XLOOKUP($A2117,[1]Sheet1!$B$9:$B$2584,[1]Sheet1!$C$9:$C$2584,"N/A",0)</f>
        <v>106.04</v>
      </c>
      <c r="K2117">
        <f>_xlfn.XLOOKUP($A2117,[1]Sheet1!$E$9:$E$2584,[1]Sheet1!$F$9:$F$2584,"N/A",0)</f>
        <v>161.65</v>
      </c>
      <c r="L2117">
        <f>_xlfn.XLOOKUP($A2117,[1]Sheet1!$H$9:$H$2584,[1]Sheet1!$I$9:$I$2584,"N/A",0)</f>
        <v>65.16</v>
      </c>
      <c r="M2117">
        <f>_xlfn.XLOOKUP($A2117,[1]Sheet1!$K$9:$K$2584,[1]Sheet1!$L$9:$L$2584,"N/A",0)</f>
        <v>133.85</v>
      </c>
      <c r="N2117">
        <f>_xlfn.XLOOKUP($A2117,[1]Sheet1!$N$9:$N$2584,[1]Sheet1!$O$9:$O$2584,"N/A",0)</f>
        <v>124.01</v>
      </c>
      <c r="O2117">
        <v>106.04</v>
      </c>
      <c r="P2117">
        <v>161.65</v>
      </c>
      <c r="Q2117">
        <v>65.16</v>
      </c>
      <c r="R2117">
        <v>124.01</v>
      </c>
      <c r="S2117">
        <v>133.85</v>
      </c>
    </row>
    <row r="2118" spans="1:19">
      <c r="A2118" s="1">
        <v>45441</v>
      </c>
      <c r="B2118" t="s">
        <v>948</v>
      </c>
      <c r="C2118" t="s">
        <v>960</v>
      </c>
      <c r="D2118">
        <v>14.3394</v>
      </c>
      <c r="E2118">
        <v>14.9519</v>
      </c>
      <c r="F2118">
        <v>0.0427144789879632</v>
      </c>
      <c r="G2118">
        <f ca="1" t="shared" si="99"/>
        <v>-0.67798742173542</v>
      </c>
      <c r="H2118" t="str">
        <f ca="1" t="shared" si="100"/>
        <v>Risk-On</v>
      </c>
      <c r="I2118">
        <f ca="1" t="shared" si="101"/>
        <v>1</v>
      </c>
      <c r="J2118">
        <f>_xlfn.XLOOKUP($A2118,[1]Sheet1!$B$9:$B$2584,[1]Sheet1!$C$9:$C$2584,"N/A",0)</f>
        <v>106.37</v>
      </c>
      <c r="K2118">
        <f>_xlfn.XLOOKUP($A2118,[1]Sheet1!$E$9:$E$2584,[1]Sheet1!$F$9:$F$2584,"N/A",0)</f>
        <v>163</v>
      </c>
      <c r="L2118">
        <f>_xlfn.XLOOKUP($A2118,[1]Sheet1!$H$9:$H$2584,[1]Sheet1!$I$9:$I$2584,"N/A",0)</f>
        <v>64.59</v>
      </c>
      <c r="M2118">
        <f>_xlfn.XLOOKUP($A2118,[1]Sheet1!$K$9:$K$2584,[1]Sheet1!$L$9:$L$2584,"N/A",0)</f>
        <v>133.71</v>
      </c>
      <c r="N2118">
        <f>_xlfn.XLOOKUP($A2118,[1]Sheet1!$N$9:$N$2584,[1]Sheet1!$O$9:$O$2584,"N/A",0)</f>
        <v>123.91</v>
      </c>
      <c r="O2118">
        <v>106.37</v>
      </c>
      <c r="P2118">
        <v>163</v>
      </c>
      <c r="Q2118">
        <v>64.59</v>
      </c>
      <c r="R2118">
        <v>123.91</v>
      </c>
      <c r="S2118">
        <v>133.71</v>
      </c>
    </row>
    <row r="2119" spans="1:19">
      <c r="A2119" s="1">
        <v>45442</v>
      </c>
      <c r="B2119" t="s">
        <v>948</v>
      </c>
      <c r="C2119" t="s">
        <v>960</v>
      </c>
      <c r="D2119">
        <v>14.2928</v>
      </c>
      <c r="E2119">
        <v>14.903</v>
      </c>
      <c r="F2119">
        <v>0.0426928243591179</v>
      </c>
      <c r="G2119">
        <f ca="1" t="shared" si="99"/>
        <v>-0.671271074632946</v>
      </c>
      <c r="H2119" t="str">
        <f ca="1" t="shared" si="100"/>
        <v>Risk-On</v>
      </c>
      <c r="I2119">
        <f ca="1" t="shared" si="101"/>
        <v>1</v>
      </c>
      <c r="J2119">
        <f>_xlfn.XLOOKUP($A2119,[1]Sheet1!$B$9:$B$2584,[1]Sheet1!$C$9:$C$2584,"N/A",0)</f>
        <v>106.03</v>
      </c>
      <c r="K2119">
        <f>_xlfn.XLOOKUP($A2119,[1]Sheet1!$E$9:$E$2584,[1]Sheet1!$F$9:$F$2584,"N/A",0)</f>
        <v>161.7</v>
      </c>
      <c r="L2119">
        <f>_xlfn.XLOOKUP($A2119,[1]Sheet1!$H$9:$H$2584,[1]Sheet1!$I$9:$I$2584,"N/A",0)</f>
        <v>64.98</v>
      </c>
      <c r="M2119">
        <f>_xlfn.XLOOKUP($A2119,[1]Sheet1!$K$9:$K$2584,[1]Sheet1!$L$9:$L$2584,"N/A",0)</f>
        <v>133.6</v>
      </c>
      <c r="N2119">
        <f>_xlfn.XLOOKUP($A2119,[1]Sheet1!$N$9:$N$2584,[1]Sheet1!$O$9:$O$2584,"N/A",0)</f>
        <v>123.09</v>
      </c>
      <c r="O2119">
        <v>106.03</v>
      </c>
      <c r="P2119">
        <v>161.7</v>
      </c>
      <c r="Q2119">
        <v>64.98</v>
      </c>
      <c r="R2119">
        <v>123.09</v>
      </c>
      <c r="S2119">
        <v>133.6</v>
      </c>
    </row>
    <row r="2120" spans="1:19">
      <c r="A2120" s="1">
        <v>45443</v>
      </c>
      <c r="B2120" t="s">
        <v>948</v>
      </c>
      <c r="C2120" t="s">
        <v>960</v>
      </c>
      <c r="D2120">
        <v>13.7896</v>
      </c>
      <c r="E2120">
        <v>14.5813</v>
      </c>
      <c r="F2120">
        <v>0.0574128328595463</v>
      </c>
      <c r="G2120">
        <f ca="1" t="shared" si="99"/>
        <v>-0.153784039911019</v>
      </c>
      <c r="H2120" t="str">
        <f ca="1" t="shared" si="100"/>
        <v>Risk-On</v>
      </c>
      <c r="I2120">
        <f ca="1" t="shared" si="101"/>
        <v>1</v>
      </c>
      <c r="J2120">
        <f>_xlfn.XLOOKUP($A2120,[1]Sheet1!$B$9:$B$2584,[1]Sheet1!$C$9:$C$2584,"N/A",0)</f>
        <v>105.71</v>
      </c>
      <c r="K2120">
        <f>_xlfn.XLOOKUP($A2120,[1]Sheet1!$E$9:$E$2584,[1]Sheet1!$F$9:$F$2584,"N/A",0)</f>
        <v>159.82</v>
      </c>
      <c r="L2120">
        <f>_xlfn.XLOOKUP($A2120,[1]Sheet1!$H$9:$H$2584,[1]Sheet1!$I$9:$I$2584,"N/A",0)</f>
        <v>65.55</v>
      </c>
      <c r="M2120">
        <f>_xlfn.XLOOKUP($A2120,[1]Sheet1!$K$9:$K$2584,[1]Sheet1!$L$9:$L$2584,"N/A",0)</f>
        <v>134.04</v>
      </c>
      <c r="N2120">
        <f>_xlfn.XLOOKUP($A2120,[1]Sheet1!$N$9:$N$2584,[1]Sheet1!$O$9:$O$2584,"N/A",0)</f>
        <v>123.41</v>
      </c>
      <c r="O2120">
        <v>105.71</v>
      </c>
      <c r="P2120">
        <v>159.82</v>
      </c>
      <c r="Q2120">
        <v>65.55</v>
      </c>
      <c r="R2120">
        <v>123.41</v>
      </c>
      <c r="S2120">
        <v>134.04</v>
      </c>
    </row>
    <row r="2121" spans="1:19">
      <c r="A2121" s="1">
        <v>45446</v>
      </c>
      <c r="B2121" t="s">
        <v>948</v>
      </c>
      <c r="C2121" t="s">
        <v>960</v>
      </c>
      <c r="D2121">
        <v>13.6535</v>
      </c>
      <c r="E2121">
        <v>14.5124</v>
      </c>
      <c r="F2121">
        <v>0.0629069469366829</v>
      </c>
      <c r="G2121">
        <f ca="1" t="shared" si="99"/>
        <v>0.0417288760508731</v>
      </c>
      <c r="H2121" t="str">
        <f ca="1" t="shared" si="100"/>
        <v>Risk-On</v>
      </c>
      <c r="I2121">
        <f ca="1" t="shared" si="101"/>
        <v>1</v>
      </c>
      <c r="J2121">
        <f>_xlfn.XLOOKUP($A2121,[1]Sheet1!$B$9:$B$2584,[1]Sheet1!$C$9:$C$2584,"N/A",0)</f>
        <v>105</v>
      </c>
      <c r="K2121">
        <f>_xlfn.XLOOKUP($A2121,[1]Sheet1!$E$9:$E$2584,[1]Sheet1!$F$9:$F$2584,"N/A",0)</f>
        <v>158.15</v>
      </c>
      <c r="L2121">
        <f>_xlfn.XLOOKUP($A2121,[1]Sheet1!$H$9:$H$2584,[1]Sheet1!$I$9:$I$2584,"N/A",0)</f>
        <v>65.15</v>
      </c>
      <c r="M2121">
        <f>_xlfn.XLOOKUP($A2121,[1]Sheet1!$K$9:$K$2584,[1]Sheet1!$L$9:$L$2584,"N/A",0)</f>
        <v>133.92</v>
      </c>
      <c r="N2121">
        <f>_xlfn.XLOOKUP($A2121,[1]Sheet1!$N$9:$N$2584,[1]Sheet1!$O$9:$O$2584,"N/A",0)</f>
        <v>123.47</v>
      </c>
      <c r="O2121">
        <v>105</v>
      </c>
      <c r="P2121">
        <v>158.15</v>
      </c>
      <c r="Q2121">
        <v>65.15</v>
      </c>
      <c r="R2121">
        <v>123.47</v>
      </c>
      <c r="S2121">
        <v>133.92</v>
      </c>
    </row>
    <row r="2122" spans="1:19">
      <c r="A2122" s="1">
        <v>45447</v>
      </c>
      <c r="B2122" t="s">
        <v>948</v>
      </c>
      <c r="C2122" t="s">
        <v>960</v>
      </c>
      <c r="D2122">
        <v>13.7165</v>
      </c>
      <c r="E2122">
        <v>14.5892</v>
      </c>
      <c r="F2122">
        <v>0.0636241023584733</v>
      </c>
      <c r="G2122">
        <f ca="1" t="shared" si="99"/>
        <v>0.0738338131140104</v>
      </c>
      <c r="H2122" t="str">
        <f ca="1" t="shared" si="100"/>
        <v>Risk-On</v>
      </c>
      <c r="I2122">
        <f ca="1" t="shared" si="101"/>
        <v>1</v>
      </c>
      <c r="J2122">
        <f>_xlfn.XLOOKUP($A2122,[1]Sheet1!$B$9:$B$2584,[1]Sheet1!$C$9:$C$2584,"N/A",0)</f>
        <v>104.75</v>
      </c>
      <c r="K2122">
        <f>_xlfn.XLOOKUP($A2122,[1]Sheet1!$E$9:$E$2584,[1]Sheet1!$F$9:$F$2584,"N/A",0)</f>
        <v>157.95</v>
      </c>
      <c r="L2122">
        <f>_xlfn.XLOOKUP($A2122,[1]Sheet1!$H$9:$H$2584,[1]Sheet1!$I$9:$I$2584,"N/A",0)</f>
        <v>64.18</v>
      </c>
      <c r="M2122">
        <f>_xlfn.XLOOKUP($A2122,[1]Sheet1!$K$9:$K$2584,[1]Sheet1!$L$9:$L$2584,"N/A",0)</f>
        <v>135.04</v>
      </c>
      <c r="N2122">
        <f>_xlfn.XLOOKUP($A2122,[1]Sheet1!$N$9:$N$2584,[1]Sheet1!$O$9:$O$2584,"N/A",0)</f>
        <v>125.03</v>
      </c>
      <c r="O2122">
        <v>104.75</v>
      </c>
      <c r="P2122">
        <v>157.95</v>
      </c>
      <c r="Q2122">
        <v>64.18</v>
      </c>
      <c r="R2122">
        <v>125.03</v>
      </c>
      <c r="S2122">
        <v>135.04</v>
      </c>
    </row>
    <row r="2123" spans="1:19">
      <c r="A2123" s="1">
        <v>45448</v>
      </c>
      <c r="B2123" t="s">
        <v>948</v>
      </c>
      <c r="C2123" t="s">
        <v>960</v>
      </c>
      <c r="D2123">
        <v>13.3525</v>
      </c>
      <c r="E2123">
        <v>14.3946</v>
      </c>
      <c r="F2123">
        <v>0.0780453098670662</v>
      </c>
      <c r="G2123">
        <f ca="1" t="shared" si="99"/>
        <v>0.576307255380784</v>
      </c>
      <c r="H2123" t="str">
        <f ca="1" t="shared" si="100"/>
        <v>Risk-On</v>
      </c>
      <c r="I2123">
        <f ca="1" t="shared" si="101"/>
        <v>1</v>
      </c>
      <c r="J2123">
        <f>_xlfn.XLOOKUP($A2123,[1]Sheet1!$B$9:$B$2584,[1]Sheet1!$C$9:$C$2584,"N/A",0)</f>
        <v>104.38</v>
      </c>
      <c r="K2123">
        <f>_xlfn.XLOOKUP($A2123,[1]Sheet1!$E$9:$E$2584,[1]Sheet1!$F$9:$F$2584,"N/A",0)</f>
        <v>159.57</v>
      </c>
      <c r="L2123">
        <f>_xlfn.XLOOKUP($A2123,[1]Sheet1!$H$9:$H$2584,[1]Sheet1!$I$9:$I$2584,"N/A",0)</f>
        <v>64.02</v>
      </c>
      <c r="M2123">
        <f>_xlfn.XLOOKUP($A2123,[1]Sheet1!$K$9:$K$2584,[1]Sheet1!$L$9:$L$2584,"N/A",0)</f>
        <v>134.55</v>
      </c>
      <c r="N2123">
        <f>_xlfn.XLOOKUP($A2123,[1]Sheet1!$N$9:$N$2584,[1]Sheet1!$O$9:$O$2584,"N/A",0)</f>
        <v>124.85</v>
      </c>
      <c r="O2123">
        <v>104.38</v>
      </c>
      <c r="P2123">
        <v>159.57</v>
      </c>
      <c r="Q2123">
        <v>64.02</v>
      </c>
      <c r="R2123">
        <v>124.85</v>
      </c>
      <c r="S2123">
        <v>134.55</v>
      </c>
    </row>
    <row r="2124" spans="1:19">
      <c r="A2124" s="1">
        <v>45449</v>
      </c>
      <c r="B2124" t="s">
        <v>948</v>
      </c>
      <c r="C2124" t="s">
        <v>960</v>
      </c>
      <c r="D2124">
        <v>13.2562</v>
      </c>
      <c r="E2124">
        <v>14.3165</v>
      </c>
      <c r="F2124">
        <v>0.0799852144656839</v>
      </c>
      <c r="G2124">
        <f ca="1" t="shared" si="99"/>
        <v>0.641721980297053</v>
      </c>
      <c r="H2124" t="str">
        <f ca="1" t="shared" si="100"/>
        <v>Risk-On</v>
      </c>
      <c r="I2124">
        <f ca="1" t="shared" si="101"/>
        <v>1</v>
      </c>
      <c r="J2124">
        <f>_xlfn.XLOOKUP($A2124,[1]Sheet1!$B$9:$B$2584,[1]Sheet1!$C$9:$C$2584,"N/A",0)</f>
        <v>104.01</v>
      </c>
      <c r="K2124">
        <f>_xlfn.XLOOKUP($A2124,[1]Sheet1!$E$9:$E$2584,[1]Sheet1!$F$9:$F$2584,"N/A",0)</f>
        <v>158.28</v>
      </c>
      <c r="L2124">
        <f>_xlfn.XLOOKUP($A2124,[1]Sheet1!$H$9:$H$2584,[1]Sheet1!$I$9:$I$2584,"N/A",0)</f>
        <v>64.01</v>
      </c>
      <c r="M2124">
        <f>_xlfn.XLOOKUP($A2124,[1]Sheet1!$K$9:$K$2584,[1]Sheet1!$L$9:$L$2584,"N/A",0)</f>
        <v>134.27</v>
      </c>
      <c r="N2124">
        <f>_xlfn.XLOOKUP($A2124,[1]Sheet1!$N$9:$N$2584,[1]Sheet1!$O$9:$O$2584,"N/A",0)</f>
        <v>125.66</v>
      </c>
      <c r="O2124">
        <v>104.01</v>
      </c>
      <c r="P2124">
        <v>158.28</v>
      </c>
      <c r="Q2124">
        <v>64.01</v>
      </c>
      <c r="R2124">
        <v>125.66</v>
      </c>
      <c r="S2124">
        <v>134.27</v>
      </c>
    </row>
    <row r="2125" spans="1:19">
      <c r="A2125" s="1">
        <v>45450</v>
      </c>
      <c r="B2125" t="s">
        <v>948</v>
      </c>
      <c r="C2125" t="s">
        <v>960</v>
      </c>
      <c r="D2125">
        <v>13.0098</v>
      </c>
      <c r="E2125">
        <v>14.2232</v>
      </c>
      <c r="F2125">
        <v>0.0932681517010253</v>
      </c>
      <c r="G2125">
        <f ca="1" t="shared" si="99"/>
        <v>1.1037943598045</v>
      </c>
      <c r="H2125" t="str">
        <f ca="1" t="shared" si="100"/>
        <v>Risk-On</v>
      </c>
      <c r="I2125">
        <f ca="1" t="shared" si="101"/>
        <v>1</v>
      </c>
      <c r="J2125">
        <f>_xlfn.XLOOKUP($A2125,[1]Sheet1!$B$9:$B$2584,[1]Sheet1!$C$9:$C$2584,"N/A",0)</f>
        <v>104.22</v>
      </c>
      <c r="K2125">
        <f>_xlfn.XLOOKUP($A2125,[1]Sheet1!$E$9:$E$2584,[1]Sheet1!$F$9:$F$2584,"N/A",0)</f>
        <v>158.73</v>
      </c>
      <c r="L2125">
        <f>_xlfn.XLOOKUP($A2125,[1]Sheet1!$H$9:$H$2584,[1]Sheet1!$I$9:$I$2584,"N/A",0)</f>
        <v>64.17</v>
      </c>
      <c r="M2125">
        <f>_xlfn.XLOOKUP($A2125,[1]Sheet1!$K$9:$K$2584,[1]Sheet1!$L$9:$L$2584,"N/A",0)</f>
        <v>134.95</v>
      </c>
      <c r="N2125">
        <f>_xlfn.XLOOKUP($A2125,[1]Sheet1!$N$9:$N$2584,[1]Sheet1!$O$9:$O$2584,"N/A",0)</f>
        <v>126.6</v>
      </c>
      <c r="O2125">
        <v>104.22</v>
      </c>
      <c r="P2125">
        <v>158.73</v>
      </c>
      <c r="Q2125">
        <v>64.17</v>
      </c>
      <c r="R2125">
        <v>126.6</v>
      </c>
      <c r="S2125">
        <v>134.95</v>
      </c>
    </row>
    <row r="2126" spans="1:19">
      <c r="A2126" s="1">
        <v>45453</v>
      </c>
      <c r="B2126" t="s">
        <v>948</v>
      </c>
      <c r="C2126" t="s">
        <v>960</v>
      </c>
      <c r="D2126">
        <v>13.0295</v>
      </c>
      <c r="E2126">
        <v>14.2355</v>
      </c>
      <c r="F2126">
        <v>0.0925591926014044</v>
      </c>
      <c r="G2126">
        <f ca="1" t="shared" si="99"/>
        <v>1.07160613962826</v>
      </c>
      <c r="H2126" t="str">
        <f ca="1" t="shared" si="100"/>
        <v>Risk-On</v>
      </c>
      <c r="I2126">
        <f ca="1" t="shared" si="101"/>
        <v>1</v>
      </c>
      <c r="J2126">
        <f>_xlfn.XLOOKUP($A2126,[1]Sheet1!$B$9:$B$2584,[1]Sheet1!$C$9:$C$2584,"N/A",0)</f>
        <v>104.47</v>
      </c>
      <c r="K2126">
        <f>_xlfn.XLOOKUP($A2126,[1]Sheet1!$E$9:$E$2584,[1]Sheet1!$F$9:$F$2584,"N/A",0)</f>
        <v>160.11</v>
      </c>
      <c r="L2126">
        <f>_xlfn.XLOOKUP($A2126,[1]Sheet1!$H$9:$H$2584,[1]Sheet1!$I$9:$I$2584,"N/A",0)</f>
        <v>63.88</v>
      </c>
      <c r="M2126">
        <f>_xlfn.XLOOKUP($A2126,[1]Sheet1!$K$9:$K$2584,[1]Sheet1!$L$9:$L$2584,"N/A",0)</f>
        <v>134.67</v>
      </c>
      <c r="N2126">
        <f>_xlfn.XLOOKUP($A2126,[1]Sheet1!$N$9:$N$2584,[1]Sheet1!$O$9:$O$2584,"N/A",0)</f>
        <v>127.26</v>
      </c>
      <c r="O2126">
        <v>104.47</v>
      </c>
      <c r="P2126">
        <v>160.11</v>
      </c>
      <c r="Q2126">
        <v>63.88</v>
      </c>
      <c r="R2126">
        <v>127.26</v>
      </c>
      <c r="S2126">
        <v>134.67</v>
      </c>
    </row>
    <row r="2127" spans="1:19">
      <c r="A2127" s="1">
        <v>45454</v>
      </c>
      <c r="B2127" t="s">
        <v>948</v>
      </c>
      <c r="C2127" t="s">
        <v>960</v>
      </c>
      <c r="D2127">
        <v>12.9694</v>
      </c>
      <c r="E2127">
        <v>14.2445</v>
      </c>
      <c r="F2127">
        <v>0.0983160362083057</v>
      </c>
      <c r="G2127">
        <f ca="1" t="shared" si="99"/>
        <v>1.26593526646888</v>
      </c>
      <c r="H2127" t="str">
        <f ca="1" t="shared" si="100"/>
        <v>Risk-On</v>
      </c>
      <c r="I2127">
        <f ca="1" t="shared" si="101"/>
        <v>1</v>
      </c>
      <c r="J2127">
        <f>_xlfn.XLOOKUP($A2127,[1]Sheet1!$B$9:$B$2584,[1]Sheet1!$C$9:$C$2584,"N/A",0)</f>
        <v>104.24</v>
      </c>
      <c r="K2127">
        <f>_xlfn.XLOOKUP($A2127,[1]Sheet1!$E$9:$E$2584,[1]Sheet1!$F$9:$F$2584,"N/A",0)</f>
        <v>159.87</v>
      </c>
      <c r="L2127">
        <f>_xlfn.XLOOKUP($A2127,[1]Sheet1!$H$9:$H$2584,[1]Sheet1!$I$9:$I$2584,"N/A",0)</f>
        <v>63.41</v>
      </c>
      <c r="M2127">
        <f>_xlfn.XLOOKUP($A2127,[1]Sheet1!$K$9:$K$2584,[1]Sheet1!$L$9:$L$2584,"N/A",0)</f>
        <v>135.25</v>
      </c>
      <c r="N2127">
        <f>_xlfn.XLOOKUP($A2127,[1]Sheet1!$N$9:$N$2584,[1]Sheet1!$O$9:$O$2584,"N/A",0)</f>
        <v>127.37</v>
      </c>
      <c r="O2127">
        <v>104.24</v>
      </c>
      <c r="P2127">
        <v>159.87</v>
      </c>
      <c r="Q2127">
        <v>63.41</v>
      </c>
      <c r="R2127">
        <v>127.37</v>
      </c>
      <c r="S2127">
        <v>135.25</v>
      </c>
    </row>
    <row r="2128" spans="1:19">
      <c r="A2128" s="1">
        <v>45455</v>
      </c>
      <c r="B2128" t="s">
        <v>948</v>
      </c>
      <c r="C2128" t="s">
        <v>960</v>
      </c>
      <c r="D2128">
        <v>12.5556</v>
      </c>
      <c r="E2128">
        <v>13.9677</v>
      </c>
      <c r="F2128" s="2" t="s">
        <v>962</v>
      </c>
      <c r="G2128">
        <f ca="1" t="shared" si="99"/>
        <v>1.74993023380065</v>
      </c>
      <c r="H2128" t="str">
        <f ca="1" t="shared" si="100"/>
        <v>Risk-On</v>
      </c>
      <c r="I2128">
        <f ca="1" t="shared" si="101"/>
        <v>1</v>
      </c>
      <c r="J2128">
        <f>_xlfn.XLOOKUP($A2128,[1]Sheet1!$B$9:$B$2584,[1]Sheet1!$C$9:$C$2584,"N/A",0)</f>
        <v>104.26</v>
      </c>
      <c r="K2128">
        <f>_xlfn.XLOOKUP($A2128,[1]Sheet1!$E$9:$E$2584,[1]Sheet1!$F$9:$F$2584,"N/A",0)</f>
        <v>160.66</v>
      </c>
      <c r="L2128">
        <f>_xlfn.XLOOKUP($A2128,[1]Sheet1!$H$9:$H$2584,[1]Sheet1!$I$9:$I$2584,"N/A",0)</f>
        <v>63.33</v>
      </c>
      <c r="M2128">
        <f>_xlfn.XLOOKUP($A2128,[1]Sheet1!$K$9:$K$2584,[1]Sheet1!$L$9:$L$2584,"N/A",0)</f>
        <v>135.48</v>
      </c>
      <c r="N2128">
        <f>_xlfn.XLOOKUP($A2128,[1]Sheet1!$N$9:$N$2584,[1]Sheet1!$O$9:$O$2584,"N/A",0)</f>
        <v>126.57</v>
      </c>
      <c r="O2128">
        <v>104.26</v>
      </c>
      <c r="P2128">
        <v>160.66</v>
      </c>
      <c r="Q2128">
        <v>63.33</v>
      </c>
      <c r="R2128">
        <v>126.57</v>
      </c>
      <c r="S2128">
        <v>135.48</v>
      </c>
    </row>
    <row r="2129" spans="1:19">
      <c r="A2129" s="1">
        <v>45456</v>
      </c>
      <c r="B2129" t="s">
        <v>948</v>
      </c>
      <c r="C2129" t="s">
        <v>960</v>
      </c>
      <c r="D2129">
        <v>12.4105</v>
      </c>
      <c r="E2129">
        <v>13.9653</v>
      </c>
      <c r="F2129" s="2" t="s">
        <v>963</v>
      </c>
      <c r="G2129">
        <f ca="1" t="shared" si="99"/>
        <v>2.20912789379993</v>
      </c>
      <c r="H2129" t="str">
        <f ca="1" t="shared" si="100"/>
        <v>Risk-On</v>
      </c>
      <c r="I2129">
        <f ca="1" t="shared" si="101"/>
        <v>1</v>
      </c>
      <c r="J2129">
        <f>_xlfn.XLOOKUP($A2129,[1]Sheet1!$B$9:$B$2584,[1]Sheet1!$C$9:$C$2584,"N/A",0)</f>
        <v>104.4</v>
      </c>
      <c r="K2129">
        <f>_xlfn.XLOOKUP($A2129,[1]Sheet1!$E$9:$E$2584,[1]Sheet1!$F$9:$F$2584,"N/A",0)</f>
        <v>162.55</v>
      </c>
      <c r="L2129">
        <f>_xlfn.XLOOKUP($A2129,[1]Sheet1!$H$9:$H$2584,[1]Sheet1!$I$9:$I$2584,"N/A",0)</f>
        <v>63.19</v>
      </c>
      <c r="M2129">
        <f>_xlfn.XLOOKUP($A2129,[1]Sheet1!$K$9:$K$2584,[1]Sheet1!$L$9:$L$2584,"N/A",0)</f>
        <v>136.48</v>
      </c>
      <c r="N2129">
        <f>_xlfn.XLOOKUP($A2129,[1]Sheet1!$N$9:$N$2584,[1]Sheet1!$O$9:$O$2584,"N/A",0)</f>
        <v>127.44</v>
      </c>
      <c r="O2129">
        <v>104.4</v>
      </c>
      <c r="P2129">
        <v>162.55</v>
      </c>
      <c r="Q2129">
        <v>63.19</v>
      </c>
      <c r="R2129">
        <v>127.44</v>
      </c>
      <c r="S2129">
        <v>136.48</v>
      </c>
    </row>
    <row r="2130" spans="1:19">
      <c r="A2130" s="1">
        <v>45457</v>
      </c>
      <c r="B2130" t="s">
        <v>948</v>
      </c>
      <c r="C2130" t="s">
        <v>960</v>
      </c>
      <c r="D2130">
        <v>12.9549</v>
      </c>
      <c r="E2130">
        <v>14.4134</v>
      </c>
      <c r="F2130" s="2" t="s">
        <v>964</v>
      </c>
      <c r="G2130">
        <f ca="1" t="shared" si="99"/>
        <v>1.765155336719</v>
      </c>
      <c r="H2130" t="str">
        <f ca="1" t="shared" si="100"/>
        <v>Risk-On</v>
      </c>
      <c r="I2130">
        <f ca="1" t="shared" si="101"/>
        <v>1</v>
      </c>
      <c r="J2130">
        <f>_xlfn.XLOOKUP($A2130,[1]Sheet1!$B$9:$B$2584,[1]Sheet1!$C$9:$C$2584,"N/A",0)</f>
        <v>104.51</v>
      </c>
      <c r="K2130">
        <f>_xlfn.XLOOKUP($A2130,[1]Sheet1!$E$9:$E$2584,[1]Sheet1!$F$9:$F$2584,"N/A",0)</f>
        <v>162.8</v>
      </c>
      <c r="L2130">
        <f>_xlfn.XLOOKUP($A2130,[1]Sheet1!$H$9:$H$2584,[1]Sheet1!$I$9:$I$2584,"N/A",0)</f>
        <v>62.56</v>
      </c>
      <c r="M2130">
        <f>_xlfn.XLOOKUP($A2130,[1]Sheet1!$K$9:$K$2584,[1]Sheet1!$L$9:$L$2584,"N/A",0)</f>
        <v>136.73</v>
      </c>
      <c r="N2130">
        <f>_xlfn.XLOOKUP($A2130,[1]Sheet1!$N$9:$N$2584,[1]Sheet1!$O$9:$O$2584,"N/A",0)</f>
        <v>128.63</v>
      </c>
      <c r="O2130">
        <v>104.51</v>
      </c>
      <c r="P2130">
        <v>162.8</v>
      </c>
      <c r="Q2130">
        <v>62.56</v>
      </c>
      <c r="R2130">
        <v>128.63</v>
      </c>
      <c r="S2130">
        <v>136.73</v>
      </c>
    </row>
    <row r="2131" spans="1:19">
      <c r="A2131" s="1">
        <v>45460</v>
      </c>
      <c r="B2131" t="s">
        <v>948</v>
      </c>
      <c r="C2131" t="s">
        <v>960</v>
      </c>
      <c r="D2131">
        <v>12.8015</v>
      </c>
      <c r="E2131">
        <v>14.3193</v>
      </c>
      <c r="F2131" s="2" t="s">
        <v>965</v>
      </c>
      <c r="G2131">
        <f ca="1" t="shared" si="99"/>
        <v>1.97428489304826</v>
      </c>
      <c r="H2131" t="str">
        <f ca="1" t="shared" si="100"/>
        <v>Risk-On</v>
      </c>
      <c r="I2131">
        <f ca="1" t="shared" si="101"/>
        <v>1</v>
      </c>
      <c r="J2131">
        <f>_xlfn.XLOOKUP($A2131,[1]Sheet1!$B$9:$B$2584,[1]Sheet1!$C$9:$C$2584,"N/A",0)</f>
        <v>104.91</v>
      </c>
      <c r="K2131">
        <f>_xlfn.XLOOKUP($A2131,[1]Sheet1!$E$9:$E$2584,[1]Sheet1!$F$9:$F$2584,"N/A",0)</f>
        <v>164.41</v>
      </c>
      <c r="L2131">
        <f>_xlfn.XLOOKUP($A2131,[1]Sheet1!$H$9:$H$2584,[1]Sheet1!$I$9:$I$2584,"N/A",0)</f>
        <v>62.57</v>
      </c>
      <c r="M2131">
        <f>_xlfn.XLOOKUP($A2131,[1]Sheet1!$K$9:$K$2584,[1]Sheet1!$L$9:$L$2584,"N/A",0)</f>
        <v>137.44</v>
      </c>
      <c r="N2131">
        <f>_xlfn.XLOOKUP($A2131,[1]Sheet1!$N$9:$N$2584,[1]Sheet1!$O$9:$O$2584,"N/A",0)</f>
        <v>128.67</v>
      </c>
      <c r="O2131">
        <v>104.91</v>
      </c>
      <c r="P2131">
        <v>164.41</v>
      </c>
      <c r="Q2131">
        <v>62.57</v>
      </c>
      <c r="R2131">
        <v>128.67</v>
      </c>
      <c r="S2131">
        <v>137.44</v>
      </c>
    </row>
    <row r="2132" spans="1:19">
      <c r="A2132" s="1">
        <v>45461</v>
      </c>
      <c r="B2132" t="s">
        <v>948</v>
      </c>
      <c r="C2132" t="s">
        <v>960</v>
      </c>
      <c r="D2132">
        <v>12.39</v>
      </c>
      <c r="E2132">
        <v>14.2961</v>
      </c>
      <c r="F2132" s="2" t="s">
        <v>966</v>
      </c>
      <c r="G2132">
        <f ca="1" t="shared" si="99"/>
        <v>3.20771675843238</v>
      </c>
      <c r="H2132" t="str">
        <f ca="1" t="shared" si="100"/>
        <v>Risk-On</v>
      </c>
      <c r="I2132">
        <f ca="1" t="shared" si="101"/>
        <v>1</v>
      </c>
      <c r="J2132">
        <f>_xlfn.XLOOKUP($A2132,[1]Sheet1!$B$9:$B$2584,[1]Sheet1!$C$9:$C$2584,"N/A",0)</f>
        <v>104.92</v>
      </c>
      <c r="K2132">
        <f>_xlfn.XLOOKUP($A2132,[1]Sheet1!$E$9:$E$2584,[1]Sheet1!$F$9:$F$2584,"N/A",0)</f>
        <v>166.57</v>
      </c>
      <c r="L2132">
        <f>_xlfn.XLOOKUP($A2132,[1]Sheet1!$H$9:$H$2584,[1]Sheet1!$I$9:$I$2584,"N/A",0)</f>
        <v>62.51</v>
      </c>
      <c r="M2132">
        <f>_xlfn.XLOOKUP($A2132,[1]Sheet1!$K$9:$K$2584,[1]Sheet1!$L$9:$L$2584,"N/A",0)</f>
        <v>137.87</v>
      </c>
      <c r="N2132">
        <f>_xlfn.XLOOKUP($A2132,[1]Sheet1!$N$9:$N$2584,[1]Sheet1!$O$9:$O$2584,"N/A",0)</f>
        <v>129.23</v>
      </c>
      <c r="O2132">
        <v>104.92</v>
      </c>
      <c r="P2132">
        <v>166.57</v>
      </c>
      <c r="Q2132">
        <v>62.51</v>
      </c>
      <c r="R2132">
        <v>129.23</v>
      </c>
      <c r="S2132">
        <v>137.87</v>
      </c>
    </row>
    <row r="2133" spans="1:19">
      <c r="A2133" s="1">
        <v>45463</v>
      </c>
      <c r="B2133" t="s">
        <v>960</v>
      </c>
      <c r="C2133" t="s">
        <v>967</v>
      </c>
      <c r="D2133">
        <v>14.7681</v>
      </c>
      <c r="E2133">
        <v>15.6549</v>
      </c>
      <c r="F2133">
        <v>0.0600483474516017</v>
      </c>
      <c r="G2133">
        <f ca="1" t="shared" si="99"/>
        <v>-0.0716423195436023</v>
      </c>
      <c r="H2133" t="str">
        <f ca="1" t="shared" si="100"/>
        <v>Risk-On</v>
      </c>
      <c r="I2133">
        <f ca="1" t="shared" si="101"/>
        <v>1</v>
      </c>
      <c r="J2133">
        <f>_xlfn.XLOOKUP($A2133,[1]Sheet1!$B$9:$B$2584,[1]Sheet1!$C$9:$C$2584,"N/A",0)</f>
        <v>104.92</v>
      </c>
      <c r="K2133">
        <f>_xlfn.XLOOKUP($A2133,[1]Sheet1!$E$9:$E$2584,[1]Sheet1!$F$9:$F$2584,"N/A",0)</f>
        <v>165.36</v>
      </c>
      <c r="L2133">
        <f>_xlfn.XLOOKUP($A2133,[1]Sheet1!$H$9:$H$2584,[1]Sheet1!$I$9:$I$2584,"N/A",0)</f>
        <v>62.71</v>
      </c>
      <c r="M2133">
        <f>_xlfn.XLOOKUP($A2133,[1]Sheet1!$K$9:$K$2584,[1]Sheet1!$L$9:$L$2584,"N/A",0)</f>
        <v>138.12</v>
      </c>
      <c r="N2133">
        <f>_xlfn.XLOOKUP($A2133,[1]Sheet1!$N$9:$N$2584,[1]Sheet1!$O$9:$O$2584,"N/A",0)</f>
        <v>129.43</v>
      </c>
      <c r="O2133">
        <v>104.92</v>
      </c>
      <c r="P2133">
        <v>165.36</v>
      </c>
      <c r="Q2133">
        <v>62.71</v>
      </c>
      <c r="R2133">
        <v>129.43</v>
      </c>
      <c r="S2133">
        <v>138.12</v>
      </c>
    </row>
    <row r="2134" spans="1:19">
      <c r="A2134" s="1">
        <v>45464</v>
      </c>
      <c r="B2134" t="s">
        <v>960</v>
      </c>
      <c r="C2134" t="s">
        <v>967</v>
      </c>
      <c r="D2134">
        <v>14.4458</v>
      </c>
      <c r="E2134">
        <v>15.3433</v>
      </c>
      <c r="F2134" s="2" t="s">
        <v>968</v>
      </c>
      <c r="G2134">
        <f ca="1" t="shared" si="99"/>
        <v>0.0015308967938475</v>
      </c>
      <c r="H2134" t="str">
        <f ca="1" t="shared" si="100"/>
        <v>Risk-On</v>
      </c>
      <c r="I2134">
        <f ca="1" t="shared" si="101"/>
        <v>1</v>
      </c>
      <c r="J2134">
        <f>_xlfn.XLOOKUP($A2134,[1]Sheet1!$B$9:$B$2584,[1]Sheet1!$C$9:$C$2584,"N/A",0)</f>
        <v>105.12</v>
      </c>
      <c r="K2134">
        <f>_xlfn.XLOOKUP($A2134,[1]Sheet1!$E$9:$E$2584,[1]Sheet1!$F$9:$F$2584,"N/A",0)</f>
        <v>163.51</v>
      </c>
      <c r="L2134">
        <f>_xlfn.XLOOKUP($A2134,[1]Sheet1!$H$9:$H$2584,[1]Sheet1!$I$9:$I$2584,"N/A",0)</f>
        <v>62.71</v>
      </c>
      <c r="M2134">
        <f>_xlfn.XLOOKUP($A2134,[1]Sheet1!$K$9:$K$2584,[1]Sheet1!$L$9:$L$2584,"N/A",0)</f>
        <v>138.2</v>
      </c>
      <c r="N2134">
        <f>_xlfn.XLOOKUP($A2134,[1]Sheet1!$N$9:$N$2584,[1]Sheet1!$O$9:$O$2584,"N/A",0)</f>
        <v>128.96</v>
      </c>
      <c r="O2134">
        <v>105.12</v>
      </c>
      <c r="P2134">
        <v>163.51</v>
      </c>
      <c r="Q2134">
        <v>62.71</v>
      </c>
      <c r="R2134">
        <v>128.96</v>
      </c>
      <c r="S2134">
        <v>138.2</v>
      </c>
    </row>
    <row r="2135" spans="1:19">
      <c r="A2135" s="1">
        <v>45467</v>
      </c>
      <c r="B2135" t="s">
        <v>960</v>
      </c>
      <c r="C2135" t="s">
        <v>967</v>
      </c>
      <c r="D2135">
        <v>14.3967</v>
      </c>
      <c r="E2135">
        <v>15.2751</v>
      </c>
      <c r="F2135">
        <v>0.06101398237096</v>
      </c>
      <c r="G2135">
        <f ca="1" t="shared" si="99"/>
        <v>-0.0375639659055986</v>
      </c>
      <c r="H2135" t="str">
        <f ca="1" t="shared" si="100"/>
        <v>Risk-On</v>
      </c>
      <c r="I2135">
        <f ca="1" t="shared" si="101"/>
        <v>1</v>
      </c>
      <c r="J2135">
        <f>_xlfn.XLOOKUP($A2135,[1]Sheet1!$B$9:$B$2584,[1]Sheet1!$C$9:$C$2584,"N/A",0)</f>
        <v>104.98</v>
      </c>
      <c r="K2135">
        <f>_xlfn.XLOOKUP($A2135,[1]Sheet1!$E$9:$E$2584,[1]Sheet1!$F$9:$F$2584,"N/A",0)</f>
        <v>161.67</v>
      </c>
      <c r="L2135">
        <f>_xlfn.XLOOKUP($A2135,[1]Sheet1!$H$9:$H$2584,[1]Sheet1!$I$9:$I$2584,"N/A",0)</f>
        <v>62.7</v>
      </c>
      <c r="M2135">
        <f>_xlfn.XLOOKUP($A2135,[1]Sheet1!$K$9:$K$2584,[1]Sheet1!$L$9:$L$2584,"N/A",0)</f>
        <v>137.84</v>
      </c>
      <c r="N2135">
        <f>_xlfn.XLOOKUP($A2135,[1]Sheet1!$N$9:$N$2584,[1]Sheet1!$O$9:$O$2584,"N/A",0)</f>
        <v>128.52</v>
      </c>
      <c r="O2135">
        <v>104.98</v>
      </c>
      <c r="P2135">
        <v>161.67</v>
      </c>
      <c r="Q2135">
        <v>62.7</v>
      </c>
      <c r="R2135">
        <v>128.52</v>
      </c>
      <c r="S2135">
        <v>137.84</v>
      </c>
    </row>
    <row r="2136" spans="1:19">
      <c r="A2136" s="1">
        <v>45468</v>
      </c>
      <c r="B2136" t="s">
        <v>960</v>
      </c>
      <c r="C2136" t="s">
        <v>967</v>
      </c>
      <c r="D2136">
        <v>14.077</v>
      </c>
      <c r="E2136">
        <v>14.9865</v>
      </c>
      <c r="F2136">
        <v>0.0646089365631881</v>
      </c>
      <c r="G2136">
        <f ca="1" t="shared" si="99"/>
        <v>0.0971100144495768</v>
      </c>
      <c r="H2136" t="str">
        <f ca="1" t="shared" si="100"/>
        <v>Risk-On</v>
      </c>
      <c r="I2136">
        <f ca="1" t="shared" si="101"/>
        <v>1</v>
      </c>
      <c r="J2136">
        <f>_xlfn.XLOOKUP($A2136,[1]Sheet1!$B$9:$B$2584,[1]Sheet1!$C$9:$C$2584,"N/A",0)</f>
        <v>104.77</v>
      </c>
      <c r="K2136">
        <f>_xlfn.XLOOKUP($A2136,[1]Sheet1!$E$9:$E$2584,[1]Sheet1!$F$9:$F$2584,"N/A",0)</f>
        <v>163.03</v>
      </c>
      <c r="L2136">
        <f>_xlfn.XLOOKUP($A2136,[1]Sheet1!$H$9:$H$2584,[1]Sheet1!$I$9:$I$2584,"N/A",0)</f>
        <v>62.41</v>
      </c>
      <c r="M2136">
        <f>_xlfn.XLOOKUP($A2136,[1]Sheet1!$K$9:$K$2584,[1]Sheet1!$L$9:$L$2584,"N/A",0)</f>
        <v>138.51</v>
      </c>
      <c r="N2136">
        <f>_xlfn.XLOOKUP($A2136,[1]Sheet1!$N$9:$N$2584,[1]Sheet1!$O$9:$O$2584,"N/A",0)</f>
        <v>128.82</v>
      </c>
      <c r="O2136">
        <v>104.77</v>
      </c>
      <c r="P2136">
        <v>163.03</v>
      </c>
      <c r="Q2136">
        <v>62.41</v>
      </c>
      <c r="R2136">
        <v>128.82</v>
      </c>
      <c r="S2136">
        <v>138.51</v>
      </c>
    </row>
    <row r="2137" spans="1:19">
      <c r="A2137" s="1">
        <v>45469</v>
      </c>
      <c r="B2137" t="s">
        <v>960</v>
      </c>
      <c r="C2137" t="s">
        <v>967</v>
      </c>
      <c r="D2137">
        <v>13.9083</v>
      </c>
      <c r="E2137">
        <v>14.8901</v>
      </c>
      <c r="F2137">
        <v>0.0705909420993219</v>
      </c>
      <c r="G2137">
        <f ca="1" t="shared" si="99"/>
        <v>0.308335875600284</v>
      </c>
      <c r="H2137" t="str">
        <f ca="1" t="shared" si="100"/>
        <v>Risk-On</v>
      </c>
      <c r="I2137">
        <f ca="1" t="shared" si="101"/>
        <v>1</v>
      </c>
      <c r="J2137">
        <f>_xlfn.XLOOKUP($A2137,[1]Sheet1!$B$9:$B$2584,[1]Sheet1!$C$9:$C$2584,"N/A",0)</f>
        <v>104.97</v>
      </c>
      <c r="K2137">
        <f>_xlfn.XLOOKUP($A2137,[1]Sheet1!$E$9:$E$2584,[1]Sheet1!$F$9:$F$2584,"N/A",0)</f>
        <v>161.39</v>
      </c>
      <c r="L2137">
        <f>_xlfn.XLOOKUP($A2137,[1]Sheet1!$H$9:$H$2584,[1]Sheet1!$I$9:$I$2584,"N/A",0)</f>
        <v>62.2</v>
      </c>
      <c r="M2137">
        <f>_xlfn.XLOOKUP($A2137,[1]Sheet1!$K$9:$K$2584,[1]Sheet1!$L$9:$L$2584,"N/A",0)</f>
        <v>137.9</v>
      </c>
      <c r="N2137">
        <f>_xlfn.XLOOKUP($A2137,[1]Sheet1!$N$9:$N$2584,[1]Sheet1!$O$9:$O$2584,"N/A",0)</f>
        <v>128.53</v>
      </c>
      <c r="O2137">
        <v>104.97</v>
      </c>
      <c r="P2137">
        <v>161.39</v>
      </c>
      <c r="Q2137">
        <v>62.2</v>
      </c>
      <c r="R2137">
        <v>128.53</v>
      </c>
      <c r="S2137">
        <v>137.9</v>
      </c>
    </row>
    <row r="2138" spans="1:19">
      <c r="A2138" s="1">
        <v>45470</v>
      </c>
      <c r="B2138" t="s">
        <v>960</v>
      </c>
      <c r="C2138" t="s">
        <v>967</v>
      </c>
      <c r="D2138">
        <v>13.7587</v>
      </c>
      <c r="E2138">
        <v>14.818</v>
      </c>
      <c r="F2138">
        <v>0.076991285513893</v>
      </c>
      <c r="G2138">
        <f ca="1" t="shared" si="99"/>
        <v>0.537861136231481</v>
      </c>
      <c r="H2138" t="str">
        <f ca="1" t="shared" si="100"/>
        <v>Risk-On</v>
      </c>
      <c r="I2138">
        <f ca="1" t="shared" si="101"/>
        <v>1</v>
      </c>
      <c r="J2138">
        <f>_xlfn.XLOOKUP($A2138,[1]Sheet1!$B$9:$B$2584,[1]Sheet1!$C$9:$C$2584,"N/A",0)</f>
        <v>105.19</v>
      </c>
      <c r="K2138">
        <f>_xlfn.XLOOKUP($A2138,[1]Sheet1!$E$9:$E$2584,[1]Sheet1!$F$9:$F$2584,"N/A",0)</f>
        <v>161.55</v>
      </c>
      <c r="L2138">
        <f>_xlfn.XLOOKUP($A2138,[1]Sheet1!$H$9:$H$2584,[1]Sheet1!$I$9:$I$2584,"N/A",0)</f>
        <v>62.33</v>
      </c>
      <c r="M2138">
        <f>_xlfn.XLOOKUP($A2138,[1]Sheet1!$K$9:$K$2584,[1]Sheet1!$L$9:$L$2584,"N/A",0)</f>
        <v>137.74</v>
      </c>
      <c r="N2138">
        <f>_xlfn.XLOOKUP($A2138,[1]Sheet1!$N$9:$N$2584,[1]Sheet1!$O$9:$O$2584,"N/A",0)</f>
        <v>128.19</v>
      </c>
      <c r="O2138">
        <v>105.19</v>
      </c>
      <c r="P2138">
        <v>161.55</v>
      </c>
      <c r="Q2138">
        <v>62.33</v>
      </c>
      <c r="R2138">
        <v>128.19</v>
      </c>
      <c r="S2138">
        <v>137.74</v>
      </c>
    </row>
    <row r="2139" spans="1:19">
      <c r="A2139" s="1">
        <v>45471</v>
      </c>
      <c r="B2139" t="s">
        <v>960</v>
      </c>
      <c r="C2139" t="s">
        <v>967</v>
      </c>
      <c r="D2139">
        <v>14.0228</v>
      </c>
      <c r="E2139">
        <v>14.9402</v>
      </c>
      <c r="F2139">
        <v>0.065422026984625</v>
      </c>
      <c r="G2139">
        <f ca="1" t="shared" si="99"/>
        <v>0.130133640234563</v>
      </c>
      <c r="H2139" t="str">
        <f ca="1" t="shared" si="100"/>
        <v>Risk-On</v>
      </c>
      <c r="I2139">
        <f ca="1" t="shared" si="101"/>
        <v>1</v>
      </c>
      <c r="J2139">
        <f>_xlfn.XLOOKUP($A2139,[1]Sheet1!$B$9:$B$2584,[1]Sheet1!$C$9:$C$2584,"N/A",0)</f>
        <v>105</v>
      </c>
      <c r="K2139">
        <f>_xlfn.XLOOKUP($A2139,[1]Sheet1!$E$9:$E$2584,[1]Sheet1!$F$9:$F$2584,"N/A",0)</f>
        <v>161.5</v>
      </c>
      <c r="L2139">
        <f>_xlfn.XLOOKUP($A2139,[1]Sheet1!$H$9:$H$2584,[1]Sheet1!$I$9:$I$2584,"N/A",0)</f>
        <v>63.37</v>
      </c>
      <c r="M2139">
        <f>_xlfn.XLOOKUP($A2139,[1]Sheet1!$K$9:$K$2584,[1]Sheet1!$L$9:$L$2584,"N/A",0)</f>
        <v>137.94</v>
      </c>
      <c r="N2139">
        <f>_xlfn.XLOOKUP($A2139,[1]Sheet1!$N$9:$N$2584,[1]Sheet1!$O$9:$O$2584,"N/A",0)</f>
        <v>127.2</v>
      </c>
      <c r="O2139">
        <v>105</v>
      </c>
      <c r="P2139">
        <v>161.5</v>
      </c>
      <c r="Q2139">
        <v>63.37</v>
      </c>
      <c r="R2139">
        <v>127.2</v>
      </c>
      <c r="S2139">
        <v>137.94</v>
      </c>
    </row>
    <row r="2140" spans="1:19">
      <c r="A2140" s="1">
        <v>45474</v>
      </c>
      <c r="B2140" t="s">
        <v>960</v>
      </c>
      <c r="C2140" t="s">
        <v>967</v>
      </c>
      <c r="D2140">
        <v>13.4175</v>
      </c>
      <c r="E2140">
        <v>14.4308</v>
      </c>
      <c r="F2140">
        <v>0.0755207751071361</v>
      </c>
      <c r="G2140">
        <f ca="1" t="shared" si="99"/>
        <v>0.495374878243921</v>
      </c>
      <c r="H2140" t="str">
        <f ca="1" t="shared" si="100"/>
        <v>Risk-On</v>
      </c>
      <c r="I2140">
        <f ca="1" t="shared" si="101"/>
        <v>1</v>
      </c>
      <c r="J2140">
        <f>_xlfn.XLOOKUP($A2140,[1]Sheet1!$B$9:$B$2584,[1]Sheet1!$C$9:$C$2584,"N/A",0)</f>
        <v>105.01</v>
      </c>
      <c r="K2140">
        <f>_xlfn.XLOOKUP($A2140,[1]Sheet1!$E$9:$E$2584,[1]Sheet1!$F$9:$F$2584,"N/A",0)</f>
        <v>162.49</v>
      </c>
      <c r="L2140">
        <f>_xlfn.XLOOKUP($A2140,[1]Sheet1!$H$9:$H$2584,[1]Sheet1!$I$9:$I$2584,"N/A",0)</f>
        <v>63.4</v>
      </c>
      <c r="M2140">
        <f>_xlfn.XLOOKUP($A2140,[1]Sheet1!$K$9:$K$2584,[1]Sheet1!$L$9:$L$2584,"N/A",0)</f>
        <v>138.08</v>
      </c>
      <c r="N2140">
        <f>_xlfn.XLOOKUP($A2140,[1]Sheet1!$N$9:$N$2584,[1]Sheet1!$O$9:$O$2584,"N/A",0)</f>
        <v>127.54</v>
      </c>
      <c r="O2140">
        <v>105.01</v>
      </c>
      <c r="P2140">
        <v>162.49</v>
      </c>
      <c r="Q2140">
        <v>63.4</v>
      </c>
      <c r="R2140">
        <v>127.54</v>
      </c>
      <c r="S2140">
        <v>138.08</v>
      </c>
    </row>
    <row r="2141" spans="1:19">
      <c r="A2141" s="1">
        <v>45475</v>
      </c>
      <c r="B2141" t="s">
        <v>960</v>
      </c>
      <c r="C2141" t="s">
        <v>967</v>
      </c>
      <c r="D2141">
        <v>13.206</v>
      </c>
      <c r="E2141">
        <v>14.296</v>
      </c>
      <c r="F2141">
        <v>0.0825382401938512</v>
      </c>
      <c r="G2141">
        <f ca="1" t="shared" si="99"/>
        <v>0.749405701059993</v>
      </c>
      <c r="H2141" t="str">
        <f ca="1" t="shared" si="100"/>
        <v>Risk-On</v>
      </c>
      <c r="I2141">
        <f ca="1" t="shared" si="101"/>
        <v>1</v>
      </c>
      <c r="J2141">
        <f>_xlfn.XLOOKUP($A2141,[1]Sheet1!$B$9:$B$2584,[1]Sheet1!$C$9:$C$2584,"N/A",0)</f>
        <v>105.08</v>
      </c>
      <c r="K2141">
        <f>_xlfn.XLOOKUP($A2141,[1]Sheet1!$E$9:$E$2584,[1]Sheet1!$F$9:$F$2584,"N/A",0)</f>
        <v>161.92</v>
      </c>
      <c r="L2141">
        <f>_xlfn.XLOOKUP($A2141,[1]Sheet1!$H$9:$H$2584,[1]Sheet1!$I$9:$I$2584,"N/A",0)</f>
        <v>63.23</v>
      </c>
      <c r="M2141">
        <f>_xlfn.XLOOKUP($A2141,[1]Sheet1!$K$9:$K$2584,[1]Sheet1!$L$9:$L$2584,"N/A",0)</f>
        <v>137.79</v>
      </c>
      <c r="N2141">
        <f>_xlfn.XLOOKUP($A2141,[1]Sheet1!$N$9:$N$2584,[1]Sheet1!$O$9:$O$2584,"N/A",0)</f>
        <v>127.91</v>
      </c>
      <c r="O2141">
        <v>105.08</v>
      </c>
      <c r="P2141">
        <v>161.92</v>
      </c>
      <c r="Q2141">
        <v>63.23</v>
      </c>
      <c r="R2141">
        <v>127.91</v>
      </c>
      <c r="S2141">
        <v>137.79</v>
      </c>
    </row>
    <row r="2142" spans="1:19">
      <c r="A2142" s="1">
        <v>45476</v>
      </c>
      <c r="B2142" t="s">
        <v>960</v>
      </c>
      <c r="C2142" t="s">
        <v>967</v>
      </c>
      <c r="D2142">
        <v>13.2699</v>
      </c>
      <c r="E2142">
        <v>14.3482</v>
      </c>
      <c r="F2142">
        <v>0.0812590901212518</v>
      </c>
      <c r="G2142">
        <f ca="1" t="shared" si="99"/>
        <v>0.707342756451484</v>
      </c>
      <c r="H2142" t="str">
        <f ca="1" t="shared" si="100"/>
        <v>Risk-On</v>
      </c>
      <c r="I2142">
        <f ca="1" t="shared" si="101"/>
        <v>1</v>
      </c>
      <c r="J2142">
        <f>_xlfn.XLOOKUP($A2142,[1]Sheet1!$B$9:$B$2584,[1]Sheet1!$C$9:$C$2584,"N/A",0)</f>
        <v>105.31</v>
      </c>
      <c r="K2142">
        <f>_xlfn.XLOOKUP($A2142,[1]Sheet1!$E$9:$E$2584,[1]Sheet1!$F$9:$F$2584,"N/A",0)</f>
        <v>162.76</v>
      </c>
      <c r="L2142">
        <f>_xlfn.XLOOKUP($A2142,[1]Sheet1!$H$9:$H$2584,[1]Sheet1!$I$9:$I$2584,"N/A",0)</f>
        <v>63.17</v>
      </c>
      <c r="M2142">
        <f>_xlfn.XLOOKUP($A2142,[1]Sheet1!$K$9:$K$2584,[1]Sheet1!$L$9:$L$2584,"N/A",0)</f>
        <v>137.15</v>
      </c>
      <c r="N2142">
        <f>_xlfn.XLOOKUP($A2142,[1]Sheet1!$N$9:$N$2584,[1]Sheet1!$O$9:$O$2584,"N/A",0)</f>
        <v>128.08</v>
      </c>
      <c r="O2142">
        <v>105.31</v>
      </c>
      <c r="P2142">
        <v>162.76</v>
      </c>
      <c r="Q2142">
        <v>63.17</v>
      </c>
      <c r="R2142">
        <v>128.08</v>
      </c>
      <c r="S2142">
        <v>137.15</v>
      </c>
    </row>
    <row r="2143" spans="1:19">
      <c r="A2143" s="1">
        <v>45478</v>
      </c>
      <c r="B2143" t="s">
        <v>960</v>
      </c>
      <c r="C2143" t="s">
        <v>967</v>
      </c>
      <c r="D2143">
        <v>13.3033</v>
      </c>
      <c r="E2143">
        <v>14.3738</v>
      </c>
      <c r="F2143">
        <v>0.0804687558726029</v>
      </c>
      <c r="G2143">
        <f ca="1" t="shared" si="99"/>
        <v>0.685077038530132</v>
      </c>
      <c r="H2143" t="str">
        <f ca="1" t="shared" si="100"/>
        <v>Risk-On</v>
      </c>
      <c r="I2143">
        <f ca="1" t="shared" si="101"/>
        <v>1</v>
      </c>
      <c r="J2143">
        <f>_xlfn.XLOOKUP($A2143,[1]Sheet1!$B$9:$B$2584,[1]Sheet1!$C$9:$C$2584,"N/A",0)</f>
        <v>105.23</v>
      </c>
      <c r="K2143">
        <f>_xlfn.XLOOKUP($A2143,[1]Sheet1!$E$9:$E$2584,[1]Sheet1!$F$9:$F$2584,"N/A",0)</f>
        <v>162.57</v>
      </c>
      <c r="L2143">
        <f>_xlfn.XLOOKUP($A2143,[1]Sheet1!$H$9:$H$2584,[1]Sheet1!$I$9:$I$2584,"N/A",0)</f>
        <v>62.24</v>
      </c>
      <c r="M2143">
        <f>_xlfn.XLOOKUP($A2143,[1]Sheet1!$K$9:$K$2584,[1]Sheet1!$L$9:$L$2584,"N/A",0)</f>
        <v>137.52</v>
      </c>
      <c r="N2143">
        <f>_xlfn.XLOOKUP($A2143,[1]Sheet1!$N$9:$N$2584,[1]Sheet1!$O$9:$O$2584,"N/A",0)</f>
        <v>128.88</v>
      </c>
      <c r="O2143">
        <v>105.23</v>
      </c>
      <c r="P2143">
        <v>162.57</v>
      </c>
      <c r="Q2143">
        <v>62.24</v>
      </c>
      <c r="R2143">
        <v>128.88</v>
      </c>
      <c r="S2143">
        <v>137.52</v>
      </c>
    </row>
    <row r="2144" spans="1:19">
      <c r="A2144" s="1">
        <v>45481</v>
      </c>
      <c r="B2144" t="s">
        <v>960</v>
      </c>
      <c r="C2144" t="s">
        <v>967</v>
      </c>
      <c r="D2144">
        <v>13.082</v>
      </c>
      <c r="E2144">
        <v>14.1818</v>
      </c>
      <c r="F2144">
        <v>0.0840697141109922</v>
      </c>
      <c r="G2144">
        <f ca="1" t="shared" si="99"/>
        <v>0.813033323879793</v>
      </c>
      <c r="H2144" t="str">
        <f ca="1" t="shared" si="100"/>
        <v>Risk-On</v>
      </c>
      <c r="I2144">
        <f ca="1" t="shared" si="101"/>
        <v>1</v>
      </c>
      <c r="J2144">
        <f>_xlfn.XLOOKUP($A2144,[1]Sheet1!$B$9:$B$2584,[1]Sheet1!$C$9:$C$2584,"N/A",0)</f>
        <v>104.94</v>
      </c>
      <c r="K2144">
        <f>_xlfn.XLOOKUP($A2144,[1]Sheet1!$E$9:$E$2584,[1]Sheet1!$F$9:$F$2584,"N/A",0)</f>
        <v>163.19</v>
      </c>
      <c r="L2144">
        <f>_xlfn.XLOOKUP($A2144,[1]Sheet1!$H$9:$H$2584,[1]Sheet1!$I$9:$I$2584,"N/A",0)</f>
        <v>62.73</v>
      </c>
      <c r="M2144">
        <f>_xlfn.XLOOKUP($A2144,[1]Sheet1!$K$9:$K$2584,[1]Sheet1!$L$9:$L$2584,"N/A",0)</f>
        <v>137.22</v>
      </c>
      <c r="N2144">
        <f>_xlfn.XLOOKUP($A2144,[1]Sheet1!$N$9:$N$2584,[1]Sheet1!$O$9:$O$2584,"N/A",0)</f>
        <v>128.72</v>
      </c>
      <c r="O2144">
        <v>104.94</v>
      </c>
      <c r="P2144">
        <v>163.19</v>
      </c>
      <c r="Q2144">
        <v>62.73</v>
      </c>
      <c r="R2144">
        <v>128.72</v>
      </c>
      <c r="S2144">
        <v>137.22</v>
      </c>
    </row>
    <row r="2145" spans="1:19">
      <c r="A2145" s="1">
        <v>45482</v>
      </c>
      <c r="B2145" t="s">
        <v>960</v>
      </c>
      <c r="C2145" t="s">
        <v>967</v>
      </c>
      <c r="D2145">
        <v>12.9957</v>
      </c>
      <c r="E2145">
        <v>14.2194</v>
      </c>
      <c r="F2145">
        <v>0.094161915094993</v>
      </c>
      <c r="G2145">
        <f ca="1" t="shared" si="99"/>
        <v>1.16848197273766</v>
      </c>
      <c r="H2145" t="str">
        <f ca="1" t="shared" si="100"/>
        <v>Risk-On</v>
      </c>
      <c r="I2145">
        <f ca="1" t="shared" si="101"/>
        <v>1</v>
      </c>
      <c r="J2145">
        <f>_xlfn.XLOOKUP($A2145,[1]Sheet1!$B$9:$B$2584,[1]Sheet1!$C$9:$C$2584,"N/A",0)</f>
        <v>104.88</v>
      </c>
      <c r="K2145">
        <f>_xlfn.XLOOKUP($A2145,[1]Sheet1!$E$9:$E$2584,[1]Sheet1!$F$9:$F$2584,"N/A",0)</f>
        <v>163.91</v>
      </c>
      <c r="L2145">
        <f>_xlfn.XLOOKUP($A2145,[1]Sheet1!$H$9:$H$2584,[1]Sheet1!$I$9:$I$2584,"N/A",0)</f>
        <v>62.95</v>
      </c>
      <c r="M2145">
        <f>_xlfn.XLOOKUP($A2145,[1]Sheet1!$K$9:$K$2584,[1]Sheet1!$L$9:$L$2584,"N/A",0)</f>
        <v>137.56</v>
      </c>
      <c r="N2145">
        <f>_xlfn.XLOOKUP($A2145,[1]Sheet1!$N$9:$N$2584,[1]Sheet1!$O$9:$O$2584,"N/A",0)</f>
        <v>129.4</v>
      </c>
      <c r="O2145">
        <v>104.88</v>
      </c>
      <c r="P2145">
        <v>163.91</v>
      </c>
      <c r="Q2145">
        <v>62.95</v>
      </c>
      <c r="R2145">
        <v>129.4</v>
      </c>
      <c r="S2145">
        <v>137.56</v>
      </c>
    </row>
    <row r="2146" spans="1:19">
      <c r="A2146" s="1">
        <v>45483</v>
      </c>
      <c r="B2146" t="s">
        <v>960</v>
      </c>
      <c r="C2146" t="s">
        <v>967</v>
      </c>
      <c r="D2146">
        <v>12.9335</v>
      </c>
      <c r="E2146">
        <v>14.1545</v>
      </c>
      <c r="F2146">
        <v>0.0944059999226814</v>
      </c>
      <c r="G2146">
        <f ca="1" t="shared" si="99"/>
        <v>1.16540559195057</v>
      </c>
      <c r="H2146" t="str">
        <f ca="1" t="shared" si="100"/>
        <v>Risk-On</v>
      </c>
      <c r="I2146">
        <f ca="1" t="shared" si="101"/>
        <v>1</v>
      </c>
      <c r="J2146">
        <f>_xlfn.XLOOKUP($A2146,[1]Sheet1!$B$9:$B$2584,[1]Sheet1!$C$9:$C$2584,"N/A",0)</f>
        <v>104.37</v>
      </c>
      <c r="K2146">
        <f>_xlfn.XLOOKUP($A2146,[1]Sheet1!$E$9:$E$2584,[1]Sheet1!$F$9:$F$2584,"N/A",0)</f>
        <v>164.09</v>
      </c>
      <c r="L2146">
        <f>_xlfn.XLOOKUP($A2146,[1]Sheet1!$H$9:$H$2584,[1]Sheet1!$I$9:$I$2584,"N/A",0)</f>
        <v>63.17</v>
      </c>
      <c r="M2146">
        <f>_xlfn.XLOOKUP($A2146,[1]Sheet1!$K$9:$K$2584,[1]Sheet1!$L$9:$L$2584,"N/A",0)</f>
        <v>136.46</v>
      </c>
      <c r="N2146">
        <f>_xlfn.XLOOKUP($A2146,[1]Sheet1!$N$9:$N$2584,[1]Sheet1!$O$9:$O$2584,"N/A",0)</f>
        <v>129.84</v>
      </c>
      <c r="O2146">
        <v>104.37</v>
      </c>
      <c r="P2146">
        <v>164.09</v>
      </c>
      <c r="Q2146">
        <v>63.17</v>
      </c>
      <c r="R2146">
        <v>129.84</v>
      </c>
      <c r="S2146">
        <v>136.46</v>
      </c>
    </row>
    <row r="2147" spans="1:19">
      <c r="A2147" s="1">
        <v>45484</v>
      </c>
      <c r="B2147" t="s">
        <v>960</v>
      </c>
      <c r="C2147" t="s">
        <v>967</v>
      </c>
      <c r="D2147">
        <v>13.1184</v>
      </c>
      <c r="E2147">
        <v>14.1965</v>
      </c>
      <c r="F2147">
        <v>0.0821822783266252</v>
      </c>
      <c r="G2147">
        <f ca="1" t="shared" si="99"/>
        <v>0.71960809939308</v>
      </c>
      <c r="H2147" t="str">
        <f ca="1" t="shared" si="100"/>
        <v>Risk-On</v>
      </c>
      <c r="I2147">
        <f ca="1" t="shared" si="101"/>
        <v>1</v>
      </c>
      <c r="J2147">
        <f>_xlfn.XLOOKUP($A2147,[1]Sheet1!$B$9:$B$2584,[1]Sheet1!$C$9:$C$2584,"N/A",0)</f>
        <v>104.36</v>
      </c>
      <c r="K2147">
        <f>_xlfn.XLOOKUP($A2147,[1]Sheet1!$E$9:$E$2584,[1]Sheet1!$F$9:$F$2584,"N/A",0)</f>
        <v>161.62</v>
      </c>
      <c r="L2147">
        <f>_xlfn.XLOOKUP($A2147,[1]Sheet1!$H$9:$H$2584,[1]Sheet1!$I$9:$I$2584,"N/A",0)</f>
        <v>63.45</v>
      </c>
      <c r="M2147">
        <f>_xlfn.XLOOKUP($A2147,[1]Sheet1!$K$9:$K$2584,[1]Sheet1!$L$9:$L$2584,"N/A",0)</f>
        <v>135.98</v>
      </c>
      <c r="N2147">
        <f>_xlfn.XLOOKUP($A2147,[1]Sheet1!$N$9:$N$2584,[1]Sheet1!$O$9:$O$2584,"N/A",0)</f>
        <v>126.95</v>
      </c>
      <c r="O2147">
        <v>104.36</v>
      </c>
      <c r="P2147">
        <v>161.62</v>
      </c>
      <c r="Q2147">
        <v>63.45</v>
      </c>
      <c r="R2147">
        <v>126.95</v>
      </c>
      <c r="S2147">
        <v>135.98</v>
      </c>
    </row>
    <row r="2148" spans="1:19">
      <c r="A2148" s="1">
        <v>45485</v>
      </c>
      <c r="B2148" t="s">
        <v>960</v>
      </c>
      <c r="C2148" t="s">
        <v>967</v>
      </c>
      <c r="D2148">
        <v>12.8311</v>
      </c>
      <c r="E2148">
        <v>14.0232</v>
      </c>
      <c r="F2148">
        <v>0.0929070773355363</v>
      </c>
      <c r="G2148">
        <f ca="1" t="shared" si="99"/>
        <v>1.09495179754224</v>
      </c>
      <c r="H2148" t="str">
        <f ca="1" t="shared" si="100"/>
        <v>Risk-On</v>
      </c>
      <c r="I2148">
        <f ca="1" t="shared" si="101"/>
        <v>1</v>
      </c>
      <c r="J2148">
        <f>_xlfn.XLOOKUP($A2148,[1]Sheet1!$B$9:$B$2584,[1]Sheet1!$C$9:$C$2584,"N/A",0)</f>
        <v>104.56</v>
      </c>
      <c r="K2148">
        <f>_xlfn.XLOOKUP($A2148,[1]Sheet1!$E$9:$E$2584,[1]Sheet1!$F$9:$F$2584,"N/A",0)</f>
        <v>160.27</v>
      </c>
      <c r="L2148">
        <f>_xlfn.XLOOKUP($A2148,[1]Sheet1!$H$9:$H$2584,[1]Sheet1!$I$9:$I$2584,"N/A",0)</f>
        <v>63.36</v>
      </c>
      <c r="M2148">
        <f>_xlfn.XLOOKUP($A2148,[1]Sheet1!$K$9:$K$2584,[1]Sheet1!$L$9:$L$2584,"N/A",0)</f>
        <v>136.27</v>
      </c>
      <c r="N2148">
        <f>_xlfn.XLOOKUP($A2148,[1]Sheet1!$N$9:$N$2584,[1]Sheet1!$O$9:$O$2584,"N/A",0)</f>
        <v>126.71</v>
      </c>
      <c r="O2148">
        <v>104.56</v>
      </c>
      <c r="P2148">
        <v>160.27</v>
      </c>
      <c r="Q2148">
        <v>63.36</v>
      </c>
      <c r="R2148">
        <v>126.71</v>
      </c>
      <c r="S2148">
        <v>136.27</v>
      </c>
    </row>
    <row r="2149" spans="1:19">
      <c r="A2149" s="1">
        <v>45488</v>
      </c>
      <c r="B2149" t="s">
        <v>960</v>
      </c>
      <c r="C2149" t="s">
        <v>967</v>
      </c>
      <c r="D2149">
        <v>13.1369</v>
      </c>
      <c r="E2149">
        <v>14.219</v>
      </c>
      <c r="F2149">
        <v>0.0823710312174103</v>
      </c>
      <c r="G2149">
        <f ca="1" t="shared" si="99"/>
        <v>0.714885737282054</v>
      </c>
      <c r="H2149" t="str">
        <f ca="1" t="shared" si="100"/>
        <v>Risk-On</v>
      </c>
      <c r="I2149">
        <f ca="1" t="shared" si="101"/>
        <v>1</v>
      </c>
      <c r="J2149">
        <f>_xlfn.XLOOKUP($A2149,[1]Sheet1!$B$9:$B$2584,[1]Sheet1!$C$9:$C$2584,"N/A",0)</f>
        <v>104.39</v>
      </c>
      <c r="K2149">
        <f>_xlfn.XLOOKUP($A2149,[1]Sheet1!$E$9:$E$2584,[1]Sheet1!$F$9:$F$2584,"N/A",0)</f>
        <v>160.64</v>
      </c>
      <c r="L2149">
        <f>_xlfn.XLOOKUP($A2149,[1]Sheet1!$H$9:$H$2584,[1]Sheet1!$I$9:$I$2584,"N/A",0)</f>
        <v>63.74</v>
      </c>
      <c r="M2149">
        <f>_xlfn.XLOOKUP($A2149,[1]Sheet1!$K$9:$K$2584,[1]Sheet1!$L$9:$L$2584,"N/A",0)</f>
        <v>137.02</v>
      </c>
      <c r="N2149">
        <f>_xlfn.XLOOKUP($A2149,[1]Sheet1!$N$9:$N$2584,[1]Sheet1!$O$9:$O$2584,"N/A",0)</f>
        <v>125.12</v>
      </c>
      <c r="O2149">
        <v>104.39</v>
      </c>
      <c r="P2149">
        <v>160.64</v>
      </c>
      <c r="Q2149">
        <v>63.74</v>
      </c>
      <c r="R2149">
        <v>125.12</v>
      </c>
      <c r="S2149">
        <v>137.02</v>
      </c>
    </row>
    <row r="2150" spans="1:19">
      <c r="A2150" s="1">
        <v>45489</v>
      </c>
      <c r="B2150" t="s">
        <v>960</v>
      </c>
      <c r="C2150" t="s">
        <v>967</v>
      </c>
      <c r="D2150">
        <v>13.1593</v>
      </c>
      <c r="E2150">
        <v>14.3356</v>
      </c>
      <c r="F2150">
        <v>0.0893892532277552</v>
      </c>
      <c r="G2150">
        <f ca="1" t="shared" si="99"/>
        <v>0.960518027850829</v>
      </c>
      <c r="H2150" t="str">
        <f ca="1" t="shared" si="100"/>
        <v>Risk-On</v>
      </c>
      <c r="I2150">
        <f ca="1" t="shared" si="101"/>
        <v>1</v>
      </c>
      <c r="J2150">
        <f>_xlfn.XLOOKUP($A2150,[1]Sheet1!$B$9:$B$2584,[1]Sheet1!$C$9:$C$2584,"N/A",0)</f>
        <v>104.69</v>
      </c>
      <c r="K2150">
        <f>_xlfn.XLOOKUP($A2150,[1]Sheet1!$E$9:$E$2584,[1]Sheet1!$F$9:$F$2584,"N/A",0)</f>
        <v>158.13</v>
      </c>
      <c r="L2150">
        <f>_xlfn.XLOOKUP($A2150,[1]Sheet1!$H$9:$H$2584,[1]Sheet1!$I$9:$I$2584,"N/A",0)</f>
        <v>64.08</v>
      </c>
      <c r="M2150">
        <f>_xlfn.XLOOKUP($A2150,[1]Sheet1!$K$9:$K$2584,[1]Sheet1!$L$9:$L$2584,"N/A",0)</f>
        <v>136.54</v>
      </c>
      <c r="N2150">
        <f>_xlfn.XLOOKUP($A2150,[1]Sheet1!$N$9:$N$2584,[1]Sheet1!$O$9:$O$2584,"N/A",0)</f>
        <v>123.39</v>
      </c>
      <c r="O2150">
        <v>104.69</v>
      </c>
      <c r="P2150">
        <v>158.13</v>
      </c>
      <c r="Q2150">
        <v>64.08</v>
      </c>
      <c r="R2150">
        <v>123.39</v>
      </c>
      <c r="S2150">
        <v>136.54</v>
      </c>
    </row>
    <row r="2151" spans="1:19">
      <c r="A2151" s="1">
        <v>45490</v>
      </c>
      <c r="B2151" t="s">
        <v>960</v>
      </c>
      <c r="C2151" t="s">
        <v>967</v>
      </c>
      <c r="D2151">
        <v>13.89</v>
      </c>
      <c r="E2151">
        <v>14.808</v>
      </c>
      <c r="F2151">
        <v>0.0660907127429805</v>
      </c>
      <c r="G2151">
        <f ca="1" t="shared" si="99"/>
        <v>0.128982846559665</v>
      </c>
      <c r="H2151" t="str">
        <f ca="1" t="shared" si="100"/>
        <v>Risk-On</v>
      </c>
      <c r="I2151">
        <f ca="1" t="shared" si="101"/>
        <v>1</v>
      </c>
      <c r="J2151">
        <f>_xlfn.XLOOKUP($A2151,[1]Sheet1!$B$9:$B$2584,[1]Sheet1!$C$9:$C$2584,"N/A",0)</f>
        <v>104.49</v>
      </c>
      <c r="K2151">
        <f>_xlfn.XLOOKUP($A2151,[1]Sheet1!$E$9:$E$2584,[1]Sheet1!$F$9:$F$2584,"N/A",0)</f>
        <v>153.33</v>
      </c>
      <c r="L2151">
        <f>_xlfn.XLOOKUP($A2151,[1]Sheet1!$H$9:$H$2584,[1]Sheet1!$I$9:$I$2584,"N/A",0)</f>
        <v>64.77</v>
      </c>
      <c r="M2151">
        <f>_xlfn.XLOOKUP($A2151,[1]Sheet1!$K$9:$K$2584,[1]Sheet1!$L$9:$L$2584,"N/A",0)</f>
        <v>135.97</v>
      </c>
      <c r="N2151">
        <f>_xlfn.XLOOKUP($A2151,[1]Sheet1!$N$9:$N$2584,[1]Sheet1!$O$9:$O$2584,"N/A",0)</f>
        <v>123.16</v>
      </c>
      <c r="O2151">
        <v>104.49</v>
      </c>
      <c r="P2151">
        <v>153.33</v>
      </c>
      <c r="Q2151">
        <v>64.77</v>
      </c>
      <c r="R2151">
        <v>123.16</v>
      </c>
      <c r="S2151">
        <v>135.97</v>
      </c>
    </row>
    <row r="2152" spans="1:19">
      <c r="A2152" s="1">
        <v>45491</v>
      </c>
      <c r="B2152" t="s">
        <v>967</v>
      </c>
      <c r="C2152" t="s">
        <v>969</v>
      </c>
      <c r="D2152">
        <v>15.2934</v>
      </c>
      <c r="E2152">
        <v>16.0481</v>
      </c>
      <c r="F2152">
        <v>0.0493480847947481</v>
      </c>
      <c r="G2152">
        <f ca="1" t="shared" si="99"/>
        <v>-0.466793759455489</v>
      </c>
      <c r="H2152" t="str">
        <f ca="1" t="shared" si="100"/>
        <v>Risk-On</v>
      </c>
      <c r="I2152">
        <f ca="1" t="shared" si="101"/>
        <v>1</v>
      </c>
      <c r="J2152">
        <f>_xlfn.XLOOKUP($A2152,[1]Sheet1!$B$9:$B$2584,[1]Sheet1!$C$9:$C$2584,"N/A",0)</f>
        <v>104.45</v>
      </c>
      <c r="K2152">
        <f>_xlfn.XLOOKUP($A2152,[1]Sheet1!$E$9:$E$2584,[1]Sheet1!$F$9:$F$2584,"N/A",0)</f>
        <v>155.04</v>
      </c>
      <c r="L2152">
        <f>_xlfn.XLOOKUP($A2152,[1]Sheet1!$H$9:$H$2584,[1]Sheet1!$I$9:$I$2584,"N/A",0)</f>
        <v>65.13</v>
      </c>
      <c r="M2152">
        <f>_xlfn.XLOOKUP($A2152,[1]Sheet1!$K$9:$K$2584,[1]Sheet1!$L$9:$L$2584,"N/A",0)</f>
        <v>135.8</v>
      </c>
      <c r="N2152">
        <f>_xlfn.XLOOKUP($A2152,[1]Sheet1!$N$9:$N$2584,[1]Sheet1!$O$9:$O$2584,"N/A",0)</f>
        <v>123.31</v>
      </c>
      <c r="O2152">
        <v>104.45</v>
      </c>
      <c r="P2152">
        <v>155.04</v>
      </c>
      <c r="Q2152">
        <v>65.13</v>
      </c>
      <c r="R2152">
        <v>123.31</v>
      </c>
      <c r="S2152">
        <v>135.8</v>
      </c>
    </row>
    <row r="2153" spans="1:19">
      <c r="A2153" s="1">
        <v>45492</v>
      </c>
      <c r="B2153" t="s">
        <v>967</v>
      </c>
      <c r="C2153" t="s">
        <v>969</v>
      </c>
      <c r="D2153">
        <v>15.9169</v>
      </c>
      <c r="E2153">
        <v>16.5074</v>
      </c>
      <c r="F2153" s="2" t="s">
        <v>970</v>
      </c>
      <c r="G2153">
        <f ca="1" t="shared" si="99"/>
        <v>-0.901752578390754</v>
      </c>
      <c r="H2153" t="str">
        <f ca="1" t="shared" si="100"/>
        <v>Risk-On</v>
      </c>
      <c r="I2153">
        <f ca="1" t="shared" si="101"/>
        <v>1</v>
      </c>
      <c r="J2153">
        <f>_xlfn.XLOOKUP($A2153,[1]Sheet1!$B$9:$B$2584,[1]Sheet1!$C$9:$C$2584,"N/A",0)</f>
        <v>104.58</v>
      </c>
      <c r="K2153">
        <f>_xlfn.XLOOKUP($A2153,[1]Sheet1!$E$9:$E$2584,[1]Sheet1!$F$9:$F$2584,"N/A",0)</f>
        <v>156.28</v>
      </c>
      <c r="L2153">
        <f>_xlfn.XLOOKUP($A2153,[1]Sheet1!$H$9:$H$2584,[1]Sheet1!$I$9:$I$2584,"N/A",0)</f>
        <v>64.87</v>
      </c>
      <c r="M2153">
        <f>_xlfn.XLOOKUP($A2153,[1]Sheet1!$K$9:$K$2584,[1]Sheet1!$L$9:$L$2584,"N/A",0)</f>
        <v>136</v>
      </c>
      <c r="N2153">
        <f>_xlfn.XLOOKUP($A2153,[1]Sheet1!$N$9:$N$2584,[1]Sheet1!$O$9:$O$2584,"N/A",0)</f>
        <v>123.71</v>
      </c>
      <c r="O2153">
        <v>104.58</v>
      </c>
      <c r="P2153">
        <v>156.28</v>
      </c>
      <c r="Q2153">
        <v>64.87</v>
      </c>
      <c r="R2153">
        <v>123.71</v>
      </c>
      <c r="S2153">
        <v>136</v>
      </c>
    </row>
    <row r="2154" spans="1:19">
      <c r="A2154" s="1">
        <v>45495</v>
      </c>
      <c r="B2154" t="s">
        <v>967</v>
      </c>
      <c r="C2154" t="s">
        <v>969</v>
      </c>
      <c r="D2154">
        <v>15.0439</v>
      </c>
      <c r="E2154">
        <v>15.7971</v>
      </c>
      <c r="F2154">
        <v>0.0500668044855389</v>
      </c>
      <c r="G2154">
        <f ca="1" t="shared" si="99"/>
        <v>-0.439538671611925</v>
      </c>
      <c r="H2154" t="str">
        <f ca="1" t="shared" si="100"/>
        <v>Risk-On</v>
      </c>
      <c r="I2154">
        <f ca="1" t="shared" si="101"/>
        <v>1</v>
      </c>
      <c r="J2154">
        <f>_xlfn.XLOOKUP($A2154,[1]Sheet1!$B$9:$B$2584,[1]Sheet1!$C$9:$C$2584,"N/A",0)</f>
        <v>104.48</v>
      </c>
      <c r="K2154">
        <f>_xlfn.XLOOKUP($A2154,[1]Sheet1!$E$9:$E$2584,[1]Sheet1!$F$9:$F$2584,"N/A",0)</f>
        <v>157.82</v>
      </c>
      <c r="L2154">
        <f>_xlfn.XLOOKUP($A2154,[1]Sheet1!$H$9:$H$2584,[1]Sheet1!$I$9:$I$2584,"N/A",0)</f>
        <v>64.44</v>
      </c>
      <c r="M2154">
        <f>_xlfn.XLOOKUP($A2154,[1]Sheet1!$K$9:$K$2584,[1]Sheet1!$L$9:$L$2584,"N/A",0)</f>
        <v>136.4</v>
      </c>
      <c r="N2154">
        <f>_xlfn.XLOOKUP($A2154,[1]Sheet1!$N$9:$N$2584,[1]Sheet1!$O$9:$O$2584,"N/A",0)</f>
        <v>122.79</v>
      </c>
      <c r="O2154">
        <v>104.48</v>
      </c>
      <c r="P2154">
        <v>157.82</v>
      </c>
      <c r="Q2154">
        <v>64.44</v>
      </c>
      <c r="R2154">
        <v>122.79</v>
      </c>
      <c r="S2154">
        <v>136.4</v>
      </c>
    </row>
    <row r="2155" spans="1:19">
      <c r="A2155" s="1">
        <v>45496</v>
      </c>
      <c r="B2155" t="s">
        <v>967</v>
      </c>
      <c r="C2155" t="s">
        <v>969</v>
      </c>
      <c r="D2155">
        <v>14.9323</v>
      </c>
      <c r="E2155">
        <v>15.6963</v>
      </c>
      <c r="F2155">
        <v>0.051164254669408</v>
      </c>
      <c r="G2155">
        <f ca="1" t="shared" si="99"/>
        <v>-0.393074287160979</v>
      </c>
      <c r="H2155" t="str">
        <f ca="1" t="shared" si="100"/>
        <v>Risk-On</v>
      </c>
      <c r="I2155">
        <f ca="1" t="shared" si="101"/>
        <v>1</v>
      </c>
      <c r="J2155">
        <f>_xlfn.XLOOKUP($A2155,[1]Sheet1!$B$9:$B$2584,[1]Sheet1!$C$9:$C$2584,"N/A",0)</f>
        <v>104.71</v>
      </c>
      <c r="K2155">
        <f>_xlfn.XLOOKUP($A2155,[1]Sheet1!$E$9:$E$2584,[1]Sheet1!$F$9:$F$2584,"N/A",0)</f>
        <v>159.01</v>
      </c>
      <c r="L2155">
        <f>_xlfn.XLOOKUP($A2155,[1]Sheet1!$H$9:$H$2584,[1]Sheet1!$I$9:$I$2584,"N/A",0)</f>
        <v>63.76</v>
      </c>
      <c r="M2155">
        <f>_xlfn.XLOOKUP($A2155,[1]Sheet1!$K$9:$K$2584,[1]Sheet1!$L$9:$L$2584,"N/A",0)</f>
        <v>136.38</v>
      </c>
      <c r="N2155">
        <f>_xlfn.XLOOKUP($A2155,[1]Sheet1!$N$9:$N$2584,[1]Sheet1!$O$9:$O$2584,"N/A",0)</f>
        <v>121.74</v>
      </c>
      <c r="O2155">
        <v>104.71</v>
      </c>
      <c r="P2155">
        <v>159.01</v>
      </c>
      <c r="Q2155">
        <v>63.76</v>
      </c>
      <c r="R2155">
        <v>121.74</v>
      </c>
      <c r="S2155">
        <v>136.38</v>
      </c>
    </row>
    <row r="2156" spans="1:19">
      <c r="A2156" s="1">
        <v>45497</v>
      </c>
      <c r="B2156" t="s">
        <v>967</v>
      </c>
      <c r="C2156" t="s">
        <v>969</v>
      </c>
      <c r="D2156">
        <v>17.072</v>
      </c>
      <c r="E2156">
        <v>17.4566</v>
      </c>
      <c r="F2156">
        <v>0.0225281162136833</v>
      </c>
      <c r="G2156">
        <f ca="1" t="shared" si="99"/>
        <v>-1.41162910295852</v>
      </c>
      <c r="H2156" t="str">
        <f ca="1" t="shared" si="100"/>
        <v>Risk-On</v>
      </c>
      <c r="I2156">
        <f ca="1" t="shared" si="101"/>
        <v>1</v>
      </c>
      <c r="J2156">
        <f>_xlfn.XLOOKUP($A2156,[1]Sheet1!$B$9:$B$2584,[1]Sheet1!$C$9:$C$2584,"N/A",0)</f>
        <v>104.16</v>
      </c>
      <c r="K2156">
        <f>_xlfn.XLOOKUP($A2156,[1]Sheet1!$E$9:$E$2584,[1]Sheet1!$F$9:$F$2584,"N/A",0)</f>
        <v>157.24</v>
      </c>
      <c r="L2156">
        <f>_xlfn.XLOOKUP($A2156,[1]Sheet1!$H$9:$H$2584,[1]Sheet1!$I$9:$I$2584,"N/A",0)</f>
        <v>64.6</v>
      </c>
      <c r="M2156">
        <f>_xlfn.XLOOKUP($A2156,[1]Sheet1!$K$9:$K$2584,[1]Sheet1!$L$9:$L$2584,"N/A",0)</f>
        <v>134.95</v>
      </c>
      <c r="N2156">
        <f>_xlfn.XLOOKUP($A2156,[1]Sheet1!$N$9:$N$2584,[1]Sheet1!$O$9:$O$2584,"N/A",0)</f>
        <v>122.05</v>
      </c>
      <c r="O2156">
        <v>104.16</v>
      </c>
      <c r="P2156">
        <v>157.24</v>
      </c>
      <c r="Q2156">
        <v>64.6</v>
      </c>
      <c r="R2156">
        <v>122.05</v>
      </c>
      <c r="S2156">
        <v>134.95</v>
      </c>
    </row>
    <row r="2157" spans="1:19">
      <c r="A2157" s="1">
        <v>45498</v>
      </c>
      <c r="B2157" t="s">
        <v>967</v>
      </c>
      <c r="C2157" t="s">
        <v>969</v>
      </c>
      <c r="D2157">
        <v>17.1444</v>
      </c>
      <c r="E2157">
        <v>17.5661</v>
      </c>
      <c r="F2157">
        <v>0.0245969529409018</v>
      </c>
      <c r="G2157">
        <f ca="1" t="shared" si="99"/>
        <v>-1.3196612585236</v>
      </c>
      <c r="H2157" t="str">
        <f ca="1" t="shared" si="100"/>
        <v>Risk-On</v>
      </c>
      <c r="I2157">
        <f ca="1" t="shared" si="101"/>
        <v>1</v>
      </c>
      <c r="J2157">
        <f>_xlfn.XLOOKUP($A2157,[1]Sheet1!$B$9:$B$2584,[1]Sheet1!$C$9:$C$2584,"N/A",0)</f>
        <v>104.85</v>
      </c>
      <c r="K2157">
        <f>_xlfn.XLOOKUP($A2157,[1]Sheet1!$E$9:$E$2584,[1]Sheet1!$F$9:$F$2584,"N/A",0)</f>
        <v>154.62</v>
      </c>
      <c r="L2157">
        <f>_xlfn.XLOOKUP($A2157,[1]Sheet1!$H$9:$H$2584,[1]Sheet1!$I$9:$I$2584,"N/A",0)</f>
        <v>64.4</v>
      </c>
      <c r="M2157">
        <f>_xlfn.XLOOKUP($A2157,[1]Sheet1!$K$9:$K$2584,[1]Sheet1!$L$9:$L$2584,"N/A",0)</f>
        <v>135.8</v>
      </c>
      <c r="N2157">
        <f>_xlfn.XLOOKUP($A2157,[1]Sheet1!$N$9:$N$2584,[1]Sheet1!$O$9:$O$2584,"N/A",0)</f>
        <v>120.12</v>
      </c>
      <c r="O2157">
        <v>104.85</v>
      </c>
      <c r="P2157">
        <v>154.62</v>
      </c>
      <c r="Q2157">
        <v>64.4</v>
      </c>
      <c r="R2157">
        <v>120.12</v>
      </c>
      <c r="S2157">
        <v>135.8</v>
      </c>
    </row>
    <row r="2158" spans="1:19">
      <c r="A2158" s="1">
        <v>45499</v>
      </c>
      <c r="B2158" t="s">
        <v>967</v>
      </c>
      <c r="C2158" t="s">
        <v>969</v>
      </c>
      <c r="D2158">
        <v>16.1771</v>
      </c>
      <c r="E2158">
        <v>16.718</v>
      </c>
      <c r="F2158">
        <v>0.0334361535751154</v>
      </c>
      <c r="G2158">
        <f ca="1" t="shared" si="99"/>
        <v>-0.988895894312178</v>
      </c>
      <c r="H2158" t="str">
        <f ca="1" t="shared" si="100"/>
        <v>Risk-On</v>
      </c>
      <c r="I2158">
        <f ca="1" t="shared" si="101"/>
        <v>1</v>
      </c>
      <c r="J2158">
        <f>_xlfn.XLOOKUP($A2158,[1]Sheet1!$B$9:$B$2584,[1]Sheet1!$C$9:$C$2584,"N/A",0)</f>
        <v>105.08</v>
      </c>
      <c r="K2158">
        <f>_xlfn.XLOOKUP($A2158,[1]Sheet1!$E$9:$E$2584,[1]Sheet1!$F$9:$F$2584,"N/A",0)</f>
        <v>154.79</v>
      </c>
      <c r="L2158">
        <f>_xlfn.XLOOKUP($A2158,[1]Sheet1!$H$9:$H$2584,[1]Sheet1!$I$9:$I$2584,"N/A",0)</f>
        <v>64.23</v>
      </c>
      <c r="M2158">
        <f>_xlfn.XLOOKUP($A2158,[1]Sheet1!$K$9:$K$2584,[1]Sheet1!$L$9:$L$2584,"N/A",0)</f>
        <v>135.48</v>
      </c>
      <c r="N2158">
        <f>_xlfn.XLOOKUP($A2158,[1]Sheet1!$N$9:$N$2584,[1]Sheet1!$O$9:$O$2584,"N/A",0)</f>
        <v>119.77</v>
      </c>
      <c r="O2158">
        <v>105.08</v>
      </c>
      <c r="P2158">
        <v>154.79</v>
      </c>
      <c r="Q2158">
        <v>64.23</v>
      </c>
      <c r="R2158">
        <v>119.77</v>
      </c>
      <c r="S2158">
        <v>135.48</v>
      </c>
    </row>
    <row r="2159" spans="1:19">
      <c r="A2159" s="1">
        <v>45502</v>
      </c>
      <c r="B2159" t="s">
        <v>967</v>
      </c>
      <c r="C2159" t="s">
        <v>969</v>
      </c>
      <c r="D2159">
        <v>15.9722</v>
      </c>
      <c r="E2159">
        <v>16.3991</v>
      </c>
      <c r="F2159" s="2" t="s">
        <v>971</v>
      </c>
      <c r="G2159">
        <f ca="1" t="shared" si="99"/>
        <v>-1.22223979476436</v>
      </c>
      <c r="H2159" t="str">
        <f ca="1" t="shared" si="100"/>
        <v>Risk-On</v>
      </c>
      <c r="I2159">
        <f ca="1" t="shared" si="101"/>
        <v>1</v>
      </c>
      <c r="J2159">
        <f>_xlfn.XLOOKUP($A2159,[1]Sheet1!$B$9:$B$2584,[1]Sheet1!$C$9:$C$2584,"N/A",0)</f>
        <v>105.1</v>
      </c>
      <c r="K2159">
        <f>_xlfn.XLOOKUP($A2159,[1]Sheet1!$E$9:$E$2584,[1]Sheet1!$F$9:$F$2584,"N/A",0)</f>
        <v>154.52</v>
      </c>
      <c r="L2159">
        <f>_xlfn.XLOOKUP($A2159,[1]Sheet1!$H$9:$H$2584,[1]Sheet1!$I$9:$I$2584,"N/A",0)</f>
        <v>63.73</v>
      </c>
      <c r="M2159">
        <f>_xlfn.XLOOKUP($A2159,[1]Sheet1!$K$9:$K$2584,[1]Sheet1!$L$9:$L$2584,"N/A",0)</f>
        <v>135.63</v>
      </c>
      <c r="N2159">
        <f>_xlfn.XLOOKUP($A2159,[1]Sheet1!$N$9:$N$2584,[1]Sheet1!$O$9:$O$2584,"N/A",0)</f>
        <v>120.74</v>
      </c>
      <c r="O2159">
        <v>105.1</v>
      </c>
      <c r="P2159">
        <v>154.52</v>
      </c>
      <c r="Q2159">
        <v>63.73</v>
      </c>
      <c r="R2159">
        <v>120.74</v>
      </c>
      <c r="S2159">
        <v>135.63</v>
      </c>
    </row>
    <row r="2160" spans="1:19">
      <c r="A2160" s="1">
        <v>45503</v>
      </c>
      <c r="B2160" t="s">
        <v>967</v>
      </c>
      <c r="C2160" t="s">
        <v>969</v>
      </c>
      <c r="D2160">
        <v>16.4855</v>
      </c>
      <c r="E2160">
        <v>16.8294</v>
      </c>
      <c r="F2160" s="2" t="s">
        <v>972</v>
      </c>
      <c r="G2160">
        <f ca="1" t="shared" si="99"/>
        <v>-1.42507097412419</v>
      </c>
      <c r="H2160" t="str">
        <f ca="1" t="shared" si="100"/>
        <v>Risk-On</v>
      </c>
      <c r="I2160">
        <f ca="1" t="shared" si="101"/>
        <v>1</v>
      </c>
      <c r="J2160">
        <f>_xlfn.XLOOKUP($A2160,[1]Sheet1!$B$9:$B$2584,[1]Sheet1!$C$9:$C$2584,"N/A",0)</f>
        <v>105.04</v>
      </c>
      <c r="K2160">
        <f>_xlfn.XLOOKUP($A2160,[1]Sheet1!$E$9:$E$2584,[1]Sheet1!$F$9:$F$2584,"N/A",0)</f>
        <v>152.4</v>
      </c>
      <c r="L2160">
        <f>_xlfn.XLOOKUP($A2160,[1]Sheet1!$H$9:$H$2584,[1]Sheet1!$I$9:$I$2584,"N/A",0)</f>
        <v>63.56</v>
      </c>
      <c r="M2160">
        <f>_xlfn.XLOOKUP($A2160,[1]Sheet1!$K$9:$K$2584,[1]Sheet1!$L$9:$L$2584,"N/A",0)</f>
        <v>135.32</v>
      </c>
      <c r="N2160">
        <f>_xlfn.XLOOKUP($A2160,[1]Sheet1!$N$9:$N$2584,[1]Sheet1!$O$9:$O$2584,"N/A",0)</f>
        <v>119.85</v>
      </c>
      <c r="O2160">
        <v>105.04</v>
      </c>
      <c r="P2160">
        <v>152.4</v>
      </c>
      <c r="Q2160">
        <v>63.56</v>
      </c>
      <c r="R2160">
        <v>119.85</v>
      </c>
      <c r="S2160">
        <v>135.32</v>
      </c>
    </row>
    <row r="2161" spans="1:19">
      <c r="A2161" s="1">
        <v>45504</v>
      </c>
      <c r="B2161" t="s">
        <v>967</v>
      </c>
      <c r="C2161" t="s">
        <v>969</v>
      </c>
      <c r="D2161">
        <v>15.9994</v>
      </c>
      <c r="E2161">
        <v>16.4934</v>
      </c>
      <c r="F2161" s="2" t="s">
        <v>973</v>
      </c>
      <c r="G2161">
        <f ca="1" t="shared" si="99"/>
        <v>-1.06882589285231</v>
      </c>
      <c r="H2161" t="str">
        <f ca="1" t="shared" si="100"/>
        <v>Risk-On</v>
      </c>
      <c r="I2161">
        <f ca="1" t="shared" si="101"/>
        <v>1</v>
      </c>
      <c r="J2161">
        <f>_xlfn.XLOOKUP($A2161,[1]Sheet1!$B$9:$B$2584,[1]Sheet1!$C$9:$C$2584,"N/A",0)</f>
        <v>104.96</v>
      </c>
      <c r="K2161">
        <f>_xlfn.XLOOKUP($A2161,[1]Sheet1!$E$9:$E$2584,[1]Sheet1!$F$9:$F$2584,"N/A",0)</f>
        <v>154.25</v>
      </c>
      <c r="L2161">
        <f>_xlfn.XLOOKUP($A2161,[1]Sheet1!$H$9:$H$2584,[1]Sheet1!$I$9:$I$2584,"N/A",0)</f>
        <v>63.55</v>
      </c>
      <c r="M2161">
        <f>_xlfn.XLOOKUP($A2161,[1]Sheet1!$K$9:$K$2584,[1]Sheet1!$L$9:$L$2584,"N/A",0)</f>
        <v>135.02</v>
      </c>
      <c r="N2161">
        <f>_xlfn.XLOOKUP($A2161,[1]Sheet1!$N$9:$N$2584,[1]Sheet1!$O$9:$O$2584,"N/A",0)</f>
        <v>120.62</v>
      </c>
      <c r="O2161">
        <v>104.96</v>
      </c>
      <c r="P2161">
        <v>154.25</v>
      </c>
      <c r="Q2161">
        <v>63.55</v>
      </c>
      <c r="R2161">
        <v>120.62</v>
      </c>
      <c r="S2161">
        <v>135.02</v>
      </c>
    </row>
    <row r="2162" spans="1:19">
      <c r="A2162" s="1">
        <v>45505</v>
      </c>
      <c r="B2162" t="s">
        <v>967</v>
      </c>
      <c r="C2162" t="s">
        <v>969</v>
      </c>
      <c r="D2162">
        <v>17.4669</v>
      </c>
      <c r="E2162">
        <v>17.8469</v>
      </c>
      <c r="F2162">
        <v>0.0217554345648055</v>
      </c>
      <c r="G2162">
        <f ca="1" t="shared" si="99"/>
        <v>-1.38886507170559</v>
      </c>
      <c r="H2162" t="str">
        <f ca="1" t="shared" si="100"/>
        <v>Risk-On</v>
      </c>
      <c r="I2162">
        <f ca="1" t="shared" si="101"/>
        <v>1</v>
      </c>
      <c r="J2162">
        <f>_xlfn.XLOOKUP($A2162,[1]Sheet1!$B$9:$B$2584,[1]Sheet1!$C$9:$C$2584,"N/A",0)</f>
        <v>105.24</v>
      </c>
      <c r="K2162">
        <f>_xlfn.XLOOKUP($A2162,[1]Sheet1!$E$9:$E$2584,[1]Sheet1!$F$9:$F$2584,"N/A",0)</f>
        <v>153.59</v>
      </c>
      <c r="L2162">
        <f>_xlfn.XLOOKUP($A2162,[1]Sheet1!$H$9:$H$2584,[1]Sheet1!$I$9:$I$2584,"N/A",0)</f>
        <v>62.71</v>
      </c>
      <c r="M2162">
        <f>_xlfn.XLOOKUP($A2162,[1]Sheet1!$K$9:$K$2584,[1]Sheet1!$L$9:$L$2584,"N/A",0)</f>
        <v>136.27</v>
      </c>
      <c r="N2162">
        <f>_xlfn.XLOOKUP($A2162,[1]Sheet1!$N$9:$N$2584,[1]Sheet1!$O$9:$O$2584,"N/A",0)</f>
        <v>121.14</v>
      </c>
      <c r="O2162">
        <v>105.24</v>
      </c>
      <c r="P2162">
        <v>153.59</v>
      </c>
      <c r="Q2162">
        <v>62.71</v>
      </c>
      <c r="R2162">
        <v>121.14</v>
      </c>
      <c r="S2162">
        <v>136.27</v>
      </c>
    </row>
    <row r="2163" spans="1:19">
      <c r="A2163" s="1">
        <v>45506</v>
      </c>
      <c r="B2163" t="s">
        <v>967</v>
      </c>
      <c r="C2163" t="s">
        <v>969</v>
      </c>
      <c r="D2163">
        <v>21.8527</v>
      </c>
      <c r="E2163">
        <v>21.9844</v>
      </c>
      <c r="F2163">
        <v>0.0060267152342732</v>
      </c>
      <c r="G2163">
        <f ca="1" t="shared" si="99"/>
        <v>-1.93365513725384</v>
      </c>
      <c r="H2163" t="str">
        <f ca="1" t="shared" si="100"/>
        <v>Risk-On</v>
      </c>
      <c r="I2163">
        <f ca="1" t="shared" si="101"/>
        <v>1</v>
      </c>
      <c r="J2163">
        <f>_xlfn.XLOOKUP($A2163,[1]Sheet1!$B$9:$B$2584,[1]Sheet1!$C$9:$C$2584,"N/A",0)</f>
        <v>105.36</v>
      </c>
      <c r="K2163">
        <f>_xlfn.XLOOKUP($A2163,[1]Sheet1!$E$9:$E$2584,[1]Sheet1!$F$9:$F$2584,"N/A",0)</f>
        <v>151.6</v>
      </c>
      <c r="L2163">
        <f>_xlfn.XLOOKUP($A2163,[1]Sheet1!$H$9:$H$2584,[1]Sheet1!$I$9:$I$2584,"N/A",0)</f>
        <v>61.48</v>
      </c>
      <c r="M2163">
        <f>_xlfn.XLOOKUP($A2163,[1]Sheet1!$K$9:$K$2584,[1]Sheet1!$L$9:$L$2584,"N/A",0)</f>
        <v>137.11</v>
      </c>
      <c r="N2163">
        <f>_xlfn.XLOOKUP($A2163,[1]Sheet1!$N$9:$N$2584,[1]Sheet1!$O$9:$O$2584,"N/A",0)</f>
        <v>121.61</v>
      </c>
      <c r="O2163">
        <v>105.36</v>
      </c>
      <c r="P2163">
        <v>151.6</v>
      </c>
      <c r="Q2163">
        <v>61.48</v>
      </c>
      <c r="R2163">
        <v>121.61</v>
      </c>
      <c r="S2163">
        <v>137.11</v>
      </c>
    </row>
    <row r="2164" spans="1:19">
      <c r="A2164" s="1">
        <v>45509</v>
      </c>
      <c r="B2164" t="s">
        <v>967</v>
      </c>
      <c r="C2164" t="s">
        <v>969</v>
      </c>
      <c r="D2164">
        <v>32.0986</v>
      </c>
      <c r="E2164">
        <v>30.3911</v>
      </c>
      <c r="F2164">
        <v>-0.0531954664689424</v>
      </c>
      <c r="G2164">
        <f ca="1" t="shared" si="99"/>
        <v>-3.99064752952623</v>
      </c>
      <c r="H2164" t="str">
        <f ca="1" t="shared" si="100"/>
        <v>Risk-On</v>
      </c>
      <c r="I2164">
        <f ca="1" t="shared" si="101"/>
        <v>1</v>
      </c>
      <c r="J2164">
        <f>_xlfn.XLOOKUP($A2164,[1]Sheet1!$B$9:$B$2584,[1]Sheet1!$C$9:$C$2584,"N/A",0)</f>
        <v>105.33</v>
      </c>
      <c r="K2164">
        <f>_xlfn.XLOOKUP($A2164,[1]Sheet1!$E$9:$E$2584,[1]Sheet1!$F$9:$F$2584,"N/A",0)</f>
        <v>152.25</v>
      </c>
      <c r="L2164">
        <f>_xlfn.XLOOKUP($A2164,[1]Sheet1!$H$9:$H$2584,[1]Sheet1!$I$9:$I$2584,"N/A",0)</f>
        <v>61.83</v>
      </c>
      <c r="M2164">
        <f>_xlfn.XLOOKUP($A2164,[1]Sheet1!$K$9:$K$2584,[1]Sheet1!$L$9:$L$2584,"N/A",0)</f>
        <v>136.17</v>
      </c>
      <c r="N2164">
        <f>_xlfn.XLOOKUP($A2164,[1]Sheet1!$N$9:$N$2584,[1]Sheet1!$O$9:$O$2584,"N/A",0)</f>
        <v>122.57</v>
      </c>
      <c r="O2164">
        <v>105.33</v>
      </c>
      <c r="P2164">
        <v>152.25</v>
      </c>
      <c r="Q2164">
        <v>61.83</v>
      </c>
      <c r="R2164">
        <v>122.57</v>
      </c>
      <c r="S2164">
        <v>136.17</v>
      </c>
    </row>
    <row r="2165" spans="1:19">
      <c r="A2165" s="1">
        <v>45510</v>
      </c>
      <c r="B2165" t="s">
        <v>967</v>
      </c>
      <c r="C2165" t="s">
        <v>969</v>
      </c>
      <c r="D2165">
        <v>25.7702</v>
      </c>
      <c r="E2165">
        <v>24.8657</v>
      </c>
      <c r="F2165">
        <v>-0.0350986798705481</v>
      </c>
      <c r="G2165">
        <f ca="1" t="shared" si="99"/>
        <v>-3.18632827220127</v>
      </c>
      <c r="H2165" t="str">
        <f ca="1" t="shared" si="100"/>
        <v>Risk-On</v>
      </c>
      <c r="I2165">
        <f ca="1" t="shared" si="101"/>
        <v>1</v>
      </c>
      <c r="J2165">
        <f>_xlfn.XLOOKUP($A2165,[1]Sheet1!$B$9:$B$2584,[1]Sheet1!$C$9:$C$2584,"N/A",0)</f>
        <v>105.68</v>
      </c>
      <c r="K2165">
        <f>_xlfn.XLOOKUP($A2165,[1]Sheet1!$E$9:$E$2584,[1]Sheet1!$F$9:$F$2584,"N/A",0)</f>
        <v>154.47</v>
      </c>
      <c r="L2165">
        <f>_xlfn.XLOOKUP($A2165,[1]Sheet1!$H$9:$H$2584,[1]Sheet1!$I$9:$I$2584,"N/A",0)</f>
        <v>61.53</v>
      </c>
      <c r="M2165">
        <f>_xlfn.XLOOKUP($A2165,[1]Sheet1!$K$9:$K$2584,[1]Sheet1!$L$9:$L$2584,"N/A",0)</f>
        <v>137.68</v>
      </c>
      <c r="N2165">
        <f>_xlfn.XLOOKUP($A2165,[1]Sheet1!$N$9:$N$2584,[1]Sheet1!$O$9:$O$2584,"N/A",0)</f>
        <v>122.57</v>
      </c>
      <c r="O2165">
        <v>105.68</v>
      </c>
      <c r="P2165">
        <v>154.47</v>
      </c>
      <c r="Q2165">
        <v>61.53</v>
      </c>
      <c r="R2165">
        <v>122.57</v>
      </c>
      <c r="S2165">
        <v>137.68</v>
      </c>
    </row>
    <row r="2166" spans="1:19">
      <c r="A2166" s="1">
        <v>45511</v>
      </c>
      <c r="B2166" t="s">
        <v>967</v>
      </c>
      <c r="C2166" t="s">
        <v>969</v>
      </c>
      <c r="D2166">
        <v>25.0766</v>
      </c>
      <c r="E2166">
        <v>23.5773</v>
      </c>
      <c r="F2166">
        <v>-0.0597888070950606</v>
      </c>
      <c r="G2166">
        <f ca="1" t="shared" si="99"/>
        <v>-3.89955499414225</v>
      </c>
      <c r="H2166" t="str">
        <f ca="1" t="shared" si="100"/>
        <v>Risk-On</v>
      </c>
      <c r="I2166">
        <f ca="1" t="shared" si="101"/>
        <v>1</v>
      </c>
      <c r="J2166">
        <f>_xlfn.XLOOKUP($A2166,[1]Sheet1!$B$9:$B$2584,[1]Sheet1!$C$9:$C$2584,"N/A",0)</f>
        <v>106.66</v>
      </c>
      <c r="K2166">
        <f>_xlfn.XLOOKUP($A2166,[1]Sheet1!$E$9:$E$2584,[1]Sheet1!$F$9:$F$2584,"N/A",0)</f>
        <v>153.08</v>
      </c>
      <c r="L2166">
        <f>_xlfn.XLOOKUP($A2166,[1]Sheet1!$H$9:$H$2584,[1]Sheet1!$I$9:$I$2584,"N/A",0)</f>
        <v>61.41</v>
      </c>
      <c r="M2166">
        <f>_xlfn.XLOOKUP($A2166,[1]Sheet1!$K$9:$K$2584,[1]Sheet1!$L$9:$L$2584,"N/A",0)</f>
        <v>137.29</v>
      </c>
      <c r="N2166">
        <f>_xlfn.XLOOKUP($A2166,[1]Sheet1!$N$9:$N$2584,[1]Sheet1!$O$9:$O$2584,"N/A",0)</f>
        <v>122.73</v>
      </c>
      <c r="O2166">
        <v>106.66</v>
      </c>
      <c r="P2166">
        <v>153.08</v>
      </c>
      <c r="Q2166">
        <v>61.41</v>
      </c>
      <c r="R2166">
        <v>122.73</v>
      </c>
      <c r="S2166">
        <v>137.29</v>
      </c>
    </row>
    <row r="2167" spans="1:19">
      <c r="A2167" s="1">
        <v>45512</v>
      </c>
      <c r="B2167" t="s">
        <v>967</v>
      </c>
      <c r="C2167" t="s">
        <v>969</v>
      </c>
      <c r="D2167">
        <v>22.6885</v>
      </c>
      <c r="E2167">
        <v>21.7279</v>
      </c>
      <c r="F2167">
        <v>-0.042338629702272</v>
      </c>
      <c r="G2167">
        <f ca="1" t="shared" si="99"/>
        <v>-3.16594276202248</v>
      </c>
      <c r="H2167" t="str">
        <f ca="1" t="shared" si="100"/>
        <v>Risk-On</v>
      </c>
      <c r="I2167">
        <f ca="1" t="shared" si="101"/>
        <v>1</v>
      </c>
      <c r="J2167">
        <f>_xlfn.XLOOKUP($A2167,[1]Sheet1!$B$9:$B$2584,[1]Sheet1!$C$9:$C$2584,"N/A",0)</f>
        <v>105.87</v>
      </c>
      <c r="K2167">
        <f>_xlfn.XLOOKUP($A2167,[1]Sheet1!$E$9:$E$2584,[1]Sheet1!$F$9:$F$2584,"N/A",0)</f>
        <v>154.43</v>
      </c>
      <c r="L2167">
        <f>_xlfn.XLOOKUP($A2167,[1]Sheet1!$H$9:$H$2584,[1]Sheet1!$I$9:$I$2584,"N/A",0)</f>
        <v>61.46</v>
      </c>
      <c r="M2167">
        <f>_xlfn.XLOOKUP($A2167,[1]Sheet1!$K$9:$K$2584,[1]Sheet1!$L$9:$L$2584,"N/A",0)</f>
        <v>138.37</v>
      </c>
      <c r="N2167">
        <f>_xlfn.XLOOKUP($A2167,[1]Sheet1!$N$9:$N$2584,[1]Sheet1!$O$9:$O$2584,"N/A",0)</f>
        <v>122.94</v>
      </c>
      <c r="O2167">
        <v>105.87</v>
      </c>
      <c r="P2167">
        <v>154.43</v>
      </c>
      <c r="Q2167">
        <v>61.46</v>
      </c>
      <c r="R2167">
        <v>122.94</v>
      </c>
      <c r="S2167">
        <v>138.37</v>
      </c>
    </row>
    <row r="2168" spans="1:19">
      <c r="A2168" s="1">
        <v>45513</v>
      </c>
      <c r="B2168" t="s">
        <v>967</v>
      </c>
      <c r="C2168" t="s">
        <v>969</v>
      </c>
      <c r="D2168">
        <v>19.4971</v>
      </c>
      <c r="E2168">
        <v>18.8533</v>
      </c>
      <c r="F2168">
        <v>-0.0330202953259715</v>
      </c>
      <c r="G2168">
        <f ca="1" t="shared" si="99"/>
        <v>-2.77371874623827</v>
      </c>
      <c r="H2168" t="str">
        <f ca="1" t="shared" si="100"/>
        <v>Risk-On</v>
      </c>
      <c r="I2168">
        <f ca="1" t="shared" si="101"/>
        <v>1</v>
      </c>
      <c r="J2168">
        <f>_xlfn.XLOOKUP($A2168,[1]Sheet1!$B$9:$B$2584,[1]Sheet1!$C$9:$C$2584,"N/A",0)</f>
        <v>105.86</v>
      </c>
      <c r="K2168">
        <f>_xlfn.XLOOKUP($A2168,[1]Sheet1!$E$9:$E$2584,[1]Sheet1!$F$9:$F$2584,"N/A",0)</f>
        <v>156.2</v>
      </c>
      <c r="L2168">
        <f>_xlfn.XLOOKUP($A2168,[1]Sheet1!$H$9:$H$2584,[1]Sheet1!$I$9:$I$2584,"N/A",0)</f>
        <v>61.44</v>
      </c>
      <c r="M2168">
        <f>_xlfn.XLOOKUP($A2168,[1]Sheet1!$K$9:$K$2584,[1]Sheet1!$L$9:$L$2584,"N/A",0)</f>
        <v>138.61</v>
      </c>
      <c r="N2168">
        <f>_xlfn.XLOOKUP($A2168,[1]Sheet1!$N$9:$N$2584,[1]Sheet1!$O$9:$O$2584,"N/A",0)</f>
        <v>123.13</v>
      </c>
      <c r="O2168">
        <v>105.86</v>
      </c>
      <c r="P2168">
        <v>156.2</v>
      </c>
      <c r="Q2168">
        <v>61.44</v>
      </c>
      <c r="R2168">
        <v>123.13</v>
      </c>
      <c r="S2168">
        <v>138.61</v>
      </c>
    </row>
    <row r="2169" spans="1:19">
      <c r="A2169" s="1">
        <v>45516</v>
      </c>
      <c r="B2169" t="s">
        <v>967</v>
      </c>
      <c r="C2169" t="s">
        <v>969</v>
      </c>
      <c r="D2169">
        <v>19.4647</v>
      </c>
      <c r="E2169">
        <v>18.8303</v>
      </c>
      <c r="F2169">
        <v>-0.0325923338145463</v>
      </c>
      <c r="G2169">
        <f ca="1" t="shared" si="99"/>
        <v>-2.68483915814353</v>
      </c>
      <c r="H2169" t="str">
        <f ca="1" t="shared" si="100"/>
        <v>Risk-On</v>
      </c>
      <c r="I2169">
        <f ca="1" t="shared" si="101"/>
        <v>1</v>
      </c>
      <c r="J2169">
        <f>_xlfn.XLOOKUP($A2169,[1]Sheet1!$B$9:$B$2584,[1]Sheet1!$C$9:$C$2584,"N/A",0)</f>
        <v>106.09</v>
      </c>
      <c r="K2169">
        <f>_xlfn.XLOOKUP($A2169,[1]Sheet1!$E$9:$E$2584,[1]Sheet1!$F$9:$F$2584,"N/A",0)</f>
        <v>158.12</v>
      </c>
      <c r="L2169">
        <f>_xlfn.XLOOKUP($A2169,[1]Sheet1!$H$9:$H$2584,[1]Sheet1!$I$9:$I$2584,"N/A",0)</f>
        <v>61.57</v>
      </c>
      <c r="M2169">
        <f>_xlfn.XLOOKUP($A2169,[1]Sheet1!$K$9:$K$2584,[1]Sheet1!$L$9:$L$2584,"N/A",0)</f>
        <v>138.42</v>
      </c>
      <c r="N2169">
        <f>_xlfn.XLOOKUP($A2169,[1]Sheet1!$N$9:$N$2584,[1]Sheet1!$O$9:$O$2584,"N/A",0)</f>
        <v>123.28</v>
      </c>
      <c r="O2169">
        <v>106.09</v>
      </c>
      <c r="P2169">
        <v>158.12</v>
      </c>
      <c r="Q2169">
        <v>61.57</v>
      </c>
      <c r="R2169">
        <v>123.28</v>
      </c>
      <c r="S2169">
        <v>138.42</v>
      </c>
    </row>
    <row r="2170" spans="1:19">
      <c r="A2170" s="1">
        <v>45517</v>
      </c>
      <c r="B2170" t="s">
        <v>967</v>
      </c>
      <c r="C2170" t="s">
        <v>969</v>
      </c>
      <c r="D2170">
        <v>17.5452</v>
      </c>
      <c r="E2170">
        <v>17.4046</v>
      </c>
      <c r="F2170">
        <v>-0.00801358776189514</v>
      </c>
      <c r="G2170">
        <f ca="1" t="shared" si="99"/>
        <v>-1.89694551357673</v>
      </c>
      <c r="H2170" t="str">
        <f ca="1" t="shared" si="100"/>
        <v>Risk-On</v>
      </c>
      <c r="I2170">
        <f ca="1" t="shared" si="101"/>
        <v>1</v>
      </c>
      <c r="J2170">
        <f>_xlfn.XLOOKUP($A2170,[1]Sheet1!$B$9:$B$2584,[1]Sheet1!$C$9:$C$2584,"N/A",0)</f>
        <v>107.09</v>
      </c>
      <c r="K2170">
        <f>_xlfn.XLOOKUP($A2170,[1]Sheet1!$E$9:$E$2584,[1]Sheet1!$F$9:$F$2584,"N/A",0)</f>
        <v>157.32</v>
      </c>
      <c r="L2170">
        <f>_xlfn.XLOOKUP($A2170,[1]Sheet1!$H$9:$H$2584,[1]Sheet1!$I$9:$I$2584,"N/A",0)</f>
        <v>61.6</v>
      </c>
      <c r="M2170">
        <f>_xlfn.XLOOKUP($A2170,[1]Sheet1!$K$9:$K$2584,[1]Sheet1!$L$9:$L$2584,"N/A",0)</f>
        <v>138.45</v>
      </c>
      <c r="N2170">
        <f>_xlfn.XLOOKUP($A2170,[1]Sheet1!$N$9:$N$2584,[1]Sheet1!$O$9:$O$2584,"N/A",0)</f>
        <v>123.17</v>
      </c>
      <c r="O2170">
        <v>107.09</v>
      </c>
      <c r="P2170">
        <v>157.32</v>
      </c>
      <c r="Q2170">
        <v>61.6</v>
      </c>
      <c r="R2170">
        <v>123.17</v>
      </c>
      <c r="S2170">
        <v>138.45</v>
      </c>
    </row>
    <row r="2171" spans="1:19">
      <c r="A2171" s="1">
        <v>45518</v>
      </c>
      <c r="B2171" t="s">
        <v>967</v>
      </c>
      <c r="C2171" t="s">
        <v>969</v>
      </c>
      <c r="D2171">
        <v>16.2453</v>
      </c>
      <c r="E2171">
        <v>16.2629</v>
      </c>
      <c r="F2171">
        <v>0.0010833902728788</v>
      </c>
      <c r="G2171">
        <f ca="1" t="shared" si="99"/>
        <v>-1.60550800315629</v>
      </c>
      <c r="H2171" t="str">
        <f ca="1" t="shared" si="100"/>
        <v>Risk-On</v>
      </c>
      <c r="I2171">
        <f ca="1" t="shared" si="101"/>
        <v>1</v>
      </c>
      <c r="J2171">
        <f>_xlfn.XLOOKUP($A2171,[1]Sheet1!$B$9:$B$2584,[1]Sheet1!$C$9:$C$2584,"N/A",0)</f>
        <v>107.49</v>
      </c>
      <c r="K2171">
        <f>_xlfn.XLOOKUP($A2171,[1]Sheet1!$E$9:$E$2584,[1]Sheet1!$F$9:$F$2584,"N/A",0)</f>
        <v>159.1</v>
      </c>
      <c r="L2171">
        <f>_xlfn.XLOOKUP($A2171,[1]Sheet1!$H$9:$H$2584,[1]Sheet1!$I$9:$I$2584,"N/A",0)</f>
        <v>61.51</v>
      </c>
      <c r="M2171">
        <f>_xlfn.XLOOKUP($A2171,[1]Sheet1!$K$9:$K$2584,[1]Sheet1!$L$9:$L$2584,"N/A",0)</f>
        <v>138.65</v>
      </c>
      <c r="N2171">
        <f>_xlfn.XLOOKUP($A2171,[1]Sheet1!$N$9:$N$2584,[1]Sheet1!$O$9:$O$2584,"N/A",0)</f>
        <v>123.96</v>
      </c>
      <c r="O2171">
        <v>107.49</v>
      </c>
      <c r="P2171">
        <v>159.1</v>
      </c>
      <c r="Q2171">
        <v>61.51</v>
      </c>
      <c r="R2171">
        <v>123.96</v>
      </c>
      <c r="S2171">
        <v>138.65</v>
      </c>
    </row>
    <row r="2172" spans="1:19">
      <c r="A2172" s="1">
        <v>45519</v>
      </c>
      <c r="B2172" t="s">
        <v>967</v>
      </c>
      <c r="C2172" t="s">
        <v>969</v>
      </c>
      <c r="D2172">
        <v>15.3485</v>
      </c>
      <c r="E2172">
        <v>15.7452</v>
      </c>
      <c r="F2172">
        <v>0.0258461738932143</v>
      </c>
      <c r="G2172">
        <f ca="1" t="shared" si="99"/>
        <v>-0.86632757408288</v>
      </c>
      <c r="H2172" t="str">
        <f ca="1" t="shared" si="100"/>
        <v>Risk-On</v>
      </c>
      <c r="I2172">
        <f ca="1" t="shared" si="101"/>
        <v>1</v>
      </c>
      <c r="J2172">
        <f>_xlfn.XLOOKUP($A2172,[1]Sheet1!$B$9:$B$2584,[1]Sheet1!$C$9:$C$2584,"N/A",0)</f>
        <v>107.16</v>
      </c>
      <c r="K2172">
        <f>_xlfn.XLOOKUP($A2172,[1]Sheet1!$E$9:$E$2584,[1]Sheet1!$F$9:$F$2584,"N/A",0)</f>
        <v>158.26</v>
      </c>
      <c r="L2172">
        <f>_xlfn.XLOOKUP($A2172,[1]Sheet1!$H$9:$H$2584,[1]Sheet1!$I$9:$I$2584,"N/A",0)</f>
        <v>61.96</v>
      </c>
      <c r="M2172">
        <f>_xlfn.XLOOKUP($A2172,[1]Sheet1!$K$9:$K$2584,[1]Sheet1!$L$9:$L$2584,"N/A",0)</f>
        <v>138.5</v>
      </c>
      <c r="N2172">
        <f>_xlfn.XLOOKUP($A2172,[1]Sheet1!$N$9:$N$2584,[1]Sheet1!$O$9:$O$2584,"N/A",0)</f>
        <v>123.43</v>
      </c>
      <c r="O2172">
        <v>107.16</v>
      </c>
      <c r="P2172">
        <v>158.26</v>
      </c>
      <c r="Q2172">
        <v>61.96</v>
      </c>
      <c r="R2172">
        <v>123.43</v>
      </c>
      <c r="S2172">
        <v>138.5</v>
      </c>
    </row>
    <row r="2173" spans="1:19">
      <c r="A2173" s="1">
        <v>45520</v>
      </c>
      <c r="B2173" t="s">
        <v>967</v>
      </c>
      <c r="C2173" t="s">
        <v>969</v>
      </c>
      <c r="D2173">
        <v>15.2799</v>
      </c>
      <c r="E2173">
        <v>15.6896</v>
      </c>
      <c r="F2173" s="2" t="s">
        <v>974</v>
      </c>
      <c r="G2173">
        <f ca="1" t="shared" si="99"/>
        <v>-0.828057325178588</v>
      </c>
      <c r="H2173" t="str">
        <f ca="1" t="shared" si="100"/>
        <v>Risk-On</v>
      </c>
      <c r="I2173">
        <f ca="1" t="shared" si="101"/>
        <v>1</v>
      </c>
      <c r="J2173">
        <f>_xlfn.XLOOKUP($A2173,[1]Sheet1!$B$9:$B$2584,[1]Sheet1!$C$9:$C$2584,"N/A",0)</f>
        <v>106.82</v>
      </c>
      <c r="K2173">
        <f>_xlfn.XLOOKUP($A2173,[1]Sheet1!$E$9:$E$2584,[1]Sheet1!$F$9:$F$2584,"N/A",0)</f>
        <v>157.67</v>
      </c>
      <c r="L2173">
        <f>_xlfn.XLOOKUP($A2173,[1]Sheet1!$H$9:$H$2584,[1]Sheet1!$I$9:$I$2584,"N/A",0)</f>
        <v>62.07</v>
      </c>
      <c r="M2173">
        <f>_xlfn.XLOOKUP($A2173,[1]Sheet1!$K$9:$K$2584,[1]Sheet1!$L$9:$L$2584,"N/A",0)</f>
        <v>138.3</v>
      </c>
      <c r="N2173">
        <f>_xlfn.XLOOKUP($A2173,[1]Sheet1!$N$9:$N$2584,[1]Sheet1!$O$9:$O$2584,"N/A",0)</f>
        <v>123.45</v>
      </c>
      <c r="O2173">
        <v>106.82</v>
      </c>
      <c r="P2173">
        <v>157.67</v>
      </c>
      <c r="Q2173">
        <v>62.07</v>
      </c>
      <c r="R2173">
        <v>123.45</v>
      </c>
      <c r="S2173">
        <v>138.3</v>
      </c>
    </row>
    <row r="2174" spans="1:19">
      <c r="A2174" s="1">
        <v>45523</v>
      </c>
      <c r="B2174" t="s">
        <v>967</v>
      </c>
      <c r="C2174" t="s">
        <v>969</v>
      </c>
      <c r="D2174">
        <v>14.7848</v>
      </c>
      <c r="E2174">
        <v>15.3728</v>
      </c>
      <c r="F2174">
        <v>0.0397705751853254</v>
      </c>
      <c r="G2174">
        <f ca="1" t="shared" si="99"/>
        <v>-0.449153887976365</v>
      </c>
      <c r="H2174" t="str">
        <f ca="1" t="shared" si="100"/>
        <v>Risk-On</v>
      </c>
      <c r="I2174">
        <f ca="1" t="shared" si="101"/>
        <v>1</v>
      </c>
      <c r="J2174">
        <f>_xlfn.XLOOKUP($A2174,[1]Sheet1!$B$9:$B$2584,[1]Sheet1!$C$9:$C$2584,"N/A",0)</f>
        <v>106.86</v>
      </c>
      <c r="K2174">
        <f>_xlfn.XLOOKUP($A2174,[1]Sheet1!$E$9:$E$2584,[1]Sheet1!$F$9:$F$2584,"N/A",0)</f>
        <v>157.52</v>
      </c>
      <c r="L2174">
        <f>_xlfn.XLOOKUP($A2174,[1]Sheet1!$H$9:$H$2584,[1]Sheet1!$I$9:$I$2584,"N/A",0)</f>
        <v>62.13</v>
      </c>
      <c r="M2174">
        <f>_xlfn.XLOOKUP($A2174,[1]Sheet1!$K$9:$K$2584,[1]Sheet1!$L$9:$L$2584,"N/A",0)</f>
        <v>137.62</v>
      </c>
      <c r="N2174">
        <f>_xlfn.XLOOKUP($A2174,[1]Sheet1!$N$9:$N$2584,[1]Sheet1!$O$9:$O$2584,"N/A",0)</f>
        <v>123.09</v>
      </c>
      <c r="O2174">
        <v>106.86</v>
      </c>
      <c r="P2174">
        <v>157.52</v>
      </c>
      <c r="Q2174">
        <v>62.13</v>
      </c>
      <c r="R2174">
        <v>123.09</v>
      </c>
      <c r="S2174">
        <v>137.62</v>
      </c>
    </row>
    <row r="2175" spans="1:19">
      <c r="A2175" s="1">
        <v>45524</v>
      </c>
      <c r="B2175" t="s">
        <v>967</v>
      </c>
      <c r="C2175" t="s">
        <v>969</v>
      </c>
      <c r="D2175">
        <v>15.8801</v>
      </c>
      <c r="E2175">
        <v>16.0407</v>
      </c>
      <c r="F2175" s="2" t="s">
        <v>975</v>
      </c>
      <c r="G2175">
        <f ca="1" t="shared" si="99"/>
        <v>-1.31684437943471</v>
      </c>
      <c r="H2175" t="str">
        <f ca="1" t="shared" si="100"/>
        <v>Risk-On</v>
      </c>
      <c r="I2175">
        <f ca="1" t="shared" si="101"/>
        <v>1</v>
      </c>
      <c r="J2175">
        <f>_xlfn.XLOOKUP($A2175,[1]Sheet1!$B$9:$B$2584,[1]Sheet1!$C$9:$C$2584,"N/A",0)</f>
        <v>106.64</v>
      </c>
      <c r="K2175">
        <f>_xlfn.XLOOKUP($A2175,[1]Sheet1!$E$9:$E$2584,[1]Sheet1!$F$9:$F$2584,"N/A",0)</f>
        <v>158.05</v>
      </c>
      <c r="L2175">
        <f>_xlfn.XLOOKUP($A2175,[1]Sheet1!$H$9:$H$2584,[1]Sheet1!$I$9:$I$2584,"N/A",0)</f>
        <v>61.95</v>
      </c>
      <c r="M2175">
        <f>_xlfn.XLOOKUP($A2175,[1]Sheet1!$K$9:$K$2584,[1]Sheet1!$L$9:$L$2584,"N/A",0)</f>
        <v>137.3</v>
      </c>
      <c r="N2175">
        <f>_xlfn.XLOOKUP($A2175,[1]Sheet1!$N$9:$N$2584,[1]Sheet1!$O$9:$O$2584,"N/A",0)</f>
        <v>123.88</v>
      </c>
      <c r="O2175">
        <v>106.64</v>
      </c>
      <c r="P2175">
        <v>158.05</v>
      </c>
      <c r="Q2175">
        <v>61.95</v>
      </c>
      <c r="R2175">
        <v>123.88</v>
      </c>
      <c r="S2175">
        <v>137.3</v>
      </c>
    </row>
    <row r="2176" spans="1:19">
      <c r="A2176" s="1">
        <v>45525</v>
      </c>
      <c r="B2176" t="s">
        <v>967</v>
      </c>
      <c r="C2176" t="s">
        <v>969</v>
      </c>
      <c r="D2176">
        <v>16.11</v>
      </c>
      <c r="E2176">
        <v>16.228</v>
      </c>
      <c r="F2176">
        <v>0.00732464307883315</v>
      </c>
      <c r="G2176">
        <f ca="1" t="shared" si="99"/>
        <v>-1.40239238653136</v>
      </c>
      <c r="H2176" t="str">
        <f ca="1" t="shared" si="100"/>
        <v>Risk-On</v>
      </c>
      <c r="I2176">
        <f ca="1" t="shared" si="101"/>
        <v>1</v>
      </c>
      <c r="J2176">
        <f>_xlfn.XLOOKUP($A2176,[1]Sheet1!$B$9:$B$2584,[1]Sheet1!$C$9:$C$2584,"N/A",0)</f>
        <v>106.79</v>
      </c>
      <c r="K2176">
        <f>_xlfn.XLOOKUP($A2176,[1]Sheet1!$E$9:$E$2584,[1]Sheet1!$F$9:$F$2584,"N/A",0)</f>
        <v>158.66</v>
      </c>
      <c r="L2176">
        <f>_xlfn.XLOOKUP($A2176,[1]Sheet1!$H$9:$H$2584,[1]Sheet1!$I$9:$I$2584,"N/A",0)</f>
        <v>61.77</v>
      </c>
      <c r="M2176">
        <f>_xlfn.XLOOKUP($A2176,[1]Sheet1!$K$9:$K$2584,[1]Sheet1!$L$9:$L$2584,"N/A",0)</f>
        <v>137.61</v>
      </c>
      <c r="N2176">
        <f>_xlfn.XLOOKUP($A2176,[1]Sheet1!$N$9:$N$2584,[1]Sheet1!$O$9:$O$2584,"N/A",0)</f>
        <v>123.41</v>
      </c>
      <c r="O2176">
        <v>106.79</v>
      </c>
      <c r="P2176">
        <v>158.66</v>
      </c>
      <c r="Q2176">
        <v>61.77</v>
      </c>
      <c r="R2176">
        <v>123.41</v>
      </c>
      <c r="S2176">
        <v>137.61</v>
      </c>
    </row>
    <row r="2177" spans="1:19">
      <c r="A2177" s="1">
        <v>45526</v>
      </c>
      <c r="B2177" t="s">
        <v>969</v>
      </c>
      <c r="C2177" t="s">
        <v>976</v>
      </c>
      <c r="D2177">
        <v>17.0095</v>
      </c>
      <c r="E2177">
        <v>19.0438</v>
      </c>
      <c r="F2177" s="2" t="s">
        <v>977</v>
      </c>
      <c r="G2177">
        <f ca="1" t="shared" si="99"/>
        <v>1.8816438237211</v>
      </c>
      <c r="H2177" t="str">
        <f ca="1" t="shared" si="100"/>
        <v>Risk-On</v>
      </c>
      <c r="I2177">
        <f ca="1" t="shared" si="101"/>
        <v>1</v>
      </c>
      <c r="J2177">
        <f>_xlfn.XLOOKUP($A2177,[1]Sheet1!$B$9:$B$2584,[1]Sheet1!$C$9:$C$2584,"N/A",0)</f>
        <v>106.7</v>
      </c>
      <c r="K2177">
        <f>_xlfn.XLOOKUP($A2177,[1]Sheet1!$E$9:$E$2584,[1]Sheet1!$F$9:$F$2584,"N/A",0)</f>
        <v>159.04</v>
      </c>
      <c r="L2177">
        <f>_xlfn.XLOOKUP($A2177,[1]Sheet1!$H$9:$H$2584,[1]Sheet1!$I$9:$I$2584,"N/A",0)</f>
        <v>62.11</v>
      </c>
      <c r="M2177">
        <f>_xlfn.XLOOKUP($A2177,[1]Sheet1!$K$9:$K$2584,[1]Sheet1!$L$9:$L$2584,"N/A",0)</f>
        <v>137.99</v>
      </c>
      <c r="N2177">
        <f>_xlfn.XLOOKUP($A2177,[1]Sheet1!$N$9:$N$2584,[1]Sheet1!$O$9:$O$2584,"N/A",0)</f>
        <v>123.67</v>
      </c>
      <c r="O2177">
        <v>106.7</v>
      </c>
      <c r="P2177">
        <v>159.04</v>
      </c>
      <c r="Q2177">
        <v>62.11</v>
      </c>
      <c r="R2177">
        <v>123.67</v>
      </c>
      <c r="S2177">
        <v>137.99</v>
      </c>
    </row>
    <row r="2178" spans="1:19">
      <c r="A2178" s="1">
        <v>45527</v>
      </c>
      <c r="B2178" t="s">
        <v>969</v>
      </c>
      <c r="C2178" t="s">
        <v>976</v>
      </c>
      <c r="D2178">
        <v>15.9286</v>
      </c>
      <c r="E2178">
        <v>18.0591</v>
      </c>
      <c r="F2178" s="2" t="s">
        <v>978</v>
      </c>
      <c r="G2178">
        <f ca="1" t="shared" si="99"/>
        <v>2.29424522838297</v>
      </c>
      <c r="H2178" t="str">
        <f ca="1" t="shared" si="100"/>
        <v>Risk-On</v>
      </c>
      <c r="I2178">
        <f ca="1" t="shared" si="101"/>
        <v>1</v>
      </c>
      <c r="J2178">
        <f>_xlfn.XLOOKUP($A2178,[1]Sheet1!$B$9:$B$2584,[1]Sheet1!$C$9:$C$2584,"N/A",0)</f>
        <v>106.84</v>
      </c>
      <c r="K2178">
        <f>_xlfn.XLOOKUP($A2178,[1]Sheet1!$E$9:$E$2584,[1]Sheet1!$F$9:$F$2584,"N/A",0)</f>
        <v>158.05</v>
      </c>
      <c r="L2178">
        <f>_xlfn.XLOOKUP($A2178,[1]Sheet1!$H$9:$H$2584,[1]Sheet1!$I$9:$I$2584,"N/A",0)</f>
        <v>62.76</v>
      </c>
      <c r="M2178">
        <f>_xlfn.XLOOKUP($A2178,[1]Sheet1!$K$9:$K$2584,[1]Sheet1!$L$9:$L$2584,"N/A",0)</f>
        <v>137.15</v>
      </c>
      <c r="N2178">
        <f>_xlfn.XLOOKUP($A2178,[1]Sheet1!$N$9:$N$2584,[1]Sheet1!$O$9:$O$2584,"N/A",0)</f>
        <v>121.97</v>
      </c>
      <c r="O2178">
        <v>106.84</v>
      </c>
      <c r="P2178">
        <v>158.05</v>
      </c>
      <c r="Q2178">
        <v>62.76</v>
      </c>
      <c r="R2178">
        <v>121.97</v>
      </c>
      <c r="S2178">
        <v>137.15</v>
      </c>
    </row>
    <row r="2179" spans="1:19">
      <c r="A2179" s="1">
        <v>45530</v>
      </c>
      <c r="B2179" t="s">
        <v>969</v>
      </c>
      <c r="C2179" t="s">
        <v>976</v>
      </c>
      <c r="D2179">
        <v>15.947</v>
      </c>
      <c r="E2179">
        <v>17.9583</v>
      </c>
      <c r="F2179" s="2" t="s">
        <v>979</v>
      </c>
      <c r="G2179">
        <f ca="1" t="shared" ref="G2179:G2242" si="102">IF(ROW()-ROW($A$3)+1&gt;252,(F2179-AVERAGE(OFFSET(F2179,-252,0,252,1)))/_xlfn.STDEV.S(OFFSET(F2179,-252,0,252,1)),"N/A")</f>
        <v>2.06553383372533</v>
      </c>
      <c r="H2179" t="str">
        <f ca="1" t="shared" ref="H2179:H2242" si="103">IF(G2179&lt;&gt;"N/A",IF(G2429&gt;-0.5,"Risk-On","Risk-Off"),"N/A")</f>
        <v>Risk-On</v>
      </c>
      <c r="I2179">
        <f ca="1" t="shared" si="101"/>
        <v>1</v>
      </c>
      <c r="J2179">
        <f>_xlfn.XLOOKUP($A2179,[1]Sheet1!$B$9:$B$2584,[1]Sheet1!$C$9:$C$2584,"N/A",0)</f>
        <v>106.68</v>
      </c>
      <c r="K2179">
        <f>_xlfn.XLOOKUP($A2179,[1]Sheet1!$E$9:$E$2584,[1]Sheet1!$F$9:$F$2584,"N/A",0)</f>
        <v>156.52</v>
      </c>
      <c r="L2179">
        <f>_xlfn.XLOOKUP($A2179,[1]Sheet1!$H$9:$H$2584,[1]Sheet1!$I$9:$I$2584,"N/A",0)</f>
        <v>62.72</v>
      </c>
      <c r="M2179">
        <f>_xlfn.XLOOKUP($A2179,[1]Sheet1!$K$9:$K$2584,[1]Sheet1!$L$9:$L$2584,"N/A",0)</f>
        <v>137.2</v>
      </c>
      <c r="N2179">
        <f>_xlfn.XLOOKUP($A2179,[1]Sheet1!$N$9:$N$2584,[1]Sheet1!$O$9:$O$2584,"N/A",0)</f>
        <v>121.83</v>
      </c>
      <c r="O2179">
        <v>106.68</v>
      </c>
      <c r="P2179">
        <v>156.52</v>
      </c>
      <c r="Q2179">
        <v>62.72</v>
      </c>
      <c r="R2179">
        <v>121.83</v>
      </c>
      <c r="S2179">
        <v>137.2</v>
      </c>
    </row>
    <row r="2180" spans="1:19">
      <c r="A2180" s="1">
        <v>45531</v>
      </c>
      <c r="B2180" t="s">
        <v>969</v>
      </c>
      <c r="C2180" t="s">
        <v>976</v>
      </c>
      <c r="D2180">
        <v>15.5794</v>
      </c>
      <c r="E2180">
        <v>17.6572</v>
      </c>
      <c r="F2180" s="2" t="s">
        <v>980</v>
      </c>
      <c r="G2180">
        <f ca="1" t="shared" si="102"/>
        <v>2.26832949113796</v>
      </c>
      <c r="H2180" t="str">
        <f ca="1" t="shared" si="103"/>
        <v>Risk-On</v>
      </c>
      <c r="I2180">
        <f ca="1" t="shared" ref="I2180:I2243" si="104">IF(H2180&lt;&gt;"N/A",IF(H2430&gt;-0.5,1,0),0)</f>
        <v>1</v>
      </c>
      <c r="J2180">
        <f>_xlfn.XLOOKUP($A2180,[1]Sheet1!$B$9:$B$2584,[1]Sheet1!$C$9:$C$2584,"N/A",0)</f>
        <v>107.18</v>
      </c>
      <c r="K2180">
        <f>_xlfn.XLOOKUP($A2180,[1]Sheet1!$E$9:$E$2584,[1]Sheet1!$F$9:$F$2584,"N/A",0)</f>
        <v>157.81</v>
      </c>
      <c r="L2180">
        <f>_xlfn.XLOOKUP($A2180,[1]Sheet1!$H$9:$H$2584,[1]Sheet1!$I$9:$I$2584,"N/A",0)</f>
        <v>62.46</v>
      </c>
      <c r="M2180">
        <f>_xlfn.XLOOKUP($A2180,[1]Sheet1!$K$9:$K$2584,[1]Sheet1!$L$9:$L$2584,"N/A",0)</f>
        <v>137.56</v>
      </c>
      <c r="N2180">
        <f>_xlfn.XLOOKUP($A2180,[1]Sheet1!$N$9:$N$2584,[1]Sheet1!$O$9:$O$2584,"N/A",0)</f>
        <v>122.29</v>
      </c>
      <c r="O2180">
        <v>107.18</v>
      </c>
      <c r="P2180">
        <v>157.81</v>
      </c>
      <c r="Q2180">
        <v>62.46</v>
      </c>
      <c r="R2180">
        <v>122.29</v>
      </c>
      <c r="S2180">
        <v>137.56</v>
      </c>
    </row>
    <row r="2181" spans="1:19">
      <c r="A2181" s="1">
        <v>45532</v>
      </c>
      <c r="B2181" t="s">
        <v>969</v>
      </c>
      <c r="C2181" t="s">
        <v>976</v>
      </c>
      <c r="D2181">
        <v>16.5703</v>
      </c>
      <c r="E2181">
        <v>18.3952</v>
      </c>
      <c r="F2181" s="2" t="s">
        <v>981</v>
      </c>
      <c r="G2181">
        <f ca="1" t="shared" si="102"/>
        <v>1.58966459262214</v>
      </c>
      <c r="H2181" t="str">
        <f ca="1" t="shared" si="103"/>
        <v>Risk-On</v>
      </c>
      <c r="I2181">
        <f ca="1" t="shared" si="104"/>
        <v>1</v>
      </c>
      <c r="J2181">
        <f>_xlfn.XLOOKUP($A2181,[1]Sheet1!$B$9:$B$2584,[1]Sheet1!$C$9:$C$2584,"N/A",0)</f>
        <v>107.19</v>
      </c>
      <c r="K2181">
        <f>_xlfn.XLOOKUP($A2181,[1]Sheet1!$E$9:$E$2584,[1]Sheet1!$F$9:$F$2584,"N/A",0)</f>
        <v>157.42</v>
      </c>
      <c r="L2181">
        <f>_xlfn.XLOOKUP($A2181,[1]Sheet1!$H$9:$H$2584,[1]Sheet1!$I$9:$I$2584,"N/A",0)</f>
        <v>62.38</v>
      </c>
      <c r="M2181">
        <f>_xlfn.XLOOKUP($A2181,[1]Sheet1!$K$9:$K$2584,[1]Sheet1!$L$9:$L$2584,"N/A",0)</f>
        <v>138.03</v>
      </c>
      <c r="N2181">
        <f>_xlfn.XLOOKUP($A2181,[1]Sheet1!$N$9:$N$2584,[1]Sheet1!$O$9:$O$2584,"N/A",0)</f>
        <v>122.42</v>
      </c>
      <c r="O2181">
        <v>107.19</v>
      </c>
      <c r="P2181">
        <v>157.42</v>
      </c>
      <c r="Q2181">
        <v>62.38</v>
      </c>
      <c r="R2181">
        <v>122.42</v>
      </c>
      <c r="S2181">
        <v>138.03</v>
      </c>
    </row>
    <row r="2182" spans="1:19">
      <c r="A2182" s="1">
        <v>45533</v>
      </c>
      <c r="B2182" t="s">
        <v>969</v>
      </c>
      <c r="C2182" t="s">
        <v>976</v>
      </c>
      <c r="D2182">
        <v>15.9351</v>
      </c>
      <c r="E2182">
        <v>17.8579</v>
      </c>
      <c r="F2182" s="2" t="s">
        <v>982</v>
      </c>
      <c r="G2182">
        <f ca="1" t="shared" si="102"/>
        <v>1.89076701861569</v>
      </c>
      <c r="H2182" t="str">
        <f ca="1" t="shared" si="103"/>
        <v>Risk-On</v>
      </c>
      <c r="I2182">
        <f ca="1" t="shared" si="104"/>
        <v>1</v>
      </c>
      <c r="J2182">
        <f>_xlfn.XLOOKUP($A2182,[1]Sheet1!$B$9:$B$2584,[1]Sheet1!$C$9:$C$2584,"N/A",0)</f>
        <v>107.37</v>
      </c>
      <c r="K2182">
        <f>_xlfn.XLOOKUP($A2182,[1]Sheet1!$E$9:$E$2584,[1]Sheet1!$F$9:$F$2584,"N/A",0)</f>
        <v>156.57</v>
      </c>
      <c r="L2182">
        <f>_xlfn.XLOOKUP($A2182,[1]Sheet1!$H$9:$H$2584,[1]Sheet1!$I$9:$I$2584,"N/A",0)</f>
        <v>62.63</v>
      </c>
      <c r="M2182">
        <f>_xlfn.XLOOKUP($A2182,[1]Sheet1!$K$9:$K$2584,[1]Sheet1!$L$9:$L$2584,"N/A",0)</f>
        <v>137.61</v>
      </c>
      <c r="N2182">
        <f>_xlfn.XLOOKUP($A2182,[1]Sheet1!$N$9:$N$2584,[1]Sheet1!$O$9:$O$2584,"N/A",0)</f>
        <v>122.13</v>
      </c>
      <c r="O2182">
        <v>107.37</v>
      </c>
      <c r="P2182">
        <v>156.57</v>
      </c>
      <c r="Q2182">
        <v>62.63</v>
      </c>
      <c r="R2182">
        <v>122.13</v>
      </c>
      <c r="S2182">
        <v>137.61</v>
      </c>
    </row>
    <row r="2183" spans="1:19">
      <c r="A2183" s="1">
        <v>45534</v>
      </c>
      <c r="B2183" t="s">
        <v>969</v>
      </c>
      <c r="C2183" t="s">
        <v>976</v>
      </c>
      <c r="D2183">
        <v>15.411</v>
      </c>
      <c r="E2183">
        <v>17.4021</v>
      </c>
      <c r="F2183" s="2" t="s">
        <v>983</v>
      </c>
      <c r="G2183">
        <f ca="1" t="shared" si="102"/>
        <v>2.13863709852589</v>
      </c>
      <c r="H2183" t="str">
        <f ca="1" t="shared" si="103"/>
        <v>Risk-On</v>
      </c>
      <c r="I2183">
        <f ca="1" t="shared" si="104"/>
        <v>1</v>
      </c>
      <c r="J2183">
        <f>_xlfn.XLOOKUP($A2183,[1]Sheet1!$B$9:$B$2584,[1]Sheet1!$C$9:$C$2584,"N/A",0)</f>
        <v>107.3</v>
      </c>
      <c r="K2183">
        <f>_xlfn.XLOOKUP($A2183,[1]Sheet1!$E$9:$E$2584,[1]Sheet1!$F$9:$F$2584,"N/A",0)</f>
        <v>157.35</v>
      </c>
      <c r="L2183">
        <f>_xlfn.XLOOKUP($A2183,[1]Sheet1!$H$9:$H$2584,[1]Sheet1!$I$9:$I$2584,"N/A",0)</f>
        <v>62.88</v>
      </c>
      <c r="M2183">
        <f>_xlfn.XLOOKUP($A2183,[1]Sheet1!$K$9:$K$2584,[1]Sheet1!$L$9:$L$2584,"N/A",0)</f>
        <v>137.25</v>
      </c>
      <c r="N2183">
        <f>_xlfn.XLOOKUP($A2183,[1]Sheet1!$N$9:$N$2584,[1]Sheet1!$O$9:$O$2584,"N/A",0)</f>
        <v>122.61</v>
      </c>
      <c r="O2183">
        <v>107.3</v>
      </c>
      <c r="P2183">
        <v>157.35</v>
      </c>
      <c r="Q2183">
        <v>62.88</v>
      </c>
      <c r="R2183">
        <v>122.61</v>
      </c>
      <c r="S2183">
        <v>137.25</v>
      </c>
    </row>
    <row r="2184" spans="1:19">
      <c r="A2184" s="1">
        <v>45538</v>
      </c>
      <c r="B2184" t="s">
        <v>969</v>
      </c>
      <c r="C2184" t="s">
        <v>976</v>
      </c>
      <c r="D2184">
        <v>19.1208</v>
      </c>
      <c r="E2184">
        <v>20.1829</v>
      </c>
      <c r="F2184">
        <v>0.0555468390443915</v>
      </c>
      <c r="G2184">
        <f ca="1" t="shared" si="102"/>
        <v>0.0238928242650185</v>
      </c>
      <c r="H2184" t="str">
        <f ca="1" t="shared" si="103"/>
        <v>Risk-On</v>
      </c>
      <c r="I2184">
        <f ca="1" t="shared" si="104"/>
        <v>1</v>
      </c>
      <c r="J2184">
        <f>_xlfn.XLOOKUP($A2184,[1]Sheet1!$B$9:$B$2584,[1]Sheet1!$C$9:$C$2584,"N/A",0)</f>
        <v>106.51</v>
      </c>
      <c r="K2184">
        <f>_xlfn.XLOOKUP($A2184,[1]Sheet1!$E$9:$E$2584,[1]Sheet1!$F$9:$F$2584,"N/A",0)</f>
        <v>154.9</v>
      </c>
      <c r="L2184">
        <f>_xlfn.XLOOKUP($A2184,[1]Sheet1!$H$9:$H$2584,[1]Sheet1!$I$9:$I$2584,"N/A",0)</f>
        <v>62.62</v>
      </c>
      <c r="M2184">
        <f>_xlfn.XLOOKUP($A2184,[1]Sheet1!$K$9:$K$2584,[1]Sheet1!$L$9:$L$2584,"N/A",0)</f>
        <v>137.38</v>
      </c>
      <c r="N2184">
        <f>_xlfn.XLOOKUP($A2184,[1]Sheet1!$N$9:$N$2584,[1]Sheet1!$O$9:$O$2584,"N/A",0)</f>
        <v>123.51</v>
      </c>
      <c r="O2184">
        <v>106.51</v>
      </c>
      <c r="P2184">
        <v>154.9</v>
      </c>
      <c r="Q2184">
        <v>62.62</v>
      </c>
      <c r="R2184">
        <v>123.51</v>
      </c>
      <c r="S2184">
        <v>137.38</v>
      </c>
    </row>
    <row r="2185" spans="1:19">
      <c r="A2185" s="1">
        <v>45539</v>
      </c>
      <c r="B2185" t="s">
        <v>969</v>
      </c>
      <c r="C2185" t="s">
        <v>976</v>
      </c>
      <c r="D2185">
        <v>19.5445</v>
      </c>
      <c r="E2185">
        <v>20.5578</v>
      </c>
      <c r="F2185">
        <v>0.0518457878175446</v>
      </c>
      <c r="G2185">
        <f ca="1" t="shared" si="102"/>
        <v>-0.0773670049102873</v>
      </c>
      <c r="H2185" t="str">
        <f ca="1" t="shared" si="103"/>
        <v>Risk-On</v>
      </c>
      <c r="I2185">
        <f ca="1" t="shared" si="104"/>
        <v>1</v>
      </c>
      <c r="J2185">
        <f>_xlfn.XLOOKUP($A2185,[1]Sheet1!$B$9:$B$2584,[1]Sheet1!$C$9:$C$2584,"N/A",0)</f>
        <v>105.8</v>
      </c>
      <c r="K2185">
        <f>_xlfn.XLOOKUP($A2185,[1]Sheet1!$E$9:$E$2584,[1]Sheet1!$F$9:$F$2584,"N/A",0)</f>
        <v>155.2</v>
      </c>
      <c r="L2185">
        <f>_xlfn.XLOOKUP($A2185,[1]Sheet1!$H$9:$H$2584,[1]Sheet1!$I$9:$I$2584,"N/A",0)</f>
        <v>62.58</v>
      </c>
      <c r="M2185">
        <f>_xlfn.XLOOKUP($A2185,[1]Sheet1!$K$9:$K$2584,[1]Sheet1!$L$9:$L$2584,"N/A",0)</f>
        <v>136.85</v>
      </c>
      <c r="N2185">
        <f>_xlfn.XLOOKUP($A2185,[1]Sheet1!$N$9:$N$2584,[1]Sheet1!$O$9:$O$2584,"N/A",0)</f>
        <v>123.51</v>
      </c>
      <c r="O2185">
        <v>105.8</v>
      </c>
      <c r="P2185">
        <v>155.2</v>
      </c>
      <c r="Q2185">
        <v>62.58</v>
      </c>
      <c r="R2185">
        <v>123.51</v>
      </c>
      <c r="S2185">
        <v>136.85</v>
      </c>
    </row>
    <row r="2186" spans="1:19">
      <c r="A2186" s="1">
        <v>45540</v>
      </c>
      <c r="B2186" t="s">
        <v>969</v>
      </c>
      <c r="C2186" t="s">
        <v>976</v>
      </c>
      <c r="D2186">
        <v>18.7523</v>
      </c>
      <c r="E2186">
        <v>19.6891</v>
      </c>
      <c r="F2186">
        <v>0.0499565386645903</v>
      </c>
      <c r="G2186">
        <f ca="1" t="shared" si="102"/>
        <v>-0.12505088075411</v>
      </c>
      <c r="H2186" t="str">
        <f ca="1" t="shared" si="103"/>
        <v>Risk-On</v>
      </c>
      <c r="I2186">
        <f ca="1" t="shared" si="104"/>
        <v>1</v>
      </c>
      <c r="J2186">
        <f>_xlfn.XLOOKUP($A2186,[1]Sheet1!$B$9:$B$2584,[1]Sheet1!$C$9:$C$2584,"N/A",0)</f>
        <v>106.24</v>
      </c>
      <c r="K2186">
        <f>_xlfn.XLOOKUP($A2186,[1]Sheet1!$E$9:$E$2584,[1]Sheet1!$F$9:$F$2584,"N/A",0)</f>
        <v>154.17</v>
      </c>
      <c r="L2186">
        <f>_xlfn.XLOOKUP($A2186,[1]Sheet1!$H$9:$H$2584,[1]Sheet1!$I$9:$I$2584,"N/A",0)</f>
        <v>61.98</v>
      </c>
      <c r="M2186">
        <f>_xlfn.XLOOKUP($A2186,[1]Sheet1!$K$9:$K$2584,[1]Sheet1!$L$9:$L$2584,"N/A",0)</f>
        <v>135.73</v>
      </c>
      <c r="N2186">
        <f>_xlfn.XLOOKUP($A2186,[1]Sheet1!$N$9:$N$2584,[1]Sheet1!$O$9:$O$2584,"N/A",0)</f>
        <v>123.33</v>
      </c>
      <c r="O2186">
        <v>106.24</v>
      </c>
      <c r="P2186">
        <v>154.17</v>
      </c>
      <c r="Q2186">
        <v>61.98</v>
      </c>
      <c r="R2186">
        <v>123.33</v>
      </c>
      <c r="S2186">
        <v>135.73</v>
      </c>
    </row>
    <row r="2187" spans="1:19">
      <c r="A2187" s="1">
        <v>45541</v>
      </c>
      <c r="B2187" t="s">
        <v>969</v>
      </c>
      <c r="C2187" t="s">
        <v>976</v>
      </c>
      <c r="D2187">
        <v>20.4643</v>
      </c>
      <c r="E2187">
        <v>20.9192</v>
      </c>
      <c r="F2187" s="2" t="s">
        <v>984</v>
      </c>
      <c r="G2187">
        <f ca="1" t="shared" si="102"/>
        <v>-0.925680903767981</v>
      </c>
      <c r="H2187" t="str">
        <f ca="1" t="shared" si="103"/>
        <v>Risk-On</v>
      </c>
      <c r="I2187">
        <f ca="1" t="shared" si="104"/>
        <v>1</v>
      </c>
      <c r="J2187">
        <f>_xlfn.XLOOKUP($A2187,[1]Sheet1!$B$9:$B$2584,[1]Sheet1!$C$9:$C$2584,"N/A",0)</f>
        <v>106.08</v>
      </c>
      <c r="K2187">
        <f>_xlfn.XLOOKUP($A2187,[1]Sheet1!$E$9:$E$2584,[1]Sheet1!$F$9:$F$2584,"N/A",0)</f>
        <v>153.36</v>
      </c>
      <c r="L2187">
        <f>_xlfn.XLOOKUP($A2187,[1]Sheet1!$H$9:$H$2584,[1]Sheet1!$I$9:$I$2584,"N/A",0)</f>
        <v>61.87</v>
      </c>
      <c r="M2187">
        <f>_xlfn.XLOOKUP($A2187,[1]Sheet1!$K$9:$K$2584,[1]Sheet1!$L$9:$L$2584,"N/A",0)</f>
        <v>136.6</v>
      </c>
      <c r="N2187">
        <f>_xlfn.XLOOKUP($A2187,[1]Sheet1!$N$9:$N$2584,[1]Sheet1!$O$9:$O$2584,"N/A",0)</f>
        <v>123.43</v>
      </c>
      <c r="O2187">
        <v>106.08</v>
      </c>
      <c r="P2187">
        <v>153.36</v>
      </c>
      <c r="Q2187">
        <v>61.87</v>
      </c>
      <c r="R2187">
        <v>123.43</v>
      </c>
      <c r="S2187">
        <v>136.6</v>
      </c>
    </row>
    <row r="2188" spans="1:19">
      <c r="A2188" s="1">
        <v>45544</v>
      </c>
      <c r="B2188" t="s">
        <v>969</v>
      </c>
      <c r="C2188" t="s">
        <v>976</v>
      </c>
      <c r="D2188">
        <v>18.7253</v>
      </c>
      <c r="E2188">
        <v>19.7187</v>
      </c>
      <c r="F2188" s="2" t="s">
        <v>985</v>
      </c>
      <c r="G2188">
        <f ca="1" t="shared" si="102"/>
        <v>-0.0265022614660059</v>
      </c>
      <c r="H2188" t="str">
        <f ca="1" t="shared" si="103"/>
        <v>Risk-On</v>
      </c>
      <c r="I2188">
        <f ca="1" t="shared" si="104"/>
        <v>1</v>
      </c>
      <c r="J2188">
        <f>_xlfn.XLOOKUP($A2188,[1]Sheet1!$B$9:$B$2584,[1]Sheet1!$C$9:$C$2584,"N/A",0)</f>
        <v>105.87</v>
      </c>
      <c r="K2188">
        <f>_xlfn.XLOOKUP($A2188,[1]Sheet1!$E$9:$E$2584,[1]Sheet1!$F$9:$F$2584,"N/A",0)</f>
        <v>154.57</v>
      </c>
      <c r="L2188">
        <f>_xlfn.XLOOKUP($A2188,[1]Sheet1!$H$9:$H$2584,[1]Sheet1!$I$9:$I$2584,"N/A",0)</f>
        <v>61.66</v>
      </c>
      <c r="M2188">
        <f>_xlfn.XLOOKUP($A2188,[1]Sheet1!$K$9:$K$2584,[1]Sheet1!$L$9:$L$2584,"N/A",0)</f>
        <v>136.68</v>
      </c>
      <c r="N2188">
        <f>_xlfn.XLOOKUP($A2188,[1]Sheet1!$N$9:$N$2584,[1]Sheet1!$O$9:$O$2584,"N/A",0)</f>
        <v>124.95</v>
      </c>
      <c r="O2188">
        <v>105.87</v>
      </c>
      <c r="P2188">
        <v>154.57</v>
      </c>
      <c r="Q2188">
        <v>61.66</v>
      </c>
      <c r="R2188">
        <v>124.95</v>
      </c>
      <c r="S2188">
        <v>136.68</v>
      </c>
    </row>
    <row r="2189" spans="1:19">
      <c r="A2189" s="1">
        <v>45545</v>
      </c>
      <c r="B2189" t="s">
        <v>969</v>
      </c>
      <c r="C2189" t="s">
        <v>976</v>
      </c>
      <c r="D2189">
        <v>18.2864</v>
      </c>
      <c r="E2189">
        <v>19.3349</v>
      </c>
      <c r="F2189">
        <v>0.0573376935864905</v>
      </c>
      <c r="G2189">
        <f ca="1" t="shared" si="102"/>
        <v>0.101119628178602</v>
      </c>
      <c r="H2189" t="str">
        <f ca="1" t="shared" si="103"/>
        <v>Risk-On</v>
      </c>
      <c r="I2189">
        <f ca="1" t="shared" si="104"/>
        <v>1</v>
      </c>
      <c r="J2189">
        <f>_xlfn.XLOOKUP($A2189,[1]Sheet1!$B$9:$B$2584,[1]Sheet1!$C$9:$C$2584,"N/A",0)</f>
        <v>105.02</v>
      </c>
      <c r="K2189">
        <f>_xlfn.XLOOKUP($A2189,[1]Sheet1!$E$9:$E$2584,[1]Sheet1!$F$9:$F$2584,"N/A",0)</f>
        <v>155.27</v>
      </c>
      <c r="L2189">
        <f>_xlfn.XLOOKUP($A2189,[1]Sheet1!$H$9:$H$2584,[1]Sheet1!$I$9:$I$2584,"N/A",0)</f>
        <v>60.89</v>
      </c>
      <c r="M2189">
        <f>_xlfn.XLOOKUP($A2189,[1]Sheet1!$K$9:$K$2584,[1]Sheet1!$L$9:$L$2584,"N/A",0)</f>
        <v>136.98</v>
      </c>
      <c r="N2189">
        <f>_xlfn.XLOOKUP($A2189,[1]Sheet1!$N$9:$N$2584,[1]Sheet1!$O$9:$O$2584,"N/A",0)</f>
        <v>125.74</v>
      </c>
      <c r="O2189">
        <v>105.02</v>
      </c>
      <c r="P2189">
        <v>155.27</v>
      </c>
      <c r="Q2189">
        <v>60.89</v>
      </c>
      <c r="R2189">
        <v>125.74</v>
      </c>
      <c r="S2189">
        <v>136.98</v>
      </c>
    </row>
    <row r="2190" spans="1:19">
      <c r="A2190" s="1">
        <v>45546</v>
      </c>
      <c r="B2190" t="s">
        <v>969</v>
      </c>
      <c r="C2190" t="s">
        <v>976</v>
      </c>
      <c r="D2190">
        <v>17.2328</v>
      </c>
      <c r="E2190">
        <v>18.6085</v>
      </c>
      <c r="F2190">
        <v>0.0798303235690078</v>
      </c>
      <c r="G2190">
        <f ca="1" t="shared" si="102"/>
        <v>0.757571852994314</v>
      </c>
      <c r="H2190" t="str">
        <f ca="1" t="shared" si="103"/>
        <v>Risk-On</v>
      </c>
      <c r="I2190">
        <f ca="1" t="shared" si="104"/>
        <v>1</v>
      </c>
      <c r="J2190">
        <f>_xlfn.XLOOKUP($A2190,[1]Sheet1!$B$9:$B$2584,[1]Sheet1!$C$9:$C$2584,"N/A",0)</f>
        <v>106.28</v>
      </c>
      <c r="K2190">
        <f>_xlfn.XLOOKUP($A2190,[1]Sheet1!$E$9:$E$2584,[1]Sheet1!$F$9:$F$2584,"N/A",0)</f>
        <v>156.67</v>
      </c>
      <c r="L2190">
        <f>_xlfn.XLOOKUP($A2190,[1]Sheet1!$H$9:$H$2584,[1]Sheet1!$I$9:$I$2584,"N/A",0)</f>
        <v>60.73</v>
      </c>
      <c r="M2190">
        <f>_xlfn.XLOOKUP($A2190,[1]Sheet1!$K$9:$K$2584,[1]Sheet1!$L$9:$L$2584,"N/A",0)</f>
        <v>136.66</v>
      </c>
      <c r="N2190">
        <f>_xlfn.XLOOKUP($A2190,[1]Sheet1!$N$9:$N$2584,[1]Sheet1!$O$9:$O$2584,"N/A",0)</f>
        <v>126.23</v>
      </c>
      <c r="O2190">
        <v>106.28</v>
      </c>
      <c r="P2190">
        <v>156.67</v>
      </c>
      <c r="Q2190">
        <v>60.73</v>
      </c>
      <c r="R2190">
        <v>126.23</v>
      </c>
      <c r="S2190">
        <v>136.66</v>
      </c>
    </row>
    <row r="2191" spans="1:19">
      <c r="A2191" s="1">
        <v>45547</v>
      </c>
      <c r="B2191" t="s">
        <v>969</v>
      </c>
      <c r="C2191" t="s">
        <v>976</v>
      </c>
      <c r="D2191">
        <v>16.9479</v>
      </c>
      <c r="E2191">
        <v>18.5068</v>
      </c>
      <c r="F2191">
        <v>0.0919818974622223</v>
      </c>
      <c r="G2191">
        <f ca="1" t="shared" si="102"/>
        <v>1.11131496318308</v>
      </c>
      <c r="H2191" t="str">
        <f ca="1" t="shared" si="103"/>
        <v>Risk-On</v>
      </c>
      <c r="I2191">
        <f ca="1" t="shared" si="104"/>
        <v>1</v>
      </c>
      <c r="J2191">
        <f>_xlfn.XLOOKUP($A2191,[1]Sheet1!$B$9:$B$2584,[1]Sheet1!$C$9:$C$2584,"N/A",0)</f>
        <v>106.29</v>
      </c>
      <c r="K2191">
        <f>_xlfn.XLOOKUP($A2191,[1]Sheet1!$E$9:$E$2584,[1]Sheet1!$F$9:$F$2584,"N/A",0)</f>
        <v>158</v>
      </c>
      <c r="L2191">
        <f>_xlfn.XLOOKUP($A2191,[1]Sheet1!$H$9:$H$2584,[1]Sheet1!$I$9:$I$2584,"N/A",0)</f>
        <v>60.84</v>
      </c>
      <c r="M2191">
        <f>_xlfn.XLOOKUP($A2191,[1]Sheet1!$K$9:$K$2584,[1]Sheet1!$L$9:$L$2584,"N/A",0)</f>
        <v>136.93</v>
      </c>
      <c r="N2191">
        <f>_xlfn.XLOOKUP($A2191,[1]Sheet1!$N$9:$N$2584,[1]Sheet1!$O$9:$O$2584,"N/A",0)</f>
        <v>125.52</v>
      </c>
      <c r="O2191">
        <v>106.29</v>
      </c>
      <c r="P2191">
        <v>158</v>
      </c>
      <c r="Q2191">
        <v>60.84</v>
      </c>
      <c r="R2191">
        <v>125.52</v>
      </c>
      <c r="S2191">
        <v>136.93</v>
      </c>
    </row>
    <row r="2192" spans="1:19">
      <c r="A2192" s="1">
        <v>45548</v>
      </c>
      <c r="B2192" t="s">
        <v>969</v>
      </c>
      <c r="C2192" t="s">
        <v>976</v>
      </c>
      <c r="D2192">
        <v>16.703</v>
      </c>
      <c r="E2192">
        <v>18.4866</v>
      </c>
      <c r="F2192" s="2" t="s">
        <v>986</v>
      </c>
      <c r="G2192">
        <f ca="1" t="shared" si="102"/>
        <v>1.53702400042928</v>
      </c>
      <c r="H2192" t="str">
        <f ca="1" t="shared" si="103"/>
        <v>Risk-On</v>
      </c>
      <c r="I2192">
        <f ca="1" t="shared" si="104"/>
        <v>1</v>
      </c>
      <c r="J2192">
        <f>_xlfn.XLOOKUP($A2192,[1]Sheet1!$B$9:$B$2584,[1]Sheet1!$C$9:$C$2584,"N/A",0)</f>
        <v>105.44</v>
      </c>
      <c r="K2192">
        <f>_xlfn.XLOOKUP($A2192,[1]Sheet1!$E$9:$E$2584,[1]Sheet1!$F$9:$F$2584,"N/A",0)</f>
        <v>157.98</v>
      </c>
      <c r="L2192">
        <f>_xlfn.XLOOKUP($A2192,[1]Sheet1!$H$9:$H$2584,[1]Sheet1!$I$9:$I$2584,"N/A",0)</f>
        <v>60.98</v>
      </c>
      <c r="M2192">
        <f>_xlfn.XLOOKUP($A2192,[1]Sheet1!$K$9:$K$2584,[1]Sheet1!$L$9:$L$2584,"N/A",0)</f>
        <v>137.03</v>
      </c>
      <c r="N2192">
        <f>_xlfn.XLOOKUP($A2192,[1]Sheet1!$N$9:$N$2584,[1]Sheet1!$O$9:$O$2584,"N/A",0)</f>
        <v>123.69</v>
      </c>
      <c r="O2192">
        <v>105.44</v>
      </c>
      <c r="P2192">
        <v>157.98</v>
      </c>
      <c r="Q2192">
        <v>60.98</v>
      </c>
      <c r="R2192">
        <v>123.69</v>
      </c>
      <c r="S2192">
        <v>137.03</v>
      </c>
    </row>
    <row r="2193" spans="1:19">
      <c r="A2193" s="1">
        <v>45551</v>
      </c>
      <c r="B2193" t="s">
        <v>969</v>
      </c>
      <c r="C2193" t="s">
        <v>976</v>
      </c>
      <c r="D2193">
        <v>17.0904</v>
      </c>
      <c r="E2193">
        <v>18.6622</v>
      </c>
      <c r="F2193">
        <v>0.0919697608013855</v>
      </c>
      <c r="G2193">
        <f ca="1" t="shared" si="102"/>
        <v>1.10785655465177</v>
      </c>
      <c r="H2193" t="str">
        <f ca="1" t="shared" si="103"/>
        <v>Risk-On</v>
      </c>
      <c r="I2193">
        <f ca="1" t="shared" si="104"/>
        <v>1</v>
      </c>
      <c r="J2193">
        <f>_xlfn.XLOOKUP($A2193,[1]Sheet1!$B$9:$B$2584,[1]Sheet1!$C$9:$C$2584,"N/A",0)</f>
        <v>105.71</v>
      </c>
      <c r="K2193">
        <f>_xlfn.XLOOKUP($A2193,[1]Sheet1!$E$9:$E$2584,[1]Sheet1!$F$9:$F$2584,"N/A",0)</f>
        <v>157.71</v>
      </c>
      <c r="L2193">
        <f>_xlfn.XLOOKUP($A2193,[1]Sheet1!$H$9:$H$2584,[1]Sheet1!$I$9:$I$2584,"N/A",0)</f>
        <v>60.89</v>
      </c>
      <c r="M2193">
        <f>_xlfn.XLOOKUP($A2193,[1]Sheet1!$K$9:$K$2584,[1]Sheet1!$L$9:$L$2584,"N/A",0)</f>
        <v>137.53</v>
      </c>
      <c r="N2193">
        <f>_xlfn.XLOOKUP($A2193,[1]Sheet1!$N$9:$N$2584,[1]Sheet1!$O$9:$O$2584,"N/A",0)</f>
        <v>123.84</v>
      </c>
      <c r="O2193">
        <v>105.71</v>
      </c>
      <c r="P2193">
        <v>157.71</v>
      </c>
      <c r="Q2193">
        <v>60.89</v>
      </c>
      <c r="R2193">
        <v>123.84</v>
      </c>
      <c r="S2193">
        <v>137.53</v>
      </c>
    </row>
    <row r="2194" spans="1:19">
      <c r="A2194" s="1">
        <v>45552</v>
      </c>
      <c r="B2194" t="s">
        <v>969</v>
      </c>
      <c r="C2194" t="s">
        <v>976</v>
      </c>
      <c r="D2194">
        <v>17.8331</v>
      </c>
      <c r="E2194">
        <v>19.032</v>
      </c>
      <c r="F2194">
        <v>0.0672289170138673</v>
      </c>
      <c r="G2194">
        <f ca="1" t="shared" si="102"/>
        <v>0.384271005052964</v>
      </c>
      <c r="H2194" t="str">
        <f ca="1" t="shared" si="103"/>
        <v>Risk-On</v>
      </c>
      <c r="I2194">
        <f ca="1" t="shared" si="104"/>
        <v>1</v>
      </c>
      <c r="J2194">
        <f>_xlfn.XLOOKUP($A2194,[1]Sheet1!$B$9:$B$2584,[1]Sheet1!$C$9:$C$2584,"N/A",0)</f>
        <v>105.92</v>
      </c>
      <c r="K2194">
        <f>_xlfn.XLOOKUP($A2194,[1]Sheet1!$E$9:$E$2584,[1]Sheet1!$F$9:$F$2584,"N/A",0)</f>
        <v>156.94</v>
      </c>
      <c r="L2194">
        <f>_xlfn.XLOOKUP($A2194,[1]Sheet1!$H$9:$H$2584,[1]Sheet1!$I$9:$I$2584,"N/A",0)</f>
        <v>61.37</v>
      </c>
      <c r="M2194">
        <f>_xlfn.XLOOKUP($A2194,[1]Sheet1!$K$9:$K$2584,[1]Sheet1!$L$9:$L$2584,"N/A",0)</f>
        <v>138.23</v>
      </c>
      <c r="N2194">
        <f>_xlfn.XLOOKUP($A2194,[1]Sheet1!$N$9:$N$2584,[1]Sheet1!$O$9:$O$2584,"N/A",0)</f>
        <v>123.31</v>
      </c>
      <c r="O2194">
        <v>105.92</v>
      </c>
      <c r="P2194">
        <v>156.94</v>
      </c>
      <c r="Q2194">
        <v>61.37</v>
      </c>
      <c r="R2194">
        <v>123.31</v>
      </c>
      <c r="S2194">
        <v>138.23</v>
      </c>
    </row>
    <row r="2195" spans="1:19">
      <c r="A2195" s="1">
        <v>45553</v>
      </c>
      <c r="B2195" t="s">
        <v>969</v>
      </c>
      <c r="C2195" t="s">
        <v>976</v>
      </c>
      <c r="D2195">
        <v>18.69</v>
      </c>
      <c r="E2195">
        <v>18.7393</v>
      </c>
      <c r="F2195">
        <v>0.00263777421080785</v>
      </c>
      <c r="G2195">
        <f ca="1" t="shared" si="102"/>
        <v>-1.49183569095138</v>
      </c>
      <c r="H2195" t="str">
        <f ca="1" t="shared" si="103"/>
        <v>Risk-On</v>
      </c>
      <c r="I2195">
        <f ca="1" t="shared" si="104"/>
        <v>1</v>
      </c>
      <c r="J2195">
        <f>_xlfn.XLOOKUP($A2195,[1]Sheet1!$B$9:$B$2584,[1]Sheet1!$C$9:$C$2584,"N/A",0)</f>
        <v>105.94</v>
      </c>
      <c r="K2195">
        <f>_xlfn.XLOOKUP($A2195,[1]Sheet1!$E$9:$E$2584,[1]Sheet1!$F$9:$F$2584,"N/A",0)</f>
        <v>156.34</v>
      </c>
      <c r="L2195">
        <f>_xlfn.XLOOKUP($A2195,[1]Sheet1!$H$9:$H$2584,[1]Sheet1!$I$9:$I$2584,"N/A",0)</f>
        <v>61.61</v>
      </c>
      <c r="M2195">
        <f>_xlfn.XLOOKUP($A2195,[1]Sheet1!$K$9:$K$2584,[1]Sheet1!$L$9:$L$2584,"N/A",0)</f>
        <v>138.4</v>
      </c>
      <c r="N2195">
        <f>_xlfn.XLOOKUP($A2195,[1]Sheet1!$N$9:$N$2584,[1]Sheet1!$O$9:$O$2584,"N/A",0)</f>
        <v>122.85</v>
      </c>
      <c r="O2195">
        <v>105.94</v>
      </c>
      <c r="P2195">
        <v>156.34</v>
      </c>
      <c r="Q2195">
        <v>61.61</v>
      </c>
      <c r="R2195">
        <v>122.85</v>
      </c>
      <c r="S2195">
        <v>138.4</v>
      </c>
    </row>
    <row r="2196" spans="1:19">
      <c r="A2196" s="1">
        <v>45554</v>
      </c>
      <c r="B2196" t="s">
        <v>976</v>
      </c>
      <c r="C2196" t="s">
        <v>987</v>
      </c>
      <c r="D2196">
        <v>18.0222</v>
      </c>
      <c r="E2196">
        <v>17.7952</v>
      </c>
      <c r="F2196">
        <v>-0.0125955765666788</v>
      </c>
      <c r="G2196">
        <f ca="1" t="shared" si="102"/>
        <v>-1.91844311470496</v>
      </c>
      <c r="H2196" t="str">
        <f ca="1" t="shared" si="103"/>
        <v>Risk-On</v>
      </c>
      <c r="I2196">
        <f ca="1" t="shared" si="104"/>
        <v>1</v>
      </c>
      <c r="J2196">
        <f>_xlfn.XLOOKUP($A2196,[1]Sheet1!$B$9:$B$2584,[1]Sheet1!$C$9:$C$2584,"N/A",0)</f>
        <v>105.74</v>
      </c>
      <c r="K2196">
        <f>_xlfn.XLOOKUP($A2196,[1]Sheet1!$E$9:$E$2584,[1]Sheet1!$F$9:$F$2584,"N/A",0)</f>
        <v>156.65</v>
      </c>
      <c r="L2196">
        <f>_xlfn.XLOOKUP($A2196,[1]Sheet1!$H$9:$H$2584,[1]Sheet1!$I$9:$I$2584,"N/A",0)</f>
        <v>61.86</v>
      </c>
      <c r="M2196">
        <f>_xlfn.XLOOKUP($A2196,[1]Sheet1!$K$9:$K$2584,[1]Sheet1!$L$9:$L$2584,"N/A",0)</f>
        <v>138.61</v>
      </c>
      <c r="N2196">
        <f>_xlfn.XLOOKUP($A2196,[1]Sheet1!$N$9:$N$2584,[1]Sheet1!$O$9:$O$2584,"N/A",0)</f>
        <v>122.48</v>
      </c>
      <c r="O2196">
        <v>105.74</v>
      </c>
      <c r="P2196">
        <v>156.65</v>
      </c>
      <c r="Q2196">
        <v>61.86</v>
      </c>
      <c r="R2196">
        <v>122.48</v>
      </c>
      <c r="S2196">
        <v>138.61</v>
      </c>
    </row>
    <row r="2197" spans="1:19">
      <c r="A2197" s="1">
        <v>45555</v>
      </c>
      <c r="B2197" t="s">
        <v>976</v>
      </c>
      <c r="C2197" t="s">
        <v>987</v>
      </c>
      <c r="D2197">
        <v>17.9542</v>
      </c>
      <c r="E2197">
        <v>17.7076</v>
      </c>
      <c r="F2197">
        <v>-0.0137349478116541</v>
      </c>
      <c r="G2197">
        <f ca="1" t="shared" si="102"/>
        <v>-1.92533172779636</v>
      </c>
      <c r="H2197" t="str">
        <f ca="1" t="shared" si="103"/>
        <v>Risk-On</v>
      </c>
      <c r="I2197">
        <f ca="1" t="shared" si="104"/>
        <v>1</v>
      </c>
      <c r="J2197">
        <f>_xlfn.XLOOKUP($A2197,[1]Sheet1!$B$9:$B$2584,[1]Sheet1!$C$9:$C$2584,"N/A",0)</f>
        <v>106.24</v>
      </c>
      <c r="K2197">
        <f>_xlfn.XLOOKUP($A2197,[1]Sheet1!$E$9:$E$2584,[1]Sheet1!$F$9:$F$2584,"N/A",0)</f>
        <v>159.98</v>
      </c>
      <c r="L2197">
        <f>_xlfn.XLOOKUP($A2197,[1]Sheet1!$H$9:$H$2584,[1]Sheet1!$I$9:$I$2584,"N/A",0)</f>
        <v>61.35</v>
      </c>
      <c r="M2197">
        <f>_xlfn.XLOOKUP($A2197,[1]Sheet1!$K$9:$K$2584,[1]Sheet1!$L$9:$L$2584,"N/A",0)</f>
        <v>138.93</v>
      </c>
      <c r="N2197">
        <f>_xlfn.XLOOKUP($A2197,[1]Sheet1!$N$9:$N$2584,[1]Sheet1!$O$9:$O$2584,"N/A",0)</f>
        <v>123.32</v>
      </c>
      <c r="O2197">
        <v>106.24</v>
      </c>
      <c r="P2197">
        <v>159.98</v>
      </c>
      <c r="Q2197">
        <v>61.35</v>
      </c>
      <c r="R2197">
        <v>123.32</v>
      </c>
      <c r="S2197">
        <v>138.93</v>
      </c>
    </row>
    <row r="2198" spans="1:19">
      <c r="A2198" s="1">
        <v>45558</v>
      </c>
      <c r="B2198" t="s">
        <v>976</v>
      </c>
      <c r="C2198" t="s">
        <v>987</v>
      </c>
      <c r="D2198">
        <v>18.0066</v>
      </c>
      <c r="E2198">
        <v>17.7088</v>
      </c>
      <c r="F2198">
        <v>-0.0165383803716414</v>
      </c>
      <c r="G2198">
        <f ca="1" t="shared" si="102"/>
        <v>-1.97927133839877</v>
      </c>
      <c r="H2198" t="str">
        <f ca="1" t="shared" si="103"/>
        <v>Risk-On</v>
      </c>
      <c r="I2198">
        <f ca="1" t="shared" si="104"/>
        <v>1</v>
      </c>
      <c r="J2198">
        <f>_xlfn.XLOOKUP($A2198,[1]Sheet1!$B$9:$B$2584,[1]Sheet1!$C$9:$C$2584,"N/A",0)</f>
        <v>106.31</v>
      </c>
      <c r="K2198">
        <f>_xlfn.XLOOKUP($A2198,[1]Sheet1!$E$9:$E$2584,[1]Sheet1!$F$9:$F$2584,"N/A",0)</f>
        <v>160.47</v>
      </c>
      <c r="L2198">
        <f>_xlfn.XLOOKUP($A2198,[1]Sheet1!$H$9:$H$2584,[1]Sheet1!$I$9:$I$2584,"N/A",0)</f>
        <v>61.18</v>
      </c>
      <c r="M2198">
        <f>_xlfn.XLOOKUP($A2198,[1]Sheet1!$K$9:$K$2584,[1]Sheet1!$L$9:$L$2584,"N/A",0)</f>
        <v>138.88</v>
      </c>
      <c r="N2198">
        <f>_xlfn.XLOOKUP($A2198,[1]Sheet1!$N$9:$N$2584,[1]Sheet1!$O$9:$O$2584,"N/A",0)</f>
        <v>123.66</v>
      </c>
      <c r="O2198">
        <v>106.31</v>
      </c>
      <c r="P2198">
        <v>160.47</v>
      </c>
      <c r="Q2198">
        <v>61.18</v>
      </c>
      <c r="R2198">
        <v>123.66</v>
      </c>
      <c r="S2198">
        <v>138.88</v>
      </c>
    </row>
    <row r="2199" spans="1:19">
      <c r="A2199" s="1">
        <v>45559</v>
      </c>
      <c r="B2199" t="s">
        <v>976</v>
      </c>
      <c r="C2199" t="s">
        <v>987</v>
      </c>
      <c r="D2199">
        <v>18.0531</v>
      </c>
      <c r="E2199">
        <v>17.6609</v>
      </c>
      <c r="F2199">
        <v>-0.0217248007267449</v>
      </c>
      <c r="G2199">
        <f ca="1" t="shared" si="102"/>
        <v>-2.09811885563773</v>
      </c>
      <c r="H2199" t="str">
        <f ca="1" t="shared" si="103"/>
        <v>Risk-On</v>
      </c>
      <c r="I2199">
        <f ca="1" t="shared" si="104"/>
        <v>1</v>
      </c>
      <c r="J2199">
        <f>_xlfn.XLOOKUP($A2199,[1]Sheet1!$B$9:$B$2584,[1]Sheet1!$C$9:$C$2584,"N/A",0)</f>
        <v>106.01</v>
      </c>
      <c r="K2199">
        <f>_xlfn.XLOOKUP($A2199,[1]Sheet1!$E$9:$E$2584,[1]Sheet1!$F$9:$F$2584,"N/A",0)</f>
        <v>159.81</v>
      </c>
      <c r="L2199">
        <f>_xlfn.XLOOKUP($A2199,[1]Sheet1!$H$9:$H$2584,[1]Sheet1!$I$9:$I$2584,"N/A",0)</f>
        <v>61.17</v>
      </c>
      <c r="M2199">
        <f>_xlfn.XLOOKUP($A2199,[1]Sheet1!$K$9:$K$2584,[1]Sheet1!$L$9:$L$2584,"N/A",0)</f>
        <v>138.5</v>
      </c>
      <c r="N2199">
        <f>_xlfn.XLOOKUP($A2199,[1]Sheet1!$N$9:$N$2584,[1]Sheet1!$O$9:$O$2584,"N/A",0)</f>
        <v>123.82</v>
      </c>
      <c r="O2199">
        <v>106.01</v>
      </c>
      <c r="P2199">
        <v>159.81</v>
      </c>
      <c r="Q2199">
        <v>61.17</v>
      </c>
      <c r="R2199">
        <v>123.82</v>
      </c>
      <c r="S2199">
        <v>138.5</v>
      </c>
    </row>
    <row r="2200" spans="1:19">
      <c r="A2200" s="1">
        <v>45560</v>
      </c>
      <c r="B2200" t="s">
        <v>976</v>
      </c>
      <c r="C2200" t="s">
        <v>987</v>
      </c>
      <c r="D2200">
        <v>18.3144</v>
      </c>
      <c r="E2200">
        <v>17.9062</v>
      </c>
      <c r="F2200">
        <v>-0.0222884724588302</v>
      </c>
      <c r="G2200">
        <f ca="1" t="shared" si="102"/>
        <v>-2.08194401071805</v>
      </c>
      <c r="H2200" t="str">
        <f ca="1" t="shared" si="103"/>
        <v>Risk-On</v>
      </c>
      <c r="I2200">
        <f ca="1" t="shared" si="104"/>
        <v>1</v>
      </c>
      <c r="J2200">
        <f>_xlfn.XLOOKUP($A2200,[1]Sheet1!$B$9:$B$2584,[1]Sheet1!$C$9:$C$2584,"N/A",0)</f>
        <v>106.66</v>
      </c>
      <c r="K2200">
        <f>_xlfn.XLOOKUP($A2200,[1]Sheet1!$E$9:$E$2584,[1]Sheet1!$F$9:$F$2584,"N/A",0)</f>
        <v>162.44</v>
      </c>
      <c r="L2200">
        <f>_xlfn.XLOOKUP($A2200,[1]Sheet1!$H$9:$H$2584,[1]Sheet1!$I$9:$I$2584,"N/A",0)</f>
        <v>61.11</v>
      </c>
      <c r="M2200">
        <f>_xlfn.XLOOKUP($A2200,[1]Sheet1!$K$9:$K$2584,[1]Sheet1!$L$9:$L$2584,"N/A",0)</f>
        <v>138.67</v>
      </c>
      <c r="N2200">
        <f>_xlfn.XLOOKUP($A2200,[1]Sheet1!$N$9:$N$2584,[1]Sheet1!$O$9:$O$2584,"N/A",0)</f>
        <v>124.46</v>
      </c>
      <c r="O2200">
        <v>106.66</v>
      </c>
      <c r="P2200">
        <v>162.44</v>
      </c>
      <c r="Q2200">
        <v>61.11</v>
      </c>
      <c r="R2200">
        <v>124.46</v>
      </c>
      <c r="S2200">
        <v>138.67</v>
      </c>
    </row>
    <row r="2201" spans="1:19">
      <c r="A2201" s="1">
        <v>45561</v>
      </c>
      <c r="B2201" t="s">
        <v>976</v>
      </c>
      <c r="C2201" t="s">
        <v>987</v>
      </c>
      <c r="D2201">
        <v>18.2977</v>
      </c>
      <c r="E2201">
        <v>17.844</v>
      </c>
      <c r="F2201">
        <v>-0.0247954660968317</v>
      </c>
      <c r="G2201">
        <f ca="1" t="shared" si="102"/>
        <v>-2.1202874898018</v>
      </c>
      <c r="H2201" t="str">
        <f ca="1" t="shared" si="103"/>
        <v>Risk-On</v>
      </c>
      <c r="I2201">
        <f ca="1" t="shared" si="104"/>
        <v>1</v>
      </c>
      <c r="J2201">
        <f>_xlfn.XLOOKUP($A2201,[1]Sheet1!$B$9:$B$2584,[1]Sheet1!$C$9:$C$2584,"N/A",0)</f>
        <v>105.8</v>
      </c>
      <c r="K2201">
        <f>_xlfn.XLOOKUP($A2201,[1]Sheet1!$E$9:$E$2584,[1]Sheet1!$F$9:$F$2584,"N/A",0)</f>
        <v>159.21</v>
      </c>
      <c r="L2201">
        <f>_xlfn.XLOOKUP($A2201,[1]Sheet1!$H$9:$H$2584,[1]Sheet1!$I$9:$I$2584,"N/A",0)</f>
        <v>61.45</v>
      </c>
      <c r="M2201">
        <f>_xlfn.XLOOKUP($A2201,[1]Sheet1!$K$9:$K$2584,[1]Sheet1!$L$9:$L$2584,"N/A",0)</f>
        <v>137.29</v>
      </c>
      <c r="N2201">
        <f>_xlfn.XLOOKUP($A2201,[1]Sheet1!$N$9:$N$2584,[1]Sheet1!$O$9:$O$2584,"N/A",0)</f>
        <v>124.52</v>
      </c>
      <c r="O2201">
        <v>105.8</v>
      </c>
      <c r="P2201">
        <v>159.21</v>
      </c>
      <c r="Q2201">
        <v>61.45</v>
      </c>
      <c r="R2201">
        <v>124.52</v>
      </c>
      <c r="S2201">
        <v>137.29</v>
      </c>
    </row>
    <row r="2202" spans="1:19">
      <c r="A2202" s="1">
        <v>45562</v>
      </c>
      <c r="B2202" t="s">
        <v>976</v>
      </c>
      <c r="C2202" t="s">
        <v>987</v>
      </c>
      <c r="D2202">
        <v>19.2552</v>
      </c>
      <c r="E2202">
        <v>18.5204</v>
      </c>
      <c r="F2202">
        <v>-0.0381611201130084</v>
      </c>
      <c r="G2202">
        <f ca="1" t="shared" si="102"/>
        <v>-2.46673237943233</v>
      </c>
      <c r="H2202" t="str">
        <f ca="1" t="shared" si="103"/>
        <v>Risk-On</v>
      </c>
      <c r="I2202">
        <f ca="1" t="shared" si="104"/>
        <v>1</v>
      </c>
      <c r="J2202">
        <f>_xlfn.XLOOKUP($A2202,[1]Sheet1!$B$9:$B$2584,[1]Sheet1!$C$9:$C$2584,"N/A",0)</f>
        <v>106.03</v>
      </c>
      <c r="K2202">
        <f>_xlfn.XLOOKUP($A2202,[1]Sheet1!$E$9:$E$2584,[1]Sheet1!$F$9:$F$2584,"N/A",0)</f>
        <v>157.24</v>
      </c>
      <c r="L2202">
        <f>_xlfn.XLOOKUP($A2202,[1]Sheet1!$H$9:$H$2584,[1]Sheet1!$I$9:$I$2584,"N/A",0)</f>
        <v>61.31</v>
      </c>
      <c r="M2202">
        <f>_xlfn.XLOOKUP($A2202,[1]Sheet1!$K$9:$K$2584,[1]Sheet1!$L$9:$L$2584,"N/A",0)</f>
        <v>137.52</v>
      </c>
      <c r="N2202">
        <f>_xlfn.XLOOKUP($A2202,[1]Sheet1!$N$9:$N$2584,[1]Sheet1!$O$9:$O$2584,"N/A",0)</f>
        <v>123.88</v>
      </c>
      <c r="O2202">
        <v>106.03</v>
      </c>
      <c r="P2202">
        <v>157.24</v>
      </c>
      <c r="Q2202">
        <v>61.31</v>
      </c>
      <c r="R2202">
        <v>123.88</v>
      </c>
      <c r="S2202">
        <v>137.52</v>
      </c>
    </row>
    <row r="2203" spans="1:19">
      <c r="A2203" s="1">
        <v>45565</v>
      </c>
      <c r="B2203" t="s">
        <v>976</v>
      </c>
      <c r="C2203" t="s">
        <v>987</v>
      </c>
      <c r="D2203">
        <v>18.8425</v>
      </c>
      <c r="E2203">
        <v>18.0975</v>
      </c>
      <c r="F2203">
        <v>-0.0395382778293751</v>
      </c>
      <c r="G2203">
        <f ca="1" t="shared" si="102"/>
        <v>-2.45642040489014</v>
      </c>
      <c r="H2203" t="str">
        <f ca="1" t="shared" si="103"/>
        <v>Risk-On</v>
      </c>
      <c r="I2203">
        <f ca="1" t="shared" si="104"/>
        <v>1</v>
      </c>
      <c r="J2203">
        <f>_xlfn.XLOOKUP($A2203,[1]Sheet1!$B$9:$B$2584,[1]Sheet1!$C$9:$C$2584,"N/A",0)</f>
        <v>105.91</v>
      </c>
      <c r="K2203">
        <f>_xlfn.XLOOKUP($A2203,[1]Sheet1!$E$9:$E$2584,[1]Sheet1!$F$9:$F$2584,"N/A",0)</f>
        <v>158.62</v>
      </c>
      <c r="L2203">
        <f>_xlfn.XLOOKUP($A2203,[1]Sheet1!$H$9:$H$2584,[1]Sheet1!$I$9:$I$2584,"N/A",0)</f>
        <v>61.17</v>
      </c>
      <c r="M2203">
        <f>_xlfn.XLOOKUP($A2203,[1]Sheet1!$K$9:$K$2584,[1]Sheet1!$L$9:$L$2584,"N/A",0)</f>
        <v>137.92</v>
      </c>
      <c r="N2203">
        <f>_xlfn.XLOOKUP($A2203,[1]Sheet1!$N$9:$N$2584,[1]Sheet1!$O$9:$O$2584,"N/A",0)</f>
        <v>123.72</v>
      </c>
      <c r="O2203">
        <v>105.91</v>
      </c>
      <c r="P2203">
        <v>158.62</v>
      </c>
      <c r="Q2203">
        <v>61.17</v>
      </c>
      <c r="R2203">
        <v>123.72</v>
      </c>
      <c r="S2203">
        <v>137.92</v>
      </c>
    </row>
    <row r="2204" spans="1:19">
      <c r="A2204" s="1">
        <v>45566</v>
      </c>
      <c r="B2204" t="s">
        <v>976</v>
      </c>
      <c r="C2204" t="s">
        <v>987</v>
      </c>
      <c r="D2204">
        <v>20.4666</v>
      </c>
      <c r="E2204">
        <v>19.2892</v>
      </c>
      <c r="F2204">
        <v>-0.0575278746836308</v>
      </c>
      <c r="G2204">
        <f ca="1" t="shared" si="102"/>
        <v>-2.88883872058395</v>
      </c>
      <c r="H2204" t="str">
        <f ca="1" t="shared" si="103"/>
        <v>Risk-On</v>
      </c>
      <c r="I2204">
        <f ca="1" t="shared" si="104"/>
        <v>1</v>
      </c>
      <c r="J2204">
        <f>_xlfn.XLOOKUP($A2204,[1]Sheet1!$B$9:$B$2584,[1]Sheet1!$C$9:$C$2584,"N/A",0)</f>
        <v>106.31</v>
      </c>
      <c r="K2204">
        <f>_xlfn.XLOOKUP($A2204,[1]Sheet1!$E$9:$E$2584,[1]Sheet1!$F$9:$F$2584,"N/A",0)</f>
        <v>158.62</v>
      </c>
      <c r="L2204">
        <f>_xlfn.XLOOKUP($A2204,[1]Sheet1!$H$9:$H$2584,[1]Sheet1!$I$9:$I$2584,"N/A",0)</f>
        <v>60.93</v>
      </c>
      <c r="M2204">
        <f>_xlfn.XLOOKUP($A2204,[1]Sheet1!$K$9:$K$2584,[1]Sheet1!$L$9:$L$2584,"N/A",0)</f>
        <v>138.55</v>
      </c>
      <c r="N2204">
        <f>_xlfn.XLOOKUP($A2204,[1]Sheet1!$N$9:$N$2584,[1]Sheet1!$O$9:$O$2584,"N/A",0)</f>
        <v>124.31</v>
      </c>
      <c r="O2204">
        <v>106.31</v>
      </c>
      <c r="P2204">
        <v>158.62</v>
      </c>
      <c r="Q2204">
        <v>60.93</v>
      </c>
      <c r="R2204">
        <v>124.31</v>
      </c>
      <c r="S2204">
        <v>138.55</v>
      </c>
    </row>
    <row r="2205" spans="1:19">
      <c r="A2205" s="1">
        <v>45567</v>
      </c>
      <c r="B2205" t="s">
        <v>976</v>
      </c>
      <c r="C2205" t="s">
        <v>987</v>
      </c>
      <c r="D2205">
        <v>20.1015</v>
      </c>
      <c r="E2205">
        <v>19.1061</v>
      </c>
      <c r="F2205">
        <v>-0.0495186926348779</v>
      </c>
      <c r="G2205">
        <f ca="1" t="shared" si="102"/>
        <v>-2.60561005211151</v>
      </c>
      <c r="H2205" t="str">
        <f ca="1" t="shared" si="103"/>
        <v>Risk-On</v>
      </c>
      <c r="I2205">
        <f ca="1" t="shared" si="104"/>
        <v>1</v>
      </c>
      <c r="J2205">
        <f>_xlfn.XLOOKUP($A2205,[1]Sheet1!$B$9:$B$2584,[1]Sheet1!$C$9:$C$2584,"N/A",0)</f>
        <v>106.62</v>
      </c>
      <c r="K2205">
        <f>_xlfn.XLOOKUP($A2205,[1]Sheet1!$E$9:$E$2584,[1]Sheet1!$F$9:$F$2584,"N/A",0)</f>
        <v>159.79</v>
      </c>
      <c r="L2205">
        <f>_xlfn.XLOOKUP($A2205,[1]Sheet1!$H$9:$H$2584,[1]Sheet1!$I$9:$I$2584,"N/A",0)</f>
        <v>60.67</v>
      </c>
      <c r="M2205">
        <f>_xlfn.XLOOKUP($A2205,[1]Sheet1!$K$9:$K$2584,[1]Sheet1!$L$9:$L$2584,"N/A",0)</f>
        <v>138.29</v>
      </c>
      <c r="N2205">
        <f>_xlfn.XLOOKUP($A2205,[1]Sheet1!$N$9:$N$2584,[1]Sheet1!$O$9:$O$2584,"N/A",0)</f>
        <v>124.38</v>
      </c>
      <c r="O2205">
        <v>106.62</v>
      </c>
      <c r="P2205">
        <v>159.79</v>
      </c>
      <c r="Q2205">
        <v>60.67</v>
      </c>
      <c r="R2205">
        <v>124.38</v>
      </c>
      <c r="S2205">
        <v>138.29</v>
      </c>
    </row>
    <row r="2206" spans="1:19">
      <c r="A2206" s="1">
        <v>45568</v>
      </c>
      <c r="B2206" t="s">
        <v>976</v>
      </c>
      <c r="C2206" t="s">
        <v>987</v>
      </c>
      <c r="D2206">
        <v>21.0732</v>
      </c>
      <c r="E2206">
        <v>19.9132</v>
      </c>
      <c r="F2206">
        <v>-0.0550462198432131</v>
      </c>
      <c r="G2206">
        <f ca="1" t="shared" si="102"/>
        <v>-2.69286377600016</v>
      </c>
      <c r="H2206" t="str">
        <f ca="1" t="shared" si="103"/>
        <v>Risk-On</v>
      </c>
      <c r="I2206">
        <f ca="1" t="shared" si="104"/>
        <v>1</v>
      </c>
      <c r="J2206">
        <f>_xlfn.XLOOKUP($A2206,[1]Sheet1!$B$9:$B$2584,[1]Sheet1!$C$9:$C$2584,"N/A",0)</f>
        <v>107.07</v>
      </c>
      <c r="K2206">
        <f>_xlfn.XLOOKUP($A2206,[1]Sheet1!$E$9:$E$2584,[1]Sheet1!$F$9:$F$2584,"N/A",0)</f>
        <v>160.23</v>
      </c>
      <c r="L2206">
        <f>_xlfn.XLOOKUP($A2206,[1]Sheet1!$H$9:$H$2584,[1]Sheet1!$I$9:$I$2584,"N/A",0)</f>
        <v>60.55</v>
      </c>
      <c r="M2206">
        <f>_xlfn.XLOOKUP($A2206,[1]Sheet1!$K$9:$K$2584,[1]Sheet1!$L$9:$L$2584,"N/A",0)</f>
        <v>139.17</v>
      </c>
      <c r="N2206">
        <f>_xlfn.XLOOKUP($A2206,[1]Sheet1!$N$9:$N$2584,[1]Sheet1!$O$9:$O$2584,"N/A",0)</f>
        <v>124.76</v>
      </c>
      <c r="O2206">
        <v>107.07</v>
      </c>
      <c r="P2206">
        <v>160.23</v>
      </c>
      <c r="Q2206">
        <v>60.55</v>
      </c>
      <c r="R2206">
        <v>124.76</v>
      </c>
      <c r="S2206">
        <v>139.17</v>
      </c>
    </row>
    <row r="2207" spans="1:19">
      <c r="A2207" s="1">
        <v>45569</v>
      </c>
      <c r="B2207" t="s">
        <v>976</v>
      </c>
      <c r="C2207" t="s">
        <v>987</v>
      </c>
      <c r="D2207">
        <v>20.2031</v>
      </c>
      <c r="E2207">
        <v>19.1629</v>
      </c>
      <c r="F2207">
        <v>-0.0514871480119386</v>
      </c>
      <c r="G2207">
        <f ca="1" t="shared" si="102"/>
        <v>-2.54918156731276</v>
      </c>
      <c r="H2207" t="str">
        <f ca="1" t="shared" si="103"/>
        <v>Risk-On</v>
      </c>
      <c r="I2207">
        <f ca="1" t="shared" si="104"/>
        <v>1</v>
      </c>
      <c r="J2207">
        <f>_xlfn.XLOOKUP($A2207,[1]Sheet1!$B$9:$B$2584,[1]Sheet1!$C$9:$C$2584,"N/A",0)</f>
        <v>107.43</v>
      </c>
      <c r="K2207">
        <f>_xlfn.XLOOKUP($A2207,[1]Sheet1!$E$9:$E$2584,[1]Sheet1!$F$9:$F$2584,"N/A",0)</f>
        <v>160.25</v>
      </c>
      <c r="L2207">
        <f>_xlfn.XLOOKUP($A2207,[1]Sheet1!$H$9:$H$2584,[1]Sheet1!$I$9:$I$2584,"N/A",0)</f>
        <v>60.53</v>
      </c>
      <c r="M2207">
        <f>_xlfn.XLOOKUP($A2207,[1]Sheet1!$K$9:$K$2584,[1]Sheet1!$L$9:$L$2584,"N/A",0)</f>
        <v>139.29</v>
      </c>
      <c r="N2207">
        <f>_xlfn.XLOOKUP($A2207,[1]Sheet1!$N$9:$N$2584,[1]Sheet1!$O$9:$O$2584,"N/A",0)</f>
        <v>124.17</v>
      </c>
      <c r="O2207">
        <v>107.43</v>
      </c>
      <c r="P2207">
        <v>160.25</v>
      </c>
      <c r="Q2207">
        <v>60.53</v>
      </c>
      <c r="R2207">
        <v>124.17</v>
      </c>
      <c r="S2207">
        <v>139.29</v>
      </c>
    </row>
    <row r="2208" spans="1:19">
      <c r="A2208" s="1">
        <v>45572</v>
      </c>
      <c r="B2208" t="s">
        <v>976</v>
      </c>
      <c r="C2208" t="s">
        <v>987</v>
      </c>
      <c r="D2208">
        <v>22.5656</v>
      </c>
      <c r="E2208">
        <v>20.6485</v>
      </c>
      <c r="F2208">
        <v>-0.0849567483248839</v>
      </c>
      <c r="G2208">
        <f ca="1" t="shared" si="102"/>
        <v>-3.32957741089285</v>
      </c>
      <c r="H2208" t="str">
        <f ca="1" t="shared" si="103"/>
        <v>Risk-On</v>
      </c>
      <c r="I2208">
        <f ca="1" t="shared" si="104"/>
        <v>1</v>
      </c>
      <c r="J2208">
        <f>_xlfn.XLOOKUP($A2208,[1]Sheet1!$B$9:$B$2584,[1]Sheet1!$C$9:$C$2584,"N/A",0)</f>
        <v>106.99</v>
      </c>
      <c r="K2208">
        <f>_xlfn.XLOOKUP($A2208,[1]Sheet1!$E$9:$E$2584,[1]Sheet1!$F$9:$F$2584,"N/A",0)</f>
        <v>160.71</v>
      </c>
      <c r="L2208">
        <f>_xlfn.XLOOKUP($A2208,[1]Sheet1!$H$9:$H$2584,[1]Sheet1!$I$9:$I$2584,"N/A",0)</f>
        <v>60.77</v>
      </c>
      <c r="M2208">
        <f>_xlfn.XLOOKUP($A2208,[1]Sheet1!$K$9:$K$2584,[1]Sheet1!$L$9:$L$2584,"N/A",0)</f>
        <v>138.53</v>
      </c>
      <c r="N2208">
        <f>_xlfn.XLOOKUP($A2208,[1]Sheet1!$N$9:$N$2584,[1]Sheet1!$O$9:$O$2584,"N/A",0)</f>
        <v>124.83</v>
      </c>
      <c r="O2208">
        <v>106.99</v>
      </c>
      <c r="P2208">
        <v>160.71</v>
      </c>
      <c r="Q2208">
        <v>60.77</v>
      </c>
      <c r="R2208">
        <v>124.83</v>
      </c>
      <c r="S2208">
        <v>138.53</v>
      </c>
    </row>
    <row r="2209" spans="1:19">
      <c r="A2209" s="1">
        <v>45573</v>
      </c>
      <c r="B2209" t="s">
        <v>976</v>
      </c>
      <c r="C2209" t="s">
        <v>987</v>
      </c>
      <c r="D2209">
        <v>21.4558</v>
      </c>
      <c r="E2209">
        <v>19.894</v>
      </c>
      <c r="F2209">
        <v>-0.0727915062593798</v>
      </c>
      <c r="G2209">
        <f ca="1" t="shared" si="102"/>
        <v>-2.92293862999793</v>
      </c>
      <c r="H2209" t="str">
        <f ca="1" t="shared" si="103"/>
        <v>Risk-On</v>
      </c>
      <c r="I2209">
        <f ca="1" t="shared" si="104"/>
        <v>1</v>
      </c>
      <c r="J2209">
        <f>_xlfn.XLOOKUP($A2209,[1]Sheet1!$B$9:$B$2584,[1]Sheet1!$C$9:$C$2584,"N/A",0)</f>
        <v>107.22</v>
      </c>
      <c r="K2209">
        <f>_xlfn.XLOOKUP($A2209,[1]Sheet1!$E$9:$E$2584,[1]Sheet1!$F$9:$F$2584,"N/A",0)</f>
        <v>162.21</v>
      </c>
      <c r="L2209">
        <f>_xlfn.XLOOKUP($A2209,[1]Sheet1!$H$9:$H$2584,[1]Sheet1!$I$9:$I$2584,"N/A",0)</f>
        <v>60.32</v>
      </c>
      <c r="M2209">
        <f>_xlfn.XLOOKUP($A2209,[1]Sheet1!$K$9:$K$2584,[1]Sheet1!$L$9:$L$2584,"N/A",0)</f>
        <v>139.23</v>
      </c>
      <c r="N2209">
        <f>_xlfn.XLOOKUP($A2209,[1]Sheet1!$N$9:$N$2584,[1]Sheet1!$O$9:$O$2584,"N/A",0)</f>
        <v>125.16</v>
      </c>
      <c r="O2209">
        <v>107.22</v>
      </c>
      <c r="P2209">
        <v>162.21</v>
      </c>
      <c r="Q2209">
        <v>60.32</v>
      </c>
      <c r="R2209">
        <v>125.16</v>
      </c>
      <c r="S2209">
        <v>139.23</v>
      </c>
    </row>
    <row r="2210" spans="1:19">
      <c r="A2210" s="1">
        <v>45574</v>
      </c>
      <c r="B2210" t="s">
        <v>976</v>
      </c>
      <c r="C2210" t="s">
        <v>987</v>
      </c>
      <c r="D2210">
        <v>20.8987</v>
      </c>
      <c r="E2210">
        <v>19.3484</v>
      </c>
      <c r="F2210">
        <v>-0.0741816476622947</v>
      </c>
      <c r="G2210">
        <f ca="1" t="shared" si="102"/>
        <v>-2.8801550129193</v>
      </c>
      <c r="H2210" t="str">
        <f ca="1" t="shared" si="103"/>
        <v>Risk-On</v>
      </c>
      <c r="I2210">
        <f ca="1" t="shared" si="104"/>
        <v>1</v>
      </c>
      <c r="J2210">
        <f>_xlfn.XLOOKUP($A2210,[1]Sheet1!$B$9:$B$2584,[1]Sheet1!$C$9:$C$2584,"N/A",0)</f>
        <v>107.73</v>
      </c>
      <c r="K2210">
        <f>_xlfn.XLOOKUP($A2210,[1]Sheet1!$E$9:$E$2584,[1]Sheet1!$F$9:$F$2584,"N/A",0)</f>
        <v>162.14</v>
      </c>
      <c r="L2210">
        <f>_xlfn.XLOOKUP($A2210,[1]Sheet1!$H$9:$H$2584,[1]Sheet1!$I$9:$I$2584,"N/A",0)</f>
        <v>60.54</v>
      </c>
      <c r="M2210">
        <f>_xlfn.XLOOKUP($A2210,[1]Sheet1!$K$9:$K$2584,[1]Sheet1!$L$9:$L$2584,"N/A",0)</f>
        <v>139.37</v>
      </c>
      <c r="N2210">
        <f>_xlfn.XLOOKUP($A2210,[1]Sheet1!$N$9:$N$2584,[1]Sheet1!$O$9:$O$2584,"N/A",0)</f>
        <v>125.7</v>
      </c>
      <c r="O2210">
        <v>107.73</v>
      </c>
      <c r="P2210">
        <v>162.14</v>
      </c>
      <c r="Q2210">
        <v>60.54</v>
      </c>
      <c r="R2210">
        <v>125.7</v>
      </c>
      <c r="S2210">
        <v>139.37</v>
      </c>
    </row>
    <row r="2211" spans="1:19">
      <c r="A2211" s="1">
        <v>45575</v>
      </c>
      <c r="B2211" t="s">
        <v>976</v>
      </c>
      <c r="C2211" t="s">
        <v>987</v>
      </c>
      <c r="D2211">
        <v>21.3948</v>
      </c>
      <c r="E2211">
        <v>19.5553</v>
      </c>
      <c r="F2211">
        <v>-0.085978835978836</v>
      </c>
      <c r="G2211">
        <f ca="1" t="shared" si="102"/>
        <v>-3.08139872875008</v>
      </c>
      <c r="H2211" t="str">
        <f ca="1" t="shared" si="103"/>
        <v>Risk-On</v>
      </c>
      <c r="I2211">
        <f ca="1" t="shared" si="104"/>
        <v>1</v>
      </c>
      <c r="J2211">
        <f>_xlfn.XLOOKUP($A2211,[1]Sheet1!$B$9:$B$2584,[1]Sheet1!$C$9:$C$2584,"N/A",0)</f>
        <v>107.72</v>
      </c>
      <c r="K2211">
        <f>_xlfn.XLOOKUP($A2211,[1]Sheet1!$E$9:$E$2584,[1]Sheet1!$F$9:$F$2584,"N/A",0)</f>
        <v>160.91</v>
      </c>
      <c r="L2211">
        <f>_xlfn.XLOOKUP($A2211,[1]Sheet1!$H$9:$H$2584,[1]Sheet1!$I$9:$I$2584,"N/A",0)</f>
        <v>60.61</v>
      </c>
      <c r="M2211">
        <f>_xlfn.XLOOKUP($A2211,[1]Sheet1!$K$9:$K$2584,[1]Sheet1!$L$9:$L$2584,"N/A",0)</f>
        <v>139.67</v>
      </c>
      <c r="N2211">
        <f>_xlfn.XLOOKUP($A2211,[1]Sheet1!$N$9:$N$2584,[1]Sheet1!$O$9:$O$2584,"N/A",0)</f>
        <v>125.65</v>
      </c>
      <c r="O2211">
        <v>107.72</v>
      </c>
      <c r="P2211">
        <v>160.91</v>
      </c>
      <c r="Q2211">
        <v>60.61</v>
      </c>
      <c r="R2211">
        <v>125.65</v>
      </c>
      <c r="S2211">
        <v>139.67</v>
      </c>
    </row>
    <row r="2212" spans="1:19">
      <c r="A2212" s="1">
        <v>45576</v>
      </c>
      <c r="B2212" t="s">
        <v>976</v>
      </c>
      <c r="C2212" t="s">
        <v>987</v>
      </c>
      <c r="D2212">
        <v>21.1276</v>
      </c>
      <c r="E2212">
        <v>19.3402</v>
      </c>
      <c r="F2212">
        <v>-0.0846002385505216</v>
      </c>
      <c r="G2212">
        <f ca="1" t="shared" si="102"/>
        <v>-2.95696344190341</v>
      </c>
      <c r="H2212" t="str">
        <f ca="1" t="shared" si="103"/>
        <v>Risk-On</v>
      </c>
      <c r="I2212">
        <f ca="1" t="shared" si="104"/>
        <v>1</v>
      </c>
      <c r="J2212">
        <f>_xlfn.XLOOKUP($A2212,[1]Sheet1!$B$9:$B$2584,[1]Sheet1!$C$9:$C$2584,"N/A",0)</f>
        <v>107.37</v>
      </c>
      <c r="K2212">
        <f>_xlfn.XLOOKUP($A2212,[1]Sheet1!$E$9:$E$2584,[1]Sheet1!$F$9:$F$2584,"N/A",0)</f>
        <v>162.78</v>
      </c>
      <c r="L2212">
        <f>_xlfn.XLOOKUP($A2212,[1]Sheet1!$H$9:$H$2584,[1]Sheet1!$I$9:$I$2584,"N/A",0)</f>
        <v>60.24</v>
      </c>
      <c r="M2212">
        <f>_xlfn.XLOOKUP($A2212,[1]Sheet1!$K$9:$K$2584,[1]Sheet1!$L$9:$L$2584,"N/A",0)</f>
        <v>139.47</v>
      </c>
      <c r="N2212">
        <f>_xlfn.XLOOKUP($A2212,[1]Sheet1!$N$9:$N$2584,[1]Sheet1!$O$9:$O$2584,"N/A",0)</f>
        <v>124.68</v>
      </c>
      <c r="O2212">
        <v>107.37</v>
      </c>
      <c r="P2212">
        <v>162.78</v>
      </c>
      <c r="Q2212">
        <v>60.24</v>
      </c>
      <c r="R2212">
        <v>124.68</v>
      </c>
      <c r="S2212">
        <v>139.47</v>
      </c>
    </row>
    <row r="2213" spans="1:19">
      <c r="A2213" s="1">
        <v>45579</v>
      </c>
      <c r="B2213" t="s">
        <v>976</v>
      </c>
      <c r="C2213" t="s">
        <v>987</v>
      </c>
      <c r="D2213">
        <v>20.2002</v>
      </c>
      <c r="E2213">
        <v>18.6485</v>
      </c>
      <c r="F2213">
        <v>-0.0768160711280086</v>
      </c>
      <c r="G2213">
        <f ca="1" t="shared" si="102"/>
        <v>-2.69928753640239</v>
      </c>
      <c r="H2213" t="str">
        <f ca="1" t="shared" si="103"/>
        <v>Risk-On</v>
      </c>
      <c r="I2213">
        <f ca="1" t="shared" si="104"/>
        <v>1</v>
      </c>
      <c r="J2213">
        <f>_xlfn.XLOOKUP($A2213,[1]Sheet1!$B$9:$B$2584,[1]Sheet1!$C$9:$C$2584,"N/A",0)</f>
        <v>107.79</v>
      </c>
      <c r="K2213">
        <f>_xlfn.XLOOKUP($A2213,[1]Sheet1!$E$9:$E$2584,[1]Sheet1!$F$9:$F$2584,"N/A",0)</f>
        <v>163.52</v>
      </c>
      <c r="L2213">
        <f>_xlfn.XLOOKUP($A2213,[1]Sheet1!$H$9:$H$2584,[1]Sheet1!$I$9:$I$2584,"N/A",0)</f>
        <v>60.28</v>
      </c>
      <c r="M2213">
        <f>_xlfn.XLOOKUP($A2213,[1]Sheet1!$K$9:$K$2584,[1]Sheet1!$L$9:$L$2584,"N/A",0)</f>
        <v>139.93</v>
      </c>
      <c r="N2213">
        <f>_xlfn.XLOOKUP($A2213,[1]Sheet1!$N$9:$N$2584,[1]Sheet1!$O$9:$O$2584,"N/A",0)</f>
        <v>124.57</v>
      </c>
      <c r="O2213">
        <v>107.79</v>
      </c>
      <c r="P2213">
        <v>163.52</v>
      </c>
      <c r="Q2213">
        <v>60.28</v>
      </c>
      <c r="R2213">
        <v>124.57</v>
      </c>
      <c r="S2213">
        <v>139.93</v>
      </c>
    </row>
    <row r="2214" spans="1:19">
      <c r="A2214" s="1">
        <v>45580</v>
      </c>
      <c r="B2214" t="s">
        <v>976</v>
      </c>
      <c r="C2214" t="s">
        <v>987</v>
      </c>
      <c r="D2214">
        <v>20.9675</v>
      </c>
      <c r="E2214">
        <v>19.305</v>
      </c>
      <c r="F2214">
        <v>-0.0792893764158817</v>
      </c>
      <c r="G2214">
        <f ca="1" t="shared" si="102"/>
        <v>-2.69264775935062</v>
      </c>
      <c r="H2214" t="str">
        <f ca="1" t="shared" si="103"/>
        <v>Risk-On</v>
      </c>
      <c r="I2214">
        <f ca="1" t="shared" si="104"/>
        <v>1</v>
      </c>
      <c r="J2214">
        <f>_xlfn.XLOOKUP($A2214,[1]Sheet1!$B$9:$B$2584,[1]Sheet1!$C$9:$C$2584,"N/A",0)</f>
        <v>107.36</v>
      </c>
      <c r="K2214">
        <f>_xlfn.XLOOKUP($A2214,[1]Sheet1!$E$9:$E$2584,[1]Sheet1!$F$9:$F$2584,"N/A",0)</f>
        <v>163.52</v>
      </c>
      <c r="L2214">
        <f>_xlfn.XLOOKUP($A2214,[1]Sheet1!$H$9:$H$2584,[1]Sheet1!$I$9:$I$2584,"N/A",0)</f>
        <v>59.6</v>
      </c>
      <c r="M2214">
        <f>_xlfn.XLOOKUP($A2214,[1]Sheet1!$K$9:$K$2584,[1]Sheet1!$L$9:$L$2584,"N/A",0)</f>
        <v>139.97</v>
      </c>
      <c r="N2214">
        <f>_xlfn.XLOOKUP($A2214,[1]Sheet1!$N$9:$N$2584,[1]Sheet1!$O$9:$O$2584,"N/A",0)</f>
        <v>123.24</v>
      </c>
      <c r="O2214">
        <v>107.36</v>
      </c>
      <c r="P2214">
        <v>163.52</v>
      </c>
      <c r="Q2214">
        <v>59.6</v>
      </c>
      <c r="R2214">
        <v>123.24</v>
      </c>
      <c r="S2214">
        <v>139.97</v>
      </c>
    </row>
    <row r="2215" spans="1:19">
      <c r="A2215" s="1">
        <v>45581</v>
      </c>
      <c r="B2215" t="s">
        <v>976</v>
      </c>
      <c r="C2215" t="s">
        <v>987</v>
      </c>
      <c r="D2215">
        <v>20.97</v>
      </c>
      <c r="E2215">
        <v>19.0531</v>
      </c>
      <c r="F2215">
        <v>-0.0914115402956603</v>
      </c>
      <c r="G2215">
        <f ca="1" t="shared" si="102"/>
        <v>-2.88516697551681</v>
      </c>
      <c r="H2215" t="str">
        <f ca="1" t="shared" si="103"/>
        <v>Risk-On</v>
      </c>
      <c r="I2215">
        <f ca="1" t="shared" si="104"/>
        <v>1</v>
      </c>
      <c r="J2215">
        <f>_xlfn.XLOOKUP($A2215,[1]Sheet1!$B$9:$B$2584,[1]Sheet1!$C$9:$C$2584,"N/A",0)</f>
        <v>106.89</v>
      </c>
      <c r="K2215">
        <f>_xlfn.XLOOKUP($A2215,[1]Sheet1!$E$9:$E$2584,[1]Sheet1!$F$9:$F$2584,"N/A",0)</f>
        <v>164.07</v>
      </c>
      <c r="L2215">
        <f>_xlfn.XLOOKUP($A2215,[1]Sheet1!$H$9:$H$2584,[1]Sheet1!$I$9:$I$2584,"N/A",0)</f>
        <v>60.11</v>
      </c>
      <c r="M2215">
        <f>_xlfn.XLOOKUP($A2215,[1]Sheet1!$K$9:$K$2584,[1]Sheet1!$L$9:$L$2584,"N/A",0)</f>
        <v>140.58</v>
      </c>
      <c r="N2215">
        <f>_xlfn.XLOOKUP($A2215,[1]Sheet1!$N$9:$N$2584,[1]Sheet1!$O$9:$O$2584,"N/A",0)</f>
        <v>122.7</v>
      </c>
      <c r="O2215">
        <v>106.89</v>
      </c>
      <c r="P2215">
        <v>164.07</v>
      </c>
      <c r="Q2215">
        <v>60.11</v>
      </c>
      <c r="R2215">
        <v>122.7</v>
      </c>
      <c r="S2215">
        <v>140.58</v>
      </c>
    </row>
    <row r="2216" spans="1:19">
      <c r="A2216" s="1">
        <v>45582</v>
      </c>
      <c r="B2216" t="s">
        <v>987</v>
      </c>
      <c r="C2216" t="s">
        <v>988</v>
      </c>
      <c r="D2216">
        <v>18.7641</v>
      </c>
      <c r="E2216">
        <v>18.3153</v>
      </c>
      <c r="F2216">
        <v>-0.0239180136537323</v>
      </c>
      <c r="G2216">
        <f ca="1" t="shared" si="102"/>
        <v>-1.40075974661836</v>
      </c>
      <c r="H2216" t="str">
        <f ca="1" t="shared" si="103"/>
        <v>Risk-Off</v>
      </c>
      <c r="I2216">
        <f ca="1" t="shared" si="104"/>
        <v>1</v>
      </c>
      <c r="J2216">
        <f>_xlfn.XLOOKUP($A2216,[1]Sheet1!$B$9:$B$2584,[1]Sheet1!$C$9:$C$2584,"N/A",0)</f>
        <v>106.89</v>
      </c>
      <c r="K2216">
        <f>_xlfn.XLOOKUP($A2216,[1]Sheet1!$E$9:$E$2584,[1]Sheet1!$F$9:$F$2584,"N/A",0)</f>
        <v>163.83</v>
      </c>
      <c r="L2216">
        <f>_xlfn.XLOOKUP($A2216,[1]Sheet1!$H$9:$H$2584,[1]Sheet1!$I$9:$I$2584,"N/A",0)</f>
        <v>60.34</v>
      </c>
      <c r="M2216">
        <f>_xlfn.XLOOKUP($A2216,[1]Sheet1!$K$9:$K$2584,[1]Sheet1!$L$9:$L$2584,"N/A",0)</f>
        <v>140.17</v>
      </c>
      <c r="N2216">
        <f>_xlfn.XLOOKUP($A2216,[1]Sheet1!$N$9:$N$2584,[1]Sheet1!$O$9:$O$2584,"N/A",0)</f>
        <v>122.52</v>
      </c>
      <c r="O2216">
        <v>106.89</v>
      </c>
      <c r="P2216">
        <v>163.83</v>
      </c>
      <c r="Q2216">
        <v>60.34</v>
      </c>
      <c r="R2216">
        <v>122.52</v>
      </c>
      <c r="S2216">
        <v>140.17</v>
      </c>
    </row>
    <row r="2217" spans="1:19">
      <c r="A2217" s="1">
        <v>45583</v>
      </c>
      <c r="B2217" t="s">
        <v>987</v>
      </c>
      <c r="C2217" t="s">
        <v>988</v>
      </c>
      <c r="D2217">
        <v>18.3002</v>
      </c>
      <c r="E2217">
        <v>17.9419</v>
      </c>
      <c r="F2217">
        <v>-0.019579020994306</v>
      </c>
      <c r="G2217">
        <f ca="1" t="shared" si="102"/>
        <v>-1.2970904244411</v>
      </c>
      <c r="H2217" t="str">
        <f ca="1" t="shared" si="103"/>
        <v>Risk-On</v>
      </c>
      <c r="I2217">
        <f ca="1" t="shared" si="104"/>
        <v>1</v>
      </c>
      <c r="J2217">
        <f>_xlfn.XLOOKUP($A2217,[1]Sheet1!$B$9:$B$2584,[1]Sheet1!$C$9:$C$2584,"N/A",0)</f>
        <v>106.45</v>
      </c>
      <c r="K2217">
        <f>_xlfn.XLOOKUP($A2217,[1]Sheet1!$E$9:$E$2584,[1]Sheet1!$F$9:$F$2584,"N/A",0)</f>
        <v>164.24</v>
      </c>
      <c r="L2217">
        <f>_xlfn.XLOOKUP($A2217,[1]Sheet1!$H$9:$H$2584,[1]Sheet1!$I$9:$I$2584,"N/A",0)</f>
        <v>60.06</v>
      </c>
      <c r="M2217">
        <f>_xlfn.XLOOKUP($A2217,[1]Sheet1!$K$9:$K$2584,[1]Sheet1!$L$9:$L$2584,"N/A",0)</f>
        <v>139.77</v>
      </c>
      <c r="N2217">
        <f>_xlfn.XLOOKUP($A2217,[1]Sheet1!$N$9:$N$2584,[1]Sheet1!$O$9:$O$2584,"N/A",0)</f>
        <v>123.23</v>
      </c>
      <c r="O2217">
        <v>106.45</v>
      </c>
      <c r="P2217">
        <v>164.24</v>
      </c>
      <c r="Q2217">
        <v>60.06</v>
      </c>
      <c r="R2217">
        <v>123.23</v>
      </c>
      <c r="S2217">
        <v>139.77</v>
      </c>
    </row>
    <row r="2218" spans="1:19">
      <c r="A2218" s="1">
        <v>45586</v>
      </c>
      <c r="B2218" t="s">
        <v>987</v>
      </c>
      <c r="C2218" t="s">
        <v>988</v>
      </c>
      <c r="D2218">
        <v>18.3564</v>
      </c>
      <c r="E2218">
        <v>17.9371</v>
      </c>
      <c r="F2218">
        <v>-0.0228421694885707</v>
      </c>
      <c r="G2218">
        <f ca="1" t="shared" si="102"/>
        <v>-1.34942612784004</v>
      </c>
      <c r="H2218" t="str">
        <f ca="1" t="shared" si="103"/>
        <v>Risk-On</v>
      </c>
      <c r="I2218">
        <f ca="1" t="shared" si="104"/>
        <v>1</v>
      </c>
      <c r="J2218">
        <f>_xlfn.XLOOKUP($A2218,[1]Sheet1!$B$9:$B$2584,[1]Sheet1!$C$9:$C$2584,"N/A",0)</f>
        <v>106.85</v>
      </c>
      <c r="K2218">
        <f>_xlfn.XLOOKUP($A2218,[1]Sheet1!$E$9:$E$2584,[1]Sheet1!$F$9:$F$2584,"N/A",0)</f>
        <v>164.97</v>
      </c>
      <c r="L2218">
        <f>_xlfn.XLOOKUP($A2218,[1]Sheet1!$H$9:$H$2584,[1]Sheet1!$I$9:$I$2584,"N/A",0)</f>
        <v>59.68</v>
      </c>
      <c r="M2218">
        <f>_xlfn.XLOOKUP($A2218,[1]Sheet1!$K$9:$K$2584,[1]Sheet1!$L$9:$L$2584,"N/A",0)</f>
        <v>139.85</v>
      </c>
      <c r="N2218">
        <f>_xlfn.XLOOKUP($A2218,[1]Sheet1!$N$9:$N$2584,[1]Sheet1!$O$9:$O$2584,"N/A",0)</f>
        <v>124</v>
      </c>
      <c r="O2218">
        <v>106.85</v>
      </c>
      <c r="P2218">
        <v>164.97</v>
      </c>
      <c r="Q2218">
        <v>59.68</v>
      </c>
      <c r="R2218">
        <v>124</v>
      </c>
      <c r="S2218">
        <v>139.85</v>
      </c>
    </row>
    <row r="2219" spans="1:19">
      <c r="A2219" s="1">
        <v>45587</v>
      </c>
      <c r="B2219" t="s">
        <v>987</v>
      </c>
      <c r="C2219" t="s">
        <v>988</v>
      </c>
      <c r="D2219">
        <v>18.2834</v>
      </c>
      <c r="E2219">
        <v>17.844</v>
      </c>
      <c r="F2219">
        <v>-0.024032729142282</v>
      </c>
      <c r="G2219">
        <f ca="1" t="shared" si="102"/>
        <v>-1.36747984688686</v>
      </c>
      <c r="H2219" t="str">
        <f ca="1" t="shared" si="103"/>
        <v>Risk-On</v>
      </c>
      <c r="I2219">
        <f ca="1" t="shared" si="104"/>
        <v>1</v>
      </c>
      <c r="J2219">
        <f>_xlfn.XLOOKUP($A2219,[1]Sheet1!$B$9:$B$2584,[1]Sheet1!$C$9:$C$2584,"N/A",0)</f>
        <v>106.87</v>
      </c>
      <c r="K2219">
        <f>_xlfn.XLOOKUP($A2219,[1]Sheet1!$E$9:$E$2584,[1]Sheet1!$F$9:$F$2584,"N/A",0)</f>
        <v>164.66</v>
      </c>
      <c r="L2219">
        <f>_xlfn.XLOOKUP($A2219,[1]Sheet1!$H$9:$H$2584,[1]Sheet1!$I$9:$I$2584,"N/A",0)</f>
        <v>60.09</v>
      </c>
      <c r="M2219">
        <f>_xlfn.XLOOKUP($A2219,[1]Sheet1!$K$9:$K$2584,[1]Sheet1!$L$9:$L$2584,"N/A",0)</f>
        <v>138.19</v>
      </c>
      <c r="N2219">
        <f>_xlfn.XLOOKUP($A2219,[1]Sheet1!$N$9:$N$2584,[1]Sheet1!$O$9:$O$2584,"N/A",0)</f>
        <v>124.6</v>
      </c>
      <c r="O2219">
        <v>106.87</v>
      </c>
      <c r="P2219">
        <v>164.66</v>
      </c>
      <c r="Q2219">
        <v>60.09</v>
      </c>
      <c r="R2219">
        <v>124.6</v>
      </c>
      <c r="S2219">
        <v>138.19</v>
      </c>
    </row>
    <row r="2220" spans="1:19">
      <c r="A2220" s="1">
        <v>45588</v>
      </c>
      <c r="B2220" t="s">
        <v>987</v>
      </c>
      <c r="C2220" t="s">
        <v>988</v>
      </c>
      <c r="D2220">
        <v>19.274</v>
      </c>
      <c r="E2220">
        <v>18.6272</v>
      </c>
      <c r="F2220">
        <v>-0.0335581612535022</v>
      </c>
      <c r="G2220">
        <f ca="1" t="shared" si="102"/>
        <v>-1.55613667102408</v>
      </c>
      <c r="H2220" t="str">
        <f ca="1" t="shared" si="103"/>
        <v>Risk-On</v>
      </c>
      <c r="I2220">
        <f ca="1" t="shared" si="104"/>
        <v>1</v>
      </c>
      <c r="J2220">
        <f>_xlfn.XLOOKUP($A2220,[1]Sheet1!$B$9:$B$2584,[1]Sheet1!$C$9:$C$2584,"N/A",0)</f>
        <v>107.19</v>
      </c>
      <c r="K2220">
        <f>_xlfn.XLOOKUP($A2220,[1]Sheet1!$E$9:$E$2584,[1]Sheet1!$F$9:$F$2584,"N/A",0)</f>
        <v>165.41</v>
      </c>
      <c r="L2220">
        <f>_xlfn.XLOOKUP($A2220,[1]Sheet1!$H$9:$H$2584,[1]Sheet1!$I$9:$I$2584,"N/A",0)</f>
        <v>60.33</v>
      </c>
      <c r="M2220">
        <f>_xlfn.XLOOKUP($A2220,[1]Sheet1!$K$9:$K$2584,[1]Sheet1!$L$9:$L$2584,"N/A",0)</f>
        <v>138.56</v>
      </c>
      <c r="N2220">
        <f>_xlfn.XLOOKUP($A2220,[1]Sheet1!$N$9:$N$2584,[1]Sheet1!$O$9:$O$2584,"N/A",0)</f>
        <v>124.61</v>
      </c>
      <c r="O2220">
        <v>107.19</v>
      </c>
      <c r="P2220">
        <v>165.41</v>
      </c>
      <c r="Q2220">
        <v>60.33</v>
      </c>
      <c r="R2220">
        <v>124.61</v>
      </c>
      <c r="S2220">
        <v>138.56</v>
      </c>
    </row>
    <row r="2221" spans="1:19">
      <c r="A2221" s="1">
        <v>45589</v>
      </c>
      <c r="B2221" t="s">
        <v>987</v>
      </c>
      <c r="C2221" t="s">
        <v>988</v>
      </c>
      <c r="D2221">
        <v>18.9021</v>
      </c>
      <c r="E2221">
        <v>18.3654</v>
      </c>
      <c r="F2221">
        <v>-0.0283936705445426</v>
      </c>
      <c r="G2221">
        <f ca="1" t="shared" si="102"/>
        <v>-1.43925324705227</v>
      </c>
      <c r="H2221" t="str">
        <f ca="1" t="shared" si="103"/>
        <v>Risk-On</v>
      </c>
      <c r="I2221">
        <f ca="1" t="shared" si="104"/>
        <v>1</v>
      </c>
      <c r="J2221">
        <f>_xlfn.XLOOKUP($A2221,[1]Sheet1!$B$9:$B$2584,[1]Sheet1!$C$9:$C$2584,"N/A",0)</f>
        <v>108.28</v>
      </c>
      <c r="K2221">
        <f>_xlfn.XLOOKUP($A2221,[1]Sheet1!$E$9:$E$2584,[1]Sheet1!$F$9:$F$2584,"N/A",0)</f>
        <v>164.57</v>
      </c>
      <c r="L2221">
        <f>_xlfn.XLOOKUP($A2221,[1]Sheet1!$H$9:$H$2584,[1]Sheet1!$I$9:$I$2584,"N/A",0)</f>
        <v>60.1</v>
      </c>
      <c r="M2221">
        <f>_xlfn.XLOOKUP($A2221,[1]Sheet1!$K$9:$K$2584,[1]Sheet1!$L$9:$L$2584,"N/A",0)</f>
        <v>138.83</v>
      </c>
      <c r="N2221">
        <f>_xlfn.XLOOKUP($A2221,[1]Sheet1!$N$9:$N$2584,[1]Sheet1!$O$9:$O$2584,"N/A",0)</f>
        <v>124.26</v>
      </c>
      <c r="O2221">
        <v>108.28</v>
      </c>
      <c r="P2221">
        <v>164.57</v>
      </c>
      <c r="Q2221">
        <v>60.1</v>
      </c>
      <c r="R2221">
        <v>124.26</v>
      </c>
      <c r="S2221">
        <v>138.83</v>
      </c>
    </row>
    <row r="2222" spans="1:19">
      <c r="A2222" s="1">
        <v>45590</v>
      </c>
      <c r="B2222" t="s">
        <v>987</v>
      </c>
      <c r="C2222" t="s">
        <v>988</v>
      </c>
      <c r="D2222">
        <v>19.8968</v>
      </c>
      <c r="E2222">
        <v>19.0437</v>
      </c>
      <c r="F2222">
        <v>-0.042876241405653</v>
      </c>
      <c r="G2222">
        <f ca="1" t="shared" si="102"/>
        <v>-1.7226666314047</v>
      </c>
      <c r="H2222" t="str">
        <f ca="1" t="shared" si="103"/>
        <v>Risk-On</v>
      </c>
      <c r="I2222">
        <f ca="1" t="shared" si="104"/>
        <v>1</v>
      </c>
      <c r="J2222">
        <f>_xlfn.XLOOKUP($A2222,[1]Sheet1!$B$9:$B$2584,[1]Sheet1!$C$9:$C$2584,"N/A",0)</f>
        <v>108.2</v>
      </c>
      <c r="K2222">
        <f>_xlfn.XLOOKUP($A2222,[1]Sheet1!$E$9:$E$2584,[1]Sheet1!$F$9:$F$2584,"N/A",0)</f>
        <v>163.28</v>
      </c>
      <c r="L2222">
        <f>_xlfn.XLOOKUP($A2222,[1]Sheet1!$H$9:$H$2584,[1]Sheet1!$I$9:$I$2584,"N/A",0)</f>
        <v>60.01</v>
      </c>
      <c r="M2222">
        <f>_xlfn.XLOOKUP($A2222,[1]Sheet1!$K$9:$K$2584,[1]Sheet1!$L$9:$L$2584,"N/A",0)</f>
        <v>139.08</v>
      </c>
      <c r="N2222">
        <f>_xlfn.XLOOKUP($A2222,[1]Sheet1!$N$9:$N$2584,[1]Sheet1!$O$9:$O$2584,"N/A",0)</f>
        <v>124.66</v>
      </c>
      <c r="O2222">
        <v>108.2</v>
      </c>
      <c r="P2222">
        <v>163.28</v>
      </c>
      <c r="Q2222">
        <v>60.01</v>
      </c>
      <c r="R2222">
        <v>124.66</v>
      </c>
      <c r="S2222">
        <v>139.08</v>
      </c>
    </row>
    <row r="2223" spans="1:19">
      <c r="A2223" s="1">
        <v>45593</v>
      </c>
      <c r="B2223" t="s">
        <v>987</v>
      </c>
      <c r="C2223" t="s">
        <v>988</v>
      </c>
      <c r="D2223">
        <v>18.7978</v>
      </c>
      <c r="E2223">
        <v>18.2452</v>
      </c>
      <c r="F2223">
        <v>-0.0293970571024267</v>
      </c>
      <c r="G2223">
        <f ca="1" t="shared" si="102"/>
        <v>-1.4345345909497</v>
      </c>
      <c r="H2223" t="str">
        <f ca="1" t="shared" si="103"/>
        <v>Risk-On</v>
      </c>
      <c r="I2223">
        <f ca="1" t="shared" si="104"/>
        <v>1</v>
      </c>
      <c r="J2223">
        <f>_xlfn.XLOOKUP($A2223,[1]Sheet1!$B$9:$B$2584,[1]Sheet1!$C$9:$C$2584,"N/A",0)</f>
        <v>108.23</v>
      </c>
      <c r="K2223">
        <f>_xlfn.XLOOKUP($A2223,[1]Sheet1!$E$9:$E$2584,[1]Sheet1!$F$9:$F$2584,"N/A",0)</f>
        <v>163.3</v>
      </c>
      <c r="L2223">
        <f>_xlfn.XLOOKUP($A2223,[1]Sheet1!$H$9:$H$2584,[1]Sheet1!$I$9:$I$2584,"N/A",0)</f>
        <v>60.11</v>
      </c>
      <c r="M2223">
        <f>_xlfn.XLOOKUP($A2223,[1]Sheet1!$K$9:$K$2584,[1]Sheet1!$L$9:$L$2584,"N/A",0)</f>
        <v>138.92</v>
      </c>
      <c r="N2223">
        <f>_xlfn.XLOOKUP($A2223,[1]Sheet1!$N$9:$N$2584,[1]Sheet1!$O$9:$O$2584,"N/A",0)</f>
        <v>123.57</v>
      </c>
      <c r="O2223">
        <v>108.23</v>
      </c>
      <c r="P2223">
        <v>163.3</v>
      </c>
      <c r="Q2223">
        <v>60.11</v>
      </c>
      <c r="R2223">
        <v>123.57</v>
      </c>
      <c r="S2223">
        <v>138.92</v>
      </c>
    </row>
    <row r="2224" spans="1:19">
      <c r="A2224" s="1">
        <v>45594</v>
      </c>
      <c r="B2224" t="s">
        <v>987</v>
      </c>
      <c r="C2224" t="s">
        <v>988</v>
      </c>
      <c r="D2224">
        <v>18.7575</v>
      </c>
      <c r="E2224">
        <v>18.1953</v>
      </c>
      <c r="F2224">
        <v>-0.0299720111955218</v>
      </c>
      <c r="G2224">
        <f ca="1" t="shared" si="102"/>
        <v>-1.43793999280219</v>
      </c>
      <c r="H2224" t="str">
        <f ca="1" t="shared" si="103"/>
        <v>Risk-On</v>
      </c>
      <c r="I2224">
        <f ca="1" t="shared" si="104"/>
        <v>1</v>
      </c>
      <c r="J2224">
        <f>_xlfn.XLOOKUP($A2224,[1]Sheet1!$B$9:$B$2584,[1]Sheet1!$C$9:$C$2584,"N/A",0)</f>
        <v>107.87</v>
      </c>
      <c r="K2224">
        <f>_xlfn.XLOOKUP($A2224,[1]Sheet1!$E$9:$E$2584,[1]Sheet1!$F$9:$F$2584,"N/A",0)</f>
        <v>164.46</v>
      </c>
      <c r="L2224">
        <f>_xlfn.XLOOKUP($A2224,[1]Sheet1!$H$9:$H$2584,[1]Sheet1!$I$9:$I$2584,"N/A",0)</f>
        <v>59.75</v>
      </c>
      <c r="M2224">
        <f>_xlfn.XLOOKUP($A2224,[1]Sheet1!$K$9:$K$2584,[1]Sheet1!$L$9:$L$2584,"N/A",0)</f>
        <v>138.65</v>
      </c>
      <c r="N2224">
        <f>_xlfn.XLOOKUP($A2224,[1]Sheet1!$N$9:$N$2584,[1]Sheet1!$O$9:$O$2584,"N/A",0)</f>
        <v>123</v>
      </c>
      <c r="O2224">
        <v>107.87</v>
      </c>
      <c r="P2224">
        <v>164.46</v>
      </c>
      <c r="Q2224">
        <v>59.75</v>
      </c>
      <c r="R2224">
        <v>123</v>
      </c>
      <c r="S2224">
        <v>138.65</v>
      </c>
    </row>
    <row r="2225" spans="1:19">
      <c r="A2225" s="1">
        <v>45595</v>
      </c>
      <c r="B2225" t="s">
        <v>987</v>
      </c>
      <c r="C2225" t="s">
        <v>988</v>
      </c>
      <c r="D2225">
        <v>19.3182</v>
      </c>
      <c r="E2225">
        <v>18.5536</v>
      </c>
      <c r="F2225">
        <v>-0.0395792568665818</v>
      </c>
      <c r="G2225">
        <f ca="1" t="shared" si="102"/>
        <v>-1.62130832173758</v>
      </c>
      <c r="H2225" t="str">
        <f ca="1" t="shared" si="103"/>
        <v>Risk-On</v>
      </c>
      <c r="I2225">
        <f ca="1" t="shared" si="104"/>
        <v>1</v>
      </c>
      <c r="J2225">
        <f>_xlfn.XLOOKUP($A2225,[1]Sheet1!$B$9:$B$2584,[1]Sheet1!$C$9:$C$2584,"N/A",0)</f>
        <v>107.82</v>
      </c>
      <c r="K2225">
        <f>_xlfn.XLOOKUP($A2225,[1]Sheet1!$E$9:$E$2584,[1]Sheet1!$F$9:$F$2584,"N/A",0)</f>
        <v>164.09</v>
      </c>
      <c r="L2225">
        <f>_xlfn.XLOOKUP($A2225,[1]Sheet1!$H$9:$H$2584,[1]Sheet1!$I$9:$I$2584,"N/A",0)</f>
        <v>59.38</v>
      </c>
      <c r="M2225">
        <f>_xlfn.XLOOKUP($A2225,[1]Sheet1!$K$9:$K$2584,[1]Sheet1!$L$9:$L$2584,"N/A",0)</f>
        <v>139.18</v>
      </c>
      <c r="N2225">
        <f>_xlfn.XLOOKUP($A2225,[1]Sheet1!$N$9:$N$2584,[1]Sheet1!$O$9:$O$2584,"N/A",0)</f>
        <v>122.8</v>
      </c>
      <c r="O2225">
        <v>107.82</v>
      </c>
      <c r="P2225">
        <v>164.09</v>
      </c>
      <c r="Q2225">
        <v>59.38</v>
      </c>
      <c r="R2225">
        <v>122.8</v>
      </c>
      <c r="S2225">
        <v>139.18</v>
      </c>
    </row>
    <row r="2226" spans="1:19">
      <c r="A2226" s="1">
        <v>45596</v>
      </c>
      <c r="B2226" t="s">
        <v>987</v>
      </c>
      <c r="C2226" t="s">
        <v>988</v>
      </c>
      <c r="D2226">
        <v>20.9579</v>
      </c>
      <c r="E2226">
        <v>19.7307</v>
      </c>
      <c r="F2226">
        <v>-0.0585554850438259</v>
      </c>
      <c r="G2226">
        <f ca="1" t="shared" si="102"/>
        <v>-1.9846428592204</v>
      </c>
      <c r="H2226" t="str">
        <f ca="1" t="shared" si="103"/>
        <v>Risk-On</v>
      </c>
      <c r="I2226">
        <f ca="1" t="shared" si="104"/>
        <v>1</v>
      </c>
      <c r="J2226">
        <f>_xlfn.XLOOKUP($A2226,[1]Sheet1!$B$9:$B$2584,[1]Sheet1!$C$9:$C$2584,"N/A",0)</f>
        <v>107.38</v>
      </c>
      <c r="K2226">
        <f>_xlfn.XLOOKUP($A2226,[1]Sheet1!$E$9:$E$2584,[1]Sheet1!$F$9:$F$2584,"N/A",0)</f>
        <v>163.73</v>
      </c>
      <c r="L2226">
        <f>_xlfn.XLOOKUP($A2226,[1]Sheet1!$H$9:$H$2584,[1]Sheet1!$I$9:$I$2584,"N/A",0)</f>
        <v>58.77</v>
      </c>
      <c r="M2226">
        <f>_xlfn.XLOOKUP($A2226,[1]Sheet1!$K$9:$K$2584,[1]Sheet1!$L$9:$L$2584,"N/A",0)</f>
        <v>139.49</v>
      </c>
      <c r="N2226">
        <f>_xlfn.XLOOKUP($A2226,[1]Sheet1!$N$9:$N$2584,[1]Sheet1!$O$9:$O$2584,"N/A",0)</f>
        <v>123.13</v>
      </c>
      <c r="O2226">
        <v>107.38</v>
      </c>
      <c r="P2226">
        <v>163.73</v>
      </c>
      <c r="Q2226">
        <v>58.77</v>
      </c>
      <c r="R2226">
        <v>123.13</v>
      </c>
      <c r="S2226">
        <v>139.49</v>
      </c>
    </row>
    <row r="2227" spans="1:19">
      <c r="A2227" s="1">
        <v>45597</v>
      </c>
      <c r="B2227" t="s">
        <v>987</v>
      </c>
      <c r="C2227" t="s">
        <v>988</v>
      </c>
      <c r="D2227">
        <v>20.488</v>
      </c>
      <c r="E2227">
        <v>19.4768</v>
      </c>
      <c r="F2227">
        <v>-0.0493557204217102</v>
      </c>
      <c r="G2227">
        <f ca="1" t="shared" si="102"/>
        <v>-1.77631512960391</v>
      </c>
      <c r="H2227" t="str">
        <f ca="1" t="shared" si="103"/>
        <v>Risk-On</v>
      </c>
      <c r="I2227">
        <f ca="1" t="shared" si="104"/>
        <v>1</v>
      </c>
      <c r="J2227">
        <f>_xlfn.XLOOKUP($A2227,[1]Sheet1!$B$9:$B$2584,[1]Sheet1!$C$9:$C$2584,"N/A",0)</f>
        <v>107.24</v>
      </c>
      <c r="K2227">
        <f>_xlfn.XLOOKUP($A2227,[1]Sheet1!$E$9:$E$2584,[1]Sheet1!$F$9:$F$2584,"N/A",0)</f>
        <v>160.71</v>
      </c>
      <c r="L2227">
        <f>_xlfn.XLOOKUP($A2227,[1]Sheet1!$H$9:$H$2584,[1]Sheet1!$I$9:$I$2584,"N/A",0)</f>
        <v>58.83</v>
      </c>
      <c r="M2227">
        <f>_xlfn.XLOOKUP($A2227,[1]Sheet1!$K$9:$K$2584,[1]Sheet1!$L$9:$L$2584,"N/A",0)</f>
        <v>139.34</v>
      </c>
      <c r="N2227">
        <f>_xlfn.XLOOKUP($A2227,[1]Sheet1!$N$9:$N$2584,[1]Sheet1!$O$9:$O$2584,"N/A",0)</f>
        <v>122.69</v>
      </c>
      <c r="O2227">
        <v>107.24</v>
      </c>
      <c r="P2227">
        <v>160.71</v>
      </c>
      <c r="Q2227">
        <v>58.83</v>
      </c>
      <c r="R2227">
        <v>122.69</v>
      </c>
      <c r="S2227">
        <v>139.34</v>
      </c>
    </row>
    <row r="2228" spans="1:19">
      <c r="A2228" s="1">
        <v>45600</v>
      </c>
      <c r="B2228" t="s">
        <v>987</v>
      </c>
      <c r="C2228" t="s">
        <v>988</v>
      </c>
      <c r="D2228">
        <v>19.5077</v>
      </c>
      <c r="E2228">
        <v>18.7211</v>
      </c>
      <c r="F2228">
        <v>-0.0403225393049923</v>
      </c>
      <c r="G2228">
        <f ca="1" t="shared" si="102"/>
        <v>-1.57561300841894</v>
      </c>
      <c r="H2228" t="str">
        <f ca="1" t="shared" si="103"/>
        <v>Risk-On</v>
      </c>
      <c r="I2228">
        <f ca="1" t="shared" si="104"/>
        <v>1</v>
      </c>
      <c r="J2228">
        <f>_xlfn.XLOOKUP($A2228,[1]Sheet1!$B$9:$B$2584,[1]Sheet1!$C$9:$C$2584,"N/A",0)</f>
        <v>107.38</v>
      </c>
      <c r="K2228">
        <f>_xlfn.XLOOKUP($A2228,[1]Sheet1!$E$9:$E$2584,[1]Sheet1!$F$9:$F$2584,"N/A",0)</f>
        <v>160.69</v>
      </c>
      <c r="L2228">
        <f>_xlfn.XLOOKUP($A2228,[1]Sheet1!$H$9:$H$2584,[1]Sheet1!$I$9:$I$2584,"N/A",0)</f>
        <v>58.84</v>
      </c>
      <c r="M2228">
        <f>_xlfn.XLOOKUP($A2228,[1]Sheet1!$K$9:$K$2584,[1]Sheet1!$L$9:$L$2584,"N/A",0)</f>
        <v>139.38</v>
      </c>
      <c r="N2228">
        <f>_xlfn.XLOOKUP($A2228,[1]Sheet1!$N$9:$N$2584,[1]Sheet1!$O$9:$O$2584,"N/A",0)</f>
        <v>122.54</v>
      </c>
      <c r="O2228">
        <v>107.38</v>
      </c>
      <c r="P2228">
        <v>160.69</v>
      </c>
      <c r="Q2228">
        <v>58.84</v>
      </c>
      <c r="R2228">
        <v>122.54</v>
      </c>
      <c r="S2228">
        <v>139.38</v>
      </c>
    </row>
    <row r="2229" spans="1:19">
      <c r="A2229" s="1">
        <v>45601</v>
      </c>
      <c r="B2229" t="s">
        <v>987</v>
      </c>
      <c r="C2229" t="s">
        <v>988</v>
      </c>
      <c r="D2229">
        <v>18.3442</v>
      </c>
      <c r="E2229">
        <v>17.8957</v>
      </c>
      <c r="F2229">
        <v>-0.0244491446887844</v>
      </c>
      <c r="G2229">
        <f ca="1" t="shared" si="102"/>
        <v>-1.25110365824282</v>
      </c>
      <c r="H2229" t="str">
        <f ca="1" t="shared" si="103"/>
        <v>Risk-On</v>
      </c>
      <c r="I2229">
        <f ca="1" t="shared" si="104"/>
        <v>1</v>
      </c>
      <c r="J2229">
        <f>_xlfn.XLOOKUP($A2229,[1]Sheet1!$B$9:$B$2584,[1]Sheet1!$C$9:$C$2584,"N/A",0)</f>
        <v>107.98</v>
      </c>
      <c r="K2229">
        <f>_xlfn.XLOOKUP($A2229,[1]Sheet1!$E$9:$E$2584,[1]Sheet1!$F$9:$F$2584,"N/A",0)</f>
        <v>162.73</v>
      </c>
      <c r="L2229">
        <f>_xlfn.XLOOKUP($A2229,[1]Sheet1!$H$9:$H$2584,[1]Sheet1!$I$9:$I$2584,"N/A",0)</f>
        <v>58.48</v>
      </c>
      <c r="M2229">
        <f>_xlfn.XLOOKUP($A2229,[1]Sheet1!$K$9:$K$2584,[1]Sheet1!$L$9:$L$2584,"N/A",0)</f>
        <v>139.22</v>
      </c>
      <c r="N2229">
        <f>_xlfn.XLOOKUP($A2229,[1]Sheet1!$N$9:$N$2584,[1]Sheet1!$O$9:$O$2584,"N/A",0)</f>
        <v>122.03</v>
      </c>
      <c r="O2229">
        <v>107.98</v>
      </c>
      <c r="P2229">
        <v>162.73</v>
      </c>
      <c r="Q2229">
        <v>58.48</v>
      </c>
      <c r="R2229">
        <v>122.03</v>
      </c>
      <c r="S2229">
        <v>139.22</v>
      </c>
    </row>
    <row r="2230" spans="1:19">
      <c r="A2230" s="1">
        <v>45602</v>
      </c>
      <c r="B2230" t="s">
        <v>987</v>
      </c>
      <c r="C2230" t="s">
        <v>988</v>
      </c>
      <c r="D2230">
        <v>16.246</v>
      </c>
      <c r="E2230">
        <v>16.2785</v>
      </c>
      <c r="F2230">
        <v>0.00200049242890572</v>
      </c>
      <c r="G2230">
        <f ca="1" t="shared" si="102"/>
        <v>-0.724174904920303</v>
      </c>
      <c r="H2230" t="str">
        <f ca="1" t="shared" si="103"/>
        <v>Risk-On</v>
      </c>
      <c r="I2230">
        <f ca="1" t="shared" si="104"/>
        <v>1</v>
      </c>
      <c r="J2230">
        <f>_xlfn.XLOOKUP($A2230,[1]Sheet1!$B$9:$B$2584,[1]Sheet1!$C$9:$C$2584,"N/A",0)</f>
        <v>107.86</v>
      </c>
      <c r="K2230">
        <f>_xlfn.XLOOKUP($A2230,[1]Sheet1!$E$9:$E$2584,[1]Sheet1!$F$9:$F$2584,"N/A",0)</f>
        <v>164.37</v>
      </c>
      <c r="L2230">
        <f>_xlfn.XLOOKUP($A2230,[1]Sheet1!$H$9:$H$2584,[1]Sheet1!$I$9:$I$2584,"N/A",0)</f>
        <v>59.4</v>
      </c>
      <c r="M2230">
        <f>_xlfn.XLOOKUP($A2230,[1]Sheet1!$K$9:$K$2584,[1]Sheet1!$L$9:$L$2584,"N/A",0)</f>
        <v>140.95</v>
      </c>
      <c r="N2230">
        <f>_xlfn.XLOOKUP($A2230,[1]Sheet1!$N$9:$N$2584,[1]Sheet1!$O$9:$O$2584,"N/A",0)</f>
        <v>118.72</v>
      </c>
      <c r="O2230">
        <v>107.86</v>
      </c>
      <c r="P2230">
        <v>164.37</v>
      </c>
      <c r="Q2230">
        <v>59.4</v>
      </c>
      <c r="R2230">
        <v>118.72</v>
      </c>
      <c r="S2230">
        <v>140.95</v>
      </c>
    </row>
    <row r="2231" spans="1:19">
      <c r="A2231" s="1">
        <v>45603</v>
      </c>
      <c r="B2231" t="s">
        <v>987</v>
      </c>
      <c r="C2231" t="s">
        <v>988</v>
      </c>
      <c r="D2231">
        <v>15.6411</v>
      </c>
      <c r="E2231">
        <v>15.8303</v>
      </c>
      <c r="F2231" s="2" t="s">
        <v>989</v>
      </c>
      <c r="G2231">
        <f ca="1" t="shared" si="102"/>
        <v>-0.524813690960558</v>
      </c>
      <c r="H2231" t="str">
        <f ca="1" t="shared" si="103"/>
        <v>Risk-On</v>
      </c>
      <c r="I2231">
        <f ca="1" t="shared" si="104"/>
        <v>1</v>
      </c>
      <c r="J2231">
        <f>_xlfn.XLOOKUP($A2231,[1]Sheet1!$B$9:$B$2584,[1]Sheet1!$C$9:$C$2584,"N/A",0)</f>
        <v>108.2</v>
      </c>
      <c r="K2231">
        <f>_xlfn.XLOOKUP($A2231,[1]Sheet1!$E$9:$E$2584,[1]Sheet1!$F$9:$F$2584,"N/A",0)</f>
        <v>166.5</v>
      </c>
      <c r="L2231">
        <f>_xlfn.XLOOKUP($A2231,[1]Sheet1!$H$9:$H$2584,[1]Sheet1!$I$9:$I$2584,"N/A",0)</f>
        <v>58.65</v>
      </c>
      <c r="M2231">
        <f>_xlfn.XLOOKUP($A2231,[1]Sheet1!$K$9:$K$2584,[1]Sheet1!$L$9:$L$2584,"N/A",0)</f>
        <v>141.84</v>
      </c>
      <c r="N2231">
        <f>_xlfn.XLOOKUP($A2231,[1]Sheet1!$N$9:$N$2584,[1]Sheet1!$O$9:$O$2584,"N/A",0)</f>
        <v>119.21</v>
      </c>
      <c r="O2231">
        <v>108.2</v>
      </c>
      <c r="P2231">
        <v>166.5</v>
      </c>
      <c r="Q2231">
        <v>58.65</v>
      </c>
      <c r="R2231">
        <v>119.21</v>
      </c>
      <c r="S2231">
        <v>141.84</v>
      </c>
    </row>
    <row r="2232" spans="1:19">
      <c r="A2232" s="1">
        <v>45604</v>
      </c>
      <c r="B2232" t="s">
        <v>987</v>
      </c>
      <c r="C2232" t="s">
        <v>988</v>
      </c>
      <c r="D2232">
        <v>15.4969</v>
      </c>
      <c r="E2232">
        <v>15.7606</v>
      </c>
      <c r="F2232" s="2" t="s">
        <v>990</v>
      </c>
      <c r="G2232">
        <f ca="1" t="shared" si="102"/>
        <v>-0.426545023850374</v>
      </c>
      <c r="H2232" t="str">
        <f ca="1" t="shared" si="103"/>
        <v>Risk-On</v>
      </c>
      <c r="I2232">
        <f ca="1" t="shared" si="104"/>
        <v>1</v>
      </c>
      <c r="J2232">
        <f>_xlfn.XLOOKUP($A2232,[1]Sheet1!$B$9:$B$2584,[1]Sheet1!$C$9:$C$2584,"N/A",0)</f>
        <v>108.35</v>
      </c>
      <c r="K2232">
        <f>_xlfn.XLOOKUP($A2232,[1]Sheet1!$E$9:$E$2584,[1]Sheet1!$F$9:$F$2584,"N/A",0)</f>
        <v>171.14</v>
      </c>
      <c r="L2232">
        <f>_xlfn.XLOOKUP($A2232,[1]Sheet1!$H$9:$H$2584,[1]Sheet1!$I$9:$I$2584,"N/A",0)</f>
        <v>58.03</v>
      </c>
      <c r="M2232">
        <f>_xlfn.XLOOKUP($A2232,[1]Sheet1!$K$9:$K$2584,[1]Sheet1!$L$9:$L$2584,"N/A",0)</f>
        <v>143.54</v>
      </c>
      <c r="N2232">
        <f>_xlfn.XLOOKUP($A2232,[1]Sheet1!$N$9:$N$2584,[1]Sheet1!$O$9:$O$2584,"N/A",0)</f>
        <v>118.76</v>
      </c>
      <c r="O2232">
        <v>108.35</v>
      </c>
      <c r="P2232">
        <v>171.14</v>
      </c>
      <c r="Q2232">
        <v>58.03</v>
      </c>
      <c r="R2232">
        <v>118.76</v>
      </c>
      <c r="S2232">
        <v>143.54</v>
      </c>
    </row>
    <row r="2233" spans="1:19">
      <c r="A2233" s="1">
        <v>45607</v>
      </c>
      <c r="B2233" t="s">
        <v>987</v>
      </c>
      <c r="C2233" t="s">
        <v>988</v>
      </c>
      <c r="D2233">
        <v>15.4861</v>
      </c>
      <c r="E2233">
        <v>15.7216</v>
      </c>
      <c r="F2233" s="2" t="s">
        <v>991</v>
      </c>
      <c r="G2233">
        <f ca="1" t="shared" si="102"/>
        <v>-0.458181759162967</v>
      </c>
      <c r="H2233" t="str">
        <f ca="1" t="shared" si="103"/>
        <v>Risk-On</v>
      </c>
      <c r="I2233">
        <f ca="1" t="shared" si="104"/>
        <v>1</v>
      </c>
      <c r="J2233">
        <f>_xlfn.XLOOKUP($A2233,[1]Sheet1!$B$9:$B$2584,[1]Sheet1!$C$9:$C$2584,"N/A",0)</f>
        <v>108.62</v>
      </c>
      <c r="K2233">
        <f>_xlfn.XLOOKUP($A2233,[1]Sheet1!$E$9:$E$2584,[1]Sheet1!$F$9:$F$2584,"N/A",0)</f>
        <v>171.13</v>
      </c>
      <c r="L2233">
        <f>_xlfn.XLOOKUP($A2233,[1]Sheet1!$H$9:$H$2584,[1]Sheet1!$I$9:$I$2584,"N/A",0)</f>
        <v>57.65</v>
      </c>
      <c r="M2233">
        <f>_xlfn.XLOOKUP($A2233,[1]Sheet1!$K$9:$K$2584,[1]Sheet1!$L$9:$L$2584,"N/A",0)</f>
        <v>143.78</v>
      </c>
      <c r="N2233">
        <f>_xlfn.XLOOKUP($A2233,[1]Sheet1!$N$9:$N$2584,[1]Sheet1!$O$9:$O$2584,"N/A",0)</f>
        <v>118.52</v>
      </c>
      <c r="O2233">
        <v>108.62</v>
      </c>
      <c r="P2233">
        <v>171.13</v>
      </c>
      <c r="Q2233">
        <v>57.65</v>
      </c>
      <c r="R2233">
        <v>118.52</v>
      </c>
      <c r="S2233">
        <v>143.78</v>
      </c>
    </row>
    <row r="2234" spans="1:19">
      <c r="A2234" s="1">
        <v>45608</v>
      </c>
      <c r="B2234" t="s">
        <v>987</v>
      </c>
      <c r="C2234" t="s">
        <v>988</v>
      </c>
      <c r="D2234">
        <v>15.2572</v>
      </c>
      <c r="E2234">
        <v>15.7362</v>
      </c>
      <c r="F2234">
        <v>0.0313950135018221</v>
      </c>
      <c r="G2234">
        <f ca="1" t="shared" si="102"/>
        <v>-0.143419890645322</v>
      </c>
      <c r="H2234" t="str">
        <f ca="1" t="shared" si="103"/>
        <v>Risk-On</v>
      </c>
      <c r="I2234">
        <f ca="1" t="shared" si="104"/>
        <v>1</v>
      </c>
      <c r="J2234">
        <f>_xlfn.XLOOKUP($A2234,[1]Sheet1!$B$9:$B$2584,[1]Sheet1!$C$9:$C$2584,"N/A",0)</f>
        <v>107.89</v>
      </c>
      <c r="K2234">
        <f>_xlfn.XLOOKUP($A2234,[1]Sheet1!$E$9:$E$2584,[1]Sheet1!$F$9:$F$2584,"N/A",0)</f>
        <v>171.6</v>
      </c>
      <c r="L2234">
        <f>_xlfn.XLOOKUP($A2234,[1]Sheet1!$H$9:$H$2584,[1]Sheet1!$I$9:$I$2584,"N/A",0)</f>
        <v>57.34</v>
      </c>
      <c r="M2234">
        <f>_xlfn.XLOOKUP($A2234,[1]Sheet1!$K$9:$K$2584,[1]Sheet1!$L$9:$L$2584,"N/A",0)</f>
        <v>144.34</v>
      </c>
      <c r="N2234">
        <f>_xlfn.XLOOKUP($A2234,[1]Sheet1!$N$9:$N$2584,[1]Sheet1!$O$9:$O$2584,"N/A",0)</f>
        <v>119.02</v>
      </c>
      <c r="O2234">
        <v>107.89</v>
      </c>
      <c r="P2234">
        <v>171.6</v>
      </c>
      <c r="Q2234">
        <v>57.34</v>
      </c>
      <c r="R2234">
        <v>119.02</v>
      </c>
      <c r="S2234">
        <v>144.34</v>
      </c>
    </row>
    <row r="2235" spans="1:19">
      <c r="A2235" s="1">
        <v>45609</v>
      </c>
      <c r="B2235" t="s">
        <v>987</v>
      </c>
      <c r="C2235" t="s">
        <v>988</v>
      </c>
      <c r="D2235">
        <v>14.544</v>
      </c>
      <c r="E2235">
        <v>15.4598</v>
      </c>
      <c r="F2235">
        <v>0.0629675467546754</v>
      </c>
      <c r="G2235">
        <f ca="1" t="shared" si="102"/>
        <v>0.471224403505532</v>
      </c>
      <c r="H2235" t="str">
        <f ca="1" t="shared" si="103"/>
        <v>Risk-On</v>
      </c>
      <c r="I2235">
        <f ca="1" t="shared" si="104"/>
        <v>1</v>
      </c>
      <c r="J2235">
        <f>_xlfn.XLOOKUP($A2235,[1]Sheet1!$B$9:$B$2584,[1]Sheet1!$C$9:$C$2584,"N/A",0)</f>
        <v>108.11</v>
      </c>
      <c r="K2235">
        <f>_xlfn.XLOOKUP($A2235,[1]Sheet1!$E$9:$E$2584,[1]Sheet1!$F$9:$F$2584,"N/A",0)</f>
        <v>168.89</v>
      </c>
      <c r="L2235">
        <f>_xlfn.XLOOKUP($A2235,[1]Sheet1!$H$9:$H$2584,[1]Sheet1!$I$9:$I$2584,"N/A",0)</f>
        <v>56.93</v>
      </c>
      <c r="M2235">
        <f>_xlfn.XLOOKUP($A2235,[1]Sheet1!$K$9:$K$2584,[1]Sheet1!$L$9:$L$2584,"N/A",0)</f>
        <v>143.88</v>
      </c>
      <c r="N2235">
        <f>_xlfn.XLOOKUP($A2235,[1]Sheet1!$N$9:$N$2584,[1]Sheet1!$O$9:$O$2584,"N/A",0)</f>
        <v>120.37</v>
      </c>
      <c r="O2235">
        <v>108.11</v>
      </c>
      <c r="P2235">
        <v>168.89</v>
      </c>
      <c r="Q2235">
        <v>56.93</v>
      </c>
      <c r="R2235">
        <v>120.37</v>
      </c>
      <c r="S2235">
        <v>143.88</v>
      </c>
    </row>
    <row r="2236" spans="1:19">
      <c r="A2236" s="1">
        <v>45610</v>
      </c>
      <c r="B2236" t="s">
        <v>987</v>
      </c>
      <c r="C2236" t="s">
        <v>988</v>
      </c>
      <c r="D2236">
        <v>14.64</v>
      </c>
      <c r="E2236">
        <v>15.4412</v>
      </c>
      <c r="F2236">
        <v>0.0547267759562841</v>
      </c>
      <c r="G2236">
        <f ca="1" t="shared" si="102"/>
        <v>0.312867537293992</v>
      </c>
      <c r="H2236" t="str">
        <f ca="1" t="shared" si="103"/>
        <v>Risk-On</v>
      </c>
      <c r="I2236">
        <f ca="1" t="shared" si="104"/>
        <v>1</v>
      </c>
      <c r="J2236">
        <f>_xlfn.XLOOKUP($A2236,[1]Sheet1!$B$9:$B$2584,[1]Sheet1!$C$9:$C$2584,"N/A",0)</f>
        <v>107.75</v>
      </c>
      <c r="K2236">
        <f>_xlfn.XLOOKUP($A2236,[1]Sheet1!$E$9:$E$2584,[1]Sheet1!$F$9:$F$2584,"N/A",0)</f>
        <v>168.4</v>
      </c>
      <c r="L2236">
        <f>_xlfn.XLOOKUP($A2236,[1]Sheet1!$H$9:$H$2584,[1]Sheet1!$I$9:$I$2584,"N/A",0)</f>
        <v>57.31</v>
      </c>
      <c r="M2236">
        <f>_xlfn.XLOOKUP($A2236,[1]Sheet1!$K$9:$K$2584,[1]Sheet1!$L$9:$L$2584,"N/A",0)</f>
        <v>143.7</v>
      </c>
      <c r="N2236">
        <f>_xlfn.XLOOKUP($A2236,[1]Sheet1!$N$9:$N$2584,[1]Sheet1!$O$9:$O$2584,"N/A",0)</f>
        <v>120.85</v>
      </c>
      <c r="O2236">
        <v>107.75</v>
      </c>
      <c r="P2236">
        <v>168.4</v>
      </c>
      <c r="Q2236">
        <v>57.31</v>
      </c>
      <c r="R2236">
        <v>120.85</v>
      </c>
      <c r="S2236">
        <v>143.7</v>
      </c>
    </row>
    <row r="2237" spans="1:19">
      <c r="A2237" s="1">
        <v>45611</v>
      </c>
      <c r="B2237" t="s">
        <v>987</v>
      </c>
      <c r="C2237" t="s">
        <v>988</v>
      </c>
      <c r="D2237">
        <v>16.3884</v>
      </c>
      <c r="E2237">
        <v>16.3703</v>
      </c>
      <c r="F2237">
        <v>-0.00110443972565964</v>
      </c>
      <c r="G2237">
        <f ca="1" t="shared" si="102"/>
        <v>-0.770473869611381</v>
      </c>
      <c r="H2237" t="str">
        <f ca="1" t="shared" si="103"/>
        <v>Risk-On</v>
      </c>
      <c r="I2237">
        <f ca="1" t="shared" si="104"/>
        <v>1</v>
      </c>
      <c r="J2237">
        <f>_xlfn.XLOOKUP($A2237,[1]Sheet1!$B$9:$B$2584,[1]Sheet1!$C$9:$C$2584,"N/A",0)</f>
        <v>108.44</v>
      </c>
      <c r="K2237">
        <f>_xlfn.XLOOKUP($A2237,[1]Sheet1!$E$9:$E$2584,[1]Sheet1!$F$9:$F$2584,"N/A",0)</f>
        <v>170.65</v>
      </c>
      <c r="L2237">
        <f>_xlfn.XLOOKUP($A2237,[1]Sheet1!$H$9:$H$2584,[1]Sheet1!$I$9:$I$2584,"N/A",0)</f>
        <v>57.87</v>
      </c>
      <c r="M2237">
        <f>_xlfn.XLOOKUP($A2237,[1]Sheet1!$K$9:$K$2584,[1]Sheet1!$L$9:$L$2584,"N/A",0)</f>
        <v>144.36</v>
      </c>
      <c r="N2237">
        <f>_xlfn.XLOOKUP($A2237,[1]Sheet1!$N$9:$N$2584,[1]Sheet1!$O$9:$O$2584,"N/A",0)</f>
        <v>121.39</v>
      </c>
      <c r="O2237">
        <v>108.44</v>
      </c>
      <c r="P2237">
        <v>170.65</v>
      </c>
      <c r="Q2237">
        <v>57.87</v>
      </c>
      <c r="R2237">
        <v>121.39</v>
      </c>
      <c r="S2237">
        <v>144.36</v>
      </c>
    </row>
    <row r="2238" spans="1:19">
      <c r="A2238" s="1">
        <v>45614</v>
      </c>
      <c r="B2238" t="s">
        <v>987</v>
      </c>
      <c r="C2238" t="s">
        <v>988</v>
      </c>
      <c r="D2238">
        <v>15.6117</v>
      </c>
      <c r="E2238">
        <v>15.8517</v>
      </c>
      <c r="F2238" s="2" t="s">
        <v>992</v>
      </c>
      <c r="G2238">
        <f ca="1" t="shared" si="102"/>
        <v>-0.442494440089464</v>
      </c>
      <c r="H2238" t="str">
        <f ca="1" t="shared" si="103"/>
        <v>Risk-Off</v>
      </c>
      <c r="I2238">
        <f ca="1" t="shared" si="104"/>
        <v>1</v>
      </c>
      <c r="J2238">
        <f>_xlfn.XLOOKUP($A2238,[1]Sheet1!$B$9:$B$2584,[1]Sheet1!$C$9:$C$2584,"N/A",0)</f>
        <v>108.69</v>
      </c>
      <c r="K2238">
        <f>_xlfn.XLOOKUP($A2238,[1]Sheet1!$E$9:$E$2584,[1]Sheet1!$F$9:$F$2584,"N/A",0)</f>
        <v>171.43</v>
      </c>
      <c r="L2238">
        <f>_xlfn.XLOOKUP($A2238,[1]Sheet1!$H$9:$H$2584,[1]Sheet1!$I$9:$I$2584,"N/A",0)</f>
        <v>57.49</v>
      </c>
      <c r="M2238">
        <f>_xlfn.XLOOKUP($A2238,[1]Sheet1!$K$9:$K$2584,[1]Sheet1!$L$9:$L$2584,"N/A",0)</f>
        <v>143.24</v>
      </c>
      <c r="N2238">
        <f>_xlfn.XLOOKUP($A2238,[1]Sheet1!$N$9:$N$2584,[1]Sheet1!$O$9:$O$2584,"N/A",0)</f>
        <v>121.9</v>
      </c>
      <c r="O2238">
        <v>108.69</v>
      </c>
      <c r="P2238">
        <v>171.43</v>
      </c>
      <c r="Q2238">
        <v>57.49</v>
      </c>
      <c r="R2238">
        <v>121.9</v>
      </c>
      <c r="S2238">
        <v>143.24</v>
      </c>
    </row>
    <row r="2239" spans="1:19">
      <c r="A2239" s="1">
        <v>45615</v>
      </c>
      <c r="B2239" t="s">
        <v>987</v>
      </c>
      <c r="C2239" t="s">
        <v>988</v>
      </c>
      <c r="D2239">
        <v>16.4181</v>
      </c>
      <c r="E2239">
        <v>16.4057</v>
      </c>
      <c r="F2239">
        <v>-0.00075526400740643</v>
      </c>
      <c r="G2239">
        <f ca="1" t="shared" si="102"/>
        <v>-0.749569637678335</v>
      </c>
      <c r="H2239" t="str">
        <f ca="1" t="shared" si="103"/>
        <v>Risk-Off</v>
      </c>
      <c r="I2239">
        <f ca="1" t="shared" si="104"/>
        <v>1</v>
      </c>
      <c r="J2239">
        <f>_xlfn.XLOOKUP($A2239,[1]Sheet1!$B$9:$B$2584,[1]Sheet1!$C$9:$C$2584,"N/A",0)</f>
        <v>109.12</v>
      </c>
      <c r="K2239">
        <f>_xlfn.XLOOKUP($A2239,[1]Sheet1!$E$9:$E$2584,[1]Sheet1!$F$9:$F$2584,"N/A",0)</f>
        <v>174.7</v>
      </c>
      <c r="L2239">
        <f>_xlfn.XLOOKUP($A2239,[1]Sheet1!$H$9:$H$2584,[1]Sheet1!$I$9:$I$2584,"N/A",0)</f>
        <v>57.08</v>
      </c>
      <c r="M2239">
        <f>_xlfn.XLOOKUP($A2239,[1]Sheet1!$K$9:$K$2584,[1]Sheet1!$L$9:$L$2584,"N/A",0)</f>
        <v>142.88</v>
      </c>
      <c r="N2239">
        <f>_xlfn.XLOOKUP($A2239,[1]Sheet1!$N$9:$N$2584,[1]Sheet1!$O$9:$O$2584,"N/A",0)</f>
        <v>121.1</v>
      </c>
      <c r="O2239">
        <v>109.12</v>
      </c>
      <c r="P2239">
        <v>174.7</v>
      </c>
      <c r="Q2239">
        <v>57.08</v>
      </c>
      <c r="R2239">
        <v>121.1</v>
      </c>
      <c r="S2239">
        <v>142.88</v>
      </c>
    </row>
    <row r="2240" spans="1:19">
      <c r="A2240" s="1">
        <v>45616</v>
      </c>
      <c r="B2240" t="s">
        <v>987</v>
      </c>
      <c r="C2240" t="s">
        <v>988</v>
      </c>
      <c r="D2240">
        <v>16.65</v>
      </c>
      <c r="E2240">
        <v>16.9522</v>
      </c>
      <c r="F2240" s="2" t="s">
        <v>993</v>
      </c>
      <c r="G2240">
        <f ca="1" t="shared" si="102"/>
        <v>-0.37906963443417</v>
      </c>
      <c r="H2240" t="str">
        <f ca="1" t="shared" si="103"/>
        <v>Risk-Off</v>
      </c>
      <c r="I2240">
        <f ca="1" t="shared" si="104"/>
        <v>1</v>
      </c>
      <c r="J2240">
        <f>_xlfn.XLOOKUP($A2240,[1]Sheet1!$B$9:$B$2584,[1]Sheet1!$C$9:$C$2584,"N/A",0)</f>
        <v>109.26</v>
      </c>
      <c r="K2240">
        <f>_xlfn.XLOOKUP($A2240,[1]Sheet1!$E$9:$E$2584,[1]Sheet1!$F$9:$F$2584,"N/A",0)</f>
        <v>174.71</v>
      </c>
      <c r="L2240">
        <f>_xlfn.XLOOKUP($A2240,[1]Sheet1!$H$9:$H$2584,[1]Sheet1!$I$9:$I$2584,"N/A",0)</f>
        <v>56.99</v>
      </c>
      <c r="M2240">
        <f>_xlfn.XLOOKUP($A2240,[1]Sheet1!$K$9:$K$2584,[1]Sheet1!$L$9:$L$2584,"N/A",0)</f>
        <v>143.33</v>
      </c>
      <c r="N2240">
        <f>_xlfn.XLOOKUP($A2240,[1]Sheet1!$N$9:$N$2584,[1]Sheet1!$O$9:$O$2584,"N/A",0)</f>
        <v>120.77</v>
      </c>
      <c r="O2240">
        <v>109.26</v>
      </c>
      <c r="P2240">
        <v>174.71</v>
      </c>
      <c r="Q2240">
        <v>56.99</v>
      </c>
      <c r="R2240">
        <v>120.77</v>
      </c>
      <c r="S2240">
        <v>143.33</v>
      </c>
    </row>
    <row r="2241" spans="1:19">
      <c r="A2241" s="1">
        <v>45617</v>
      </c>
      <c r="B2241" t="s">
        <v>988</v>
      </c>
      <c r="C2241" t="s">
        <v>994</v>
      </c>
      <c r="D2241">
        <v>16.7716</v>
      </c>
      <c r="E2241">
        <v>17.2813</v>
      </c>
      <c r="F2241">
        <v>0.0303906604021084</v>
      </c>
      <c r="G2241">
        <f ca="1" t="shared" si="102"/>
        <v>-0.141262698726521</v>
      </c>
      <c r="H2241" t="str">
        <f ca="1" t="shared" si="103"/>
        <v>Risk-On</v>
      </c>
      <c r="I2241">
        <f ca="1" t="shared" si="104"/>
        <v>1</v>
      </c>
      <c r="J2241">
        <f>_xlfn.XLOOKUP($A2241,[1]Sheet1!$B$9:$B$2584,[1]Sheet1!$C$9:$C$2584,"N/A",0)</f>
        <v>109.99</v>
      </c>
      <c r="K2241">
        <f>_xlfn.XLOOKUP($A2241,[1]Sheet1!$E$9:$E$2584,[1]Sheet1!$F$9:$F$2584,"N/A",0)</f>
        <v>172.87</v>
      </c>
      <c r="L2241">
        <f>_xlfn.XLOOKUP($A2241,[1]Sheet1!$H$9:$H$2584,[1]Sheet1!$I$9:$I$2584,"N/A",0)</f>
        <v>56.5</v>
      </c>
      <c r="M2241">
        <f>_xlfn.XLOOKUP($A2241,[1]Sheet1!$K$9:$K$2584,[1]Sheet1!$L$9:$L$2584,"N/A",0)</f>
        <v>142.88</v>
      </c>
      <c r="N2241">
        <f>_xlfn.XLOOKUP($A2241,[1]Sheet1!$N$9:$N$2584,[1]Sheet1!$O$9:$O$2584,"N/A",0)</f>
        <v>119.98</v>
      </c>
      <c r="O2241">
        <v>109.99</v>
      </c>
      <c r="P2241">
        <v>172.87</v>
      </c>
      <c r="Q2241">
        <v>56.5</v>
      </c>
      <c r="R2241">
        <v>119.98</v>
      </c>
      <c r="S2241">
        <v>142.88</v>
      </c>
    </row>
    <row r="2242" spans="1:19">
      <c r="A2242" s="1">
        <v>45618</v>
      </c>
      <c r="B2242" t="s">
        <v>988</v>
      </c>
      <c r="C2242" t="s">
        <v>994</v>
      </c>
      <c r="D2242">
        <v>16.0654</v>
      </c>
      <c r="E2242">
        <v>16.8433</v>
      </c>
      <c r="F2242">
        <v>0.0484208298579555</v>
      </c>
      <c r="G2242">
        <f ca="1" t="shared" si="102"/>
        <v>0.210364078903062</v>
      </c>
      <c r="H2242" t="str">
        <f ca="1" t="shared" si="103"/>
        <v>Risk-On</v>
      </c>
      <c r="I2242">
        <f ca="1" t="shared" si="104"/>
        <v>1</v>
      </c>
      <c r="J2242">
        <f>_xlfn.XLOOKUP($A2242,[1]Sheet1!$B$9:$B$2584,[1]Sheet1!$C$9:$C$2584,"N/A",0)</f>
        <v>110.19</v>
      </c>
      <c r="K2242">
        <f>_xlfn.XLOOKUP($A2242,[1]Sheet1!$E$9:$E$2584,[1]Sheet1!$F$9:$F$2584,"N/A",0)</f>
        <v>173.22</v>
      </c>
      <c r="L2242">
        <f>_xlfn.XLOOKUP($A2242,[1]Sheet1!$H$9:$H$2584,[1]Sheet1!$I$9:$I$2584,"N/A",0)</f>
        <v>56.68</v>
      </c>
      <c r="M2242">
        <f>_xlfn.XLOOKUP($A2242,[1]Sheet1!$K$9:$K$2584,[1]Sheet1!$L$9:$L$2584,"N/A",0)</f>
        <v>143.43</v>
      </c>
      <c r="N2242">
        <f>_xlfn.XLOOKUP($A2242,[1]Sheet1!$N$9:$N$2584,[1]Sheet1!$O$9:$O$2584,"N/A",0)</f>
        <v>119.11</v>
      </c>
      <c r="O2242">
        <v>110.19</v>
      </c>
      <c r="P2242">
        <v>173.22</v>
      </c>
      <c r="Q2242">
        <v>56.68</v>
      </c>
      <c r="R2242">
        <v>119.11</v>
      </c>
      <c r="S2242">
        <v>143.43</v>
      </c>
    </row>
    <row r="2243" spans="1:19">
      <c r="A2243" s="1">
        <v>45621</v>
      </c>
      <c r="B2243" t="s">
        <v>988</v>
      </c>
      <c r="C2243" t="s">
        <v>994</v>
      </c>
      <c r="D2243">
        <v>15.4492</v>
      </c>
      <c r="E2243">
        <v>16.4269</v>
      </c>
      <c r="F2243">
        <v>0.0632848302824742</v>
      </c>
      <c r="G2243">
        <f ca="1" t="shared" ref="G2243:G2306" si="105">IF(ROW()-ROW($A$3)+1&gt;252,(F2243-AVERAGE(OFFSET(F2243,-252,0,252,1)))/_xlfn.STDEV.S(OFFSET(F2243,-252,0,252,1)),"N/A")</f>
        <v>0.500085211758618</v>
      </c>
      <c r="H2243" t="str">
        <f ca="1" t="shared" ref="H2243:H2306" si="106">IF(G2243&lt;&gt;"N/A",IF(G2493&gt;-0.5,"Risk-On","Risk-Off"),"N/A")</f>
        <v>Risk-On</v>
      </c>
      <c r="I2243">
        <f ca="1" t="shared" si="104"/>
        <v>1</v>
      </c>
      <c r="J2243">
        <f>_xlfn.XLOOKUP($A2243,[1]Sheet1!$B$9:$B$2584,[1]Sheet1!$C$9:$C$2584,"N/A",0)</f>
        <v>109.63</v>
      </c>
      <c r="K2243">
        <f>_xlfn.XLOOKUP($A2243,[1]Sheet1!$E$9:$E$2584,[1]Sheet1!$F$9:$F$2584,"N/A",0)</f>
        <v>169.82</v>
      </c>
      <c r="L2243">
        <f>_xlfn.XLOOKUP($A2243,[1]Sheet1!$H$9:$H$2584,[1]Sheet1!$I$9:$I$2584,"N/A",0)</f>
        <v>57.09</v>
      </c>
      <c r="M2243">
        <f>_xlfn.XLOOKUP($A2243,[1]Sheet1!$K$9:$K$2584,[1]Sheet1!$L$9:$L$2584,"N/A",0)</f>
        <v>143.92</v>
      </c>
      <c r="N2243">
        <f>_xlfn.XLOOKUP($A2243,[1]Sheet1!$N$9:$N$2584,[1]Sheet1!$O$9:$O$2584,"N/A",0)</f>
        <v>118.33</v>
      </c>
      <c r="O2243">
        <v>109.63</v>
      </c>
      <c r="P2243">
        <v>169.82</v>
      </c>
      <c r="Q2243">
        <v>57.09</v>
      </c>
      <c r="R2243">
        <v>118.33</v>
      </c>
      <c r="S2243">
        <v>143.92</v>
      </c>
    </row>
    <row r="2244" spans="1:19">
      <c r="A2244" s="1">
        <v>45622</v>
      </c>
      <c r="B2244" t="s">
        <v>988</v>
      </c>
      <c r="C2244" t="s">
        <v>994</v>
      </c>
      <c r="D2244">
        <v>15.2541</v>
      </c>
      <c r="E2244">
        <v>16.3418</v>
      </c>
      <c r="F2244">
        <v>0.0713054195265535</v>
      </c>
      <c r="G2244">
        <f ca="1" t="shared" si="105"/>
        <v>0.655375256757544</v>
      </c>
      <c r="H2244" t="str">
        <f ca="1" t="shared" si="106"/>
        <v>Risk-On</v>
      </c>
      <c r="I2244">
        <f ca="1" t="shared" ref="I2244:I2307" si="107">IF(H2244&lt;&gt;"N/A",IF(H2494&gt;-0.5,1,0),0)</f>
        <v>1</v>
      </c>
      <c r="J2244">
        <f>_xlfn.XLOOKUP($A2244,[1]Sheet1!$B$9:$B$2584,[1]Sheet1!$C$9:$C$2584,"N/A",0)</f>
        <v>110.38</v>
      </c>
      <c r="K2244">
        <f>_xlfn.XLOOKUP($A2244,[1]Sheet1!$E$9:$E$2584,[1]Sheet1!$F$9:$F$2584,"N/A",0)</f>
        <v>172.05</v>
      </c>
      <c r="L2244">
        <f>_xlfn.XLOOKUP($A2244,[1]Sheet1!$H$9:$H$2584,[1]Sheet1!$I$9:$I$2584,"N/A",0)</f>
        <v>56.16</v>
      </c>
      <c r="M2244">
        <f>_xlfn.XLOOKUP($A2244,[1]Sheet1!$K$9:$K$2584,[1]Sheet1!$L$9:$L$2584,"N/A",0)</f>
        <v>145.07</v>
      </c>
      <c r="N2244">
        <f>_xlfn.XLOOKUP($A2244,[1]Sheet1!$N$9:$N$2584,[1]Sheet1!$O$9:$O$2584,"N/A",0)</f>
        <v>119.08</v>
      </c>
      <c r="O2244">
        <v>110.38</v>
      </c>
      <c r="P2244">
        <v>172.05</v>
      </c>
      <c r="Q2244">
        <v>56.16</v>
      </c>
      <c r="R2244">
        <v>119.08</v>
      </c>
      <c r="S2244">
        <v>145.07</v>
      </c>
    </row>
    <row r="2245" spans="1:19">
      <c r="A2245" s="1">
        <v>45623</v>
      </c>
      <c r="B2245" t="s">
        <v>988</v>
      </c>
      <c r="C2245" t="s">
        <v>994</v>
      </c>
      <c r="D2245">
        <v>15.169</v>
      </c>
      <c r="E2245">
        <v>16.2576</v>
      </c>
      <c r="F2245">
        <v>0.0717647834399103</v>
      </c>
      <c r="G2245">
        <f ca="1" t="shared" si="105"/>
        <v>0.661867582608351</v>
      </c>
      <c r="H2245" t="str">
        <f ca="1" t="shared" si="106"/>
        <v>Risk-On</v>
      </c>
      <c r="I2245">
        <f ca="1" t="shared" si="107"/>
        <v>1</v>
      </c>
      <c r="J2245">
        <f>_xlfn.XLOOKUP($A2245,[1]Sheet1!$B$9:$B$2584,[1]Sheet1!$C$9:$C$2584,"N/A",0)</f>
        <v>109.66</v>
      </c>
      <c r="K2245">
        <f>_xlfn.XLOOKUP($A2245,[1]Sheet1!$E$9:$E$2584,[1]Sheet1!$F$9:$F$2584,"N/A",0)</f>
        <v>170.55</v>
      </c>
      <c r="L2245">
        <f>_xlfn.XLOOKUP($A2245,[1]Sheet1!$H$9:$H$2584,[1]Sheet1!$I$9:$I$2584,"N/A",0)</f>
        <v>56.12</v>
      </c>
      <c r="M2245">
        <f>_xlfn.XLOOKUP($A2245,[1]Sheet1!$K$9:$K$2584,[1]Sheet1!$L$9:$L$2584,"N/A",0)</f>
        <v>144.86</v>
      </c>
      <c r="N2245">
        <f>_xlfn.XLOOKUP($A2245,[1]Sheet1!$N$9:$N$2584,[1]Sheet1!$O$9:$O$2584,"N/A",0)</f>
        <v>119.23</v>
      </c>
      <c r="O2245">
        <v>109.66</v>
      </c>
      <c r="P2245">
        <v>170.55</v>
      </c>
      <c r="Q2245">
        <v>56.12</v>
      </c>
      <c r="R2245">
        <v>119.23</v>
      </c>
      <c r="S2245">
        <v>144.86</v>
      </c>
    </row>
    <row r="2246" spans="1:19">
      <c r="A2246" s="1">
        <v>45625</v>
      </c>
      <c r="B2246" t="s">
        <v>988</v>
      </c>
      <c r="C2246" t="s">
        <v>994</v>
      </c>
      <c r="D2246">
        <v>14.8517</v>
      </c>
      <c r="E2246">
        <v>16.0529</v>
      </c>
      <c r="F2246">
        <v>0.0808796299413536</v>
      </c>
      <c r="G2246">
        <f ca="1" t="shared" si="105"/>
        <v>0.838268406612239</v>
      </c>
      <c r="H2246" t="str">
        <f ca="1" t="shared" si="106"/>
        <v>Risk-On</v>
      </c>
      <c r="I2246">
        <f ca="1" t="shared" si="107"/>
        <v>1</v>
      </c>
      <c r="J2246">
        <f>_xlfn.XLOOKUP($A2246,[1]Sheet1!$B$9:$B$2584,[1]Sheet1!$C$9:$C$2584,"N/A",0)</f>
        <v>108.89</v>
      </c>
      <c r="K2246">
        <f>_xlfn.XLOOKUP($A2246,[1]Sheet1!$E$9:$E$2584,[1]Sheet1!$F$9:$F$2584,"N/A",0)</f>
        <v>170.45</v>
      </c>
      <c r="L2246">
        <f>_xlfn.XLOOKUP($A2246,[1]Sheet1!$H$9:$H$2584,[1]Sheet1!$I$9:$I$2584,"N/A",0)</f>
        <v>56.02</v>
      </c>
      <c r="M2246">
        <f>_xlfn.XLOOKUP($A2246,[1]Sheet1!$K$9:$K$2584,[1]Sheet1!$L$9:$L$2584,"N/A",0)</f>
        <v>144.32</v>
      </c>
      <c r="N2246">
        <f>_xlfn.XLOOKUP($A2246,[1]Sheet1!$N$9:$N$2584,[1]Sheet1!$O$9:$O$2584,"N/A",0)</f>
        <v>119.39</v>
      </c>
      <c r="O2246">
        <v>108.89</v>
      </c>
      <c r="P2246">
        <v>170.45</v>
      </c>
      <c r="Q2246">
        <v>56.02</v>
      </c>
      <c r="R2246">
        <v>119.39</v>
      </c>
      <c r="S2246">
        <v>144.32</v>
      </c>
    </row>
    <row r="2247" spans="1:19">
      <c r="A2247" s="1">
        <v>45628</v>
      </c>
      <c r="B2247" t="s">
        <v>988</v>
      </c>
      <c r="C2247" t="s">
        <v>994</v>
      </c>
      <c r="D2247">
        <v>14.7128</v>
      </c>
      <c r="E2247">
        <v>16.0326</v>
      </c>
      <c r="F2247">
        <v>0.0897042031428415</v>
      </c>
      <c r="G2247">
        <f ca="1" t="shared" si="105"/>
        <v>1.00786192711452</v>
      </c>
      <c r="H2247" t="str">
        <f ca="1" t="shared" si="106"/>
        <v>Risk-On</v>
      </c>
      <c r="I2247">
        <f ca="1" t="shared" si="107"/>
        <v>1</v>
      </c>
      <c r="J2247">
        <f>_xlfn.XLOOKUP($A2247,[1]Sheet1!$B$9:$B$2584,[1]Sheet1!$C$9:$C$2584,"N/A",0)</f>
        <v>109.64</v>
      </c>
      <c r="K2247">
        <f>_xlfn.XLOOKUP($A2247,[1]Sheet1!$E$9:$E$2584,[1]Sheet1!$F$9:$F$2584,"N/A",0)</f>
        <v>168.54</v>
      </c>
      <c r="L2247">
        <f>_xlfn.XLOOKUP($A2247,[1]Sheet1!$H$9:$H$2584,[1]Sheet1!$I$9:$I$2584,"N/A",0)</f>
        <v>56.34</v>
      </c>
      <c r="M2247">
        <f>_xlfn.XLOOKUP($A2247,[1]Sheet1!$K$9:$K$2584,[1]Sheet1!$L$9:$L$2584,"N/A",0)</f>
        <v>144.52</v>
      </c>
      <c r="N2247">
        <f>_xlfn.XLOOKUP($A2247,[1]Sheet1!$N$9:$N$2584,[1]Sheet1!$O$9:$O$2584,"N/A",0)</f>
        <v>118.79</v>
      </c>
      <c r="O2247">
        <v>109.64</v>
      </c>
      <c r="P2247">
        <v>168.54</v>
      </c>
      <c r="Q2247">
        <v>56.34</v>
      </c>
      <c r="R2247">
        <v>118.79</v>
      </c>
      <c r="S2247">
        <v>144.52</v>
      </c>
    </row>
    <row r="2248" spans="1:19">
      <c r="A2248" s="1">
        <v>45629</v>
      </c>
      <c r="B2248" t="s">
        <v>988</v>
      </c>
      <c r="C2248" t="s">
        <v>994</v>
      </c>
      <c r="D2248">
        <v>14.5309</v>
      </c>
      <c r="E2248">
        <v>15.937</v>
      </c>
      <c r="F2248">
        <v>0.0967662016805565</v>
      </c>
      <c r="G2248">
        <f ca="1" t="shared" si="105"/>
        <v>1.1412480393337</v>
      </c>
      <c r="H2248" t="str">
        <f ca="1" t="shared" si="106"/>
        <v>Risk-On</v>
      </c>
      <c r="I2248">
        <f ca="1" t="shared" si="107"/>
        <v>1</v>
      </c>
      <c r="J2248">
        <f>_xlfn.XLOOKUP($A2248,[1]Sheet1!$B$9:$B$2584,[1]Sheet1!$C$9:$C$2584,"N/A",0)</f>
        <v>110.55</v>
      </c>
      <c r="K2248">
        <f>_xlfn.XLOOKUP($A2248,[1]Sheet1!$E$9:$E$2584,[1]Sheet1!$F$9:$F$2584,"N/A",0)</f>
        <v>170.53</v>
      </c>
      <c r="L2248">
        <f>_xlfn.XLOOKUP($A2248,[1]Sheet1!$H$9:$H$2584,[1]Sheet1!$I$9:$I$2584,"N/A",0)</f>
        <v>56.31</v>
      </c>
      <c r="M2248">
        <f>_xlfn.XLOOKUP($A2248,[1]Sheet1!$K$9:$K$2584,[1]Sheet1!$L$9:$L$2584,"N/A",0)</f>
        <v>145.01</v>
      </c>
      <c r="N2248">
        <f>_xlfn.XLOOKUP($A2248,[1]Sheet1!$N$9:$N$2584,[1]Sheet1!$O$9:$O$2584,"N/A",0)</f>
        <v>119.31</v>
      </c>
      <c r="O2248">
        <v>110.55</v>
      </c>
      <c r="P2248">
        <v>170.53</v>
      </c>
      <c r="Q2248">
        <v>56.31</v>
      </c>
      <c r="R2248">
        <v>119.31</v>
      </c>
      <c r="S2248">
        <v>145.01</v>
      </c>
    </row>
    <row r="2249" spans="1:19">
      <c r="A2249" s="1">
        <v>45630</v>
      </c>
      <c r="B2249" t="s">
        <v>988</v>
      </c>
      <c r="C2249" t="s">
        <v>994</v>
      </c>
      <c r="D2249">
        <v>14.6572</v>
      </c>
      <c r="E2249">
        <v>16.0881</v>
      </c>
      <c r="F2249">
        <v>0.097624375733428</v>
      </c>
      <c r="G2249">
        <f ca="1" t="shared" si="105"/>
        <v>1.15120206549337</v>
      </c>
      <c r="H2249" t="str">
        <f ca="1" t="shared" si="106"/>
        <v>Risk-On</v>
      </c>
      <c r="I2249">
        <f ca="1" t="shared" si="107"/>
        <v>1</v>
      </c>
      <c r="J2249">
        <f>_xlfn.XLOOKUP($A2249,[1]Sheet1!$B$9:$B$2584,[1]Sheet1!$C$9:$C$2584,"N/A",0)</f>
        <v>110.07</v>
      </c>
      <c r="K2249">
        <f>_xlfn.XLOOKUP($A2249,[1]Sheet1!$E$9:$E$2584,[1]Sheet1!$F$9:$F$2584,"N/A",0)</f>
        <v>171.07</v>
      </c>
      <c r="L2249">
        <f>_xlfn.XLOOKUP($A2249,[1]Sheet1!$H$9:$H$2584,[1]Sheet1!$I$9:$I$2584,"N/A",0)</f>
        <v>56.13</v>
      </c>
      <c r="M2249">
        <f>_xlfn.XLOOKUP($A2249,[1]Sheet1!$K$9:$K$2584,[1]Sheet1!$L$9:$L$2584,"N/A",0)</f>
        <v>144.6</v>
      </c>
      <c r="N2249">
        <f>_xlfn.XLOOKUP($A2249,[1]Sheet1!$N$9:$N$2584,[1]Sheet1!$O$9:$O$2584,"N/A",0)</f>
        <v>119.28</v>
      </c>
      <c r="O2249">
        <v>110.07</v>
      </c>
      <c r="P2249">
        <v>171.07</v>
      </c>
      <c r="Q2249">
        <v>56.13</v>
      </c>
      <c r="R2249">
        <v>119.28</v>
      </c>
      <c r="S2249">
        <v>144.6</v>
      </c>
    </row>
    <row r="2250" spans="1:19">
      <c r="A2250" s="1">
        <v>45631</v>
      </c>
      <c r="B2250" t="s">
        <v>988</v>
      </c>
      <c r="C2250" t="s">
        <v>994</v>
      </c>
      <c r="D2250">
        <v>14.6032</v>
      </c>
      <c r="E2250">
        <v>16.201</v>
      </c>
      <c r="F2250" s="2" t="s">
        <v>995</v>
      </c>
      <c r="G2250">
        <f ca="1" t="shared" si="105"/>
        <v>1.3754792334914</v>
      </c>
      <c r="H2250" t="str">
        <f ca="1" t="shared" si="106"/>
        <v>Risk-On</v>
      </c>
      <c r="I2250">
        <f ca="1" t="shared" si="107"/>
        <v>1</v>
      </c>
      <c r="J2250">
        <f>_xlfn.XLOOKUP($A2250,[1]Sheet1!$B$9:$B$2584,[1]Sheet1!$C$9:$C$2584,"N/A",0)</f>
        <v>110.05</v>
      </c>
      <c r="K2250">
        <f>_xlfn.XLOOKUP($A2250,[1]Sheet1!$E$9:$E$2584,[1]Sheet1!$F$9:$F$2584,"N/A",0)</f>
        <v>172.86</v>
      </c>
      <c r="L2250">
        <f>_xlfn.XLOOKUP($A2250,[1]Sheet1!$H$9:$H$2584,[1]Sheet1!$I$9:$I$2584,"N/A",0)</f>
        <v>56.23</v>
      </c>
      <c r="M2250">
        <f>_xlfn.XLOOKUP($A2250,[1]Sheet1!$K$9:$K$2584,[1]Sheet1!$L$9:$L$2584,"N/A",0)</f>
        <v>143.89</v>
      </c>
      <c r="N2250">
        <f>_xlfn.XLOOKUP($A2250,[1]Sheet1!$N$9:$N$2584,[1]Sheet1!$O$9:$O$2584,"N/A",0)</f>
        <v>119.8</v>
      </c>
      <c r="O2250">
        <v>110.05</v>
      </c>
      <c r="P2250">
        <v>172.86</v>
      </c>
      <c r="Q2250">
        <v>56.23</v>
      </c>
      <c r="R2250">
        <v>119.8</v>
      </c>
      <c r="S2250">
        <v>143.89</v>
      </c>
    </row>
    <row r="2251" spans="1:19">
      <c r="A2251" s="1">
        <v>45632</v>
      </c>
      <c r="B2251" t="s">
        <v>988</v>
      </c>
      <c r="C2251" t="s">
        <v>994</v>
      </c>
      <c r="D2251">
        <v>14.2855</v>
      </c>
      <c r="E2251">
        <v>15.9521</v>
      </c>
      <c r="F2251" s="2" t="s">
        <v>996</v>
      </c>
      <c r="G2251">
        <f ca="1" t="shared" si="105"/>
        <v>1.51767675991569</v>
      </c>
      <c r="H2251" t="str">
        <f ca="1" t="shared" si="106"/>
        <v>Risk-On</v>
      </c>
      <c r="I2251">
        <f ca="1" t="shared" si="107"/>
        <v>1</v>
      </c>
      <c r="J2251">
        <f>_xlfn.XLOOKUP($A2251,[1]Sheet1!$B$9:$B$2584,[1]Sheet1!$C$9:$C$2584,"N/A",0)</f>
        <v>109.49</v>
      </c>
      <c r="K2251">
        <f>_xlfn.XLOOKUP($A2251,[1]Sheet1!$E$9:$E$2584,[1]Sheet1!$F$9:$F$2584,"N/A",0)</f>
        <v>172.98</v>
      </c>
      <c r="L2251">
        <f>_xlfn.XLOOKUP($A2251,[1]Sheet1!$H$9:$H$2584,[1]Sheet1!$I$9:$I$2584,"N/A",0)</f>
        <v>56.17</v>
      </c>
      <c r="M2251">
        <f>_xlfn.XLOOKUP($A2251,[1]Sheet1!$K$9:$K$2584,[1]Sheet1!$L$9:$L$2584,"N/A",0)</f>
        <v>145.18</v>
      </c>
      <c r="N2251">
        <f>_xlfn.XLOOKUP($A2251,[1]Sheet1!$N$9:$N$2584,[1]Sheet1!$O$9:$O$2584,"N/A",0)</f>
        <v>119.96</v>
      </c>
      <c r="O2251">
        <v>109.49</v>
      </c>
      <c r="P2251">
        <v>172.98</v>
      </c>
      <c r="Q2251">
        <v>56.17</v>
      </c>
      <c r="R2251">
        <v>119.96</v>
      </c>
      <c r="S2251">
        <v>145.18</v>
      </c>
    </row>
    <row r="2252" spans="1:19">
      <c r="A2252" s="1">
        <v>45635</v>
      </c>
      <c r="B2252" t="s">
        <v>988</v>
      </c>
      <c r="C2252" t="s">
        <v>994</v>
      </c>
      <c r="D2252">
        <v>14.7355</v>
      </c>
      <c r="E2252">
        <v>16.2983</v>
      </c>
      <c r="F2252" s="2" t="s">
        <v>997</v>
      </c>
      <c r="G2252">
        <f ca="1" t="shared" si="105"/>
        <v>1.30961995311508</v>
      </c>
      <c r="H2252" t="str">
        <f ca="1" t="shared" si="106"/>
        <v>Risk-On</v>
      </c>
      <c r="I2252">
        <f ca="1" t="shared" si="107"/>
        <v>1</v>
      </c>
      <c r="J2252">
        <f>_xlfn.XLOOKUP($A2252,[1]Sheet1!$B$9:$B$2584,[1]Sheet1!$C$9:$C$2584,"N/A",0)</f>
        <v>109.19</v>
      </c>
      <c r="K2252">
        <f>_xlfn.XLOOKUP($A2252,[1]Sheet1!$E$9:$E$2584,[1]Sheet1!$F$9:$F$2584,"N/A",0)</f>
        <v>167.82</v>
      </c>
      <c r="L2252">
        <f>_xlfn.XLOOKUP($A2252,[1]Sheet1!$H$9:$H$2584,[1]Sheet1!$I$9:$I$2584,"N/A",0)</f>
        <v>56.63</v>
      </c>
      <c r="M2252">
        <f>_xlfn.XLOOKUP($A2252,[1]Sheet1!$K$9:$K$2584,[1]Sheet1!$L$9:$L$2584,"N/A",0)</f>
        <v>143.49</v>
      </c>
      <c r="N2252">
        <f>_xlfn.XLOOKUP($A2252,[1]Sheet1!$N$9:$N$2584,[1]Sheet1!$O$9:$O$2584,"N/A",0)</f>
        <v>119.55</v>
      </c>
      <c r="O2252">
        <v>109.19</v>
      </c>
      <c r="P2252">
        <v>167.82</v>
      </c>
      <c r="Q2252">
        <v>56.63</v>
      </c>
      <c r="R2252">
        <v>119.55</v>
      </c>
      <c r="S2252">
        <v>143.49</v>
      </c>
    </row>
    <row r="2253" spans="1:19">
      <c r="A2253" s="1">
        <v>45636</v>
      </c>
      <c r="B2253" t="s">
        <v>988</v>
      </c>
      <c r="C2253" t="s">
        <v>994</v>
      </c>
      <c r="D2253">
        <v>14.6523</v>
      </c>
      <c r="E2253">
        <v>16.2662</v>
      </c>
      <c r="F2253" s="2" t="s">
        <v>998</v>
      </c>
      <c r="G2253">
        <f ca="1" t="shared" si="105"/>
        <v>1.38984055768831</v>
      </c>
      <c r="H2253" t="str">
        <f ca="1" t="shared" si="106"/>
        <v>Risk-On</v>
      </c>
      <c r="I2253">
        <f ca="1" t="shared" si="107"/>
        <v>1</v>
      </c>
      <c r="J2253">
        <f>_xlfn.XLOOKUP($A2253,[1]Sheet1!$B$9:$B$2584,[1]Sheet1!$C$9:$C$2584,"N/A",0)</f>
        <v>108.58</v>
      </c>
      <c r="K2253">
        <f>_xlfn.XLOOKUP($A2253,[1]Sheet1!$E$9:$E$2584,[1]Sheet1!$F$9:$F$2584,"N/A",0)</f>
        <v>167.24</v>
      </c>
      <c r="L2253">
        <f>_xlfn.XLOOKUP($A2253,[1]Sheet1!$H$9:$H$2584,[1]Sheet1!$I$9:$I$2584,"N/A",0)</f>
        <v>56.45</v>
      </c>
      <c r="M2253">
        <f>_xlfn.XLOOKUP($A2253,[1]Sheet1!$K$9:$K$2584,[1]Sheet1!$L$9:$L$2584,"N/A",0)</f>
        <v>143.52</v>
      </c>
      <c r="N2253">
        <f>_xlfn.XLOOKUP($A2253,[1]Sheet1!$N$9:$N$2584,[1]Sheet1!$O$9:$O$2584,"N/A",0)</f>
        <v>119.11</v>
      </c>
      <c r="O2253">
        <v>108.58</v>
      </c>
      <c r="P2253">
        <v>167.24</v>
      </c>
      <c r="Q2253">
        <v>56.45</v>
      </c>
      <c r="R2253">
        <v>119.11</v>
      </c>
      <c r="S2253">
        <v>143.52</v>
      </c>
    </row>
    <row r="2254" spans="1:19">
      <c r="A2254" s="1">
        <v>45637</v>
      </c>
      <c r="B2254" t="s">
        <v>988</v>
      </c>
      <c r="C2254" t="s">
        <v>994</v>
      </c>
      <c r="D2254">
        <v>14.2842</v>
      </c>
      <c r="E2254">
        <v>16.1838</v>
      </c>
      <c r="F2254" s="2" t="s">
        <v>999</v>
      </c>
      <c r="G2254">
        <f ca="1" t="shared" si="105"/>
        <v>1.83784191895001</v>
      </c>
      <c r="H2254" t="str">
        <f ca="1" t="shared" si="106"/>
        <v>Risk-On</v>
      </c>
      <c r="I2254">
        <f ca="1" t="shared" si="107"/>
        <v>1</v>
      </c>
      <c r="J2254">
        <f>_xlfn.XLOOKUP($A2254,[1]Sheet1!$B$9:$B$2584,[1]Sheet1!$C$9:$C$2584,"N/A",0)</f>
        <v>108.74</v>
      </c>
      <c r="K2254">
        <f>_xlfn.XLOOKUP($A2254,[1]Sheet1!$E$9:$E$2584,[1]Sheet1!$F$9:$F$2584,"N/A",0)</f>
        <v>168.51</v>
      </c>
      <c r="L2254">
        <f>_xlfn.XLOOKUP($A2254,[1]Sheet1!$H$9:$H$2584,[1]Sheet1!$I$9:$I$2584,"N/A",0)</f>
        <v>56.12</v>
      </c>
      <c r="M2254">
        <f>_xlfn.XLOOKUP($A2254,[1]Sheet1!$K$9:$K$2584,[1]Sheet1!$L$9:$L$2584,"N/A",0)</f>
        <v>143.11</v>
      </c>
      <c r="N2254">
        <f>_xlfn.XLOOKUP($A2254,[1]Sheet1!$N$9:$N$2584,[1]Sheet1!$O$9:$O$2584,"N/A",0)</f>
        <v>118.86</v>
      </c>
      <c r="O2254">
        <v>108.74</v>
      </c>
      <c r="P2254">
        <v>168.51</v>
      </c>
      <c r="Q2254">
        <v>56.12</v>
      </c>
      <c r="R2254">
        <v>118.86</v>
      </c>
      <c r="S2254">
        <v>143.11</v>
      </c>
    </row>
    <row r="2255" spans="1:19">
      <c r="A2255" s="1">
        <v>45638</v>
      </c>
      <c r="B2255" t="s">
        <v>988</v>
      </c>
      <c r="C2255" t="s">
        <v>994</v>
      </c>
      <c r="D2255">
        <v>14.4062</v>
      </c>
      <c r="E2255">
        <v>16.2991</v>
      </c>
      <c r="F2255" s="2" t="s">
        <v>1000</v>
      </c>
      <c r="G2255">
        <f ca="1" t="shared" si="105"/>
        <v>1.80662872654062</v>
      </c>
      <c r="H2255" t="str">
        <f ca="1" t="shared" si="106"/>
        <v>Risk-On</v>
      </c>
      <c r="I2255">
        <f ca="1" t="shared" si="107"/>
        <v>1</v>
      </c>
      <c r="J2255">
        <f>_xlfn.XLOOKUP($A2255,[1]Sheet1!$B$9:$B$2584,[1]Sheet1!$C$9:$C$2584,"N/A",0)</f>
        <v>109.77</v>
      </c>
      <c r="K2255">
        <f>_xlfn.XLOOKUP($A2255,[1]Sheet1!$E$9:$E$2584,[1]Sheet1!$F$9:$F$2584,"N/A",0)</f>
        <v>167.86</v>
      </c>
      <c r="L2255">
        <f>_xlfn.XLOOKUP($A2255,[1]Sheet1!$H$9:$H$2584,[1]Sheet1!$I$9:$I$2584,"N/A",0)</f>
        <v>55.74</v>
      </c>
      <c r="M2255">
        <f>_xlfn.XLOOKUP($A2255,[1]Sheet1!$K$9:$K$2584,[1]Sheet1!$L$9:$L$2584,"N/A",0)</f>
        <v>143.82</v>
      </c>
      <c r="N2255">
        <f>_xlfn.XLOOKUP($A2255,[1]Sheet1!$N$9:$N$2584,[1]Sheet1!$O$9:$O$2584,"N/A",0)</f>
        <v>119.2</v>
      </c>
      <c r="O2255">
        <v>109.77</v>
      </c>
      <c r="P2255">
        <v>167.86</v>
      </c>
      <c r="Q2255">
        <v>55.74</v>
      </c>
      <c r="R2255">
        <v>119.2</v>
      </c>
      <c r="S2255">
        <v>143.82</v>
      </c>
    </row>
    <row r="2256" spans="1:19">
      <c r="A2256" s="1">
        <v>45639</v>
      </c>
      <c r="B2256" t="s">
        <v>988</v>
      </c>
      <c r="C2256" t="s">
        <v>994</v>
      </c>
      <c r="D2256">
        <v>14.519</v>
      </c>
      <c r="E2256">
        <v>16.2782</v>
      </c>
      <c r="F2256" s="2" t="s">
        <v>1001</v>
      </c>
      <c r="G2256">
        <f ca="1" t="shared" si="105"/>
        <v>1.60597667047194</v>
      </c>
      <c r="H2256" t="str">
        <f ca="1" t="shared" si="106"/>
        <v>Risk-On</v>
      </c>
      <c r="I2256">
        <f ca="1" t="shared" si="107"/>
        <v>1</v>
      </c>
      <c r="J2256">
        <f>_xlfn.XLOOKUP($A2256,[1]Sheet1!$B$9:$B$2584,[1]Sheet1!$C$9:$C$2584,"N/A",0)</f>
        <v>109.67</v>
      </c>
      <c r="K2256">
        <f>_xlfn.XLOOKUP($A2256,[1]Sheet1!$E$9:$E$2584,[1]Sheet1!$F$9:$F$2584,"N/A",0)</f>
        <v>169.35</v>
      </c>
      <c r="L2256">
        <f>_xlfn.XLOOKUP($A2256,[1]Sheet1!$H$9:$H$2584,[1]Sheet1!$I$9:$I$2584,"N/A",0)</f>
        <v>56</v>
      </c>
      <c r="M2256">
        <f>_xlfn.XLOOKUP($A2256,[1]Sheet1!$K$9:$K$2584,[1]Sheet1!$L$9:$L$2584,"N/A",0)</f>
        <v>143.25</v>
      </c>
      <c r="N2256">
        <f>_xlfn.XLOOKUP($A2256,[1]Sheet1!$N$9:$N$2584,[1]Sheet1!$O$9:$O$2584,"N/A",0)</f>
        <v>119.95</v>
      </c>
      <c r="O2256">
        <v>109.67</v>
      </c>
      <c r="P2256">
        <v>169.35</v>
      </c>
      <c r="Q2256">
        <v>56</v>
      </c>
      <c r="R2256">
        <v>119.95</v>
      </c>
      <c r="S2256">
        <v>143.25</v>
      </c>
    </row>
    <row r="2257" spans="1:19">
      <c r="A2257" s="1">
        <v>45642</v>
      </c>
      <c r="B2257" t="s">
        <v>988</v>
      </c>
      <c r="C2257" t="s">
        <v>994</v>
      </c>
      <c r="D2257">
        <v>14.6997</v>
      </c>
      <c r="E2257">
        <v>16.6091</v>
      </c>
      <c r="F2257" s="2" t="s">
        <v>1002</v>
      </c>
      <c r="G2257">
        <f ca="1" t="shared" si="105"/>
        <v>1.77718622526489</v>
      </c>
      <c r="H2257" t="str">
        <f ca="1" t="shared" si="106"/>
        <v>Risk-On</v>
      </c>
      <c r="I2257">
        <f ca="1" t="shared" si="107"/>
        <v>1</v>
      </c>
      <c r="J2257">
        <f>_xlfn.XLOOKUP($A2257,[1]Sheet1!$B$9:$B$2584,[1]Sheet1!$C$9:$C$2584,"N/A",0)</f>
        <v>109.18</v>
      </c>
      <c r="K2257">
        <f>_xlfn.XLOOKUP($A2257,[1]Sheet1!$E$9:$E$2584,[1]Sheet1!$F$9:$F$2584,"N/A",0)</f>
        <v>171.02</v>
      </c>
      <c r="L2257">
        <f>_xlfn.XLOOKUP($A2257,[1]Sheet1!$H$9:$H$2584,[1]Sheet1!$I$9:$I$2584,"N/A",0)</f>
        <v>55.22</v>
      </c>
      <c r="M2257">
        <f>_xlfn.XLOOKUP($A2257,[1]Sheet1!$K$9:$K$2584,[1]Sheet1!$L$9:$L$2584,"N/A",0)</f>
        <v>143.52</v>
      </c>
      <c r="N2257">
        <f>_xlfn.XLOOKUP($A2257,[1]Sheet1!$N$9:$N$2584,[1]Sheet1!$O$9:$O$2584,"N/A",0)</f>
        <v>119.34</v>
      </c>
      <c r="O2257">
        <v>109.18</v>
      </c>
      <c r="P2257">
        <v>171.02</v>
      </c>
      <c r="Q2257">
        <v>55.22</v>
      </c>
      <c r="R2257">
        <v>119.34</v>
      </c>
      <c r="S2257">
        <v>143.52</v>
      </c>
    </row>
    <row r="2258" spans="1:19">
      <c r="A2258" s="1">
        <v>45643</v>
      </c>
      <c r="B2258" t="s">
        <v>988</v>
      </c>
      <c r="C2258" t="s">
        <v>994</v>
      </c>
      <c r="D2258">
        <v>15.7483</v>
      </c>
      <c r="E2258">
        <v>16.9531</v>
      </c>
      <c r="F2258">
        <v>0.0765034956153996</v>
      </c>
      <c r="G2258">
        <f ca="1" t="shared" si="105"/>
        <v>0.729927635562244</v>
      </c>
      <c r="H2258" t="str">
        <f ca="1" t="shared" si="106"/>
        <v>Risk-On</v>
      </c>
      <c r="I2258">
        <f ca="1" t="shared" si="107"/>
        <v>1</v>
      </c>
      <c r="J2258">
        <f>_xlfn.XLOOKUP($A2258,[1]Sheet1!$B$9:$B$2584,[1]Sheet1!$C$9:$C$2584,"N/A",0)</f>
        <v>108.66</v>
      </c>
      <c r="K2258">
        <f>_xlfn.XLOOKUP($A2258,[1]Sheet1!$E$9:$E$2584,[1]Sheet1!$F$9:$F$2584,"N/A",0)</f>
        <v>170.6</v>
      </c>
      <c r="L2258">
        <f>_xlfn.XLOOKUP($A2258,[1]Sheet1!$H$9:$H$2584,[1]Sheet1!$I$9:$I$2584,"N/A",0)</f>
        <v>54.85</v>
      </c>
      <c r="M2258">
        <f>_xlfn.XLOOKUP($A2258,[1]Sheet1!$K$9:$K$2584,[1]Sheet1!$L$9:$L$2584,"N/A",0)</f>
        <v>143.67</v>
      </c>
      <c r="N2258">
        <f>_xlfn.XLOOKUP($A2258,[1]Sheet1!$N$9:$N$2584,[1]Sheet1!$O$9:$O$2584,"N/A",0)</f>
        <v>119.98</v>
      </c>
      <c r="O2258">
        <v>108.66</v>
      </c>
      <c r="P2258">
        <v>170.6</v>
      </c>
      <c r="Q2258">
        <v>54.85</v>
      </c>
      <c r="R2258">
        <v>119.98</v>
      </c>
      <c r="S2258">
        <v>143.67</v>
      </c>
    </row>
    <row r="2259" spans="1:19">
      <c r="A2259" s="1">
        <v>45644</v>
      </c>
      <c r="B2259" t="s">
        <v>988</v>
      </c>
      <c r="C2259" t="s">
        <v>994</v>
      </c>
      <c r="D2259">
        <v>15.66</v>
      </c>
      <c r="E2259">
        <v>19.762</v>
      </c>
      <c r="F2259">
        <v>0.261941251596424</v>
      </c>
      <c r="G2259">
        <f ca="1" t="shared" si="105"/>
        <v>4.36889242364339</v>
      </c>
      <c r="H2259" t="str">
        <f ca="1" t="shared" si="106"/>
        <v>Risk-On</v>
      </c>
      <c r="I2259">
        <f ca="1" t="shared" si="107"/>
        <v>1</v>
      </c>
      <c r="J2259">
        <f>_xlfn.XLOOKUP($A2259,[1]Sheet1!$B$9:$B$2584,[1]Sheet1!$C$9:$C$2584,"N/A",0)</f>
        <v>108.52</v>
      </c>
      <c r="K2259">
        <f>_xlfn.XLOOKUP($A2259,[1]Sheet1!$E$9:$E$2584,[1]Sheet1!$F$9:$F$2584,"N/A",0)</f>
        <v>169.1</v>
      </c>
      <c r="L2259">
        <f>_xlfn.XLOOKUP($A2259,[1]Sheet1!$H$9:$H$2584,[1]Sheet1!$I$9:$I$2584,"N/A",0)</f>
        <v>55.5</v>
      </c>
      <c r="M2259">
        <f>_xlfn.XLOOKUP($A2259,[1]Sheet1!$K$9:$K$2584,[1]Sheet1!$L$9:$L$2584,"N/A",0)</f>
        <v>143.74</v>
      </c>
      <c r="N2259">
        <f>_xlfn.XLOOKUP($A2259,[1]Sheet1!$N$9:$N$2584,[1]Sheet1!$O$9:$O$2584,"N/A",0)</f>
        <v>120.8</v>
      </c>
      <c r="O2259">
        <v>108.52</v>
      </c>
      <c r="P2259">
        <v>169.1</v>
      </c>
      <c r="Q2259">
        <v>55.5</v>
      </c>
      <c r="R2259">
        <v>120.8</v>
      </c>
      <c r="S2259">
        <v>143.74</v>
      </c>
    </row>
    <row r="2260" spans="1:19">
      <c r="A2260" s="1">
        <v>45645</v>
      </c>
      <c r="B2260" t="s">
        <v>994</v>
      </c>
      <c r="C2260" t="s">
        <v>1003</v>
      </c>
      <c r="D2260">
        <v>21.7113</v>
      </c>
      <c r="E2260">
        <v>21.0178</v>
      </c>
      <c r="F2260">
        <v>-0.0319418920101514</v>
      </c>
      <c r="G2260">
        <f ca="1" t="shared" si="105"/>
        <v>-1.36299006617652</v>
      </c>
      <c r="H2260" t="str">
        <f ca="1" t="shared" si="106"/>
        <v>Risk-On</v>
      </c>
      <c r="I2260">
        <f ca="1" t="shared" si="107"/>
        <v>1</v>
      </c>
      <c r="J2260">
        <f>_xlfn.XLOOKUP($A2260,[1]Sheet1!$B$9:$B$2584,[1]Sheet1!$C$9:$C$2584,"N/A",0)</f>
        <v>109.51</v>
      </c>
      <c r="K2260">
        <f>_xlfn.XLOOKUP($A2260,[1]Sheet1!$E$9:$E$2584,[1]Sheet1!$F$9:$F$2584,"N/A",0)</f>
        <v>170.07</v>
      </c>
      <c r="L2260">
        <f>_xlfn.XLOOKUP($A2260,[1]Sheet1!$H$9:$H$2584,[1]Sheet1!$I$9:$I$2584,"N/A",0)</f>
        <v>55.39</v>
      </c>
      <c r="M2260">
        <f>_xlfn.XLOOKUP($A2260,[1]Sheet1!$K$9:$K$2584,[1]Sheet1!$L$9:$L$2584,"N/A",0)</f>
        <v>144.47</v>
      </c>
      <c r="N2260">
        <f>_xlfn.XLOOKUP($A2260,[1]Sheet1!$N$9:$N$2584,[1]Sheet1!$O$9:$O$2584,"N/A",0)</f>
        <v>120.3</v>
      </c>
      <c r="O2260">
        <v>109.51</v>
      </c>
      <c r="P2260">
        <v>170.07</v>
      </c>
      <c r="Q2260">
        <v>55.39</v>
      </c>
      <c r="R2260">
        <v>120.3</v>
      </c>
      <c r="S2260">
        <v>144.47</v>
      </c>
    </row>
    <row r="2261" spans="1:19">
      <c r="A2261" s="1">
        <v>45646</v>
      </c>
      <c r="B2261" t="s">
        <v>994</v>
      </c>
      <c r="C2261" t="s">
        <v>1003</v>
      </c>
      <c r="D2261">
        <v>18.2606</v>
      </c>
      <c r="E2261">
        <v>18.5862</v>
      </c>
      <c r="F2261" s="2" t="s">
        <v>1004</v>
      </c>
      <c r="G2261">
        <f ca="1" t="shared" si="105"/>
        <v>-0.420346342108398</v>
      </c>
      <c r="H2261" t="str">
        <f ca="1" t="shared" si="106"/>
        <v>Risk-On</v>
      </c>
      <c r="I2261">
        <f ca="1" t="shared" si="107"/>
        <v>1</v>
      </c>
      <c r="J2261">
        <f>_xlfn.XLOOKUP($A2261,[1]Sheet1!$B$9:$B$2584,[1]Sheet1!$C$9:$C$2584,"N/A",0)</f>
        <v>109.49</v>
      </c>
      <c r="K2261">
        <f>_xlfn.XLOOKUP($A2261,[1]Sheet1!$E$9:$E$2584,[1]Sheet1!$F$9:$F$2584,"N/A",0)</f>
        <v>170.94</v>
      </c>
      <c r="L2261">
        <f>_xlfn.XLOOKUP($A2261,[1]Sheet1!$H$9:$H$2584,[1]Sheet1!$I$9:$I$2584,"N/A",0)</f>
        <v>55.36</v>
      </c>
      <c r="M2261">
        <f>_xlfn.XLOOKUP($A2261,[1]Sheet1!$K$9:$K$2584,[1]Sheet1!$L$9:$L$2584,"N/A",0)</f>
        <v>144.08</v>
      </c>
      <c r="N2261">
        <f>_xlfn.XLOOKUP($A2261,[1]Sheet1!$N$9:$N$2584,[1]Sheet1!$O$9:$O$2584,"N/A",0)</f>
        <v>121.03</v>
      </c>
      <c r="O2261">
        <v>109.49</v>
      </c>
      <c r="P2261">
        <v>170.94</v>
      </c>
      <c r="Q2261">
        <v>55.36</v>
      </c>
      <c r="R2261">
        <v>121.03</v>
      </c>
      <c r="S2261">
        <v>144.08</v>
      </c>
    </row>
    <row r="2262" spans="1:19">
      <c r="A2262" s="1">
        <v>45649</v>
      </c>
      <c r="B2262" t="s">
        <v>994</v>
      </c>
      <c r="C2262" t="s">
        <v>1003</v>
      </c>
      <c r="D2262">
        <v>17.0257</v>
      </c>
      <c r="E2262">
        <v>17.56</v>
      </c>
      <c r="F2262">
        <v>0.0313819696106473</v>
      </c>
      <c r="G2262">
        <f ca="1" t="shared" si="105"/>
        <v>-0.166421013657181</v>
      </c>
      <c r="H2262" t="str">
        <f ca="1" t="shared" si="106"/>
        <v>Risk-On</v>
      </c>
      <c r="I2262">
        <f ca="1" t="shared" si="107"/>
        <v>1</v>
      </c>
      <c r="J2262">
        <f>_xlfn.XLOOKUP($A2262,[1]Sheet1!$B$9:$B$2584,[1]Sheet1!$C$9:$C$2584,"N/A",0)</f>
        <v>109.54</v>
      </c>
      <c r="K2262">
        <f>_xlfn.XLOOKUP($A2262,[1]Sheet1!$E$9:$E$2584,[1]Sheet1!$F$9:$F$2584,"N/A",0)</f>
        <v>170.88</v>
      </c>
      <c r="L2262">
        <f>_xlfn.XLOOKUP($A2262,[1]Sheet1!$H$9:$H$2584,[1]Sheet1!$I$9:$I$2584,"N/A",0)</f>
        <v>55.49</v>
      </c>
      <c r="M2262">
        <f>_xlfn.XLOOKUP($A2262,[1]Sheet1!$K$9:$K$2584,[1]Sheet1!$L$9:$L$2584,"N/A",0)</f>
        <v>143.91</v>
      </c>
      <c r="N2262">
        <f>_xlfn.XLOOKUP($A2262,[1]Sheet1!$N$9:$N$2584,[1]Sheet1!$O$9:$O$2584,"N/A",0)</f>
        <v>121.92</v>
      </c>
      <c r="O2262">
        <v>109.54</v>
      </c>
      <c r="P2262">
        <v>170.88</v>
      </c>
      <c r="Q2262">
        <v>55.49</v>
      </c>
      <c r="R2262">
        <v>121.92</v>
      </c>
      <c r="S2262">
        <v>143.91</v>
      </c>
    </row>
    <row r="2263" spans="1:19">
      <c r="A2263" s="1">
        <v>45650</v>
      </c>
      <c r="B2263" t="s">
        <v>994</v>
      </c>
      <c r="C2263" t="s">
        <v>1003</v>
      </c>
      <c r="D2263">
        <v>15.9878</v>
      </c>
      <c r="E2263">
        <v>16.8502</v>
      </c>
      <c r="F2263" s="2" t="s">
        <v>1005</v>
      </c>
      <c r="G2263">
        <f ca="1" t="shared" si="105"/>
        <v>0.260192547880121</v>
      </c>
      <c r="H2263" t="str">
        <f ca="1" t="shared" si="106"/>
        <v>Risk-On</v>
      </c>
      <c r="I2263">
        <f ca="1" t="shared" si="107"/>
        <v>1</v>
      </c>
      <c r="J2263">
        <f>_xlfn.XLOOKUP($A2263,[1]Sheet1!$B$9:$B$2584,[1]Sheet1!$C$9:$C$2584,"N/A",0)</f>
        <v>109.33</v>
      </c>
      <c r="K2263">
        <f>_xlfn.XLOOKUP($A2263,[1]Sheet1!$E$9:$E$2584,[1]Sheet1!$F$9:$F$2584,"N/A",0)</f>
        <v>171.52</v>
      </c>
      <c r="L2263">
        <f>_xlfn.XLOOKUP($A2263,[1]Sheet1!$H$9:$H$2584,[1]Sheet1!$I$9:$I$2584,"N/A",0)</f>
        <v>55.41</v>
      </c>
      <c r="M2263">
        <f>_xlfn.XLOOKUP($A2263,[1]Sheet1!$K$9:$K$2584,[1]Sheet1!$L$9:$L$2584,"N/A",0)</f>
        <v>143.8</v>
      </c>
      <c r="N2263">
        <f>_xlfn.XLOOKUP($A2263,[1]Sheet1!$N$9:$N$2584,[1]Sheet1!$O$9:$O$2584,"N/A",0)</f>
        <v>121.92</v>
      </c>
      <c r="O2263">
        <v>109.33</v>
      </c>
      <c r="P2263">
        <v>171.52</v>
      </c>
      <c r="Q2263">
        <v>55.41</v>
      </c>
      <c r="R2263">
        <v>121.92</v>
      </c>
      <c r="S2263">
        <v>143.8</v>
      </c>
    </row>
    <row r="2264" spans="1:19">
      <c r="A2264" s="1">
        <v>45652</v>
      </c>
      <c r="B2264" t="s">
        <v>994</v>
      </c>
      <c r="C2264" t="s">
        <v>1003</v>
      </c>
      <c r="D2264">
        <v>16.0329</v>
      </c>
      <c r="E2264">
        <v>16.9782</v>
      </c>
      <c r="F2264" s="2" t="s">
        <v>1006</v>
      </c>
      <c r="G2264">
        <f ca="1" t="shared" si="105"/>
        <v>0.35824177032868</v>
      </c>
      <c r="H2264" t="str">
        <f ca="1" t="shared" si="106"/>
        <v>Risk-On</v>
      </c>
      <c r="I2264">
        <f ca="1" t="shared" si="107"/>
        <v>1</v>
      </c>
      <c r="J2264">
        <f>_xlfn.XLOOKUP($A2264,[1]Sheet1!$B$9:$B$2584,[1]Sheet1!$C$9:$C$2584,"N/A",0)</f>
        <v>109.35</v>
      </c>
      <c r="K2264">
        <f>_xlfn.XLOOKUP($A2264,[1]Sheet1!$E$9:$E$2584,[1]Sheet1!$F$9:$F$2584,"N/A",0)</f>
        <v>170.91</v>
      </c>
      <c r="L2264">
        <f>_xlfn.XLOOKUP($A2264,[1]Sheet1!$H$9:$H$2584,[1]Sheet1!$I$9:$I$2584,"N/A",0)</f>
        <v>55.37</v>
      </c>
      <c r="M2264">
        <f>_xlfn.XLOOKUP($A2264,[1]Sheet1!$K$9:$K$2584,[1]Sheet1!$L$9:$L$2584,"N/A",0)</f>
        <v>144.07</v>
      </c>
      <c r="N2264">
        <f>_xlfn.XLOOKUP($A2264,[1]Sheet1!$N$9:$N$2584,[1]Sheet1!$O$9:$O$2584,"N/A",0)</f>
        <v>121.07</v>
      </c>
      <c r="O2264">
        <v>109.35</v>
      </c>
      <c r="P2264">
        <v>170.91</v>
      </c>
      <c r="Q2264">
        <v>55.37</v>
      </c>
      <c r="R2264">
        <v>121.07</v>
      </c>
      <c r="S2264">
        <v>144.07</v>
      </c>
    </row>
    <row r="2265" spans="1:19">
      <c r="A2265" s="1">
        <v>45653</v>
      </c>
      <c r="B2265" t="s">
        <v>994</v>
      </c>
      <c r="C2265" t="s">
        <v>1003</v>
      </c>
      <c r="D2265">
        <v>16.9415</v>
      </c>
      <c r="E2265">
        <v>17.5586</v>
      </c>
      <c r="F2265">
        <v>0.0364253460437385</v>
      </c>
      <c r="G2265">
        <f ca="1" t="shared" si="105"/>
        <v>-0.0590595104725027</v>
      </c>
      <c r="H2265" t="str">
        <f ca="1" t="shared" si="106"/>
        <v>Risk-On</v>
      </c>
      <c r="I2265">
        <f ca="1" t="shared" si="107"/>
        <v>1</v>
      </c>
      <c r="J2265">
        <f>_xlfn.XLOOKUP($A2265,[1]Sheet1!$B$9:$B$2584,[1]Sheet1!$C$9:$C$2584,"N/A",0)</f>
        <v>109.85</v>
      </c>
      <c r="K2265">
        <f>_xlfn.XLOOKUP($A2265,[1]Sheet1!$E$9:$E$2584,[1]Sheet1!$F$9:$F$2584,"N/A",0)</f>
        <v>169.86</v>
      </c>
      <c r="L2265">
        <f>_xlfn.XLOOKUP($A2265,[1]Sheet1!$H$9:$H$2584,[1]Sheet1!$I$9:$I$2584,"N/A",0)</f>
        <v>55.48</v>
      </c>
      <c r="M2265">
        <f>_xlfn.XLOOKUP($A2265,[1]Sheet1!$K$9:$K$2584,[1]Sheet1!$L$9:$L$2584,"N/A",0)</f>
        <v>143.48</v>
      </c>
      <c r="N2265">
        <f>_xlfn.XLOOKUP($A2265,[1]Sheet1!$N$9:$N$2584,[1]Sheet1!$O$9:$O$2584,"N/A",0)</f>
        <v>121.45</v>
      </c>
      <c r="O2265">
        <v>109.85</v>
      </c>
      <c r="P2265">
        <v>169.86</v>
      </c>
      <c r="Q2265">
        <v>55.48</v>
      </c>
      <c r="R2265">
        <v>121.45</v>
      </c>
      <c r="S2265">
        <v>143.48</v>
      </c>
    </row>
    <row r="2266" spans="1:19">
      <c r="A2266" s="1">
        <v>45656</v>
      </c>
      <c r="B2266" t="s">
        <v>994</v>
      </c>
      <c r="C2266" t="s">
        <v>1003</v>
      </c>
      <c r="D2266">
        <v>17.3868</v>
      </c>
      <c r="E2266">
        <v>17.7923</v>
      </c>
      <c r="F2266" s="2" t="s">
        <v>1007</v>
      </c>
      <c r="G2266">
        <f ca="1" t="shared" si="105"/>
        <v>-0.299422457942004</v>
      </c>
      <c r="H2266" t="str">
        <f ca="1" t="shared" si="106"/>
        <v>Risk-On</v>
      </c>
      <c r="I2266">
        <f ca="1" t="shared" si="107"/>
        <v>1</v>
      </c>
      <c r="J2266">
        <f>_xlfn.XLOOKUP($A2266,[1]Sheet1!$B$9:$B$2584,[1]Sheet1!$C$9:$C$2584,"N/A",0)</f>
        <v>109.99</v>
      </c>
      <c r="K2266">
        <f>_xlfn.XLOOKUP($A2266,[1]Sheet1!$E$9:$E$2584,[1]Sheet1!$F$9:$F$2584,"N/A",0)</f>
        <v>169.95</v>
      </c>
      <c r="L2266">
        <f>_xlfn.XLOOKUP($A2266,[1]Sheet1!$H$9:$H$2584,[1]Sheet1!$I$9:$I$2584,"N/A",0)</f>
        <v>55.68</v>
      </c>
      <c r="M2266">
        <f>_xlfn.XLOOKUP($A2266,[1]Sheet1!$K$9:$K$2584,[1]Sheet1!$L$9:$L$2584,"N/A",0)</f>
        <v>143.7</v>
      </c>
      <c r="N2266">
        <f>_xlfn.XLOOKUP($A2266,[1]Sheet1!$N$9:$N$2584,[1]Sheet1!$O$9:$O$2584,"N/A",0)</f>
        <v>121.04</v>
      </c>
      <c r="O2266">
        <v>109.99</v>
      </c>
      <c r="P2266">
        <v>169.95</v>
      </c>
      <c r="Q2266">
        <v>55.68</v>
      </c>
      <c r="R2266">
        <v>121.04</v>
      </c>
      <c r="S2266">
        <v>143.7</v>
      </c>
    </row>
    <row r="2267" spans="1:19">
      <c r="A2267" s="1">
        <v>45657</v>
      </c>
      <c r="B2267" t="s">
        <v>994</v>
      </c>
      <c r="C2267" t="s">
        <v>1003</v>
      </c>
      <c r="D2267">
        <v>17.5177</v>
      </c>
      <c r="E2267">
        <v>17.8708</v>
      </c>
      <c r="F2267">
        <v>0.0201567557384815</v>
      </c>
      <c r="G2267">
        <f ca="1" t="shared" si="105"/>
        <v>-0.353547771285378</v>
      </c>
      <c r="H2267" t="str">
        <f ca="1" t="shared" si="106"/>
        <v>Risk-On</v>
      </c>
      <c r="I2267">
        <f ca="1" t="shared" si="107"/>
        <v>1</v>
      </c>
      <c r="J2267">
        <f>_xlfn.XLOOKUP($A2267,[1]Sheet1!$B$9:$B$2584,[1]Sheet1!$C$9:$C$2584,"N/A",0)</f>
        <v>109.56</v>
      </c>
      <c r="K2267">
        <f>_xlfn.XLOOKUP($A2267,[1]Sheet1!$E$9:$E$2584,[1]Sheet1!$F$9:$F$2584,"N/A",0)</f>
        <v>168.35</v>
      </c>
      <c r="L2267">
        <f>_xlfn.XLOOKUP($A2267,[1]Sheet1!$H$9:$H$2584,[1]Sheet1!$I$9:$I$2584,"N/A",0)</f>
        <v>55.91</v>
      </c>
      <c r="M2267">
        <f>_xlfn.XLOOKUP($A2267,[1]Sheet1!$K$9:$K$2584,[1]Sheet1!$L$9:$L$2584,"N/A",0)</f>
        <v>143.17</v>
      </c>
      <c r="N2267">
        <f>_xlfn.XLOOKUP($A2267,[1]Sheet1!$N$9:$N$2584,[1]Sheet1!$O$9:$O$2584,"N/A",0)</f>
        <v>120.84</v>
      </c>
      <c r="O2267">
        <v>109.56</v>
      </c>
      <c r="P2267">
        <v>168.35</v>
      </c>
      <c r="Q2267">
        <v>55.91</v>
      </c>
      <c r="R2267">
        <v>120.84</v>
      </c>
      <c r="S2267">
        <v>143.17</v>
      </c>
    </row>
    <row r="2268" spans="1:19">
      <c r="A2268" s="1">
        <v>45659</v>
      </c>
      <c r="B2268" t="s">
        <v>994</v>
      </c>
      <c r="C2268" t="s">
        <v>1003</v>
      </c>
      <c r="D2268">
        <v>17.9098</v>
      </c>
      <c r="E2268">
        <v>18.2685</v>
      </c>
      <c r="F2268">
        <v>0.0200281410177667</v>
      </c>
      <c r="G2268">
        <f ca="1" t="shared" si="105"/>
        <v>-0.349928593491075</v>
      </c>
      <c r="H2268" t="str">
        <f ca="1" t="shared" si="106"/>
        <v>Risk-On</v>
      </c>
      <c r="I2268">
        <f ca="1" t="shared" si="107"/>
        <v>1</v>
      </c>
      <c r="J2268">
        <f>_xlfn.XLOOKUP($A2268,[1]Sheet1!$B$9:$B$2584,[1]Sheet1!$C$9:$C$2584,"N/A",0)</f>
        <v>110.73</v>
      </c>
      <c r="K2268">
        <f>_xlfn.XLOOKUP($A2268,[1]Sheet1!$E$9:$E$2584,[1]Sheet1!$F$9:$F$2584,"N/A",0)</f>
        <v>170.65</v>
      </c>
      <c r="L2268">
        <f>_xlfn.XLOOKUP($A2268,[1]Sheet1!$H$9:$H$2584,[1]Sheet1!$I$9:$I$2584,"N/A",0)</f>
        <v>55.83</v>
      </c>
      <c r="M2268">
        <f>_xlfn.XLOOKUP($A2268,[1]Sheet1!$K$9:$K$2584,[1]Sheet1!$L$9:$L$2584,"N/A",0)</f>
        <v>142.8</v>
      </c>
      <c r="N2268">
        <f>_xlfn.XLOOKUP($A2268,[1]Sheet1!$N$9:$N$2584,[1]Sheet1!$O$9:$O$2584,"N/A",0)</f>
        <v>121.28</v>
      </c>
      <c r="O2268">
        <v>110.73</v>
      </c>
      <c r="P2268">
        <v>170.65</v>
      </c>
      <c r="Q2268">
        <v>55.83</v>
      </c>
      <c r="R2268">
        <v>121.28</v>
      </c>
      <c r="S2268">
        <v>142.8</v>
      </c>
    </row>
    <row r="2269" spans="1:19">
      <c r="A2269" s="1">
        <v>45660</v>
      </c>
      <c r="B2269" t="s">
        <v>994</v>
      </c>
      <c r="C2269" t="s">
        <v>1003</v>
      </c>
      <c r="D2269">
        <v>16.6858</v>
      </c>
      <c r="E2269">
        <v>17.4356</v>
      </c>
      <c r="F2269">
        <v>0.0449364129978784</v>
      </c>
      <c r="G2269">
        <f ca="1" t="shared" si="105"/>
        <v>0.124922452569794</v>
      </c>
      <c r="H2269" t="str">
        <f ca="1" t="shared" si="106"/>
        <v>Risk-On</v>
      </c>
      <c r="I2269">
        <f ca="1" t="shared" si="107"/>
        <v>1</v>
      </c>
      <c r="J2269">
        <f>_xlfn.XLOOKUP($A2269,[1]Sheet1!$B$9:$B$2584,[1]Sheet1!$C$9:$C$2584,"N/A",0)</f>
        <v>110.69</v>
      </c>
      <c r="K2269">
        <f>_xlfn.XLOOKUP($A2269,[1]Sheet1!$E$9:$E$2584,[1]Sheet1!$F$9:$F$2584,"N/A",0)</f>
        <v>170.78</v>
      </c>
      <c r="L2269">
        <f>_xlfn.XLOOKUP($A2269,[1]Sheet1!$H$9:$H$2584,[1]Sheet1!$I$9:$I$2584,"N/A",0)</f>
        <v>55.37</v>
      </c>
      <c r="M2269">
        <f>_xlfn.XLOOKUP($A2269,[1]Sheet1!$K$9:$K$2584,[1]Sheet1!$L$9:$L$2584,"N/A",0)</f>
        <v>142.71</v>
      </c>
      <c r="N2269">
        <f>_xlfn.XLOOKUP($A2269,[1]Sheet1!$N$9:$N$2584,[1]Sheet1!$O$9:$O$2584,"N/A",0)</f>
        <v>121.26</v>
      </c>
      <c r="O2269">
        <v>110.69</v>
      </c>
      <c r="P2269">
        <v>170.78</v>
      </c>
      <c r="Q2269">
        <v>55.37</v>
      </c>
      <c r="R2269">
        <v>121.26</v>
      </c>
      <c r="S2269">
        <v>142.71</v>
      </c>
    </row>
    <row r="2270" spans="1:19">
      <c r="A2270" s="1">
        <v>45663</v>
      </c>
      <c r="B2270" t="s">
        <v>994</v>
      </c>
      <c r="C2270" t="s">
        <v>1003</v>
      </c>
      <c r="D2270">
        <v>16.5686</v>
      </c>
      <c r="E2270">
        <v>17.3787</v>
      </c>
      <c r="F2270">
        <v>0.0488936904747533</v>
      </c>
      <c r="G2270">
        <f ca="1" t="shared" si="105"/>
        <v>0.201379297187592</v>
      </c>
      <c r="H2270" t="str">
        <f ca="1" t="shared" si="106"/>
        <v>Risk-On</v>
      </c>
      <c r="I2270">
        <f ca="1" t="shared" si="107"/>
        <v>1</v>
      </c>
      <c r="J2270">
        <f>_xlfn.XLOOKUP($A2270,[1]Sheet1!$B$9:$B$2584,[1]Sheet1!$C$9:$C$2584,"N/A",0)</f>
        <v>112.12</v>
      </c>
      <c r="K2270">
        <f>_xlfn.XLOOKUP($A2270,[1]Sheet1!$E$9:$E$2584,[1]Sheet1!$F$9:$F$2584,"N/A",0)</f>
        <v>170.48</v>
      </c>
      <c r="L2270">
        <f>_xlfn.XLOOKUP($A2270,[1]Sheet1!$H$9:$H$2584,[1]Sheet1!$I$9:$I$2584,"N/A",0)</f>
        <v>55.87</v>
      </c>
      <c r="M2270">
        <f>_xlfn.XLOOKUP($A2270,[1]Sheet1!$K$9:$K$2584,[1]Sheet1!$L$9:$L$2584,"N/A",0)</f>
        <v>142.79</v>
      </c>
      <c r="N2270">
        <f>_xlfn.XLOOKUP($A2270,[1]Sheet1!$N$9:$N$2584,[1]Sheet1!$O$9:$O$2584,"N/A",0)</f>
        <v>122.07</v>
      </c>
      <c r="O2270">
        <v>112.12</v>
      </c>
      <c r="P2270">
        <v>170.48</v>
      </c>
      <c r="Q2270">
        <v>55.87</v>
      </c>
      <c r="R2270">
        <v>122.07</v>
      </c>
      <c r="S2270">
        <v>142.79</v>
      </c>
    </row>
    <row r="2271" spans="1:19">
      <c r="A2271" s="1">
        <v>45664</v>
      </c>
      <c r="B2271" t="s">
        <v>994</v>
      </c>
      <c r="C2271" t="s">
        <v>1003</v>
      </c>
      <c r="D2271">
        <v>17.8805</v>
      </c>
      <c r="E2271">
        <v>18.2637</v>
      </c>
      <c r="F2271" s="2" t="s">
        <v>1008</v>
      </c>
      <c r="G2271">
        <f ca="1" t="shared" si="105"/>
        <v>-0.315247035211234</v>
      </c>
      <c r="H2271" t="str">
        <f ca="1" t="shared" si="106"/>
        <v>Risk-On</v>
      </c>
      <c r="I2271">
        <f ca="1" t="shared" si="107"/>
        <v>1</v>
      </c>
      <c r="J2271">
        <f>_xlfn.XLOOKUP($A2271,[1]Sheet1!$B$9:$B$2584,[1]Sheet1!$C$9:$C$2584,"N/A",0)</f>
        <v>112.09</v>
      </c>
      <c r="K2271">
        <f>_xlfn.XLOOKUP($A2271,[1]Sheet1!$E$9:$E$2584,[1]Sheet1!$F$9:$F$2584,"N/A",0)</f>
        <v>169.31</v>
      </c>
      <c r="L2271">
        <f>_xlfn.XLOOKUP($A2271,[1]Sheet1!$H$9:$H$2584,[1]Sheet1!$I$9:$I$2584,"N/A",0)</f>
        <v>56</v>
      </c>
      <c r="M2271">
        <f>_xlfn.XLOOKUP($A2271,[1]Sheet1!$K$9:$K$2584,[1]Sheet1!$L$9:$L$2584,"N/A",0)</f>
        <v>142.82</v>
      </c>
      <c r="N2271">
        <f>_xlfn.XLOOKUP($A2271,[1]Sheet1!$N$9:$N$2584,[1]Sheet1!$O$9:$O$2584,"N/A",0)</f>
        <v>122.42</v>
      </c>
      <c r="O2271">
        <v>112.09</v>
      </c>
      <c r="P2271">
        <v>169.31</v>
      </c>
      <c r="Q2271">
        <v>56</v>
      </c>
      <c r="R2271">
        <v>122.42</v>
      </c>
      <c r="S2271">
        <v>142.82</v>
      </c>
    </row>
    <row r="2272" spans="1:19">
      <c r="A2272" s="1">
        <v>45665</v>
      </c>
      <c r="B2272" t="s">
        <v>994</v>
      </c>
      <c r="C2272" t="s">
        <v>1003</v>
      </c>
      <c r="D2272">
        <v>17.7197</v>
      </c>
      <c r="E2272">
        <v>18.1515</v>
      </c>
      <c r="F2272" s="2" t="s">
        <v>1009</v>
      </c>
      <c r="G2272">
        <f ca="1" t="shared" si="105"/>
        <v>-0.256822381454637</v>
      </c>
      <c r="H2272" t="str">
        <f ca="1" t="shared" si="106"/>
        <v>Risk-On</v>
      </c>
      <c r="I2272">
        <f ca="1" t="shared" si="107"/>
        <v>1</v>
      </c>
      <c r="J2272">
        <f>_xlfn.XLOOKUP($A2272,[1]Sheet1!$B$9:$B$2584,[1]Sheet1!$C$9:$C$2584,"N/A",0)</f>
        <v>111.65</v>
      </c>
      <c r="K2272">
        <f>_xlfn.XLOOKUP($A2272,[1]Sheet1!$E$9:$E$2584,[1]Sheet1!$F$9:$F$2584,"N/A",0)</f>
        <v>171.77</v>
      </c>
      <c r="L2272">
        <f>_xlfn.XLOOKUP($A2272,[1]Sheet1!$H$9:$H$2584,[1]Sheet1!$I$9:$I$2584,"N/A",0)</f>
        <v>55.65</v>
      </c>
      <c r="M2272">
        <f>_xlfn.XLOOKUP($A2272,[1]Sheet1!$K$9:$K$2584,[1]Sheet1!$L$9:$L$2584,"N/A",0)</f>
        <v>143.29</v>
      </c>
      <c r="N2272">
        <f>_xlfn.XLOOKUP($A2272,[1]Sheet1!$N$9:$N$2584,[1]Sheet1!$O$9:$O$2584,"N/A",0)</f>
        <v>122.78</v>
      </c>
      <c r="O2272">
        <v>111.65</v>
      </c>
      <c r="P2272">
        <v>171.77</v>
      </c>
      <c r="Q2272">
        <v>55.65</v>
      </c>
      <c r="R2272">
        <v>122.78</v>
      </c>
      <c r="S2272">
        <v>143.29</v>
      </c>
    </row>
    <row r="2273" spans="1:19">
      <c r="A2273" s="1">
        <v>45666</v>
      </c>
      <c r="B2273" t="s">
        <v>994</v>
      </c>
      <c r="C2273" t="s">
        <v>1003</v>
      </c>
      <c r="D2273">
        <v>17.9667</v>
      </c>
      <c r="E2273">
        <v>18.325</v>
      </c>
      <c r="F2273" s="2" t="s">
        <v>1010</v>
      </c>
      <c r="G2273">
        <f ca="1" t="shared" si="105"/>
        <v>-0.336275983899889</v>
      </c>
      <c r="H2273" t="str">
        <f ca="1" t="shared" si="106"/>
        <v>Risk-On</v>
      </c>
      <c r="I2273">
        <f ca="1" t="shared" si="107"/>
        <v>1</v>
      </c>
      <c r="J2273" t="str">
        <f>_xlfn.XLOOKUP($A2273,[1]Sheet1!$B$9:$B$2584,[1]Sheet1!$C$9:$C$2584,"N/A",0)</f>
        <v>N/A</v>
      </c>
      <c r="K2273">
        <f>_xlfn.XLOOKUP($A2273,[1]Sheet1!$E$9:$E$2584,[1]Sheet1!$F$9:$F$2584,"N/A",0)</f>
        <v>172.04</v>
      </c>
      <c r="L2273">
        <f>_xlfn.XLOOKUP($A2273,[1]Sheet1!$H$9:$H$2584,[1]Sheet1!$I$9:$I$2584,"N/A",0)</f>
        <v>55.71</v>
      </c>
      <c r="M2273">
        <f>_xlfn.XLOOKUP($A2273,[1]Sheet1!$K$9:$K$2584,[1]Sheet1!$L$9:$L$2584,"N/A",0)</f>
        <v>143.17</v>
      </c>
      <c r="N2273" t="str">
        <f>_xlfn.XLOOKUP($A2273,[1]Sheet1!$N$9:$N$2584,[1]Sheet1!$O$9:$O$2584,"N/A",0)</f>
        <v>N/A</v>
      </c>
      <c r="O2273" t="s">
        <v>21</v>
      </c>
      <c r="P2273">
        <v>172.04</v>
      </c>
      <c r="Q2273">
        <v>55.71</v>
      </c>
      <c r="R2273" t="s">
        <v>21</v>
      </c>
      <c r="S2273">
        <v>143.17</v>
      </c>
    </row>
    <row r="2274" spans="1:19">
      <c r="A2274" s="1">
        <v>45667</v>
      </c>
      <c r="B2274" t="s">
        <v>994</v>
      </c>
      <c r="C2274" t="s">
        <v>1003</v>
      </c>
      <c r="D2274">
        <v>19.0119</v>
      </c>
      <c r="E2274">
        <v>19.2947</v>
      </c>
      <c r="F2274" s="2" t="s">
        <v>1011</v>
      </c>
      <c r="G2274">
        <f ca="1" t="shared" si="105"/>
        <v>-0.427162161412545</v>
      </c>
      <c r="H2274" t="str">
        <f ca="1" t="shared" si="106"/>
        <v>Risk-On</v>
      </c>
      <c r="I2274">
        <f ca="1" t="shared" si="107"/>
        <v>1</v>
      </c>
      <c r="J2274">
        <f>_xlfn.XLOOKUP($A2274,[1]Sheet1!$B$9:$B$2584,[1]Sheet1!$C$9:$C$2584,"N/A",0)</f>
        <v>111.81</v>
      </c>
      <c r="K2274">
        <f>_xlfn.XLOOKUP($A2274,[1]Sheet1!$E$9:$E$2584,[1]Sheet1!$F$9:$F$2584,"N/A",0)</f>
        <v>172.1</v>
      </c>
      <c r="L2274">
        <f>_xlfn.XLOOKUP($A2274,[1]Sheet1!$H$9:$H$2584,[1]Sheet1!$I$9:$I$2584,"N/A",0)</f>
        <v>55.38</v>
      </c>
      <c r="M2274">
        <f>_xlfn.XLOOKUP($A2274,[1]Sheet1!$K$9:$K$2584,[1]Sheet1!$L$9:$L$2584,"N/A",0)</f>
        <v>144.66</v>
      </c>
      <c r="N2274">
        <f>_xlfn.XLOOKUP($A2274,[1]Sheet1!$N$9:$N$2584,[1]Sheet1!$O$9:$O$2584,"N/A",0)</f>
        <v>123.74</v>
      </c>
      <c r="O2274">
        <v>111.81</v>
      </c>
      <c r="P2274">
        <v>172.1</v>
      </c>
      <c r="Q2274">
        <v>55.38</v>
      </c>
      <c r="R2274">
        <v>123.74</v>
      </c>
      <c r="S2274">
        <v>144.66</v>
      </c>
    </row>
    <row r="2275" spans="1:19">
      <c r="A2275" s="1">
        <v>45670</v>
      </c>
      <c r="B2275" t="s">
        <v>994</v>
      </c>
      <c r="C2275" t="s">
        <v>1003</v>
      </c>
      <c r="D2275">
        <v>18.5959</v>
      </c>
      <c r="E2275">
        <v>18.9083</v>
      </c>
      <c r="F2275">
        <v>0.0167994020187245</v>
      </c>
      <c r="G2275">
        <f ca="1" t="shared" si="105"/>
        <v>-0.387012633408085</v>
      </c>
      <c r="H2275" t="str">
        <f ca="1" t="shared" si="106"/>
        <v>Risk-On</v>
      </c>
      <c r="I2275">
        <f ca="1" t="shared" si="107"/>
        <v>1</v>
      </c>
      <c r="J2275">
        <f>_xlfn.XLOOKUP($A2275,[1]Sheet1!$B$9:$B$2584,[1]Sheet1!$C$9:$C$2584,"N/A",0)</f>
        <v>112.03</v>
      </c>
      <c r="K2275">
        <f>_xlfn.XLOOKUP($A2275,[1]Sheet1!$E$9:$E$2584,[1]Sheet1!$F$9:$F$2584,"N/A",0)</f>
        <v>169.95</v>
      </c>
      <c r="L2275">
        <f>_xlfn.XLOOKUP($A2275,[1]Sheet1!$H$9:$H$2584,[1]Sheet1!$I$9:$I$2584,"N/A",0)</f>
        <v>55.74</v>
      </c>
      <c r="M2275">
        <f>_xlfn.XLOOKUP($A2275,[1]Sheet1!$K$9:$K$2584,[1]Sheet1!$L$9:$L$2584,"N/A",0)</f>
        <v>145.05</v>
      </c>
      <c r="N2275">
        <f>_xlfn.XLOOKUP($A2275,[1]Sheet1!$N$9:$N$2584,[1]Sheet1!$O$9:$O$2584,"N/A",0)</f>
        <v>123.42</v>
      </c>
      <c r="O2275">
        <v>112.03</v>
      </c>
      <c r="P2275">
        <v>169.95</v>
      </c>
      <c r="Q2275">
        <v>55.74</v>
      </c>
      <c r="R2275">
        <v>123.42</v>
      </c>
      <c r="S2275">
        <v>145.05</v>
      </c>
    </row>
    <row r="2276" spans="1:19">
      <c r="A2276" s="1">
        <v>45671</v>
      </c>
      <c r="B2276" t="s">
        <v>994</v>
      </c>
      <c r="C2276" t="s">
        <v>1003</v>
      </c>
      <c r="D2276">
        <v>18.2081</v>
      </c>
      <c r="E2276">
        <v>18.5544</v>
      </c>
      <c r="F2276" s="2" t="s">
        <v>1012</v>
      </c>
      <c r="G2276">
        <f ca="1" t="shared" si="105"/>
        <v>-0.338682338777012</v>
      </c>
      <c r="H2276" t="str">
        <f ca="1" t="shared" si="106"/>
        <v>Risk-On</v>
      </c>
      <c r="I2276">
        <f ca="1" t="shared" si="107"/>
        <v>1</v>
      </c>
      <c r="J2276">
        <f>_xlfn.XLOOKUP($A2276,[1]Sheet1!$B$9:$B$2584,[1]Sheet1!$C$9:$C$2584,"N/A",0)</f>
        <v>112.24</v>
      </c>
      <c r="K2276">
        <f>_xlfn.XLOOKUP($A2276,[1]Sheet1!$E$9:$E$2584,[1]Sheet1!$F$9:$F$2584,"N/A",0)</f>
        <v>171.95</v>
      </c>
      <c r="L2276">
        <f>_xlfn.XLOOKUP($A2276,[1]Sheet1!$H$9:$H$2584,[1]Sheet1!$I$9:$I$2584,"N/A",0)</f>
        <v>56.07</v>
      </c>
      <c r="M2276">
        <f>_xlfn.XLOOKUP($A2276,[1]Sheet1!$K$9:$K$2584,[1]Sheet1!$L$9:$L$2584,"N/A",0)</f>
        <v>144.94</v>
      </c>
      <c r="N2276">
        <f>_xlfn.XLOOKUP($A2276,[1]Sheet1!$N$9:$N$2584,[1]Sheet1!$O$9:$O$2584,"N/A",0)</f>
        <v>122.62</v>
      </c>
      <c r="O2276">
        <v>112.24</v>
      </c>
      <c r="P2276">
        <v>171.95</v>
      </c>
      <c r="Q2276">
        <v>56.07</v>
      </c>
      <c r="R2276">
        <v>122.62</v>
      </c>
      <c r="S2276">
        <v>144.94</v>
      </c>
    </row>
    <row r="2277" spans="1:19">
      <c r="A2277" s="1">
        <v>45672</v>
      </c>
      <c r="B2277" t="s">
        <v>994</v>
      </c>
      <c r="C2277" t="s">
        <v>1003</v>
      </c>
      <c r="D2277">
        <v>16.101</v>
      </c>
      <c r="E2277">
        <v>17.063</v>
      </c>
      <c r="F2277">
        <v>0.0597478417489596</v>
      </c>
      <c r="G2277">
        <f ca="1" t="shared" si="105"/>
        <v>0.43326584953445</v>
      </c>
      <c r="H2277" t="str">
        <f ca="1" t="shared" si="106"/>
        <v>Risk-On</v>
      </c>
      <c r="I2277">
        <f ca="1" t="shared" si="107"/>
        <v>1</v>
      </c>
      <c r="J2277">
        <f>_xlfn.XLOOKUP($A2277,[1]Sheet1!$B$9:$B$2584,[1]Sheet1!$C$9:$C$2584,"N/A",0)</f>
        <v>111.51</v>
      </c>
      <c r="K2277">
        <f>_xlfn.XLOOKUP($A2277,[1]Sheet1!$E$9:$E$2584,[1]Sheet1!$F$9:$F$2584,"N/A",0)</f>
        <v>173.34</v>
      </c>
      <c r="L2277">
        <f>_xlfn.XLOOKUP($A2277,[1]Sheet1!$H$9:$H$2584,[1]Sheet1!$I$9:$I$2584,"N/A",0)</f>
        <v>56.11</v>
      </c>
      <c r="M2277">
        <f>_xlfn.XLOOKUP($A2277,[1]Sheet1!$K$9:$K$2584,[1]Sheet1!$L$9:$L$2584,"N/A",0)</f>
        <v>145.24</v>
      </c>
      <c r="N2277">
        <f>_xlfn.XLOOKUP($A2277,[1]Sheet1!$N$9:$N$2584,[1]Sheet1!$O$9:$O$2584,"N/A",0)</f>
        <v>122.44</v>
      </c>
      <c r="O2277">
        <v>111.51</v>
      </c>
      <c r="P2277">
        <v>173.34</v>
      </c>
      <c r="Q2277">
        <v>56.11</v>
      </c>
      <c r="R2277">
        <v>122.44</v>
      </c>
      <c r="S2277">
        <v>145.24</v>
      </c>
    </row>
    <row r="2278" spans="1:19">
      <c r="A2278" s="1">
        <v>45673</v>
      </c>
      <c r="B2278" t="s">
        <v>994</v>
      </c>
      <c r="C2278" t="s">
        <v>1003</v>
      </c>
      <c r="D2278">
        <v>16.189</v>
      </c>
      <c r="E2278">
        <v>17.0997</v>
      </c>
      <c r="F2278" s="2" t="s">
        <v>1013</v>
      </c>
      <c r="G2278">
        <f ca="1" t="shared" si="105"/>
        <v>0.369301568892833</v>
      </c>
      <c r="H2278" t="str">
        <f ca="1" t="shared" si="106"/>
        <v>Risk-On</v>
      </c>
      <c r="I2278">
        <f ca="1" t="shared" si="107"/>
        <v>1</v>
      </c>
      <c r="J2278">
        <f>_xlfn.XLOOKUP($A2278,[1]Sheet1!$B$9:$B$2584,[1]Sheet1!$C$9:$C$2584,"N/A",0)</f>
        <v>111.84</v>
      </c>
      <c r="K2278">
        <f>_xlfn.XLOOKUP($A2278,[1]Sheet1!$E$9:$E$2584,[1]Sheet1!$F$9:$F$2584,"N/A",0)</f>
        <v>174.06</v>
      </c>
      <c r="L2278">
        <f>_xlfn.XLOOKUP($A2278,[1]Sheet1!$H$9:$H$2584,[1]Sheet1!$I$9:$I$2584,"N/A",0)</f>
        <v>55.38</v>
      </c>
      <c r="M2278">
        <f>_xlfn.XLOOKUP($A2278,[1]Sheet1!$K$9:$K$2584,[1]Sheet1!$L$9:$L$2584,"N/A",0)</f>
        <v>145.84</v>
      </c>
      <c r="N2278">
        <f>_xlfn.XLOOKUP($A2278,[1]Sheet1!$N$9:$N$2584,[1]Sheet1!$O$9:$O$2584,"N/A",0)</f>
        <v>122.84</v>
      </c>
      <c r="O2278">
        <v>111.84</v>
      </c>
      <c r="P2278">
        <v>174.06</v>
      </c>
      <c r="Q2278">
        <v>55.38</v>
      </c>
      <c r="R2278">
        <v>122.84</v>
      </c>
      <c r="S2278">
        <v>145.84</v>
      </c>
    </row>
    <row r="2279" spans="1:19">
      <c r="A2279" s="1">
        <v>45674</v>
      </c>
      <c r="B2279" t="s">
        <v>994</v>
      </c>
      <c r="C2279" t="s">
        <v>1003</v>
      </c>
      <c r="D2279">
        <v>16.1792</v>
      </c>
      <c r="E2279">
        <v>17.2382</v>
      </c>
      <c r="F2279">
        <v>0.0654544106012656</v>
      </c>
      <c r="G2279">
        <f ca="1" t="shared" si="105"/>
        <v>0.539984122616257</v>
      </c>
      <c r="H2279" t="str">
        <f ca="1" t="shared" si="106"/>
        <v>Risk-On</v>
      </c>
      <c r="I2279">
        <f ca="1" t="shared" si="107"/>
        <v>1</v>
      </c>
      <c r="J2279">
        <f>_xlfn.XLOOKUP($A2279,[1]Sheet1!$B$9:$B$2584,[1]Sheet1!$C$9:$C$2584,"N/A",0)</f>
        <v>111.61</v>
      </c>
      <c r="K2279">
        <f>_xlfn.XLOOKUP($A2279,[1]Sheet1!$E$9:$E$2584,[1]Sheet1!$F$9:$F$2584,"N/A",0)</f>
        <v>174.6</v>
      </c>
      <c r="L2279">
        <f>_xlfn.XLOOKUP($A2279,[1]Sheet1!$H$9:$H$2584,[1]Sheet1!$I$9:$I$2584,"N/A",0)</f>
        <v>55.29</v>
      </c>
      <c r="M2279">
        <f>_xlfn.XLOOKUP($A2279,[1]Sheet1!$K$9:$K$2584,[1]Sheet1!$L$9:$L$2584,"N/A",0)</f>
        <v>144.9</v>
      </c>
      <c r="N2279">
        <f>_xlfn.XLOOKUP($A2279,[1]Sheet1!$N$9:$N$2584,[1]Sheet1!$O$9:$O$2584,"N/A",0)</f>
        <v>123.64</v>
      </c>
      <c r="O2279">
        <v>111.61</v>
      </c>
      <c r="P2279">
        <v>174.6</v>
      </c>
      <c r="Q2279">
        <v>55.29</v>
      </c>
      <c r="R2279">
        <v>123.64</v>
      </c>
      <c r="S2279">
        <v>144.9</v>
      </c>
    </row>
    <row r="2280" spans="1:19">
      <c r="A2280" s="1">
        <v>45678</v>
      </c>
      <c r="B2280" t="s">
        <v>994</v>
      </c>
      <c r="C2280" t="s">
        <v>1003</v>
      </c>
      <c r="D2280">
        <v>15.2423</v>
      </c>
      <c r="E2280">
        <v>16.5367</v>
      </c>
      <c r="F2280">
        <v>0.0849215669551183</v>
      </c>
      <c r="G2280">
        <f ca="1" t="shared" si="105"/>
        <v>0.905626835007093</v>
      </c>
      <c r="H2280" t="str">
        <f ca="1" t="shared" si="106"/>
        <v>Risk-On</v>
      </c>
      <c r="I2280">
        <f ca="1" t="shared" si="107"/>
        <v>1</v>
      </c>
      <c r="J2280">
        <f>_xlfn.XLOOKUP($A2280,[1]Sheet1!$B$9:$B$2584,[1]Sheet1!$C$9:$C$2584,"N/A",0)</f>
        <v>110.99</v>
      </c>
      <c r="K2280">
        <f>_xlfn.XLOOKUP($A2280,[1]Sheet1!$E$9:$E$2584,[1]Sheet1!$F$9:$F$2584,"N/A",0)</f>
        <v>176.05</v>
      </c>
      <c r="L2280">
        <f>_xlfn.XLOOKUP($A2280,[1]Sheet1!$H$9:$H$2584,[1]Sheet1!$I$9:$I$2584,"N/A",0)</f>
        <v>55.24</v>
      </c>
      <c r="M2280">
        <f>_xlfn.XLOOKUP($A2280,[1]Sheet1!$K$9:$K$2584,[1]Sheet1!$L$9:$L$2584,"N/A",0)</f>
        <v>145.13</v>
      </c>
      <c r="N2280">
        <f>_xlfn.XLOOKUP($A2280,[1]Sheet1!$N$9:$N$2584,[1]Sheet1!$O$9:$O$2584,"N/A",0)</f>
        <v>122.88</v>
      </c>
      <c r="O2280">
        <v>110.99</v>
      </c>
      <c r="P2280">
        <v>176.05</v>
      </c>
      <c r="Q2280">
        <v>55.24</v>
      </c>
      <c r="R2280">
        <v>122.88</v>
      </c>
      <c r="S2280">
        <v>145.13</v>
      </c>
    </row>
    <row r="2281" spans="1:19">
      <c r="A2281" s="1">
        <v>45679</v>
      </c>
      <c r="B2281" t="s">
        <v>994</v>
      </c>
      <c r="C2281" t="s">
        <v>1003</v>
      </c>
      <c r="D2281">
        <v>15.53</v>
      </c>
      <c r="E2281">
        <v>16.7432</v>
      </c>
      <c r="F2281">
        <v>0.0781197681905989</v>
      </c>
      <c r="G2281">
        <f ca="1" t="shared" si="105"/>
        <v>0.776250370479575</v>
      </c>
      <c r="H2281" t="str">
        <f ca="1" t="shared" si="106"/>
        <v>Risk-On</v>
      </c>
      <c r="I2281">
        <f ca="1" t="shared" si="107"/>
        <v>1</v>
      </c>
      <c r="J2281">
        <f>_xlfn.XLOOKUP($A2281,[1]Sheet1!$B$9:$B$2584,[1]Sheet1!$C$9:$C$2584,"N/A",0)</f>
        <v>111.15</v>
      </c>
      <c r="K2281">
        <f>_xlfn.XLOOKUP($A2281,[1]Sheet1!$E$9:$E$2584,[1]Sheet1!$F$9:$F$2584,"N/A",0)</f>
        <v>177.36</v>
      </c>
      <c r="L2281">
        <f>_xlfn.XLOOKUP($A2281,[1]Sheet1!$H$9:$H$2584,[1]Sheet1!$I$9:$I$2584,"N/A",0)</f>
        <v>55.15</v>
      </c>
      <c r="M2281">
        <f>_xlfn.XLOOKUP($A2281,[1]Sheet1!$K$9:$K$2584,[1]Sheet1!$L$9:$L$2584,"N/A",0)</f>
        <v>145.55</v>
      </c>
      <c r="N2281">
        <f>_xlfn.XLOOKUP($A2281,[1]Sheet1!$N$9:$N$2584,[1]Sheet1!$O$9:$O$2584,"N/A",0)</f>
        <v>123.81</v>
      </c>
      <c r="O2281">
        <v>111.15</v>
      </c>
      <c r="P2281">
        <v>177.36</v>
      </c>
      <c r="Q2281">
        <v>55.15</v>
      </c>
      <c r="R2281">
        <v>123.81</v>
      </c>
      <c r="S2281">
        <v>145.55</v>
      </c>
    </row>
    <row r="2282" spans="1:19">
      <c r="A2282" s="1">
        <v>45680</v>
      </c>
      <c r="B2282" t="s">
        <v>1003</v>
      </c>
      <c r="C2282" t="s">
        <v>1014</v>
      </c>
      <c r="D2282">
        <v>16.4733</v>
      </c>
      <c r="E2282">
        <v>17.3441</v>
      </c>
      <c r="F2282">
        <v>0.0528612967650684</v>
      </c>
      <c r="G2282">
        <f ca="1" t="shared" si="105"/>
        <v>0.302278932112214</v>
      </c>
      <c r="H2282" t="str">
        <f ca="1" t="shared" si="106"/>
        <v>Risk-On</v>
      </c>
      <c r="I2282">
        <f ca="1" t="shared" si="107"/>
        <v>1</v>
      </c>
      <c r="J2282">
        <f>_xlfn.XLOOKUP($A2282,[1]Sheet1!$B$9:$B$2584,[1]Sheet1!$C$9:$C$2584,"N/A",0)</f>
        <v>111.63</v>
      </c>
      <c r="K2282">
        <f>_xlfn.XLOOKUP($A2282,[1]Sheet1!$E$9:$E$2584,[1]Sheet1!$F$9:$F$2584,"N/A",0)</f>
        <v>177.08</v>
      </c>
      <c r="L2282">
        <f>_xlfn.XLOOKUP($A2282,[1]Sheet1!$H$9:$H$2584,[1]Sheet1!$I$9:$I$2584,"N/A",0)</f>
        <v>55.45</v>
      </c>
      <c r="M2282">
        <f>_xlfn.XLOOKUP($A2282,[1]Sheet1!$K$9:$K$2584,[1]Sheet1!$L$9:$L$2584,"N/A",0)</f>
        <v>145.67</v>
      </c>
      <c r="N2282">
        <f>_xlfn.XLOOKUP($A2282,[1]Sheet1!$N$9:$N$2584,[1]Sheet1!$O$9:$O$2584,"N/A",0)</f>
        <v>124.55</v>
      </c>
      <c r="O2282">
        <v>111.63</v>
      </c>
      <c r="P2282">
        <v>177.08</v>
      </c>
      <c r="Q2282">
        <v>55.45</v>
      </c>
      <c r="R2282">
        <v>124.55</v>
      </c>
      <c r="S2282">
        <v>145.67</v>
      </c>
    </row>
    <row r="2283" spans="1:19">
      <c r="A2283" s="1">
        <v>45681</v>
      </c>
      <c r="B2283" t="s">
        <v>1003</v>
      </c>
      <c r="C2283" t="s">
        <v>1014</v>
      </c>
      <c r="D2283">
        <v>16.382</v>
      </c>
      <c r="E2283">
        <v>17.2994</v>
      </c>
      <c r="F2283">
        <v>0.0560004883408617</v>
      </c>
      <c r="G2283">
        <f ca="1" t="shared" si="105"/>
        <v>0.364260910476356</v>
      </c>
      <c r="H2283" t="str">
        <f ca="1" t="shared" si="106"/>
        <v>Risk-On</v>
      </c>
      <c r="I2283">
        <f ca="1" t="shared" si="107"/>
        <v>1</v>
      </c>
      <c r="J2283">
        <f>_xlfn.XLOOKUP($A2283,[1]Sheet1!$B$9:$B$2584,[1]Sheet1!$C$9:$C$2584,"N/A",0)</f>
        <v>111.91</v>
      </c>
      <c r="K2283">
        <f>_xlfn.XLOOKUP($A2283,[1]Sheet1!$E$9:$E$2584,[1]Sheet1!$F$9:$F$2584,"N/A",0)</f>
        <v>177.59</v>
      </c>
      <c r="L2283">
        <f>_xlfn.XLOOKUP($A2283,[1]Sheet1!$H$9:$H$2584,[1]Sheet1!$I$9:$I$2584,"N/A",0)</f>
        <v>55.5</v>
      </c>
      <c r="M2283">
        <f>_xlfn.XLOOKUP($A2283,[1]Sheet1!$K$9:$K$2584,[1]Sheet1!$L$9:$L$2584,"N/A",0)</f>
        <v>145.19</v>
      </c>
      <c r="N2283">
        <f>_xlfn.XLOOKUP($A2283,[1]Sheet1!$N$9:$N$2584,[1]Sheet1!$O$9:$O$2584,"N/A",0)</f>
        <v>124.33</v>
      </c>
      <c r="O2283">
        <v>111.91</v>
      </c>
      <c r="P2283">
        <v>177.59</v>
      </c>
      <c r="Q2283">
        <v>55.5</v>
      </c>
      <c r="R2283">
        <v>124.33</v>
      </c>
      <c r="S2283">
        <v>145.19</v>
      </c>
    </row>
    <row r="2284" spans="1:19">
      <c r="A2284" s="1">
        <v>45684</v>
      </c>
      <c r="B2284" t="s">
        <v>1003</v>
      </c>
      <c r="C2284" t="s">
        <v>1014</v>
      </c>
      <c r="D2284">
        <v>17.6133</v>
      </c>
      <c r="E2284">
        <v>18.0353</v>
      </c>
      <c r="F2284">
        <v>0.0239591672202256</v>
      </c>
      <c r="G2284">
        <f ca="1" t="shared" si="105"/>
        <v>-0.235865397840457</v>
      </c>
      <c r="H2284" t="str">
        <f ca="1" t="shared" si="106"/>
        <v>Risk-On</v>
      </c>
      <c r="I2284">
        <f ca="1" t="shared" si="107"/>
        <v>1</v>
      </c>
      <c r="J2284">
        <f>_xlfn.XLOOKUP($A2284,[1]Sheet1!$B$9:$B$2584,[1]Sheet1!$C$9:$C$2584,"N/A",0)</f>
        <v>110.95</v>
      </c>
      <c r="K2284">
        <f>_xlfn.XLOOKUP($A2284,[1]Sheet1!$E$9:$E$2584,[1]Sheet1!$F$9:$F$2584,"N/A",0)</f>
        <v>170.09</v>
      </c>
      <c r="L2284">
        <f>_xlfn.XLOOKUP($A2284,[1]Sheet1!$H$9:$H$2584,[1]Sheet1!$I$9:$I$2584,"N/A",0)</f>
        <v>56.41</v>
      </c>
      <c r="M2284">
        <f>_xlfn.XLOOKUP($A2284,[1]Sheet1!$K$9:$K$2584,[1]Sheet1!$L$9:$L$2584,"N/A",0)</f>
        <v>145.01</v>
      </c>
      <c r="N2284">
        <f>_xlfn.XLOOKUP($A2284,[1]Sheet1!$N$9:$N$2584,[1]Sheet1!$O$9:$O$2584,"N/A",0)</f>
        <v>123.52</v>
      </c>
      <c r="O2284">
        <v>110.95</v>
      </c>
      <c r="P2284">
        <v>170.09</v>
      </c>
      <c r="Q2284">
        <v>56.41</v>
      </c>
      <c r="R2284">
        <v>123.52</v>
      </c>
      <c r="S2284">
        <v>145.01</v>
      </c>
    </row>
    <row r="2285" spans="1:19">
      <c r="A2285" s="1">
        <v>45685</v>
      </c>
      <c r="B2285" t="s">
        <v>1003</v>
      </c>
      <c r="C2285" t="s">
        <v>1014</v>
      </c>
      <c r="D2285">
        <v>16.939</v>
      </c>
      <c r="E2285">
        <v>17.4803</v>
      </c>
      <c r="F2285" s="2" t="s">
        <v>1015</v>
      </c>
      <c r="G2285">
        <f ca="1" t="shared" si="105"/>
        <v>-0.0802496916558057</v>
      </c>
      <c r="H2285" t="str">
        <f ca="1" t="shared" si="106"/>
        <v>Risk-On</v>
      </c>
      <c r="I2285">
        <f ca="1" t="shared" si="107"/>
        <v>1</v>
      </c>
      <c r="J2285">
        <f>_xlfn.XLOOKUP($A2285,[1]Sheet1!$B$9:$B$2584,[1]Sheet1!$C$9:$C$2584,"N/A",0)</f>
        <v>112.06</v>
      </c>
      <c r="K2285">
        <f>_xlfn.XLOOKUP($A2285,[1]Sheet1!$E$9:$E$2584,[1]Sheet1!$F$9:$F$2584,"N/A",0)</f>
        <v>172.37</v>
      </c>
      <c r="L2285">
        <f>_xlfn.XLOOKUP($A2285,[1]Sheet1!$H$9:$H$2584,[1]Sheet1!$I$9:$I$2584,"N/A",0)</f>
        <v>55.88</v>
      </c>
      <c r="M2285">
        <f>_xlfn.XLOOKUP($A2285,[1]Sheet1!$K$9:$K$2584,[1]Sheet1!$L$9:$L$2584,"N/A",0)</f>
        <v>146.17</v>
      </c>
      <c r="N2285">
        <f>_xlfn.XLOOKUP($A2285,[1]Sheet1!$N$9:$N$2584,[1]Sheet1!$O$9:$O$2584,"N/A",0)</f>
        <v>123.24</v>
      </c>
      <c r="O2285">
        <v>112.06</v>
      </c>
      <c r="P2285">
        <v>172.37</v>
      </c>
      <c r="Q2285">
        <v>55.88</v>
      </c>
      <c r="R2285">
        <v>123.24</v>
      </c>
      <c r="S2285">
        <v>146.17</v>
      </c>
    </row>
    <row r="2286" spans="1:19">
      <c r="A2286" s="1">
        <v>45686</v>
      </c>
      <c r="B2286" t="s">
        <v>1003</v>
      </c>
      <c r="C2286" t="s">
        <v>1014</v>
      </c>
      <c r="D2286">
        <v>16.8431</v>
      </c>
      <c r="E2286">
        <v>17.4988</v>
      </c>
      <c r="F2286">
        <v>0.0389298882034779</v>
      </c>
      <c r="G2286">
        <f ca="1" t="shared" si="105"/>
        <v>0.055022006878829</v>
      </c>
      <c r="H2286" t="str">
        <f ca="1" t="shared" si="106"/>
        <v>Risk-On</v>
      </c>
      <c r="I2286">
        <f ca="1" t="shared" si="107"/>
        <v>1</v>
      </c>
      <c r="J2286">
        <f>_xlfn.XLOOKUP($A2286,[1]Sheet1!$B$9:$B$2584,[1]Sheet1!$C$9:$C$2584,"N/A",0)</f>
        <v>112.49</v>
      </c>
      <c r="K2286">
        <f>_xlfn.XLOOKUP($A2286,[1]Sheet1!$E$9:$E$2584,[1]Sheet1!$F$9:$F$2584,"N/A",0)</f>
        <v>174.21</v>
      </c>
      <c r="L2286">
        <f>_xlfn.XLOOKUP($A2286,[1]Sheet1!$H$9:$H$2584,[1]Sheet1!$I$9:$I$2584,"N/A",0)</f>
        <v>56.14</v>
      </c>
      <c r="M2286">
        <f>_xlfn.XLOOKUP($A2286,[1]Sheet1!$K$9:$K$2584,[1]Sheet1!$L$9:$L$2584,"N/A",0)</f>
        <v>144.8</v>
      </c>
      <c r="N2286">
        <f>_xlfn.XLOOKUP($A2286,[1]Sheet1!$N$9:$N$2584,[1]Sheet1!$O$9:$O$2584,"N/A",0)</f>
        <v>123.96</v>
      </c>
      <c r="O2286">
        <v>112.49</v>
      </c>
      <c r="P2286">
        <v>174.21</v>
      </c>
      <c r="Q2286">
        <v>56.14</v>
      </c>
      <c r="R2286">
        <v>123.96</v>
      </c>
      <c r="S2286">
        <v>144.8</v>
      </c>
    </row>
    <row r="2287" spans="1:19">
      <c r="A2287" s="1">
        <v>45687</v>
      </c>
      <c r="B2287" t="s">
        <v>1003</v>
      </c>
      <c r="C2287" t="s">
        <v>1014</v>
      </c>
      <c r="D2287">
        <v>16.7092</v>
      </c>
      <c r="E2287">
        <v>17.5228</v>
      </c>
      <c r="F2287">
        <v>0.0486917386828813</v>
      </c>
      <c r="G2287">
        <f ca="1" t="shared" si="105"/>
        <v>0.242131789314534</v>
      </c>
      <c r="H2287" t="str">
        <f ca="1" t="shared" si="106"/>
        <v>Risk-On</v>
      </c>
      <c r="I2287">
        <f ca="1" t="shared" si="107"/>
        <v>1</v>
      </c>
      <c r="J2287">
        <f>_xlfn.XLOOKUP($A2287,[1]Sheet1!$B$9:$B$2584,[1]Sheet1!$C$9:$C$2584,"N/A",0)</f>
        <v>112.01</v>
      </c>
      <c r="K2287">
        <f>_xlfn.XLOOKUP($A2287,[1]Sheet1!$E$9:$E$2584,[1]Sheet1!$F$9:$F$2584,"N/A",0)</f>
        <v>176.14</v>
      </c>
      <c r="L2287">
        <f>_xlfn.XLOOKUP($A2287,[1]Sheet1!$H$9:$H$2584,[1]Sheet1!$I$9:$I$2584,"N/A",0)</f>
        <v>55.49</v>
      </c>
      <c r="M2287">
        <f>_xlfn.XLOOKUP($A2287,[1]Sheet1!$K$9:$K$2584,[1]Sheet1!$L$9:$L$2584,"N/A",0)</f>
        <v>144.68</v>
      </c>
      <c r="N2287">
        <f>_xlfn.XLOOKUP($A2287,[1]Sheet1!$N$9:$N$2584,[1]Sheet1!$O$9:$O$2584,"N/A",0)</f>
        <v>124.1</v>
      </c>
      <c r="O2287">
        <v>112.01</v>
      </c>
      <c r="P2287">
        <v>176.14</v>
      </c>
      <c r="Q2287">
        <v>55.49</v>
      </c>
      <c r="R2287">
        <v>124.1</v>
      </c>
      <c r="S2287">
        <v>144.68</v>
      </c>
    </row>
    <row r="2288" spans="1:19">
      <c r="A2288" s="1">
        <v>45688</v>
      </c>
      <c r="B2288" t="s">
        <v>1003</v>
      </c>
      <c r="C2288" t="s">
        <v>1014</v>
      </c>
      <c r="D2288">
        <v>17.3586</v>
      </c>
      <c r="E2288">
        <v>17.986</v>
      </c>
      <c r="F2288" s="2" t="s">
        <v>1016</v>
      </c>
      <c r="G2288">
        <f ca="1" t="shared" si="105"/>
        <v>0.00850933864878035</v>
      </c>
      <c r="H2288" t="str">
        <f ca="1" t="shared" si="106"/>
        <v>Risk-On</v>
      </c>
      <c r="I2288">
        <f ca="1" t="shared" si="107"/>
        <v>1</v>
      </c>
      <c r="J2288">
        <f>_xlfn.XLOOKUP($A2288,[1]Sheet1!$B$9:$B$2584,[1]Sheet1!$C$9:$C$2584,"N/A",0)</f>
        <v>112.03</v>
      </c>
      <c r="K2288">
        <f>_xlfn.XLOOKUP($A2288,[1]Sheet1!$E$9:$E$2584,[1]Sheet1!$F$9:$F$2584,"N/A",0)</f>
        <v>175.95</v>
      </c>
      <c r="L2288">
        <f>_xlfn.XLOOKUP($A2288,[1]Sheet1!$H$9:$H$2584,[1]Sheet1!$I$9:$I$2584,"N/A",0)</f>
        <v>55.43</v>
      </c>
      <c r="M2288">
        <f>_xlfn.XLOOKUP($A2288,[1]Sheet1!$K$9:$K$2584,[1]Sheet1!$L$9:$L$2584,"N/A",0)</f>
        <v>144.14</v>
      </c>
      <c r="N2288">
        <f>_xlfn.XLOOKUP($A2288,[1]Sheet1!$N$9:$N$2584,[1]Sheet1!$O$9:$O$2584,"N/A",0)</f>
        <v>124.24</v>
      </c>
      <c r="O2288">
        <v>112.03</v>
      </c>
      <c r="P2288">
        <v>175.95</v>
      </c>
      <c r="Q2288">
        <v>55.43</v>
      </c>
      <c r="R2288">
        <v>124.24</v>
      </c>
      <c r="S2288">
        <v>144.14</v>
      </c>
    </row>
    <row r="2289" spans="1:19">
      <c r="A2289" s="1">
        <v>45691</v>
      </c>
      <c r="B2289" t="s">
        <v>1003</v>
      </c>
      <c r="C2289" t="s">
        <v>1014</v>
      </c>
      <c r="D2289">
        <v>17.9108</v>
      </c>
      <c r="E2289">
        <v>18.1335</v>
      </c>
      <c r="F2289" s="2" t="s">
        <v>1017</v>
      </c>
      <c r="G2289">
        <f ca="1" t="shared" si="105"/>
        <v>-0.435704407169777</v>
      </c>
      <c r="H2289" t="str">
        <f ca="1" t="shared" si="106"/>
        <v>Risk-On</v>
      </c>
      <c r="I2289">
        <f ca="1" t="shared" si="107"/>
        <v>1</v>
      </c>
      <c r="J2289">
        <f>_xlfn.XLOOKUP($A2289,[1]Sheet1!$B$9:$B$2584,[1]Sheet1!$C$9:$C$2584,"N/A",0)</f>
        <v>112.34</v>
      </c>
      <c r="K2289">
        <f>_xlfn.XLOOKUP($A2289,[1]Sheet1!$E$9:$E$2584,[1]Sheet1!$F$9:$F$2584,"N/A",0)</f>
        <v>178.51</v>
      </c>
      <c r="L2289">
        <f>_xlfn.XLOOKUP($A2289,[1]Sheet1!$H$9:$H$2584,[1]Sheet1!$I$9:$I$2584,"N/A",0)</f>
        <v>54.47</v>
      </c>
      <c r="M2289">
        <f>_xlfn.XLOOKUP($A2289,[1]Sheet1!$K$9:$K$2584,[1]Sheet1!$L$9:$L$2584,"N/A",0)</f>
        <v>145.09</v>
      </c>
      <c r="N2289">
        <f>_xlfn.XLOOKUP($A2289,[1]Sheet1!$N$9:$N$2584,[1]Sheet1!$O$9:$O$2584,"N/A",0)</f>
        <v>124.61</v>
      </c>
      <c r="O2289">
        <v>112.34</v>
      </c>
      <c r="P2289">
        <v>178.51</v>
      </c>
      <c r="Q2289">
        <v>54.47</v>
      </c>
      <c r="R2289">
        <v>124.61</v>
      </c>
      <c r="S2289">
        <v>145.09</v>
      </c>
    </row>
    <row r="2290" spans="1:19">
      <c r="A2290" s="1">
        <v>45692</v>
      </c>
      <c r="B2290" t="s">
        <v>1003</v>
      </c>
      <c r="C2290" t="s">
        <v>1014</v>
      </c>
      <c r="D2290">
        <v>17.2011</v>
      </c>
      <c r="E2290">
        <v>17.7673</v>
      </c>
      <c r="F2290">
        <v>0.032916499526193</v>
      </c>
      <c r="G2290">
        <f ca="1" t="shared" si="105"/>
        <v>-0.0479063144412701</v>
      </c>
      <c r="H2290" t="str">
        <f ca="1" t="shared" si="106"/>
        <v>Risk-On</v>
      </c>
      <c r="I2290">
        <f ca="1" t="shared" si="107"/>
        <v>1</v>
      </c>
      <c r="J2290">
        <f>_xlfn.XLOOKUP($A2290,[1]Sheet1!$B$9:$B$2584,[1]Sheet1!$C$9:$C$2584,"N/A",0)</f>
        <v>112.16</v>
      </c>
      <c r="K2290">
        <f>_xlfn.XLOOKUP($A2290,[1]Sheet1!$E$9:$E$2584,[1]Sheet1!$F$9:$F$2584,"N/A",0)</f>
        <v>178.61</v>
      </c>
      <c r="L2290">
        <f>_xlfn.XLOOKUP($A2290,[1]Sheet1!$H$9:$H$2584,[1]Sheet1!$I$9:$I$2584,"N/A",0)</f>
        <v>55.49</v>
      </c>
      <c r="M2290">
        <f>_xlfn.XLOOKUP($A2290,[1]Sheet1!$K$9:$K$2584,[1]Sheet1!$L$9:$L$2584,"N/A",0)</f>
        <v>145.13</v>
      </c>
      <c r="N2290">
        <f>_xlfn.XLOOKUP($A2290,[1]Sheet1!$N$9:$N$2584,[1]Sheet1!$O$9:$O$2584,"N/A",0)</f>
        <v>123.58</v>
      </c>
      <c r="O2290">
        <v>112.16</v>
      </c>
      <c r="P2290">
        <v>178.61</v>
      </c>
      <c r="Q2290">
        <v>55.49</v>
      </c>
      <c r="R2290">
        <v>123.58</v>
      </c>
      <c r="S2290">
        <v>145.13</v>
      </c>
    </row>
    <row r="2291" spans="1:19">
      <c r="A2291" s="1">
        <v>45693</v>
      </c>
      <c r="B2291" t="s">
        <v>1003</v>
      </c>
      <c r="C2291" t="s">
        <v>1014</v>
      </c>
      <c r="D2291">
        <v>16.7703</v>
      </c>
      <c r="E2291">
        <v>17.491</v>
      </c>
      <c r="F2291">
        <v>0.0429747828005462</v>
      </c>
      <c r="G2291">
        <f ca="1" t="shared" si="105"/>
        <v>0.144760009446753</v>
      </c>
      <c r="H2291" t="str">
        <f ca="1" t="shared" si="106"/>
        <v>Risk-On</v>
      </c>
      <c r="I2291">
        <f ca="1" t="shared" si="107"/>
        <v>1</v>
      </c>
      <c r="J2291">
        <f>_xlfn.XLOOKUP($A2291,[1]Sheet1!$B$9:$B$2584,[1]Sheet1!$C$9:$C$2584,"N/A",0)</f>
        <v>111.98</v>
      </c>
      <c r="K2291">
        <f>_xlfn.XLOOKUP($A2291,[1]Sheet1!$E$9:$E$2584,[1]Sheet1!$F$9:$F$2584,"N/A",0)</f>
        <v>181.15</v>
      </c>
      <c r="L2291">
        <f>_xlfn.XLOOKUP($A2291,[1]Sheet1!$H$9:$H$2584,[1]Sheet1!$I$9:$I$2584,"N/A",0)</f>
        <v>55.14</v>
      </c>
      <c r="M2291">
        <f>_xlfn.XLOOKUP($A2291,[1]Sheet1!$K$9:$K$2584,[1]Sheet1!$L$9:$L$2584,"N/A",0)</f>
        <v>145.08</v>
      </c>
      <c r="N2291">
        <f>_xlfn.XLOOKUP($A2291,[1]Sheet1!$N$9:$N$2584,[1]Sheet1!$O$9:$O$2584,"N/A",0)</f>
        <v>123.46</v>
      </c>
      <c r="O2291">
        <v>111.98</v>
      </c>
      <c r="P2291">
        <v>181.15</v>
      </c>
      <c r="Q2291">
        <v>55.14</v>
      </c>
      <c r="R2291">
        <v>123.46</v>
      </c>
      <c r="S2291">
        <v>145.08</v>
      </c>
    </row>
    <row r="2292" spans="1:19">
      <c r="A2292" s="1">
        <v>45694</v>
      </c>
      <c r="B2292" t="s">
        <v>1003</v>
      </c>
      <c r="C2292" t="s">
        <v>1014</v>
      </c>
      <c r="D2292">
        <v>16.5795</v>
      </c>
      <c r="E2292">
        <v>17.4335</v>
      </c>
      <c r="F2292">
        <v>0.0515093941313066</v>
      </c>
      <c r="G2292">
        <f ca="1" t="shared" si="105"/>
        <v>0.30888702542368</v>
      </c>
      <c r="H2292" t="str">
        <f ca="1" t="shared" si="106"/>
        <v>Risk-On</v>
      </c>
      <c r="I2292">
        <f ca="1" t="shared" si="107"/>
        <v>1</v>
      </c>
      <c r="J2292">
        <f>_xlfn.XLOOKUP($A2292,[1]Sheet1!$B$9:$B$2584,[1]Sheet1!$C$9:$C$2584,"N/A",0)</f>
        <v>112.82</v>
      </c>
      <c r="K2292">
        <f>_xlfn.XLOOKUP($A2292,[1]Sheet1!$E$9:$E$2584,[1]Sheet1!$F$9:$F$2584,"N/A",0)</f>
        <v>183.63</v>
      </c>
      <c r="L2292">
        <f>_xlfn.XLOOKUP($A2292,[1]Sheet1!$H$9:$H$2584,[1]Sheet1!$I$9:$I$2584,"N/A",0)</f>
        <v>55.01</v>
      </c>
      <c r="M2292">
        <f>_xlfn.XLOOKUP($A2292,[1]Sheet1!$K$9:$K$2584,[1]Sheet1!$L$9:$L$2584,"N/A",0)</f>
        <v>145.41</v>
      </c>
      <c r="N2292">
        <f>_xlfn.XLOOKUP($A2292,[1]Sheet1!$N$9:$N$2584,[1]Sheet1!$O$9:$O$2584,"N/A",0)</f>
        <v>124.48</v>
      </c>
      <c r="O2292">
        <v>112.82</v>
      </c>
      <c r="P2292">
        <v>183.63</v>
      </c>
      <c r="Q2292">
        <v>55.01</v>
      </c>
      <c r="R2292">
        <v>124.48</v>
      </c>
      <c r="S2292">
        <v>145.41</v>
      </c>
    </row>
    <row r="2293" spans="1:19">
      <c r="A2293" s="1">
        <v>45695</v>
      </c>
      <c r="B2293" t="s">
        <v>1003</v>
      </c>
      <c r="C2293" t="s">
        <v>1014</v>
      </c>
      <c r="D2293">
        <v>17.3458</v>
      </c>
      <c r="E2293">
        <v>17.9512</v>
      </c>
      <c r="F2293" s="2" t="s">
        <v>1018</v>
      </c>
      <c r="G2293">
        <f ca="1" t="shared" si="105"/>
        <v>-0.000631746220453169</v>
      </c>
      <c r="H2293" t="str">
        <f ca="1" t="shared" si="106"/>
        <v>Risk-On</v>
      </c>
      <c r="I2293">
        <f ca="1" t="shared" si="107"/>
        <v>1</v>
      </c>
      <c r="J2293">
        <f>_xlfn.XLOOKUP($A2293,[1]Sheet1!$B$9:$B$2584,[1]Sheet1!$C$9:$C$2584,"N/A",0)</f>
        <v>113.75</v>
      </c>
      <c r="K2293">
        <f>_xlfn.XLOOKUP($A2293,[1]Sheet1!$E$9:$E$2584,[1]Sheet1!$F$9:$F$2584,"N/A",0)</f>
        <v>184.2</v>
      </c>
      <c r="L2293">
        <f>_xlfn.XLOOKUP($A2293,[1]Sheet1!$H$9:$H$2584,[1]Sheet1!$I$9:$I$2584,"N/A",0)</f>
        <v>55.09</v>
      </c>
      <c r="M2293">
        <f>_xlfn.XLOOKUP($A2293,[1]Sheet1!$K$9:$K$2584,[1]Sheet1!$L$9:$L$2584,"N/A",0)</f>
        <v>145.6</v>
      </c>
      <c r="N2293">
        <f>_xlfn.XLOOKUP($A2293,[1]Sheet1!$N$9:$N$2584,[1]Sheet1!$O$9:$O$2584,"N/A",0)</f>
        <v>124.74</v>
      </c>
      <c r="O2293">
        <v>113.75</v>
      </c>
      <c r="P2293">
        <v>184.2</v>
      </c>
      <c r="Q2293">
        <v>55.09</v>
      </c>
      <c r="R2293">
        <v>124.74</v>
      </c>
      <c r="S2293">
        <v>145.6</v>
      </c>
    </row>
    <row r="2294" spans="1:19">
      <c r="A2294" s="1">
        <v>45698</v>
      </c>
      <c r="B2294" t="s">
        <v>1003</v>
      </c>
      <c r="C2294" t="s">
        <v>1014</v>
      </c>
      <c r="D2294">
        <v>16.7021</v>
      </c>
      <c r="E2294">
        <v>17.5244</v>
      </c>
      <c r="F2294">
        <v>0.0492333299405463</v>
      </c>
      <c r="G2294">
        <f ca="1" t="shared" si="105"/>
        <v>0.275914347233597</v>
      </c>
      <c r="H2294" t="str">
        <f ca="1" t="shared" si="106"/>
        <v>Risk-On</v>
      </c>
      <c r="I2294">
        <f ca="1" t="shared" si="107"/>
        <v>1</v>
      </c>
      <c r="J2294">
        <f>_xlfn.XLOOKUP($A2294,[1]Sheet1!$B$9:$B$2584,[1]Sheet1!$C$9:$C$2584,"N/A",0)</f>
        <v>113.41</v>
      </c>
      <c r="K2294">
        <f>_xlfn.XLOOKUP($A2294,[1]Sheet1!$E$9:$E$2584,[1]Sheet1!$F$9:$F$2584,"N/A",0)</f>
        <v>183.63</v>
      </c>
      <c r="L2294">
        <f>_xlfn.XLOOKUP($A2294,[1]Sheet1!$H$9:$H$2584,[1]Sheet1!$I$9:$I$2584,"N/A",0)</f>
        <v>55.11</v>
      </c>
      <c r="M2294">
        <f>_xlfn.XLOOKUP($A2294,[1]Sheet1!$K$9:$K$2584,[1]Sheet1!$L$9:$L$2584,"N/A",0)</f>
        <v>145.67</v>
      </c>
      <c r="N2294">
        <f>_xlfn.XLOOKUP($A2294,[1]Sheet1!$N$9:$N$2584,[1]Sheet1!$O$9:$O$2584,"N/A",0)</f>
        <v>124.95</v>
      </c>
      <c r="O2294">
        <v>113.41</v>
      </c>
      <c r="P2294">
        <v>183.63</v>
      </c>
      <c r="Q2294">
        <v>55.11</v>
      </c>
      <c r="R2294">
        <v>124.95</v>
      </c>
      <c r="S2294">
        <v>145.67</v>
      </c>
    </row>
    <row r="2295" spans="1:19">
      <c r="A2295" s="1">
        <v>45699</v>
      </c>
      <c r="B2295" t="s">
        <v>1003</v>
      </c>
      <c r="C2295" t="s">
        <v>1014</v>
      </c>
      <c r="D2295">
        <v>16.7694</v>
      </c>
      <c r="E2295">
        <v>17.5614</v>
      </c>
      <c r="F2295">
        <v>0.0472288811764283</v>
      </c>
      <c r="G2295">
        <f ca="1" t="shared" si="105"/>
        <v>0.242904037543328</v>
      </c>
      <c r="H2295" t="str">
        <f ca="1" t="shared" si="106"/>
        <v>Risk-On</v>
      </c>
      <c r="I2295">
        <f ca="1" t="shared" si="107"/>
        <v>1</v>
      </c>
      <c r="J2295">
        <f>_xlfn.XLOOKUP($A2295,[1]Sheet1!$B$9:$B$2584,[1]Sheet1!$C$9:$C$2584,"N/A",0)</f>
        <v>112.89</v>
      </c>
      <c r="K2295">
        <f>_xlfn.XLOOKUP($A2295,[1]Sheet1!$E$9:$E$2584,[1]Sheet1!$F$9:$F$2584,"N/A",0)</f>
        <v>181.83</v>
      </c>
      <c r="L2295">
        <f>_xlfn.XLOOKUP($A2295,[1]Sheet1!$H$9:$H$2584,[1]Sheet1!$I$9:$I$2584,"N/A",0)</f>
        <v>55.14</v>
      </c>
      <c r="M2295">
        <f>_xlfn.XLOOKUP($A2295,[1]Sheet1!$K$9:$K$2584,[1]Sheet1!$L$9:$L$2584,"N/A",0)</f>
        <v>145.5</v>
      </c>
      <c r="N2295">
        <f>_xlfn.XLOOKUP($A2295,[1]Sheet1!$N$9:$N$2584,[1]Sheet1!$O$9:$O$2584,"N/A",0)</f>
        <v>124.91</v>
      </c>
      <c r="O2295">
        <v>112.89</v>
      </c>
      <c r="P2295">
        <v>181.83</v>
      </c>
      <c r="Q2295">
        <v>55.14</v>
      </c>
      <c r="R2295">
        <v>124.91</v>
      </c>
      <c r="S2295">
        <v>145.5</v>
      </c>
    </row>
    <row r="2296" spans="1:19">
      <c r="A2296" s="1">
        <v>45700</v>
      </c>
      <c r="B2296" t="s">
        <v>1003</v>
      </c>
      <c r="C2296" t="s">
        <v>1014</v>
      </c>
      <c r="D2296">
        <v>16.8012</v>
      </c>
      <c r="E2296">
        <v>17.4799</v>
      </c>
      <c r="F2296" s="2" t="s">
        <v>1019</v>
      </c>
      <c r="G2296">
        <f ca="1" t="shared" si="105"/>
        <v>0.119542291224683</v>
      </c>
      <c r="H2296" t="str">
        <f ca="1" t="shared" si="106"/>
        <v>Risk-On</v>
      </c>
      <c r="I2296">
        <f ca="1" t="shared" si="107"/>
        <v>1</v>
      </c>
      <c r="J2296">
        <f>_xlfn.XLOOKUP($A2296,[1]Sheet1!$B$9:$B$2584,[1]Sheet1!$C$9:$C$2584,"N/A",0)</f>
        <v>113.12</v>
      </c>
      <c r="K2296">
        <f>_xlfn.XLOOKUP($A2296,[1]Sheet1!$E$9:$E$2584,[1]Sheet1!$F$9:$F$2584,"N/A",0)</f>
        <v>181.64</v>
      </c>
      <c r="L2296">
        <f>_xlfn.XLOOKUP($A2296,[1]Sheet1!$H$9:$H$2584,[1]Sheet1!$I$9:$I$2584,"N/A",0)</f>
        <v>55.32</v>
      </c>
      <c r="M2296">
        <f>_xlfn.XLOOKUP($A2296,[1]Sheet1!$K$9:$K$2584,[1]Sheet1!$L$9:$L$2584,"N/A",0)</f>
        <v>145.23</v>
      </c>
      <c r="N2296">
        <f>_xlfn.XLOOKUP($A2296,[1]Sheet1!$N$9:$N$2584,[1]Sheet1!$O$9:$O$2584,"N/A",0)</f>
        <v>125.58</v>
      </c>
      <c r="O2296">
        <v>113.12</v>
      </c>
      <c r="P2296">
        <v>181.64</v>
      </c>
      <c r="Q2296">
        <v>55.32</v>
      </c>
      <c r="R2296">
        <v>125.58</v>
      </c>
      <c r="S2296">
        <v>145.23</v>
      </c>
    </row>
    <row r="2297" spans="1:19">
      <c r="A2297" s="1">
        <v>45701</v>
      </c>
      <c r="B2297" t="s">
        <v>1003</v>
      </c>
      <c r="C2297" t="s">
        <v>1014</v>
      </c>
      <c r="D2297">
        <v>16.1349</v>
      </c>
      <c r="E2297">
        <v>17.2427</v>
      </c>
      <c r="F2297">
        <v>0.0686586219933189</v>
      </c>
      <c r="G2297">
        <f ca="1" t="shared" si="105"/>
        <v>0.661334924010435</v>
      </c>
      <c r="H2297" t="str">
        <f ca="1" t="shared" si="106"/>
        <v>Risk-On</v>
      </c>
      <c r="I2297">
        <f ca="1" t="shared" si="107"/>
        <v>1</v>
      </c>
      <c r="J2297">
        <f>_xlfn.XLOOKUP($A2297,[1]Sheet1!$B$9:$B$2584,[1]Sheet1!$C$9:$C$2584,"N/A",0)</f>
        <v>112.97</v>
      </c>
      <c r="K2297">
        <f>_xlfn.XLOOKUP($A2297,[1]Sheet1!$E$9:$E$2584,[1]Sheet1!$F$9:$F$2584,"N/A",0)</f>
        <v>181.31</v>
      </c>
      <c r="L2297">
        <f>_xlfn.XLOOKUP($A2297,[1]Sheet1!$H$9:$H$2584,[1]Sheet1!$I$9:$I$2584,"N/A",0)</f>
        <v>55.62</v>
      </c>
      <c r="M2297">
        <f>_xlfn.XLOOKUP($A2297,[1]Sheet1!$K$9:$K$2584,[1]Sheet1!$L$9:$L$2584,"N/A",0)</f>
        <v>145.06</v>
      </c>
      <c r="N2297">
        <f>_xlfn.XLOOKUP($A2297,[1]Sheet1!$N$9:$N$2584,[1]Sheet1!$O$9:$O$2584,"N/A",0)</f>
        <v>125.04</v>
      </c>
      <c r="O2297">
        <v>112.97</v>
      </c>
      <c r="P2297">
        <v>181.31</v>
      </c>
      <c r="Q2297">
        <v>55.62</v>
      </c>
      <c r="R2297">
        <v>125.04</v>
      </c>
      <c r="S2297">
        <v>145.06</v>
      </c>
    </row>
    <row r="2298" spans="1:19">
      <c r="A2298" s="1">
        <v>45702</v>
      </c>
      <c r="B2298" t="s">
        <v>1003</v>
      </c>
      <c r="C2298" t="s">
        <v>1014</v>
      </c>
      <c r="D2298">
        <v>16.0117</v>
      </c>
      <c r="E2298">
        <v>17.1818</v>
      </c>
      <c r="F2298">
        <v>0.0730778118500845</v>
      </c>
      <c r="G2298">
        <f ca="1" t="shared" si="105"/>
        <v>0.742757894465689</v>
      </c>
      <c r="H2298" t="str">
        <f ca="1" t="shared" si="106"/>
        <v>Risk-On</v>
      </c>
      <c r="I2298">
        <f ca="1" t="shared" si="107"/>
        <v>1</v>
      </c>
      <c r="J2298">
        <f>_xlfn.XLOOKUP($A2298,[1]Sheet1!$B$9:$B$2584,[1]Sheet1!$C$9:$C$2584,"N/A",0)</f>
        <v>112.67</v>
      </c>
      <c r="K2298">
        <f>_xlfn.XLOOKUP($A2298,[1]Sheet1!$E$9:$E$2584,[1]Sheet1!$F$9:$F$2584,"N/A",0)</f>
        <v>180.24</v>
      </c>
      <c r="L2298">
        <f>_xlfn.XLOOKUP($A2298,[1]Sheet1!$H$9:$H$2584,[1]Sheet1!$I$9:$I$2584,"N/A",0)</f>
        <v>56.06</v>
      </c>
      <c r="M2298">
        <f>_xlfn.XLOOKUP($A2298,[1]Sheet1!$K$9:$K$2584,[1]Sheet1!$L$9:$L$2584,"N/A",0)</f>
        <v>144.67</v>
      </c>
      <c r="N2298">
        <f>_xlfn.XLOOKUP($A2298,[1]Sheet1!$N$9:$N$2584,[1]Sheet1!$O$9:$O$2584,"N/A",0)</f>
        <v>125.79</v>
      </c>
      <c r="O2298">
        <v>112.67</v>
      </c>
      <c r="P2298">
        <v>180.24</v>
      </c>
      <c r="Q2298">
        <v>56.06</v>
      </c>
      <c r="R2298">
        <v>125.79</v>
      </c>
      <c r="S2298">
        <v>144.67</v>
      </c>
    </row>
    <row r="2299" spans="1:19">
      <c r="A2299" s="1">
        <v>45706</v>
      </c>
      <c r="B2299" t="s">
        <v>1003</v>
      </c>
      <c r="C2299" t="s">
        <v>1014</v>
      </c>
      <c r="D2299">
        <v>15.6602</v>
      </c>
      <c r="E2299">
        <v>17.1256</v>
      </c>
      <c r="F2299">
        <v>0.0935747947024941</v>
      </c>
      <c r="G2299">
        <f ca="1" t="shared" si="105"/>
        <v>1.12977741431615</v>
      </c>
      <c r="H2299" t="str">
        <f ca="1" t="shared" si="106"/>
        <v>Risk-On</v>
      </c>
      <c r="I2299">
        <f ca="1" t="shared" si="107"/>
        <v>1</v>
      </c>
      <c r="J2299">
        <f>_xlfn.XLOOKUP($A2299,[1]Sheet1!$B$9:$B$2584,[1]Sheet1!$C$9:$C$2584,"N/A",0)</f>
        <v>113.08</v>
      </c>
      <c r="K2299">
        <f>_xlfn.XLOOKUP($A2299,[1]Sheet1!$E$9:$E$2584,[1]Sheet1!$F$9:$F$2584,"N/A",0)</f>
        <v>177.53</v>
      </c>
      <c r="L2299">
        <f>_xlfn.XLOOKUP($A2299,[1]Sheet1!$H$9:$H$2584,[1]Sheet1!$I$9:$I$2584,"N/A",0)</f>
        <v>55.87</v>
      </c>
      <c r="M2299">
        <f>_xlfn.XLOOKUP($A2299,[1]Sheet1!$K$9:$K$2584,[1]Sheet1!$L$9:$L$2584,"N/A",0)</f>
        <v>144.2</v>
      </c>
      <c r="N2299">
        <f>_xlfn.XLOOKUP($A2299,[1]Sheet1!$N$9:$N$2584,[1]Sheet1!$O$9:$O$2584,"N/A",0)</f>
        <v>125.46</v>
      </c>
      <c r="O2299">
        <v>113.08</v>
      </c>
      <c r="P2299">
        <v>177.53</v>
      </c>
      <c r="Q2299">
        <v>55.87</v>
      </c>
      <c r="R2299">
        <v>125.46</v>
      </c>
      <c r="S2299">
        <v>144.2</v>
      </c>
    </row>
    <row r="2300" spans="1:19">
      <c r="A2300" s="1">
        <v>45707</v>
      </c>
      <c r="B2300" t="s">
        <v>1003</v>
      </c>
      <c r="C2300" t="s">
        <v>1014</v>
      </c>
      <c r="D2300">
        <v>15.94</v>
      </c>
      <c r="E2300">
        <v>16.9066</v>
      </c>
      <c r="F2300">
        <v>0.0606398996235885</v>
      </c>
      <c r="G2300">
        <f ca="1" t="shared" si="105"/>
        <v>0.499531503875179</v>
      </c>
      <c r="H2300" t="str">
        <f ca="1" t="shared" si="106"/>
        <v>Risk-On</v>
      </c>
      <c r="I2300">
        <f ca="1" t="shared" si="107"/>
        <v>1</v>
      </c>
      <c r="J2300">
        <f>_xlfn.XLOOKUP($A2300,[1]Sheet1!$B$9:$B$2584,[1]Sheet1!$C$9:$C$2584,"N/A",0)</f>
        <v>112.81</v>
      </c>
      <c r="K2300">
        <f>_xlfn.XLOOKUP($A2300,[1]Sheet1!$E$9:$E$2584,[1]Sheet1!$F$9:$F$2584,"N/A",0)</f>
        <v>177.91</v>
      </c>
      <c r="L2300">
        <f>_xlfn.XLOOKUP($A2300,[1]Sheet1!$H$9:$H$2584,[1]Sheet1!$I$9:$I$2584,"N/A",0)</f>
        <v>55.97</v>
      </c>
      <c r="M2300">
        <f>_xlfn.XLOOKUP($A2300,[1]Sheet1!$K$9:$K$2584,[1]Sheet1!$L$9:$L$2584,"N/A",0)</f>
        <v>143.96</v>
      </c>
      <c r="N2300">
        <f>_xlfn.XLOOKUP($A2300,[1]Sheet1!$N$9:$N$2584,[1]Sheet1!$O$9:$O$2584,"N/A",0)</f>
        <v>126.47</v>
      </c>
      <c r="O2300">
        <v>112.81</v>
      </c>
      <c r="P2300">
        <v>177.91</v>
      </c>
      <c r="Q2300">
        <v>55.97</v>
      </c>
      <c r="R2300">
        <v>126.47</v>
      </c>
      <c r="S2300">
        <v>143.96</v>
      </c>
    </row>
    <row r="2301" spans="1:19">
      <c r="A2301" s="1">
        <v>45708</v>
      </c>
      <c r="B2301" t="s">
        <v>1014</v>
      </c>
      <c r="C2301" t="s">
        <v>1020</v>
      </c>
      <c r="D2301">
        <v>17.0326</v>
      </c>
      <c r="E2301">
        <v>17.8579</v>
      </c>
      <c r="F2301" s="2" t="s">
        <v>1021</v>
      </c>
      <c r="G2301">
        <f ca="1" t="shared" si="105"/>
        <v>0.268936972026328</v>
      </c>
      <c r="H2301" t="str">
        <f ca="1" t="shared" si="106"/>
        <v>Risk-On</v>
      </c>
      <c r="I2301">
        <f ca="1" t="shared" si="107"/>
        <v>1</v>
      </c>
      <c r="J2301">
        <f>_xlfn.XLOOKUP($A2301,[1]Sheet1!$B$9:$B$2584,[1]Sheet1!$C$9:$C$2584,"N/A",0)</f>
        <v>112.26</v>
      </c>
      <c r="K2301">
        <f>_xlfn.XLOOKUP($A2301,[1]Sheet1!$E$9:$E$2584,[1]Sheet1!$F$9:$F$2584,"N/A",0)</f>
        <v>175.6</v>
      </c>
      <c r="L2301">
        <f>_xlfn.XLOOKUP($A2301,[1]Sheet1!$H$9:$H$2584,[1]Sheet1!$I$9:$I$2584,"N/A",0)</f>
        <v>56.37</v>
      </c>
      <c r="M2301">
        <f>_xlfn.XLOOKUP($A2301,[1]Sheet1!$K$9:$K$2584,[1]Sheet1!$L$9:$L$2584,"N/A",0)</f>
        <v>143.08</v>
      </c>
      <c r="N2301">
        <f>_xlfn.XLOOKUP($A2301,[1]Sheet1!$N$9:$N$2584,[1]Sheet1!$O$9:$O$2584,"N/A",0)</f>
        <v>127.17</v>
      </c>
      <c r="O2301">
        <v>112.26</v>
      </c>
      <c r="P2301">
        <v>175.6</v>
      </c>
      <c r="Q2301">
        <v>56.37</v>
      </c>
      <c r="R2301">
        <v>127.17</v>
      </c>
      <c r="S2301">
        <v>143.08</v>
      </c>
    </row>
    <row r="2302" spans="1:19">
      <c r="A2302" s="1">
        <v>45709</v>
      </c>
      <c r="B2302" t="s">
        <v>1014</v>
      </c>
      <c r="C2302" t="s">
        <v>1020</v>
      </c>
      <c r="D2302">
        <v>18.3007</v>
      </c>
      <c r="E2302">
        <v>18.699</v>
      </c>
      <c r="F2302" s="2" t="s">
        <v>1022</v>
      </c>
      <c r="G2302">
        <f ca="1" t="shared" si="105"/>
        <v>-0.2368496240417</v>
      </c>
      <c r="H2302" t="str">
        <f ca="1" t="shared" si="106"/>
        <v>Risk-On</v>
      </c>
      <c r="I2302">
        <f ca="1" t="shared" si="107"/>
        <v>1</v>
      </c>
      <c r="J2302">
        <f>_xlfn.XLOOKUP($A2302,[1]Sheet1!$B$9:$B$2584,[1]Sheet1!$C$9:$C$2584,"N/A",0)</f>
        <v>111.48</v>
      </c>
      <c r="K2302">
        <f>_xlfn.XLOOKUP($A2302,[1]Sheet1!$E$9:$E$2584,[1]Sheet1!$F$9:$F$2584,"N/A",0)</f>
        <v>174.59</v>
      </c>
      <c r="L2302">
        <f>_xlfn.XLOOKUP($A2302,[1]Sheet1!$H$9:$H$2584,[1]Sheet1!$I$9:$I$2584,"N/A",0)</f>
        <v>56.18</v>
      </c>
      <c r="M2302">
        <f>_xlfn.XLOOKUP($A2302,[1]Sheet1!$K$9:$K$2584,[1]Sheet1!$L$9:$L$2584,"N/A",0)</f>
        <v>142.64</v>
      </c>
      <c r="N2302">
        <f>_xlfn.XLOOKUP($A2302,[1]Sheet1!$N$9:$N$2584,[1]Sheet1!$O$9:$O$2584,"N/A",0)</f>
        <v>127.32</v>
      </c>
      <c r="O2302">
        <v>111.48</v>
      </c>
      <c r="P2302">
        <v>174.59</v>
      </c>
      <c r="Q2302">
        <v>56.18</v>
      </c>
      <c r="R2302">
        <v>127.32</v>
      </c>
      <c r="S2302">
        <v>142.64</v>
      </c>
    </row>
    <row r="2303" spans="1:19">
      <c r="A2303" s="1">
        <v>45712</v>
      </c>
      <c r="B2303" t="s">
        <v>1014</v>
      </c>
      <c r="C2303" t="s">
        <v>1020</v>
      </c>
      <c r="D2303">
        <v>18.4302</v>
      </c>
      <c r="E2303">
        <v>18.7684</v>
      </c>
      <c r="F2303" s="2" t="s">
        <v>1023</v>
      </c>
      <c r="G2303">
        <f ca="1" t="shared" si="105"/>
        <v>-0.2992466587196</v>
      </c>
      <c r="H2303" t="str">
        <f ca="1" t="shared" si="106"/>
        <v>Risk-On</v>
      </c>
      <c r="I2303">
        <f ca="1" t="shared" si="107"/>
        <v>1</v>
      </c>
      <c r="J2303">
        <f>_xlfn.XLOOKUP($A2303,[1]Sheet1!$B$9:$B$2584,[1]Sheet1!$C$9:$C$2584,"N/A",0)</f>
        <v>111.49</v>
      </c>
      <c r="K2303">
        <f>_xlfn.XLOOKUP($A2303,[1]Sheet1!$E$9:$E$2584,[1]Sheet1!$F$9:$F$2584,"N/A",0)</f>
        <v>173.74</v>
      </c>
      <c r="L2303">
        <f>_xlfn.XLOOKUP($A2303,[1]Sheet1!$H$9:$H$2584,[1]Sheet1!$I$9:$I$2584,"N/A",0)</f>
        <v>56.05</v>
      </c>
      <c r="M2303">
        <f>_xlfn.XLOOKUP($A2303,[1]Sheet1!$K$9:$K$2584,[1]Sheet1!$L$9:$L$2584,"N/A",0)</f>
        <v>142.52</v>
      </c>
      <c r="N2303">
        <f>_xlfn.XLOOKUP($A2303,[1]Sheet1!$N$9:$N$2584,[1]Sheet1!$O$9:$O$2584,"N/A",0)</f>
        <v>127.04</v>
      </c>
      <c r="O2303">
        <v>111.49</v>
      </c>
      <c r="P2303">
        <v>173.74</v>
      </c>
      <c r="Q2303">
        <v>56.05</v>
      </c>
      <c r="R2303">
        <v>127.04</v>
      </c>
      <c r="S2303">
        <v>142.52</v>
      </c>
    </row>
    <row r="2304" spans="1:19">
      <c r="A2304" s="1">
        <v>45713</v>
      </c>
      <c r="B2304" t="s">
        <v>1014</v>
      </c>
      <c r="C2304" t="s">
        <v>1020</v>
      </c>
      <c r="D2304">
        <v>18.4836</v>
      </c>
      <c r="E2304">
        <v>18.7907</v>
      </c>
      <c r="F2304" s="2" t="s">
        <v>1024</v>
      </c>
      <c r="G2304">
        <f ca="1" t="shared" si="105"/>
        <v>-0.332052257580534</v>
      </c>
      <c r="H2304" t="str">
        <f ca="1" t="shared" si="106"/>
        <v>Risk-On</v>
      </c>
      <c r="I2304">
        <f ca="1" t="shared" si="107"/>
        <v>1</v>
      </c>
      <c r="J2304">
        <f>_xlfn.XLOOKUP($A2304,[1]Sheet1!$B$9:$B$2584,[1]Sheet1!$C$9:$C$2584,"N/A",0)</f>
        <v>111.71</v>
      </c>
      <c r="K2304">
        <f>_xlfn.XLOOKUP($A2304,[1]Sheet1!$E$9:$E$2584,[1]Sheet1!$F$9:$F$2584,"N/A",0)</f>
        <v>173.3</v>
      </c>
      <c r="L2304">
        <f>_xlfn.XLOOKUP($A2304,[1]Sheet1!$H$9:$H$2584,[1]Sheet1!$I$9:$I$2584,"N/A",0)</f>
        <v>55.9</v>
      </c>
      <c r="M2304">
        <f>_xlfn.XLOOKUP($A2304,[1]Sheet1!$K$9:$K$2584,[1]Sheet1!$L$9:$L$2584,"N/A",0)</f>
        <v>143.69</v>
      </c>
      <c r="N2304">
        <f>_xlfn.XLOOKUP($A2304,[1]Sheet1!$N$9:$N$2584,[1]Sheet1!$O$9:$O$2584,"N/A",0)</f>
        <v>126.5</v>
      </c>
      <c r="O2304">
        <v>111.71</v>
      </c>
      <c r="P2304">
        <v>173.3</v>
      </c>
      <c r="Q2304">
        <v>55.9</v>
      </c>
      <c r="R2304">
        <v>126.5</v>
      </c>
      <c r="S2304">
        <v>143.69</v>
      </c>
    </row>
    <row r="2305" spans="1:19">
      <c r="A2305" s="1">
        <v>45714</v>
      </c>
      <c r="B2305" t="s">
        <v>1014</v>
      </c>
      <c r="C2305" t="s">
        <v>1020</v>
      </c>
      <c r="D2305">
        <v>18.1337</v>
      </c>
      <c r="E2305">
        <v>18.6034</v>
      </c>
      <c r="F2305" s="2" t="s">
        <v>1025</v>
      </c>
      <c r="G2305">
        <f ca="1" t="shared" si="105"/>
        <v>-0.152735409275258</v>
      </c>
      <c r="H2305" t="str">
        <f ca="1" t="shared" si="106"/>
        <v>Risk-On</v>
      </c>
      <c r="I2305">
        <f ca="1" t="shared" si="107"/>
        <v>1</v>
      </c>
      <c r="J2305">
        <f>_xlfn.XLOOKUP($A2305,[1]Sheet1!$B$9:$B$2584,[1]Sheet1!$C$9:$C$2584,"N/A",0)</f>
        <v>111.98</v>
      </c>
      <c r="K2305">
        <f>_xlfn.XLOOKUP($A2305,[1]Sheet1!$E$9:$E$2584,[1]Sheet1!$F$9:$F$2584,"N/A",0)</f>
        <v>175.76</v>
      </c>
      <c r="L2305">
        <f>_xlfn.XLOOKUP($A2305,[1]Sheet1!$H$9:$H$2584,[1]Sheet1!$I$9:$I$2584,"N/A",0)</f>
        <v>55.69</v>
      </c>
      <c r="M2305">
        <f>_xlfn.XLOOKUP($A2305,[1]Sheet1!$K$9:$K$2584,[1]Sheet1!$L$9:$L$2584,"N/A",0)</f>
        <v>143.71</v>
      </c>
      <c r="N2305">
        <f>_xlfn.XLOOKUP($A2305,[1]Sheet1!$N$9:$N$2584,[1]Sheet1!$O$9:$O$2584,"N/A",0)</f>
        <v>126.96</v>
      </c>
      <c r="O2305">
        <v>111.98</v>
      </c>
      <c r="P2305">
        <v>175.76</v>
      </c>
      <c r="Q2305">
        <v>55.69</v>
      </c>
      <c r="R2305">
        <v>126.96</v>
      </c>
      <c r="S2305">
        <v>143.71</v>
      </c>
    </row>
    <row r="2306" spans="1:19">
      <c r="A2306" s="1">
        <v>45715</v>
      </c>
      <c r="B2306" t="s">
        <v>1014</v>
      </c>
      <c r="C2306" t="s">
        <v>1020</v>
      </c>
      <c r="D2306">
        <v>19.3063</v>
      </c>
      <c r="E2306">
        <v>19.4276</v>
      </c>
      <c r="F2306">
        <v>0.00628292319087559</v>
      </c>
      <c r="G2306">
        <f ca="1" t="shared" si="105"/>
        <v>-0.518331709650464</v>
      </c>
      <c r="H2306" t="str">
        <f ca="1" t="shared" si="106"/>
        <v>Risk-On</v>
      </c>
      <c r="I2306">
        <f ca="1" t="shared" si="107"/>
        <v>1</v>
      </c>
      <c r="J2306">
        <f>_xlfn.XLOOKUP($A2306,[1]Sheet1!$B$9:$B$2584,[1]Sheet1!$C$9:$C$2584,"N/A",0)</f>
        <v>112.03</v>
      </c>
      <c r="K2306">
        <f>_xlfn.XLOOKUP($A2306,[1]Sheet1!$E$9:$E$2584,[1]Sheet1!$F$9:$F$2584,"N/A",0)</f>
        <v>175.49</v>
      </c>
      <c r="L2306">
        <f>_xlfn.XLOOKUP($A2306,[1]Sheet1!$H$9:$H$2584,[1]Sheet1!$I$9:$I$2584,"N/A",0)</f>
        <v>55.09</v>
      </c>
      <c r="M2306">
        <f>_xlfn.XLOOKUP($A2306,[1]Sheet1!$K$9:$K$2584,[1]Sheet1!$L$9:$L$2584,"N/A",0)</f>
        <v>143.85</v>
      </c>
      <c r="N2306">
        <f>_xlfn.XLOOKUP($A2306,[1]Sheet1!$N$9:$N$2584,[1]Sheet1!$O$9:$O$2584,"N/A",0)</f>
        <v>128.07</v>
      </c>
      <c r="O2306">
        <v>112.03</v>
      </c>
      <c r="P2306">
        <v>175.49</v>
      </c>
      <c r="Q2306">
        <v>55.09</v>
      </c>
      <c r="R2306">
        <v>128.07</v>
      </c>
      <c r="S2306">
        <v>143.85</v>
      </c>
    </row>
    <row r="2307" spans="1:19">
      <c r="A2307" s="1">
        <v>45716</v>
      </c>
      <c r="B2307" t="s">
        <v>1014</v>
      </c>
      <c r="C2307" t="s">
        <v>1020</v>
      </c>
      <c r="D2307">
        <v>18.8291</v>
      </c>
      <c r="E2307">
        <v>19.0461</v>
      </c>
      <c r="F2307" s="2" t="s">
        <v>1026</v>
      </c>
      <c r="G2307">
        <f ca="1" t="shared" ref="G2307:G2370" si="108">IF(ROW()-ROW($A$3)+1&gt;252,(F2307-AVERAGE(OFFSET(F2307,-252,0,252,1)))/_xlfn.STDEV.S(OFFSET(F2307,-252,0,252,1)),"N/A")</f>
        <v>-0.412824335056994</v>
      </c>
      <c r="H2307" t="str">
        <f ca="1" t="shared" ref="H2307:H2370" si="109">IF(G2307&lt;&gt;"N/A",IF(G2557&gt;-0.5,"Risk-On","Risk-Off"),"N/A")</f>
        <v>Risk-On</v>
      </c>
      <c r="I2307">
        <f ca="1" t="shared" si="107"/>
        <v>1</v>
      </c>
      <c r="J2307">
        <f>_xlfn.XLOOKUP($A2307,[1]Sheet1!$B$9:$B$2584,[1]Sheet1!$C$9:$C$2584,"N/A",0)</f>
        <v>111.66</v>
      </c>
      <c r="K2307">
        <f>_xlfn.XLOOKUP($A2307,[1]Sheet1!$E$9:$E$2584,[1]Sheet1!$F$9:$F$2584,"N/A",0)</f>
        <v>177.36</v>
      </c>
      <c r="L2307">
        <f>_xlfn.XLOOKUP($A2307,[1]Sheet1!$H$9:$H$2584,[1]Sheet1!$I$9:$I$2584,"N/A",0)</f>
        <v>54.74</v>
      </c>
      <c r="M2307">
        <f>_xlfn.XLOOKUP($A2307,[1]Sheet1!$K$9:$K$2584,[1]Sheet1!$L$9:$L$2584,"N/A",0)</f>
        <v>143.63</v>
      </c>
      <c r="N2307">
        <f>_xlfn.XLOOKUP($A2307,[1]Sheet1!$N$9:$N$2584,[1]Sheet1!$O$9:$O$2584,"N/A",0)</f>
        <v>128.97</v>
      </c>
      <c r="O2307">
        <v>111.66</v>
      </c>
      <c r="P2307">
        <v>177.36</v>
      </c>
      <c r="Q2307">
        <v>54.74</v>
      </c>
      <c r="R2307">
        <v>128.97</v>
      </c>
      <c r="S2307">
        <v>143.63</v>
      </c>
    </row>
    <row r="2308" spans="1:19">
      <c r="A2308" s="1">
        <v>45719</v>
      </c>
      <c r="B2308" t="s">
        <v>1014</v>
      </c>
      <c r="C2308" t="s">
        <v>1020</v>
      </c>
      <c r="D2308">
        <v>20.6577</v>
      </c>
      <c r="E2308">
        <v>20.4435</v>
      </c>
      <c r="F2308">
        <v>-0.0103690149435802</v>
      </c>
      <c r="G2308">
        <f ca="1" t="shared" si="108"/>
        <v>-0.820521730187911</v>
      </c>
      <c r="H2308" t="str">
        <f ca="1" t="shared" si="109"/>
        <v>Risk-On</v>
      </c>
      <c r="I2308">
        <f ca="1" t="shared" ref="I2308:I2371" si="110">IF(H2308&lt;&gt;"N/A",IF(H2558&gt;-0.5,1,0),0)</f>
        <v>1</v>
      </c>
      <c r="J2308">
        <f>_xlfn.XLOOKUP($A2308,[1]Sheet1!$B$9:$B$2584,[1]Sheet1!$C$9:$C$2584,"N/A",0)</f>
        <v>111.84</v>
      </c>
      <c r="K2308">
        <f>_xlfn.XLOOKUP($A2308,[1]Sheet1!$E$9:$E$2584,[1]Sheet1!$F$9:$F$2584,"N/A",0)</f>
        <v>178.47</v>
      </c>
      <c r="L2308">
        <f>_xlfn.XLOOKUP($A2308,[1]Sheet1!$H$9:$H$2584,[1]Sheet1!$I$9:$I$2584,"N/A",0)</f>
        <v>54.23</v>
      </c>
      <c r="M2308">
        <f>_xlfn.XLOOKUP($A2308,[1]Sheet1!$K$9:$K$2584,[1]Sheet1!$L$9:$L$2584,"N/A",0)</f>
        <v>143.49</v>
      </c>
      <c r="N2308">
        <f>_xlfn.XLOOKUP($A2308,[1]Sheet1!$N$9:$N$2584,[1]Sheet1!$O$9:$O$2584,"N/A",0)</f>
        <v>129.85</v>
      </c>
      <c r="O2308">
        <v>111.84</v>
      </c>
      <c r="P2308">
        <v>178.47</v>
      </c>
      <c r="Q2308">
        <v>54.23</v>
      </c>
      <c r="R2308">
        <v>129.85</v>
      </c>
      <c r="S2308">
        <v>143.49</v>
      </c>
    </row>
    <row r="2309" spans="1:19">
      <c r="A2309" s="1">
        <v>45720</v>
      </c>
      <c r="B2309" t="s">
        <v>1014</v>
      </c>
      <c r="C2309" t="s">
        <v>1020</v>
      </c>
      <c r="D2309">
        <v>21.2409</v>
      </c>
      <c r="E2309">
        <v>20.7993</v>
      </c>
      <c r="F2309">
        <v>-0.0207900795164047</v>
      </c>
      <c r="G2309">
        <f ca="1" t="shared" si="108"/>
        <v>-1.00757537404867</v>
      </c>
      <c r="H2309" t="str">
        <f ca="1" t="shared" si="109"/>
        <v>Risk-On</v>
      </c>
      <c r="I2309">
        <f ca="1" t="shared" si="110"/>
        <v>1</v>
      </c>
      <c r="J2309">
        <f>_xlfn.XLOOKUP($A2309,[1]Sheet1!$B$9:$B$2584,[1]Sheet1!$C$9:$C$2584,"N/A",0)</f>
        <v>112.35</v>
      </c>
      <c r="K2309">
        <f>_xlfn.XLOOKUP($A2309,[1]Sheet1!$E$9:$E$2584,[1]Sheet1!$F$9:$F$2584,"N/A",0)</f>
        <v>177.08</v>
      </c>
      <c r="L2309">
        <f>_xlfn.XLOOKUP($A2309,[1]Sheet1!$H$9:$H$2584,[1]Sheet1!$I$9:$I$2584,"N/A",0)</f>
        <v>53.63</v>
      </c>
      <c r="M2309">
        <f>_xlfn.XLOOKUP($A2309,[1]Sheet1!$K$9:$K$2584,[1]Sheet1!$L$9:$L$2584,"N/A",0)</f>
        <v>143.12</v>
      </c>
      <c r="N2309">
        <f>_xlfn.XLOOKUP($A2309,[1]Sheet1!$N$9:$N$2584,[1]Sheet1!$O$9:$O$2584,"N/A",0)</f>
        <v>128.99</v>
      </c>
      <c r="O2309">
        <v>112.35</v>
      </c>
      <c r="P2309">
        <v>177.08</v>
      </c>
      <c r="Q2309">
        <v>53.63</v>
      </c>
      <c r="R2309">
        <v>128.99</v>
      </c>
      <c r="S2309">
        <v>143.12</v>
      </c>
    </row>
    <row r="2310" spans="1:19">
      <c r="A2310" s="1">
        <v>45721</v>
      </c>
      <c r="B2310" t="s">
        <v>1014</v>
      </c>
      <c r="C2310" t="s">
        <v>1020</v>
      </c>
      <c r="D2310">
        <v>20.1269</v>
      </c>
      <c r="E2310">
        <v>19.9017</v>
      </c>
      <c r="F2310">
        <v>-0.0111890057584624</v>
      </c>
      <c r="G2310">
        <f ca="1" t="shared" si="108"/>
        <v>-0.815793977288609</v>
      </c>
      <c r="H2310" t="str">
        <f ca="1" t="shared" si="109"/>
        <v>Risk-On</v>
      </c>
      <c r="I2310">
        <f ca="1" t="shared" si="110"/>
        <v>1</v>
      </c>
      <c r="J2310">
        <f>_xlfn.XLOOKUP($A2310,[1]Sheet1!$B$9:$B$2584,[1]Sheet1!$C$9:$C$2584,"N/A",0)</f>
        <v>111.71</v>
      </c>
      <c r="K2310">
        <f>_xlfn.XLOOKUP($A2310,[1]Sheet1!$E$9:$E$2584,[1]Sheet1!$F$9:$F$2584,"N/A",0)</f>
        <v>175.15</v>
      </c>
      <c r="L2310">
        <f>_xlfn.XLOOKUP($A2310,[1]Sheet1!$H$9:$H$2584,[1]Sheet1!$I$9:$I$2584,"N/A",0)</f>
        <v>53.93</v>
      </c>
      <c r="M2310">
        <f>_xlfn.XLOOKUP($A2310,[1]Sheet1!$K$9:$K$2584,[1]Sheet1!$L$9:$L$2584,"N/A",0)</f>
        <v>141.91</v>
      </c>
      <c r="N2310">
        <f>_xlfn.XLOOKUP($A2310,[1]Sheet1!$N$9:$N$2584,[1]Sheet1!$O$9:$O$2584,"N/A",0)</f>
        <v>129.53</v>
      </c>
      <c r="O2310">
        <v>111.71</v>
      </c>
      <c r="P2310">
        <v>175.15</v>
      </c>
      <c r="Q2310">
        <v>53.93</v>
      </c>
      <c r="R2310">
        <v>129.53</v>
      </c>
      <c r="S2310">
        <v>141.91</v>
      </c>
    </row>
    <row r="2311" spans="1:19">
      <c r="A2311" s="1">
        <v>45722</v>
      </c>
      <c r="B2311" t="s">
        <v>1014</v>
      </c>
      <c r="C2311" t="s">
        <v>1020</v>
      </c>
      <c r="D2311">
        <v>22.8281</v>
      </c>
      <c r="E2311">
        <v>21.7923</v>
      </c>
      <c r="F2311">
        <v>-0.0453739032157734</v>
      </c>
      <c r="G2311">
        <f ca="1" t="shared" si="108"/>
        <v>-1.44952176293723</v>
      </c>
      <c r="H2311" t="str">
        <f ca="1" t="shared" si="109"/>
        <v>Risk-On</v>
      </c>
      <c r="I2311">
        <f ca="1" t="shared" si="110"/>
        <v>1</v>
      </c>
      <c r="J2311">
        <f>_xlfn.XLOOKUP($A2311,[1]Sheet1!$B$9:$B$2584,[1]Sheet1!$C$9:$C$2584,"N/A",0)</f>
        <v>111.2</v>
      </c>
      <c r="K2311">
        <f>_xlfn.XLOOKUP($A2311,[1]Sheet1!$E$9:$E$2584,[1]Sheet1!$F$9:$F$2584,"N/A",0)</f>
        <v>170.9</v>
      </c>
      <c r="L2311">
        <f>_xlfn.XLOOKUP($A2311,[1]Sheet1!$H$9:$H$2584,[1]Sheet1!$I$9:$I$2584,"N/A",0)</f>
        <v>55.24</v>
      </c>
      <c r="M2311">
        <f>_xlfn.XLOOKUP($A2311,[1]Sheet1!$K$9:$K$2584,[1]Sheet1!$L$9:$L$2584,"N/A",0)</f>
        <v>141.52</v>
      </c>
      <c r="N2311">
        <f>_xlfn.XLOOKUP($A2311,[1]Sheet1!$N$9:$N$2584,[1]Sheet1!$O$9:$O$2584,"N/A",0)</f>
        <v>129.03</v>
      </c>
      <c r="O2311">
        <v>111.2</v>
      </c>
      <c r="P2311">
        <v>170.9</v>
      </c>
      <c r="Q2311">
        <v>55.24</v>
      </c>
      <c r="R2311">
        <v>129.03</v>
      </c>
      <c r="S2311">
        <v>141.52</v>
      </c>
    </row>
    <row r="2312" spans="1:19">
      <c r="A2312" s="1">
        <v>45723</v>
      </c>
      <c r="B2312" t="s">
        <v>1014</v>
      </c>
      <c r="C2312" t="s">
        <v>1020</v>
      </c>
      <c r="D2312">
        <v>21.6254</v>
      </c>
      <c r="E2312">
        <v>20.7863</v>
      </c>
      <c r="F2312">
        <v>-0.0388015944213747</v>
      </c>
      <c r="G2312">
        <f ca="1" t="shared" si="108"/>
        <v>-1.31375722432195</v>
      </c>
      <c r="H2312" t="str">
        <f ca="1" t="shared" si="109"/>
        <v>Risk-On</v>
      </c>
      <c r="I2312">
        <f ca="1" t="shared" si="110"/>
        <v>1</v>
      </c>
      <c r="J2312">
        <f>_xlfn.XLOOKUP($A2312,[1]Sheet1!$B$9:$B$2584,[1]Sheet1!$C$9:$C$2584,"N/A",0)</f>
        <v>111.22</v>
      </c>
      <c r="K2312">
        <f>_xlfn.XLOOKUP($A2312,[1]Sheet1!$E$9:$E$2584,[1]Sheet1!$F$9:$F$2584,"N/A",0)</f>
        <v>168.42</v>
      </c>
      <c r="L2312">
        <f>_xlfn.XLOOKUP($A2312,[1]Sheet1!$H$9:$H$2584,[1]Sheet1!$I$9:$I$2584,"N/A",0)</f>
        <v>55.39</v>
      </c>
      <c r="M2312">
        <f>_xlfn.XLOOKUP($A2312,[1]Sheet1!$K$9:$K$2584,[1]Sheet1!$L$9:$L$2584,"N/A",0)</f>
        <v>141.95</v>
      </c>
      <c r="N2312">
        <f>_xlfn.XLOOKUP($A2312,[1]Sheet1!$N$9:$N$2584,[1]Sheet1!$O$9:$O$2584,"N/A",0)</f>
        <v>128.92</v>
      </c>
      <c r="O2312">
        <v>111.22</v>
      </c>
      <c r="P2312">
        <v>168.42</v>
      </c>
      <c r="Q2312">
        <v>55.39</v>
      </c>
      <c r="R2312">
        <v>128.92</v>
      </c>
      <c r="S2312">
        <v>141.95</v>
      </c>
    </row>
    <row r="2313" spans="1:19">
      <c r="A2313" s="1">
        <v>45726</v>
      </c>
      <c r="B2313" t="s">
        <v>1014</v>
      </c>
      <c r="C2313" t="s">
        <v>1020</v>
      </c>
      <c r="D2313">
        <v>24.9344</v>
      </c>
      <c r="E2313">
        <v>22.7978</v>
      </c>
      <c r="F2313">
        <v>-0.0856888475359343</v>
      </c>
      <c r="G2313">
        <f ca="1" t="shared" si="108"/>
        <v>-2.18099431310213</v>
      </c>
      <c r="H2313" t="str">
        <f ca="1" t="shared" si="109"/>
        <v>Risk-On</v>
      </c>
      <c r="I2313">
        <f ca="1" t="shared" si="110"/>
        <v>1</v>
      </c>
      <c r="J2313">
        <f>_xlfn.XLOOKUP($A2313,[1]Sheet1!$B$9:$B$2584,[1]Sheet1!$C$9:$C$2584,"N/A",0)</f>
        <v>111.74</v>
      </c>
      <c r="K2313">
        <f>_xlfn.XLOOKUP($A2313,[1]Sheet1!$E$9:$E$2584,[1]Sheet1!$F$9:$F$2584,"N/A",0)</f>
        <v>165.44</v>
      </c>
      <c r="L2313">
        <f>_xlfn.XLOOKUP($A2313,[1]Sheet1!$H$9:$H$2584,[1]Sheet1!$I$9:$I$2584,"N/A",0)</f>
        <v>55.42</v>
      </c>
      <c r="M2313">
        <f>_xlfn.XLOOKUP($A2313,[1]Sheet1!$K$9:$K$2584,[1]Sheet1!$L$9:$L$2584,"N/A",0)</f>
        <v>142.1</v>
      </c>
      <c r="N2313">
        <f>_xlfn.XLOOKUP($A2313,[1]Sheet1!$N$9:$N$2584,[1]Sheet1!$O$9:$O$2584,"N/A",0)</f>
        <v>128.9</v>
      </c>
      <c r="O2313">
        <v>111.74</v>
      </c>
      <c r="P2313">
        <v>165.44</v>
      </c>
      <c r="Q2313">
        <v>55.42</v>
      </c>
      <c r="R2313">
        <v>128.9</v>
      </c>
      <c r="S2313">
        <v>142.1</v>
      </c>
    </row>
    <row r="2314" spans="1:19">
      <c r="A2314" s="1">
        <v>45727</v>
      </c>
      <c r="B2314" t="s">
        <v>1014</v>
      </c>
      <c r="C2314" t="s">
        <v>1020</v>
      </c>
      <c r="D2314">
        <v>24.6115</v>
      </c>
      <c r="E2314">
        <v>22.7661</v>
      </c>
      <c r="F2314">
        <v>-0.0749812079718829</v>
      </c>
      <c r="G2314">
        <f ca="1" t="shared" si="108"/>
        <v>-1.94169433760067</v>
      </c>
      <c r="H2314" t="str">
        <f ca="1" t="shared" si="109"/>
        <v>Risk-On</v>
      </c>
      <c r="I2314">
        <f ca="1" t="shared" si="110"/>
        <v>1</v>
      </c>
      <c r="J2314">
        <f>_xlfn.XLOOKUP($A2314,[1]Sheet1!$B$9:$B$2584,[1]Sheet1!$C$9:$C$2584,"N/A",0)</f>
        <v>112.27</v>
      </c>
      <c r="K2314">
        <f>_xlfn.XLOOKUP($A2314,[1]Sheet1!$E$9:$E$2584,[1]Sheet1!$F$9:$F$2584,"N/A",0)</f>
        <v>169.11</v>
      </c>
      <c r="L2314">
        <f>_xlfn.XLOOKUP($A2314,[1]Sheet1!$H$9:$H$2584,[1]Sheet1!$I$9:$I$2584,"N/A",0)</f>
        <v>55.53</v>
      </c>
      <c r="M2314">
        <f>_xlfn.XLOOKUP($A2314,[1]Sheet1!$K$9:$K$2584,[1]Sheet1!$L$9:$L$2584,"N/A",0)</f>
        <v>140.8</v>
      </c>
      <c r="N2314">
        <f>_xlfn.XLOOKUP($A2314,[1]Sheet1!$N$9:$N$2584,[1]Sheet1!$O$9:$O$2584,"N/A",0)</f>
        <v>127.88</v>
      </c>
      <c r="O2314">
        <v>112.27</v>
      </c>
      <c r="P2314">
        <v>169.11</v>
      </c>
      <c r="Q2314">
        <v>55.53</v>
      </c>
      <c r="R2314">
        <v>127.88</v>
      </c>
      <c r="S2314">
        <v>140.8</v>
      </c>
    </row>
    <row r="2315" spans="1:19">
      <c r="A2315" s="1">
        <v>45728</v>
      </c>
      <c r="B2315" t="s">
        <v>1014</v>
      </c>
      <c r="C2315" t="s">
        <v>1020</v>
      </c>
      <c r="D2315">
        <v>23.0749</v>
      </c>
      <c r="E2315">
        <v>21.7139</v>
      </c>
      <c r="F2315">
        <v>-0.0589818374077461</v>
      </c>
      <c r="G2315">
        <f ca="1" t="shared" si="108"/>
        <v>-1.62265124184016</v>
      </c>
      <c r="H2315" t="str">
        <f ca="1" t="shared" si="109"/>
        <v>Risk-On</v>
      </c>
      <c r="I2315">
        <f ca="1" t="shared" si="110"/>
        <v>1</v>
      </c>
      <c r="J2315">
        <f>_xlfn.XLOOKUP($A2315,[1]Sheet1!$B$9:$B$2584,[1]Sheet1!$C$9:$C$2584,"N/A",0)</f>
        <v>112.27</v>
      </c>
      <c r="K2315">
        <f>_xlfn.XLOOKUP($A2315,[1]Sheet1!$E$9:$E$2584,[1]Sheet1!$F$9:$F$2584,"N/A",0)</f>
        <v>172.39</v>
      </c>
      <c r="L2315">
        <f>_xlfn.XLOOKUP($A2315,[1]Sheet1!$H$9:$H$2584,[1]Sheet1!$I$9:$I$2584,"N/A",0)</f>
        <v>55.48</v>
      </c>
      <c r="M2315">
        <f>_xlfn.XLOOKUP($A2315,[1]Sheet1!$K$9:$K$2584,[1]Sheet1!$L$9:$L$2584,"N/A",0)</f>
        <v>140.26</v>
      </c>
      <c r="N2315">
        <f>_xlfn.XLOOKUP($A2315,[1]Sheet1!$N$9:$N$2584,[1]Sheet1!$O$9:$O$2584,"N/A",0)</f>
        <v>128.74</v>
      </c>
      <c r="O2315">
        <v>112.27</v>
      </c>
      <c r="P2315">
        <v>172.39</v>
      </c>
      <c r="Q2315">
        <v>55.48</v>
      </c>
      <c r="R2315">
        <v>128.74</v>
      </c>
      <c r="S2315">
        <v>140.26</v>
      </c>
    </row>
    <row r="2316" spans="1:19">
      <c r="A2316" s="1">
        <v>45729</v>
      </c>
      <c r="B2316" t="s">
        <v>1014</v>
      </c>
      <c r="C2316" t="s">
        <v>1020</v>
      </c>
      <c r="D2316">
        <v>24.4101</v>
      </c>
      <c r="E2316">
        <v>22.6331</v>
      </c>
      <c r="F2316">
        <v>-0.0727977353636405</v>
      </c>
      <c r="G2316">
        <f ca="1" t="shared" si="108"/>
        <v>-1.85224789028494</v>
      </c>
      <c r="H2316" t="str">
        <f ca="1" t="shared" si="109"/>
        <v>Risk-On</v>
      </c>
      <c r="I2316">
        <f ca="1" t="shared" si="110"/>
        <v>1</v>
      </c>
      <c r="J2316">
        <f>_xlfn.XLOOKUP($A2316,[1]Sheet1!$B$9:$B$2584,[1]Sheet1!$C$9:$C$2584,"N/A",0)</f>
        <v>111.62</v>
      </c>
      <c r="K2316">
        <f>_xlfn.XLOOKUP($A2316,[1]Sheet1!$E$9:$E$2584,[1]Sheet1!$F$9:$F$2584,"N/A",0)</f>
        <v>171.45</v>
      </c>
      <c r="L2316">
        <f>_xlfn.XLOOKUP($A2316,[1]Sheet1!$H$9:$H$2584,[1]Sheet1!$I$9:$I$2584,"N/A",0)</f>
        <v>55.77</v>
      </c>
      <c r="M2316">
        <f>_xlfn.XLOOKUP($A2316,[1]Sheet1!$K$9:$K$2584,[1]Sheet1!$L$9:$L$2584,"N/A",0)</f>
        <v>138.21</v>
      </c>
      <c r="N2316">
        <f>_xlfn.XLOOKUP($A2316,[1]Sheet1!$N$9:$N$2584,[1]Sheet1!$O$9:$O$2584,"N/A",0)</f>
        <v>129.13</v>
      </c>
      <c r="O2316">
        <v>111.62</v>
      </c>
      <c r="P2316">
        <v>171.45</v>
      </c>
      <c r="Q2316">
        <v>55.77</v>
      </c>
      <c r="R2316">
        <v>129.13</v>
      </c>
      <c r="S2316">
        <v>138.21</v>
      </c>
    </row>
    <row r="2317" spans="1:19">
      <c r="A2317" s="1">
        <v>45730</v>
      </c>
      <c r="B2317" t="s">
        <v>1014</v>
      </c>
      <c r="C2317" t="s">
        <v>1020</v>
      </c>
      <c r="D2317">
        <v>21.5211</v>
      </c>
      <c r="E2317">
        <v>20.6804</v>
      </c>
      <c r="F2317">
        <v>-0.039063988364907</v>
      </c>
      <c r="G2317">
        <f ca="1" t="shared" si="108"/>
        <v>-1.21312429069407</v>
      </c>
      <c r="H2317" t="str">
        <f ca="1" t="shared" si="109"/>
        <v>Risk-On</v>
      </c>
      <c r="I2317">
        <f ca="1" t="shared" si="110"/>
        <v>1</v>
      </c>
      <c r="J2317">
        <f>_xlfn.XLOOKUP($A2317,[1]Sheet1!$B$9:$B$2584,[1]Sheet1!$C$9:$C$2584,"N/A",0)</f>
        <v>111.59</v>
      </c>
      <c r="K2317">
        <f>_xlfn.XLOOKUP($A2317,[1]Sheet1!$E$9:$E$2584,[1]Sheet1!$F$9:$F$2584,"N/A",0)</f>
        <v>172.01</v>
      </c>
      <c r="L2317">
        <f>_xlfn.XLOOKUP($A2317,[1]Sheet1!$H$9:$H$2584,[1]Sheet1!$I$9:$I$2584,"N/A",0)</f>
        <v>55.95</v>
      </c>
      <c r="M2317">
        <f>_xlfn.XLOOKUP($A2317,[1]Sheet1!$K$9:$K$2584,[1]Sheet1!$L$9:$L$2584,"N/A",0)</f>
        <v>138.78</v>
      </c>
      <c r="N2317">
        <f>_xlfn.XLOOKUP($A2317,[1]Sheet1!$N$9:$N$2584,[1]Sheet1!$O$9:$O$2584,"N/A",0)</f>
        <v>129.09</v>
      </c>
      <c r="O2317">
        <v>111.59</v>
      </c>
      <c r="P2317">
        <v>172.01</v>
      </c>
      <c r="Q2317">
        <v>55.95</v>
      </c>
      <c r="R2317">
        <v>129.09</v>
      </c>
      <c r="S2317">
        <v>138.78</v>
      </c>
    </row>
    <row r="2318" spans="1:19">
      <c r="A2318" s="1">
        <v>45733</v>
      </c>
      <c r="B2318" t="s">
        <v>1014</v>
      </c>
      <c r="C2318" t="s">
        <v>1020</v>
      </c>
      <c r="D2318">
        <v>20.8352</v>
      </c>
      <c r="E2318">
        <v>19.9169</v>
      </c>
      <c r="F2318">
        <v>-0.0440744509291968</v>
      </c>
      <c r="G2318">
        <f ca="1" t="shared" si="108"/>
        <v>-1.29024260098212</v>
      </c>
      <c r="H2318" t="str">
        <f ca="1" t="shared" si="109"/>
        <v>Risk-On</v>
      </c>
      <c r="I2318">
        <f ca="1" t="shared" si="110"/>
        <v>1</v>
      </c>
      <c r="J2318">
        <f>_xlfn.XLOOKUP($A2318,[1]Sheet1!$B$9:$B$2584,[1]Sheet1!$C$9:$C$2584,"N/A",0)</f>
        <v>111.67</v>
      </c>
      <c r="K2318">
        <f>_xlfn.XLOOKUP($A2318,[1]Sheet1!$E$9:$E$2584,[1]Sheet1!$F$9:$F$2584,"N/A",0)</f>
        <v>171.28</v>
      </c>
      <c r="L2318">
        <f>_xlfn.XLOOKUP($A2318,[1]Sheet1!$H$9:$H$2584,[1]Sheet1!$I$9:$I$2584,"N/A",0)</f>
        <v>55.89</v>
      </c>
      <c r="M2318">
        <f>_xlfn.XLOOKUP($A2318,[1]Sheet1!$K$9:$K$2584,[1]Sheet1!$L$9:$L$2584,"N/A",0)</f>
        <v>138.37</v>
      </c>
      <c r="N2318">
        <f>_xlfn.XLOOKUP($A2318,[1]Sheet1!$N$9:$N$2584,[1]Sheet1!$O$9:$O$2584,"N/A",0)</f>
        <v>129.35</v>
      </c>
      <c r="O2318">
        <v>111.67</v>
      </c>
      <c r="P2318">
        <v>171.28</v>
      </c>
      <c r="Q2318">
        <v>55.89</v>
      </c>
      <c r="R2318">
        <v>129.35</v>
      </c>
      <c r="S2318">
        <v>138.37</v>
      </c>
    </row>
    <row r="2319" spans="1:19">
      <c r="A2319" s="1">
        <v>45734</v>
      </c>
      <c r="B2319" t="s">
        <v>1014</v>
      </c>
      <c r="C2319" t="s">
        <v>1020</v>
      </c>
      <c r="D2319">
        <v>21.63</v>
      </c>
      <c r="E2319">
        <v>20.4806</v>
      </c>
      <c r="F2319">
        <v>-0.0531391585760517</v>
      </c>
      <c r="G2319">
        <f ca="1" t="shared" si="108"/>
        <v>-1.43876948878098</v>
      </c>
      <c r="H2319" t="str">
        <f ca="1" t="shared" si="109"/>
        <v>Risk-On</v>
      </c>
      <c r="I2319">
        <f ca="1" t="shared" si="110"/>
        <v>1</v>
      </c>
      <c r="J2319">
        <f>_xlfn.XLOOKUP($A2319,[1]Sheet1!$B$9:$B$2584,[1]Sheet1!$C$9:$C$2584,"N/A",0)</f>
        <v>111.65</v>
      </c>
      <c r="K2319">
        <f>_xlfn.XLOOKUP($A2319,[1]Sheet1!$E$9:$E$2584,[1]Sheet1!$F$9:$F$2584,"N/A",0)</f>
        <v>170.07</v>
      </c>
      <c r="L2319">
        <f>_xlfn.XLOOKUP($A2319,[1]Sheet1!$H$9:$H$2584,[1]Sheet1!$I$9:$I$2584,"N/A",0)</f>
        <v>56.29</v>
      </c>
      <c r="M2319">
        <f>_xlfn.XLOOKUP($A2319,[1]Sheet1!$K$9:$K$2584,[1]Sheet1!$L$9:$L$2584,"N/A",0)</f>
        <v>137.73</v>
      </c>
      <c r="N2319">
        <f>_xlfn.XLOOKUP($A2319,[1]Sheet1!$N$9:$N$2584,[1]Sheet1!$O$9:$O$2584,"N/A",0)</f>
        <v>128.99</v>
      </c>
      <c r="O2319">
        <v>111.65</v>
      </c>
      <c r="P2319">
        <v>170.07</v>
      </c>
      <c r="Q2319">
        <v>56.29</v>
      </c>
      <c r="R2319">
        <v>128.99</v>
      </c>
      <c r="S2319">
        <v>137.73</v>
      </c>
    </row>
    <row r="2320" spans="1:19">
      <c r="A2320" s="1">
        <v>45735</v>
      </c>
      <c r="B2320" t="s">
        <v>1020</v>
      </c>
      <c r="C2320" t="s">
        <v>1027</v>
      </c>
      <c r="D2320">
        <v>19.7513</v>
      </c>
      <c r="E2320">
        <v>19.7468</v>
      </c>
      <c r="F2320">
        <v>-0.000227833104656411</v>
      </c>
      <c r="G2320">
        <f ca="1" t="shared" si="108"/>
        <v>-0.468904534230001</v>
      </c>
      <c r="H2320" t="str">
        <f ca="1" t="shared" si="109"/>
        <v>Risk-On</v>
      </c>
      <c r="I2320">
        <f ca="1" t="shared" si="110"/>
        <v>1</v>
      </c>
      <c r="J2320">
        <f>_xlfn.XLOOKUP($A2320,[1]Sheet1!$B$9:$B$2584,[1]Sheet1!$C$9:$C$2584,"N/A",0)</f>
        <v>112</v>
      </c>
      <c r="K2320">
        <f>_xlfn.XLOOKUP($A2320,[1]Sheet1!$E$9:$E$2584,[1]Sheet1!$F$9:$F$2584,"N/A",0)</f>
        <v>172.97</v>
      </c>
      <c r="L2320">
        <f>_xlfn.XLOOKUP($A2320,[1]Sheet1!$H$9:$H$2584,[1]Sheet1!$I$9:$I$2584,"N/A",0)</f>
        <v>56.11</v>
      </c>
      <c r="M2320">
        <f>_xlfn.XLOOKUP($A2320,[1]Sheet1!$K$9:$K$2584,[1]Sheet1!$L$9:$L$2584,"N/A",0)</f>
        <v>137.99</v>
      </c>
      <c r="N2320">
        <f>_xlfn.XLOOKUP($A2320,[1]Sheet1!$N$9:$N$2584,[1]Sheet1!$O$9:$O$2584,"N/A",0)</f>
        <v>128.82</v>
      </c>
      <c r="O2320">
        <v>112</v>
      </c>
      <c r="P2320">
        <v>172.97</v>
      </c>
      <c r="Q2320">
        <v>56.11</v>
      </c>
      <c r="R2320">
        <v>128.82</v>
      </c>
      <c r="S2320">
        <v>137.99</v>
      </c>
    </row>
    <row r="2321" spans="1:19">
      <c r="A2321" s="1">
        <v>45736</v>
      </c>
      <c r="B2321" t="s">
        <v>1020</v>
      </c>
      <c r="C2321" t="s">
        <v>1027</v>
      </c>
      <c r="D2321">
        <v>19.4005</v>
      </c>
      <c r="E2321">
        <v>19.4706</v>
      </c>
      <c r="F2321">
        <v>0.00361330893533672</v>
      </c>
      <c r="G2321">
        <f ca="1" t="shared" si="108"/>
        <v>-0.393395511519655</v>
      </c>
      <c r="H2321" t="str">
        <f ca="1" t="shared" si="109"/>
        <v>Risk-On</v>
      </c>
      <c r="I2321">
        <f ca="1" t="shared" si="110"/>
        <v>1</v>
      </c>
      <c r="J2321">
        <f>_xlfn.XLOOKUP($A2321,[1]Sheet1!$B$9:$B$2584,[1]Sheet1!$C$9:$C$2584,"N/A",0)</f>
        <v>112.61</v>
      </c>
      <c r="K2321">
        <f>_xlfn.XLOOKUP($A2321,[1]Sheet1!$E$9:$E$2584,[1]Sheet1!$F$9:$F$2584,"N/A",0)</f>
        <v>174.31</v>
      </c>
      <c r="L2321">
        <f>_xlfn.XLOOKUP($A2321,[1]Sheet1!$H$9:$H$2584,[1]Sheet1!$I$9:$I$2584,"N/A",0)</f>
        <v>56.05</v>
      </c>
      <c r="M2321">
        <f>_xlfn.XLOOKUP($A2321,[1]Sheet1!$K$9:$K$2584,[1]Sheet1!$L$9:$L$2584,"N/A",0)</f>
        <v>138.04</v>
      </c>
      <c r="N2321">
        <f>_xlfn.XLOOKUP($A2321,[1]Sheet1!$N$9:$N$2584,[1]Sheet1!$O$9:$O$2584,"N/A",0)</f>
        <v>129.47</v>
      </c>
      <c r="O2321">
        <v>112.61</v>
      </c>
      <c r="P2321">
        <v>174.31</v>
      </c>
      <c r="Q2321">
        <v>56.05</v>
      </c>
      <c r="R2321">
        <v>129.47</v>
      </c>
      <c r="S2321">
        <v>138.04</v>
      </c>
    </row>
    <row r="2322" spans="1:19">
      <c r="A2322" s="1">
        <v>45737</v>
      </c>
      <c r="B2322" t="s">
        <v>1020</v>
      </c>
      <c r="C2322" t="s">
        <v>1027</v>
      </c>
      <c r="D2322">
        <v>19.4179</v>
      </c>
      <c r="E2322">
        <v>19.4739</v>
      </c>
      <c r="F2322">
        <v>0.0028839369859769</v>
      </c>
      <c r="G2322">
        <f ca="1" t="shared" si="108"/>
        <v>-0.400442501998985</v>
      </c>
      <c r="H2322" t="str">
        <f ca="1" t="shared" si="109"/>
        <v>Risk-On</v>
      </c>
      <c r="I2322">
        <f ca="1" t="shared" si="110"/>
        <v>1</v>
      </c>
      <c r="J2322">
        <f>_xlfn.XLOOKUP($A2322,[1]Sheet1!$B$9:$B$2584,[1]Sheet1!$C$9:$C$2584,"N/A",0)</f>
        <v>112.47</v>
      </c>
      <c r="K2322">
        <f>_xlfn.XLOOKUP($A2322,[1]Sheet1!$E$9:$E$2584,[1]Sheet1!$F$9:$F$2584,"N/A",0)</f>
        <v>175.25</v>
      </c>
      <c r="L2322">
        <f>_xlfn.XLOOKUP($A2322,[1]Sheet1!$H$9:$H$2584,[1]Sheet1!$I$9:$I$2584,"N/A",0)</f>
        <v>55.66</v>
      </c>
      <c r="M2322">
        <f>_xlfn.XLOOKUP($A2322,[1]Sheet1!$K$9:$K$2584,[1]Sheet1!$L$9:$L$2584,"N/A",0)</f>
        <v>138.31</v>
      </c>
      <c r="N2322">
        <f>_xlfn.XLOOKUP($A2322,[1]Sheet1!$N$9:$N$2584,[1]Sheet1!$O$9:$O$2584,"N/A",0)</f>
        <v>129.79</v>
      </c>
      <c r="O2322">
        <v>112.47</v>
      </c>
      <c r="P2322">
        <v>175.25</v>
      </c>
      <c r="Q2322">
        <v>55.66</v>
      </c>
      <c r="R2322">
        <v>129.79</v>
      </c>
      <c r="S2322">
        <v>138.31</v>
      </c>
    </row>
    <row r="2323" spans="1:19">
      <c r="A2323" s="1">
        <v>45740</v>
      </c>
      <c r="B2323" t="s">
        <v>1020</v>
      </c>
      <c r="C2323" t="s">
        <v>1027</v>
      </c>
      <c r="D2323">
        <v>18.0635</v>
      </c>
      <c r="E2323">
        <v>18.4989</v>
      </c>
      <c r="F2323">
        <v>0.0241038558418909</v>
      </c>
      <c r="G2323">
        <f ca="1" t="shared" si="108"/>
        <v>-0.0155824322437378</v>
      </c>
      <c r="H2323" t="str">
        <f ca="1" t="shared" si="109"/>
        <v>Risk-On</v>
      </c>
      <c r="I2323">
        <f ca="1" t="shared" si="110"/>
        <v>1</v>
      </c>
      <c r="J2323">
        <f>_xlfn.XLOOKUP($A2323,[1]Sheet1!$B$9:$B$2584,[1]Sheet1!$C$9:$C$2584,"N/A",0)</f>
        <v>112.03</v>
      </c>
      <c r="K2323">
        <f>_xlfn.XLOOKUP($A2323,[1]Sheet1!$E$9:$E$2584,[1]Sheet1!$F$9:$F$2584,"N/A",0)</f>
        <v>176.94</v>
      </c>
      <c r="L2323">
        <f>_xlfn.XLOOKUP($A2323,[1]Sheet1!$H$9:$H$2584,[1]Sheet1!$I$9:$I$2584,"N/A",0)</f>
        <v>55.61</v>
      </c>
      <c r="M2323">
        <f>_xlfn.XLOOKUP($A2323,[1]Sheet1!$K$9:$K$2584,[1]Sheet1!$L$9:$L$2584,"N/A",0)</f>
        <v>138.79</v>
      </c>
      <c r="N2323">
        <f>_xlfn.XLOOKUP($A2323,[1]Sheet1!$N$9:$N$2584,[1]Sheet1!$O$9:$O$2584,"N/A",0)</f>
        <v>128.86</v>
      </c>
      <c r="O2323">
        <v>112.03</v>
      </c>
      <c r="P2323">
        <v>176.94</v>
      </c>
      <c r="Q2323">
        <v>55.61</v>
      </c>
      <c r="R2323">
        <v>128.86</v>
      </c>
      <c r="S2323">
        <v>138.79</v>
      </c>
    </row>
    <row r="2324" spans="1:19">
      <c r="A2324" s="1">
        <v>45741</v>
      </c>
      <c r="B2324" t="s">
        <v>1020</v>
      </c>
      <c r="C2324" t="s">
        <v>1027</v>
      </c>
      <c r="D2324">
        <v>18.2072</v>
      </c>
      <c r="E2324">
        <v>18.6554</v>
      </c>
      <c r="F2324" s="2" t="s">
        <v>1028</v>
      </c>
      <c r="G2324">
        <f ca="1" t="shared" si="108"/>
        <v>-0.00125967654565972</v>
      </c>
      <c r="H2324" t="str">
        <f ca="1" t="shared" si="109"/>
        <v>Risk-On</v>
      </c>
      <c r="I2324">
        <f ca="1" t="shared" si="110"/>
        <v>1</v>
      </c>
      <c r="J2324">
        <f>_xlfn.XLOOKUP($A2324,[1]Sheet1!$B$9:$B$2584,[1]Sheet1!$C$9:$C$2584,"N/A",0)</f>
        <v>112.58</v>
      </c>
      <c r="K2324">
        <f>_xlfn.XLOOKUP($A2324,[1]Sheet1!$E$9:$E$2584,[1]Sheet1!$F$9:$F$2584,"N/A",0)</f>
        <v>178.21</v>
      </c>
      <c r="L2324">
        <f>_xlfn.XLOOKUP($A2324,[1]Sheet1!$H$9:$H$2584,[1]Sheet1!$I$9:$I$2584,"N/A",0)</f>
        <v>55.44</v>
      </c>
      <c r="M2324">
        <f>_xlfn.XLOOKUP($A2324,[1]Sheet1!$K$9:$K$2584,[1]Sheet1!$L$9:$L$2584,"N/A",0)</f>
        <v>138.92</v>
      </c>
      <c r="N2324">
        <f>_xlfn.XLOOKUP($A2324,[1]Sheet1!$N$9:$N$2584,[1]Sheet1!$O$9:$O$2584,"N/A",0)</f>
        <v>129.5</v>
      </c>
      <c r="O2324">
        <v>112.58</v>
      </c>
      <c r="P2324">
        <v>178.21</v>
      </c>
      <c r="Q2324">
        <v>55.44</v>
      </c>
      <c r="R2324">
        <v>129.5</v>
      </c>
      <c r="S2324">
        <v>138.92</v>
      </c>
    </row>
    <row r="2325" spans="1:19">
      <c r="A2325" s="1">
        <v>45742</v>
      </c>
      <c r="B2325" t="s">
        <v>1020</v>
      </c>
      <c r="C2325" t="s">
        <v>1027</v>
      </c>
      <c r="D2325">
        <v>18.8445</v>
      </c>
      <c r="E2325">
        <v>19.1501</v>
      </c>
      <c r="F2325">
        <v>0.01621693332272</v>
      </c>
      <c r="G2325">
        <f ca="1" t="shared" si="108"/>
        <v>-0.148236627726062</v>
      </c>
      <c r="H2325" t="str">
        <f ca="1" t="shared" si="109"/>
        <v>Risk-On</v>
      </c>
      <c r="I2325">
        <f ca="1" t="shared" si="110"/>
        <v>1</v>
      </c>
      <c r="J2325">
        <f>_xlfn.XLOOKUP($A2325,[1]Sheet1!$B$9:$B$2584,[1]Sheet1!$C$9:$C$2584,"N/A",0)</f>
        <v>111.87</v>
      </c>
      <c r="K2325">
        <f>_xlfn.XLOOKUP($A2325,[1]Sheet1!$E$9:$E$2584,[1]Sheet1!$F$9:$F$2584,"N/A",0)</f>
        <v>175.68</v>
      </c>
      <c r="L2325">
        <f>_xlfn.XLOOKUP($A2325,[1]Sheet1!$H$9:$H$2584,[1]Sheet1!$I$9:$I$2584,"N/A",0)</f>
        <v>55.58</v>
      </c>
      <c r="M2325">
        <f>_xlfn.XLOOKUP($A2325,[1]Sheet1!$K$9:$K$2584,[1]Sheet1!$L$9:$L$2584,"N/A",0)</f>
        <v>139.08</v>
      </c>
      <c r="N2325">
        <f>_xlfn.XLOOKUP($A2325,[1]Sheet1!$N$9:$N$2584,[1]Sheet1!$O$9:$O$2584,"N/A",0)</f>
        <v>129.3</v>
      </c>
      <c r="O2325">
        <v>111.87</v>
      </c>
      <c r="P2325">
        <v>175.68</v>
      </c>
      <c r="Q2325">
        <v>55.58</v>
      </c>
      <c r="R2325">
        <v>129.3</v>
      </c>
      <c r="S2325">
        <v>139.08</v>
      </c>
    </row>
    <row r="2326" spans="1:19">
      <c r="A2326" s="1">
        <v>45743</v>
      </c>
      <c r="B2326" t="s">
        <v>1020</v>
      </c>
      <c r="C2326" t="s">
        <v>1027</v>
      </c>
      <c r="D2326">
        <v>18.9763</v>
      </c>
      <c r="E2326">
        <v>19.1588</v>
      </c>
      <c r="F2326">
        <v>0.00961725942359685</v>
      </c>
      <c r="G2326">
        <f ca="1" t="shared" si="108"/>
        <v>-0.262364285252735</v>
      </c>
      <c r="H2326" t="str">
        <f ca="1" t="shared" si="109"/>
        <v>Risk-On</v>
      </c>
      <c r="I2326">
        <f ca="1" t="shared" si="110"/>
        <v>1</v>
      </c>
      <c r="J2326">
        <f>_xlfn.XLOOKUP($A2326,[1]Sheet1!$B$9:$B$2584,[1]Sheet1!$C$9:$C$2584,"N/A",0)</f>
        <v>111.31</v>
      </c>
      <c r="K2326">
        <f>_xlfn.XLOOKUP($A2326,[1]Sheet1!$E$9:$E$2584,[1]Sheet1!$F$9:$F$2584,"N/A",0)</f>
        <v>174.75</v>
      </c>
      <c r="L2326">
        <f>_xlfn.XLOOKUP($A2326,[1]Sheet1!$H$9:$H$2584,[1]Sheet1!$I$9:$I$2584,"N/A",0)</f>
        <v>54.96</v>
      </c>
      <c r="M2326">
        <f>_xlfn.XLOOKUP($A2326,[1]Sheet1!$K$9:$K$2584,[1]Sheet1!$L$9:$L$2584,"N/A",0)</f>
        <v>138.28</v>
      </c>
      <c r="N2326">
        <f>_xlfn.XLOOKUP($A2326,[1]Sheet1!$N$9:$N$2584,[1]Sheet1!$O$9:$O$2584,"N/A",0)</f>
        <v>128.84</v>
      </c>
      <c r="O2326">
        <v>111.31</v>
      </c>
      <c r="P2326">
        <v>174.75</v>
      </c>
      <c r="Q2326">
        <v>54.96</v>
      </c>
      <c r="R2326">
        <v>128.84</v>
      </c>
      <c r="S2326">
        <v>138.28</v>
      </c>
    </row>
    <row r="2327" spans="1:19">
      <c r="A2327" s="1">
        <v>45744</v>
      </c>
      <c r="B2327" t="s">
        <v>1020</v>
      </c>
      <c r="C2327" t="s">
        <v>1027</v>
      </c>
      <c r="D2327">
        <v>20.9817</v>
      </c>
      <c r="E2327">
        <v>20.5492</v>
      </c>
      <c r="F2327">
        <v>-0.0206132010275621</v>
      </c>
      <c r="G2327">
        <f ca="1" t="shared" si="108"/>
        <v>-0.80642217972491</v>
      </c>
      <c r="H2327" t="str">
        <f ca="1" t="shared" si="109"/>
        <v>Risk-On</v>
      </c>
      <c r="I2327">
        <f ca="1" t="shared" si="110"/>
        <v>1</v>
      </c>
      <c r="J2327">
        <f>_xlfn.XLOOKUP($A2327,[1]Sheet1!$B$9:$B$2584,[1]Sheet1!$C$9:$C$2584,"N/A",0)</f>
        <v>111.72</v>
      </c>
      <c r="K2327">
        <f>_xlfn.XLOOKUP($A2327,[1]Sheet1!$E$9:$E$2584,[1]Sheet1!$F$9:$F$2584,"N/A",0)</f>
        <v>176.09</v>
      </c>
      <c r="L2327">
        <f>_xlfn.XLOOKUP($A2327,[1]Sheet1!$H$9:$H$2584,[1]Sheet1!$I$9:$I$2584,"N/A",0)</f>
        <v>55.16</v>
      </c>
      <c r="M2327">
        <f>_xlfn.XLOOKUP($A2327,[1]Sheet1!$K$9:$K$2584,[1]Sheet1!$L$9:$L$2584,"N/A",0)</f>
        <v>138.63</v>
      </c>
      <c r="N2327">
        <f>_xlfn.XLOOKUP($A2327,[1]Sheet1!$N$9:$N$2584,[1]Sheet1!$O$9:$O$2584,"N/A",0)</f>
        <v>128.51</v>
      </c>
      <c r="O2327">
        <v>111.72</v>
      </c>
      <c r="P2327">
        <v>176.09</v>
      </c>
      <c r="Q2327">
        <v>55.16</v>
      </c>
      <c r="R2327">
        <v>128.51</v>
      </c>
      <c r="S2327">
        <v>138.63</v>
      </c>
    </row>
    <row r="2328" spans="1:19">
      <c r="A2328" s="1">
        <v>45747</v>
      </c>
      <c r="B2328" t="s">
        <v>1020</v>
      </c>
      <c r="C2328" t="s">
        <v>1027</v>
      </c>
      <c r="D2328">
        <v>20.8435</v>
      </c>
      <c r="E2328">
        <v>20.4872</v>
      </c>
      <c r="F2328">
        <v>-0.0170940580996472</v>
      </c>
      <c r="G2328">
        <f ca="1" t="shared" si="108"/>
        <v>-0.733076405609812</v>
      </c>
      <c r="H2328" t="str">
        <f ca="1" t="shared" si="109"/>
        <v>Risk-On</v>
      </c>
      <c r="I2328">
        <f ca="1" t="shared" si="110"/>
        <v>1</v>
      </c>
      <c r="J2328">
        <f>_xlfn.XLOOKUP($A2328,[1]Sheet1!$B$9:$B$2584,[1]Sheet1!$C$9:$C$2584,"N/A",0)</f>
        <v>110.93</v>
      </c>
      <c r="K2328">
        <f>_xlfn.XLOOKUP($A2328,[1]Sheet1!$E$9:$E$2584,[1]Sheet1!$F$9:$F$2584,"N/A",0)</f>
        <v>176.82</v>
      </c>
      <c r="L2328">
        <f>_xlfn.XLOOKUP($A2328,[1]Sheet1!$H$9:$H$2584,[1]Sheet1!$I$9:$I$2584,"N/A",0)</f>
        <v>55.27</v>
      </c>
      <c r="M2328">
        <f>_xlfn.XLOOKUP($A2328,[1]Sheet1!$K$9:$K$2584,[1]Sheet1!$L$9:$L$2584,"N/A",0)</f>
        <v>139.62</v>
      </c>
      <c r="N2328">
        <f>_xlfn.XLOOKUP($A2328,[1]Sheet1!$N$9:$N$2584,[1]Sheet1!$O$9:$O$2584,"N/A",0)</f>
        <v>129.73</v>
      </c>
      <c r="O2328">
        <v>110.93</v>
      </c>
      <c r="P2328">
        <v>176.82</v>
      </c>
      <c r="Q2328">
        <v>55.27</v>
      </c>
      <c r="R2328">
        <v>129.73</v>
      </c>
      <c r="S2328">
        <v>139.62</v>
      </c>
    </row>
    <row r="2329" spans="1:19">
      <c r="A2329" s="1">
        <v>45748</v>
      </c>
      <c r="B2329" t="s">
        <v>1020</v>
      </c>
      <c r="C2329" t="s">
        <v>1027</v>
      </c>
      <c r="D2329">
        <v>20.8794</v>
      </c>
      <c r="E2329">
        <v>20.5138</v>
      </c>
      <c r="F2329">
        <v>-0.0175100817073287</v>
      </c>
      <c r="G2329">
        <f ca="1" t="shared" si="108"/>
        <v>-0.732152812966186</v>
      </c>
      <c r="H2329" t="str">
        <f ca="1" t="shared" si="109"/>
        <v>Risk-On</v>
      </c>
      <c r="I2329">
        <f ca="1" t="shared" si="110"/>
        <v>1</v>
      </c>
      <c r="J2329">
        <f>_xlfn.XLOOKUP($A2329,[1]Sheet1!$B$9:$B$2584,[1]Sheet1!$C$9:$C$2584,"N/A",0)</f>
        <v>111.71</v>
      </c>
      <c r="K2329">
        <f>_xlfn.XLOOKUP($A2329,[1]Sheet1!$E$9:$E$2584,[1]Sheet1!$F$9:$F$2584,"N/A",0)</f>
        <v>178.25</v>
      </c>
      <c r="L2329">
        <f>_xlfn.XLOOKUP($A2329,[1]Sheet1!$H$9:$H$2584,[1]Sheet1!$I$9:$I$2584,"N/A",0)</f>
        <v>55.01</v>
      </c>
      <c r="M2329">
        <f>_xlfn.XLOOKUP($A2329,[1]Sheet1!$K$9:$K$2584,[1]Sheet1!$L$9:$L$2584,"N/A",0)</f>
        <v>140.07</v>
      </c>
      <c r="N2329">
        <f>_xlfn.XLOOKUP($A2329,[1]Sheet1!$N$9:$N$2584,[1]Sheet1!$O$9:$O$2584,"N/A",0)</f>
        <v>129.35</v>
      </c>
      <c r="O2329">
        <v>111.71</v>
      </c>
      <c r="P2329">
        <v>178.25</v>
      </c>
      <c r="Q2329">
        <v>55.01</v>
      </c>
      <c r="R2329">
        <v>129.35</v>
      </c>
      <c r="S2329">
        <v>140.07</v>
      </c>
    </row>
    <row r="2330" spans="1:19">
      <c r="A2330" s="1">
        <v>45749</v>
      </c>
      <c r="B2330" t="s">
        <v>1020</v>
      </c>
      <c r="C2330" t="s">
        <v>1027</v>
      </c>
      <c r="D2330">
        <v>20.1562</v>
      </c>
      <c r="E2330">
        <v>20.0227</v>
      </c>
      <c r="F2330">
        <v>-0.006623272243776</v>
      </c>
      <c r="G2330">
        <f ca="1" t="shared" si="108"/>
        <v>-0.525503698032329</v>
      </c>
      <c r="H2330" t="str">
        <f ca="1" t="shared" si="109"/>
        <v>Risk-On</v>
      </c>
      <c r="I2330">
        <f ca="1" t="shared" si="110"/>
        <v>1</v>
      </c>
      <c r="J2330">
        <f>_xlfn.XLOOKUP($A2330,[1]Sheet1!$B$9:$B$2584,[1]Sheet1!$C$9:$C$2584,"N/A",0)</f>
        <v>111.77</v>
      </c>
      <c r="K2330">
        <f>_xlfn.XLOOKUP($A2330,[1]Sheet1!$E$9:$E$2584,[1]Sheet1!$F$9:$F$2584,"N/A",0)</f>
        <v>178.86</v>
      </c>
      <c r="L2330">
        <f>_xlfn.XLOOKUP($A2330,[1]Sheet1!$H$9:$H$2584,[1]Sheet1!$I$9:$I$2584,"N/A",0)</f>
        <v>55.06</v>
      </c>
      <c r="M2330">
        <f>_xlfn.XLOOKUP($A2330,[1]Sheet1!$K$9:$K$2584,[1]Sheet1!$L$9:$L$2584,"N/A",0)</f>
        <v>140.82</v>
      </c>
      <c r="N2330">
        <f>_xlfn.XLOOKUP($A2330,[1]Sheet1!$N$9:$N$2584,[1]Sheet1!$O$9:$O$2584,"N/A",0)</f>
        <v>128.91</v>
      </c>
      <c r="O2330">
        <v>111.77</v>
      </c>
      <c r="P2330">
        <v>178.86</v>
      </c>
      <c r="Q2330">
        <v>55.06</v>
      </c>
      <c r="R2330">
        <v>128.91</v>
      </c>
      <c r="S2330">
        <v>140.82</v>
      </c>
    </row>
    <row r="2331" spans="1:19">
      <c r="A2331" s="1">
        <v>45750</v>
      </c>
      <c r="B2331" t="s">
        <v>1020</v>
      </c>
      <c r="C2331" t="s">
        <v>1027</v>
      </c>
      <c r="D2331">
        <v>26.3753</v>
      </c>
      <c r="E2331">
        <v>24.1926</v>
      </c>
      <c r="F2331">
        <v>-0.0827554568099699</v>
      </c>
      <c r="G2331">
        <f ca="1" t="shared" si="108"/>
        <v>-1.90770592798067</v>
      </c>
      <c r="H2331" t="str">
        <f ca="1" t="shared" si="109"/>
        <v>Risk-On</v>
      </c>
      <c r="I2331">
        <f ca="1" t="shared" si="110"/>
        <v>1</v>
      </c>
      <c r="J2331">
        <f>_xlfn.XLOOKUP($A2331,[1]Sheet1!$B$9:$B$2584,[1]Sheet1!$C$9:$C$2584,"N/A",0)</f>
        <v>112.17</v>
      </c>
      <c r="K2331">
        <f>_xlfn.XLOOKUP($A2331,[1]Sheet1!$E$9:$E$2584,[1]Sheet1!$F$9:$F$2584,"N/A",0)</f>
        <v>180.88</v>
      </c>
      <c r="L2331">
        <f>_xlfn.XLOOKUP($A2331,[1]Sheet1!$H$9:$H$2584,[1]Sheet1!$I$9:$I$2584,"N/A",0)</f>
        <v>54.19</v>
      </c>
      <c r="M2331">
        <f>_xlfn.XLOOKUP($A2331,[1]Sheet1!$K$9:$K$2584,[1]Sheet1!$L$9:$L$2584,"N/A",0)</f>
        <v>139.88</v>
      </c>
      <c r="N2331">
        <f>_xlfn.XLOOKUP($A2331,[1]Sheet1!$N$9:$N$2584,[1]Sheet1!$O$9:$O$2584,"N/A",0)</f>
        <v>129.76</v>
      </c>
      <c r="O2331">
        <v>112.17</v>
      </c>
      <c r="P2331">
        <v>180.88</v>
      </c>
      <c r="Q2331">
        <v>54.19</v>
      </c>
      <c r="R2331">
        <v>129.76</v>
      </c>
      <c r="S2331">
        <v>139.88</v>
      </c>
    </row>
    <row r="2332" spans="1:19">
      <c r="A2332" s="1">
        <v>45751</v>
      </c>
      <c r="B2332" t="s">
        <v>1020</v>
      </c>
      <c r="C2332" t="s">
        <v>1027</v>
      </c>
      <c r="D2332">
        <v>32.4976</v>
      </c>
      <c r="E2332">
        <v>28.5193</v>
      </c>
      <c r="F2332">
        <v>-0.122418270887696</v>
      </c>
      <c r="G2332">
        <f ca="1" t="shared" si="108"/>
        <v>-2.59321688002148</v>
      </c>
      <c r="H2332" t="str">
        <f ca="1" t="shared" si="109"/>
        <v>Risk-On</v>
      </c>
      <c r="I2332">
        <f ca="1" t="shared" si="110"/>
        <v>1</v>
      </c>
      <c r="J2332">
        <f>_xlfn.XLOOKUP($A2332,[1]Sheet1!$B$9:$B$2584,[1]Sheet1!$C$9:$C$2584,"N/A",0)</f>
        <v>110.84</v>
      </c>
      <c r="K2332">
        <f>_xlfn.XLOOKUP($A2332,[1]Sheet1!$E$9:$E$2584,[1]Sheet1!$F$9:$F$2584,"N/A",0)</f>
        <v>176.86</v>
      </c>
      <c r="L2332">
        <f>_xlfn.XLOOKUP($A2332,[1]Sheet1!$H$9:$H$2584,[1]Sheet1!$I$9:$I$2584,"N/A",0)</f>
        <v>54.57</v>
      </c>
      <c r="M2332">
        <f>_xlfn.XLOOKUP($A2332,[1]Sheet1!$K$9:$K$2584,[1]Sheet1!$L$9:$L$2584,"N/A",0)</f>
        <v>140.04</v>
      </c>
      <c r="N2332">
        <f>_xlfn.XLOOKUP($A2332,[1]Sheet1!$N$9:$N$2584,[1]Sheet1!$O$9:$O$2584,"N/A",0)</f>
        <v>127</v>
      </c>
      <c r="O2332">
        <v>110.84</v>
      </c>
      <c r="P2332">
        <v>176.86</v>
      </c>
      <c r="Q2332">
        <v>54.57</v>
      </c>
      <c r="R2332">
        <v>127</v>
      </c>
      <c r="S2332">
        <v>140.04</v>
      </c>
    </row>
    <row r="2333" spans="1:19">
      <c r="A2333" s="1">
        <v>45754</v>
      </c>
      <c r="B2333" t="s">
        <v>1020</v>
      </c>
      <c r="C2333" t="s">
        <v>1027</v>
      </c>
      <c r="D2333">
        <v>33.1708</v>
      </c>
      <c r="E2333">
        <v>28.1411</v>
      </c>
      <c r="F2333">
        <v>-0.151630349584574</v>
      </c>
      <c r="G2333">
        <f ca="1" t="shared" si="108"/>
        <v>-3.05856791717807</v>
      </c>
      <c r="H2333" t="str">
        <f ca="1" t="shared" si="109"/>
        <v>Risk-On</v>
      </c>
      <c r="I2333">
        <f ca="1" t="shared" si="110"/>
        <v>1</v>
      </c>
      <c r="J2333">
        <f>_xlfn.XLOOKUP($A2333,[1]Sheet1!$B$9:$B$2584,[1]Sheet1!$C$9:$C$2584,"N/A",0)</f>
        <v>111.24</v>
      </c>
      <c r="K2333">
        <f>_xlfn.XLOOKUP($A2333,[1]Sheet1!$E$9:$E$2584,[1]Sheet1!$F$9:$F$2584,"N/A",0)</f>
        <v>179.18</v>
      </c>
      <c r="L2333">
        <f>_xlfn.XLOOKUP($A2333,[1]Sheet1!$H$9:$H$2584,[1]Sheet1!$I$9:$I$2584,"N/A",0)</f>
        <v>54.5</v>
      </c>
      <c r="M2333">
        <f>_xlfn.XLOOKUP($A2333,[1]Sheet1!$K$9:$K$2584,[1]Sheet1!$L$9:$L$2584,"N/A",0)</f>
        <v>140.17</v>
      </c>
      <c r="N2333">
        <f>_xlfn.XLOOKUP($A2333,[1]Sheet1!$N$9:$N$2584,[1]Sheet1!$O$9:$O$2584,"N/A",0)</f>
        <v>128.28</v>
      </c>
      <c r="O2333">
        <v>111.24</v>
      </c>
      <c r="P2333">
        <v>179.18</v>
      </c>
      <c r="Q2333">
        <v>54.5</v>
      </c>
      <c r="R2333">
        <v>128.28</v>
      </c>
      <c r="S2333">
        <v>140.17</v>
      </c>
    </row>
    <row r="2334" spans="1:19">
      <c r="A2334" s="1">
        <v>45755</v>
      </c>
      <c r="B2334" t="s">
        <v>1020</v>
      </c>
      <c r="C2334" t="s">
        <v>1027</v>
      </c>
      <c r="D2334">
        <v>39.1728</v>
      </c>
      <c r="E2334">
        <v>31.4333</v>
      </c>
      <c r="F2334">
        <v>-0.197573316178572</v>
      </c>
      <c r="G2334">
        <f ca="1" t="shared" si="108"/>
        <v>-3.76220250908786</v>
      </c>
      <c r="H2334" t="str">
        <f ca="1" t="shared" si="109"/>
        <v>Risk-On</v>
      </c>
      <c r="I2334">
        <f ca="1" t="shared" si="110"/>
        <v>1</v>
      </c>
      <c r="J2334">
        <f>_xlfn.XLOOKUP($A2334,[1]Sheet1!$B$9:$B$2584,[1]Sheet1!$C$9:$C$2584,"N/A",0)</f>
        <v>111.72</v>
      </c>
      <c r="K2334">
        <f>_xlfn.XLOOKUP($A2334,[1]Sheet1!$E$9:$E$2584,[1]Sheet1!$F$9:$F$2584,"N/A",0)</f>
        <v>182.17</v>
      </c>
      <c r="L2334">
        <f>_xlfn.XLOOKUP($A2334,[1]Sheet1!$H$9:$H$2584,[1]Sheet1!$I$9:$I$2584,"N/A",0)</f>
        <v>54.52</v>
      </c>
      <c r="M2334">
        <f>_xlfn.XLOOKUP($A2334,[1]Sheet1!$K$9:$K$2584,[1]Sheet1!$L$9:$L$2584,"N/A",0)</f>
        <v>140.25</v>
      </c>
      <c r="N2334">
        <f>_xlfn.XLOOKUP($A2334,[1]Sheet1!$N$9:$N$2584,[1]Sheet1!$O$9:$O$2584,"N/A",0)</f>
        <v>129.51</v>
      </c>
      <c r="O2334">
        <v>111.72</v>
      </c>
      <c r="P2334">
        <v>182.17</v>
      </c>
      <c r="Q2334">
        <v>54.52</v>
      </c>
      <c r="R2334">
        <v>129.51</v>
      </c>
      <c r="S2334">
        <v>140.25</v>
      </c>
    </row>
    <row r="2335" spans="1:19">
      <c r="A2335" s="1">
        <v>45756</v>
      </c>
      <c r="B2335" t="s">
        <v>1020</v>
      </c>
      <c r="C2335" t="s">
        <v>1027</v>
      </c>
      <c r="D2335">
        <v>28.6489</v>
      </c>
      <c r="E2335">
        <v>25.1944</v>
      </c>
      <c r="F2335">
        <v>-0.120580545849927</v>
      </c>
      <c r="G2335">
        <f ca="1" t="shared" si="108"/>
        <v>-2.3163046882557</v>
      </c>
      <c r="H2335" t="str">
        <f ca="1" t="shared" si="109"/>
        <v>Risk-On</v>
      </c>
      <c r="I2335">
        <f ca="1" t="shared" si="110"/>
        <v>1</v>
      </c>
      <c r="J2335">
        <f>_xlfn.XLOOKUP($A2335,[1]Sheet1!$B$9:$B$2584,[1]Sheet1!$C$9:$C$2584,"N/A",0)</f>
        <v>112.77</v>
      </c>
      <c r="K2335">
        <f>_xlfn.XLOOKUP($A2335,[1]Sheet1!$E$9:$E$2584,[1]Sheet1!$F$9:$F$2584,"N/A",0)</f>
        <v>180.85</v>
      </c>
      <c r="L2335">
        <f>_xlfn.XLOOKUP($A2335,[1]Sheet1!$H$9:$H$2584,[1]Sheet1!$I$9:$I$2584,"N/A",0)</f>
        <v>54.39</v>
      </c>
      <c r="M2335">
        <f>_xlfn.XLOOKUP($A2335,[1]Sheet1!$K$9:$K$2584,[1]Sheet1!$L$9:$L$2584,"N/A",0)</f>
        <v>140.96</v>
      </c>
      <c r="N2335">
        <f>_xlfn.XLOOKUP($A2335,[1]Sheet1!$N$9:$N$2584,[1]Sheet1!$O$9:$O$2584,"N/A",0)</f>
        <v>130.12</v>
      </c>
      <c r="O2335">
        <v>112.77</v>
      </c>
      <c r="P2335">
        <v>180.85</v>
      </c>
      <c r="Q2335">
        <v>54.39</v>
      </c>
      <c r="R2335">
        <v>130.12</v>
      </c>
      <c r="S2335">
        <v>140.96</v>
      </c>
    </row>
    <row r="2336" spans="1:19">
      <c r="A2336" s="1">
        <v>45757</v>
      </c>
      <c r="B2336" t="s">
        <v>1020</v>
      </c>
      <c r="C2336" t="s">
        <v>1027</v>
      </c>
      <c r="D2336">
        <v>35.8622</v>
      </c>
      <c r="E2336">
        <v>29.871</v>
      </c>
      <c r="F2336">
        <v>-0.167061697274567</v>
      </c>
      <c r="G2336">
        <f ca="1" t="shared" si="108"/>
        <v>-3.04388358751714</v>
      </c>
      <c r="H2336" t="str">
        <f ca="1" t="shared" si="109"/>
        <v>Risk-On</v>
      </c>
      <c r="I2336">
        <f ca="1" t="shared" si="110"/>
        <v>1</v>
      </c>
      <c r="J2336">
        <f>_xlfn.XLOOKUP($A2336,[1]Sheet1!$B$9:$B$2584,[1]Sheet1!$C$9:$C$2584,"N/A",0)</f>
        <v>112.32</v>
      </c>
      <c r="K2336">
        <f>_xlfn.XLOOKUP($A2336,[1]Sheet1!$E$9:$E$2584,[1]Sheet1!$F$9:$F$2584,"N/A",0)</f>
        <v>183.57</v>
      </c>
      <c r="L2336">
        <f>_xlfn.XLOOKUP($A2336,[1]Sheet1!$H$9:$H$2584,[1]Sheet1!$I$9:$I$2584,"N/A",0)</f>
        <v>53.76</v>
      </c>
      <c r="M2336">
        <f>_xlfn.XLOOKUP($A2336,[1]Sheet1!$K$9:$K$2584,[1]Sheet1!$L$9:$L$2584,"N/A",0)</f>
        <v>141.13</v>
      </c>
      <c r="N2336">
        <f>_xlfn.XLOOKUP($A2336,[1]Sheet1!$N$9:$N$2584,[1]Sheet1!$O$9:$O$2584,"N/A",0)</f>
        <v>129.93</v>
      </c>
      <c r="O2336">
        <v>112.32</v>
      </c>
      <c r="P2336">
        <v>183.57</v>
      </c>
      <c r="Q2336">
        <v>53.76</v>
      </c>
      <c r="R2336">
        <v>129.93</v>
      </c>
      <c r="S2336">
        <v>141.13</v>
      </c>
    </row>
    <row r="2337" spans="1:19">
      <c r="A2337" s="1">
        <v>45758</v>
      </c>
      <c r="B2337" t="s">
        <v>1020</v>
      </c>
      <c r="C2337" t="s">
        <v>1027</v>
      </c>
      <c r="D2337">
        <v>34.6376</v>
      </c>
      <c r="E2337">
        <v>28.8917</v>
      </c>
      <c r="F2337">
        <v>-0.165886204586922</v>
      </c>
      <c r="G2337">
        <f ca="1" t="shared" si="108"/>
        <v>-2.93379359937622</v>
      </c>
      <c r="H2337" t="str">
        <f ca="1" t="shared" si="109"/>
        <v>Risk-On</v>
      </c>
      <c r="I2337">
        <f ca="1" t="shared" si="110"/>
        <v>1</v>
      </c>
      <c r="J2337">
        <f>_xlfn.XLOOKUP($A2337,[1]Sheet1!$B$9:$B$2584,[1]Sheet1!$C$9:$C$2584,"N/A",0)</f>
        <v>112.31</v>
      </c>
      <c r="K2337">
        <f>_xlfn.XLOOKUP($A2337,[1]Sheet1!$E$9:$E$2584,[1]Sheet1!$F$9:$F$2584,"N/A",0)</f>
        <v>183.86</v>
      </c>
      <c r="L2337">
        <f>_xlfn.XLOOKUP($A2337,[1]Sheet1!$H$9:$H$2584,[1]Sheet1!$I$9:$I$2584,"N/A",0)</f>
        <v>53.8</v>
      </c>
      <c r="M2337">
        <f>_xlfn.XLOOKUP($A2337,[1]Sheet1!$K$9:$K$2584,[1]Sheet1!$L$9:$L$2584,"N/A",0)</f>
        <v>140.43</v>
      </c>
      <c r="N2337">
        <f>_xlfn.XLOOKUP($A2337,[1]Sheet1!$N$9:$N$2584,[1]Sheet1!$O$9:$O$2584,"N/A",0)</f>
        <v>130.31</v>
      </c>
      <c r="O2337">
        <v>112.31</v>
      </c>
      <c r="P2337">
        <v>183.86</v>
      </c>
      <c r="Q2337">
        <v>53.8</v>
      </c>
      <c r="R2337">
        <v>130.31</v>
      </c>
      <c r="S2337">
        <v>140.43</v>
      </c>
    </row>
    <row r="2338" spans="1:19">
      <c r="A2338" s="1">
        <v>45761</v>
      </c>
      <c r="B2338" t="s">
        <v>1020</v>
      </c>
      <c r="C2338" t="s">
        <v>1027</v>
      </c>
      <c r="D2338">
        <v>29.8594</v>
      </c>
      <c r="E2338">
        <v>25.6983</v>
      </c>
      <c r="F2338">
        <v>-0.139356450564981</v>
      </c>
      <c r="G2338">
        <f ca="1" t="shared" si="108"/>
        <v>-2.43988196541083</v>
      </c>
      <c r="H2338" t="str">
        <f ca="1" t="shared" si="109"/>
        <v>Risk-On</v>
      </c>
      <c r="I2338">
        <f ca="1" t="shared" si="110"/>
        <v>1</v>
      </c>
      <c r="J2338">
        <f>_xlfn.XLOOKUP($A2338,[1]Sheet1!$B$9:$B$2584,[1]Sheet1!$C$9:$C$2584,"N/A",0)</f>
        <v>111.93</v>
      </c>
      <c r="K2338">
        <f>_xlfn.XLOOKUP($A2338,[1]Sheet1!$E$9:$E$2584,[1]Sheet1!$F$9:$F$2584,"N/A",0)</f>
        <v>183.96</v>
      </c>
      <c r="L2338">
        <f>_xlfn.XLOOKUP($A2338,[1]Sheet1!$H$9:$H$2584,[1]Sheet1!$I$9:$I$2584,"N/A",0)</f>
        <v>53.77</v>
      </c>
      <c r="M2338">
        <f>_xlfn.XLOOKUP($A2338,[1]Sheet1!$K$9:$K$2584,[1]Sheet1!$L$9:$L$2584,"N/A",0)</f>
        <v>140.09</v>
      </c>
      <c r="N2338">
        <f>_xlfn.XLOOKUP($A2338,[1]Sheet1!$N$9:$N$2584,[1]Sheet1!$O$9:$O$2584,"N/A",0)</f>
        <v>130.32</v>
      </c>
      <c r="O2338">
        <v>111.93</v>
      </c>
      <c r="P2338">
        <v>183.96</v>
      </c>
      <c r="Q2338">
        <v>53.77</v>
      </c>
      <c r="R2338">
        <v>130.32</v>
      </c>
      <c r="S2338">
        <v>140.09</v>
      </c>
    </row>
    <row r="2339" spans="1:19">
      <c r="A2339" s="1">
        <v>45762</v>
      </c>
      <c r="B2339" t="s">
        <v>1020</v>
      </c>
      <c r="C2339" t="s">
        <v>1027</v>
      </c>
      <c r="D2339">
        <v>29.9025</v>
      </c>
      <c r="E2339">
        <v>25.4674</v>
      </c>
      <c r="F2339">
        <v>-0.148318702449627</v>
      </c>
      <c r="G2339">
        <f ca="1" t="shared" si="108"/>
        <v>-2.52875997725341</v>
      </c>
      <c r="H2339" t="str">
        <f ca="1" t="shared" si="109"/>
        <v>Risk-On</v>
      </c>
      <c r="I2339">
        <f ca="1" t="shared" si="110"/>
        <v>1</v>
      </c>
      <c r="J2339">
        <f>_xlfn.XLOOKUP($A2339,[1]Sheet1!$B$9:$B$2584,[1]Sheet1!$C$9:$C$2584,"N/A",0)</f>
        <v>112.35</v>
      </c>
      <c r="K2339">
        <f>_xlfn.XLOOKUP($A2339,[1]Sheet1!$E$9:$E$2584,[1]Sheet1!$F$9:$F$2584,"N/A",0)</f>
        <v>186.68</v>
      </c>
      <c r="L2339">
        <f>_xlfn.XLOOKUP($A2339,[1]Sheet1!$H$9:$H$2584,[1]Sheet1!$I$9:$I$2584,"N/A",0)</f>
        <v>53.78</v>
      </c>
      <c r="M2339">
        <f>_xlfn.XLOOKUP($A2339,[1]Sheet1!$K$9:$K$2584,[1]Sheet1!$L$9:$L$2584,"N/A",0)</f>
        <v>140.3</v>
      </c>
      <c r="N2339">
        <f>_xlfn.XLOOKUP($A2339,[1]Sheet1!$N$9:$N$2584,[1]Sheet1!$O$9:$O$2584,"N/A",0)</f>
        <v>130</v>
      </c>
      <c r="O2339">
        <v>112.35</v>
      </c>
      <c r="P2339">
        <v>186.68</v>
      </c>
      <c r="Q2339">
        <v>53.78</v>
      </c>
      <c r="R2339">
        <v>130</v>
      </c>
      <c r="S2339">
        <v>140.3</v>
      </c>
    </row>
    <row r="2340" spans="1:19">
      <c r="A2340" s="1">
        <v>45763</v>
      </c>
      <c r="B2340" t="s">
        <v>1020</v>
      </c>
      <c r="C2340" t="s">
        <v>1027</v>
      </c>
      <c r="D2340">
        <v>31.91</v>
      </c>
      <c r="E2340">
        <v>27.6258</v>
      </c>
      <c r="F2340">
        <v>-0.13425885302413</v>
      </c>
      <c r="G2340">
        <f ca="1" t="shared" si="108"/>
        <v>-2.26199835123271</v>
      </c>
      <c r="H2340" t="str">
        <f ca="1" t="shared" si="109"/>
        <v>Risk-On</v>
      </c>
      <c r="I2340">
        <f ca="1" t="shared" si="110"/>
        <v>1</v>
      </c>
      <c r="J2340">
        <f>_xlfn.XLOOKUP($A2340,[1]Sheet1!$B$9:$B$2584,[1]Sheet1!$C$9:$C$2584,"N/A",0)</f>
        <v>112.5</v>
      </c>
      <c r="K2340">
        <f>_xlfn.XLOOKUP($A2340,[1]Sheet1!$E$9:$E$2584,[1]Sheet1!$F$9:$F$2584,"N/A",0)</f>
        <v>187.28</v>
      </c>
      <c r="L2340">
        <f>_xlfn.XLOOKUP($A2340,[1]Sheet1!$H$9:$H$2584,[1]Sheet1!$I$9:$I$2584,"N/A",0)</f>
        <v>54.05</v>
      </c>
      <c r="M2340">
        <f>_xlfn.XLOOKUP($A2340,[1]Sheet1!$K$9:$K$2584,[1]Sheet1!$L$9:$L$2584,"N/A",0)</f>
        <v>140.17</v>
      </c>
      <c r="N2340">
        <f>_xlfn.XLOOKUP($A2340,[1]Sheet1!$N$9:$N$2584,[1]Sheet1!$O$9:$O$2584,"N/A",0)</f>
        <v>129.34</v>
      </c>
      <c r="O2340">
        <v>112.5</v>
      </c>
      <c r="P2340">
        <v>187.28</v>
      </c>
      <c r="Q2340">
        <v>54.05</v>
      </c>
      <c r="R2340">
        <v>129.34</v>
      </c>
      <c r="S2340">
        <v>140.17</v>
      </c>
    </row>
    <row r="2341" spans="1:19">
      <c r="A2341" s="1">
        <v>45764</v>
      </c>
      <c r="B2341" t="s">
        <v>1027</v>
      </c>
      <c r="C2341" t="s">
        <v>1029</v>
      </c>
      <c r="D2341">
        <v>26.7284</v>
      </c>
      <c r="E2341">
        <v>25.7621</v>
      </c>
      <c r="F2341">
        <v>-0.0361525568309364</v>
      </c>
      <c r="G2341">
        <f ca="1" t="shared" si="108"/>
        <v>-0.744969320128193</v>
      </c>
      <c r="H2341" t="str">
        <f ca="1" t="shared" si="109"/>
        <v>Risk-On</v>
      </c>
      <c r="I2341">
        <f ca="1" t="shared" si="110"/>
        <v>1</v>
      </c>
      <c r="J2341">
        <f>_xlfn.XLOOKUP($A2341,[1]Sheet1!$B$9:$B$2584,[1]Sheet1!$C$9:$C$2584,"N/A",0)</f>
        <v>111.93</v>
      </c>
      <c r="K2341">
        <f>_xlfn.XLOOKUP($A2341,[1]Sheet1!$E$9:$E$2584,[1]Sheet1!$F$9:$F$2584,"N/A",0)</f>
        <v>186.1</v>
      </c>
      <c r="L2341">
        <f>_xlfn.XLOOKUP($A2341,[1]Sheet1!$H$9:$H$2584,[1]Sheet1!$I$9:$I$2584,"N/A",0)</f>
        <v>54.09</v>
      </c>
      <c r="M2341">
        <f>_xlfn.XLOOKUP($A2341,[1]Sheet1!$K$9:$K$2584,[1]Sheet1!$L$9:$L$2584,"N/A",0)</f>
        <v>140.81</v>
      </c>
      <c r="N2341">
        <f>_xlfn.XLOOKUP($A2341,[1]Sheet1!$N$9:$N$2584,[1]Sheet1!$O$9:$O$2584,"N/A",0)</f>
        <v>129.05</v>
      </c>
      <c r="O2341">
        <v>111.93</v>
      </c>
      <c r="P2341">
        <v>186.1</v>
      </c>
      <c r="Q2341">
        <v>54.09</v>
      </c>
      <c r="R2341">
        <v>129.05</v>
      </c>
      <c r="S2341">
        <v>140.81</v>
      </c>
    </row>
    <row r="2342" spans="1:19">
      <c r="A2342" s="1">
        <v>45768</v>
      </c>
      <c r="B2342" t="s">
        <v>1027</v>
      </c>
      <c r="C2342" t="s">
        <v>1029</v>
      </c>
      <c r="D2342">
        <v>28.4469</v>
      </c>
      <c r="E2342">
        <v>27.0167</v>
      </c>
      <c r="F2342">
        <v>-0.0502761285060937</v>
      </c>
      <c r="G2342">
        <f ca="1" t="shared" si="108"/>
        <v>-0.959847167948227</v>
      </c>
      <c r="H2342" t="str">
        <f ca="1" t="shared" si="109"/>
        <v>Risk-On</v>
      </c>
      <c r="I2342">
        <f ca="1" t="shared" si="110"/>
        <v>1</v>
      </c>
      <c r="J2342">
        <f>_xlfn.XLOOKUP($A2342,[1]Sheet1!$B$9:$B$2584,[1]Sheet1!$C$9:$C$2584,"N/A",0)</f>
        <v>111.49</v>
      </c>
      <c r="K2342">
        <f>_xlfn.XLOOKUP($A2342,[1]Sheet1!$E$9:$E$2584,[1]Sheet1!$F$9:$F$2584,"N/A",0)</f>
        <v>184.58</v>
      </c>
      <c r="L2342">
        <f>_xlfn.XLOOKUP($A2342,[1]Sheet1!$H$9:$H$2584,[1]Sheet1!$I$9:$I$2584,"N/A",0)</f>
        <v>54.85</v>
      </c>
      <c r="M2342">
        <f>_xlfn.XLOOKUP($A2342,[1]Sheet1!$K$9:$K$2584,[1]Sheet1!$L$9:$L$2584,"N/A",0)</f>
        <v>140.21</v>
      </c>
      <c r="N2342">
        <f>_xlfn.XLOOKUP($A2342,[1]Sheet1!$N$9:$N$2584,[1]Sheet1!$O$9:$O$2584,"N/A",0)</f>
        <v>129.4</v>
      </c>
      <c r="O2342">
        <v>111.49</v>
      </c>
      <c r="P2342">
        <v>184.58</v>
      </c>
      <c r="Q2342">
        <v>54.85</v>
      </c>
      <c r="R2342">
        <v>129.4</v>
      </c>
      <c r="S2342">
        <v>140.21</v>
      </c>
    </row>
    <row r="2343" spans="1:19">
      <c r="A2343" s="1">
        <v>45769</v>
      </c>
      <c r="B2343" t="s">
        <v>1027</v>
      </c>
      <c r="C2343" t="s">
        <v>1029</v>
      </c>
      <c r="D2343">
        <v>26.5397</v>
      </c>
      <c r="E2343">
        <v>25.7021</v>
      </c>
      <c r="F2343">
        <v>-0.0315602663180065</v>
      </c>
      <c r="G2343">
        <f ca="1" t="shared" si="108"/>
        <v>-0.671691894963394</v>
      </c>
      <c r="H2343" t="str">
        <f ca="1" t="shared" si="109"/>
        <v>Risk-On</v>
      </c>
      <c r="I2343">
        <f ca="1" t="shared" si="110"/>
        <v>1</v>
      </c>
      <c r="J2343">
        <f>_xlfn.XLOOKUP($A2343,[1]Sheet1!$B$9:$B$2584,[1]Sheet1!$C$9:$C$2584,"N/A",0)</f>
        <v>111.25</v>
      </c>
      <c r="K2343">
        <f>_xlfn.XLOOKUP($A2343,[1]Sheet1!$E$9:$E$2584,[1]Sheet1!$F$9:$F$2584,"N/A",0)</f>
        <v>184.99</v>
      </c>
      <c r="L2343">
        <f>_xlfn.XLOOKUP($A2343,[1]Sheet1!$H$9:$H$2584,[1]Sheet1!$I$9:$I$2584,"N/A",0)</f>
        <v>54.61</v>
      </c>
      <c r="M2343">
        <f>_xlfn.XLOOKUP($A2343,[1]Sheet1!$K$9:$K$2584,[1]Sheet1!$L$9:$L$2584,"N/A",0)</f>
        <v>141.18</v>
      </c>
      <c r="N2343">
        <f>_xlfn.XLOOKUP($A2343,[1]Sheet1!$N$9:$N$2584,[1]Sheet1!$O$9:$O$2584,"N/A",0)</f>
        <v>129.4</v>
      </c>
      <c r="O2343">
        <v>111.25</v>
      </c>
      <c r="P2343">
        <v>184.99</v>
      </c>
      <c r="Q2343">
        <v>54.61</v>
      </c>
      <c r="R2343">
        <v>129.4</v>
      </c>
      <c r="S2343">
        <v>141.18</v>
      </c>
    </row>
    <row r="2344" spans="1:19">
      <c r="A2344" s="1">
        <v>45770</v>
      </c>
      <c r="B2344" t="s">
        <v>1027</v>
      </c>
      <c r="C2344" t="s">
        <v>1029</v>
      </c>
      <c r="D2344">
        <v>25.4379</v>
      </c>
      <c r="E2344">
        <v>24.8708</v>
      </c>
      <c r="F2344">
        <v>-0.0222935069325691</v>
      </c>
      <c r="G2344">
        <f ca="1" t="shared" si="108"/>
        <v>-0.527729071303418</v>
      </c>
      <c r="H2344" t="str">
        <f ca="1" t="shared" si="109"/>
        <v>Risk-On</v>
      </c>
      <c r="I2344">
        <f ca="1" t="shared" si="110"/>
        <v>1</v>
      </c>
      <c r="J2344">
        <f>_xlfn.XLOOKUP($A2344,[1]Sheet1!$B$9:$B$2584,[1]Sheet1!$C$9:$C$2584,"N/A",0)</f>
        <v>111.48</v>
      </c>
      <c r="K2344">
        <f>_xlfn.XLOOKUP($A2344,[1]Sheet1!$E$9:$E$2584,[1]Sheet1!$F$9:$F$2584,"N/A",0)</f>
        <v>185.9</v>
      </c>
      <c r="L2344">
        <f>_xlfn.XLOOKUP($A2344,[1]Sheet1!$H$9:$H$2584,[1]Sheet1!$I$9:$I$2584,"N/A",0)</f>
        <v>54.35</v>
      </c>
      <c r="M2344">
        <f>_xlfn.XLOOKUP($A2344,[1]Sheet1!$K$9:$K$2584,[1]Sheet1!$L$9:$L$2584,"N/A",0)</f>
        <v>140.47</v>
      </c>
      <c r="N2344">
        <f>_xlfn.XLOOKUP($A2344,[1]Sheet1!$N$9:$N$2584,[1]Sheet1!$O$9:$O$2584,"N/A",0)</f>
        <v>129.21</v>
      </c>
      <c r="O2344">
        <v>111.48</v>
      </c>
      <c r="P2344">
        <v>185.9</v>
      </c>
      <c r="Q2344">
        <v>54.35</v>
      </c>
      <c r="R2344">
        <v>129.21</v>
      </c>
      <c r="S2344">
        <v>140.47</v>
      </c>
    </row>
    <row r="2345" spans="1:19">
      <c r="A2345" s="1">
        <v>45771</v>
      </c>
      <c r="B2345" t="s">
        <v>1027</v>
      </c>
      <c r="C2345" t="s">
        <v>1029</v>
      </c>
      <c r="D2345">
        <v>24.5677</v>
      </c>
      <c r="E2345">
        <v>24.0525</v>
      </c>
      <c r="F2345">
        <v>-0.0209706240307395</v>
      </c>
      <c r="G2345">
        <f ca="1" t="shared" si="108"/>
        <v>-0.505881152348939</v>
      </c>
      <c r="H2345" t="str">
        <f ca="1" t="shared" si="109"/>
        <v>Risk-On</v>
      </c>
      <c r="I2345">
        <f ca="1" t="shared" si="110"/>
        <v>1</v>
      </c>
      <c r="J2345">
        <f>_xlfn.XLOOKUP($A2345,[1]Sheet1!$B$9:$B$2584,[1]Sheet1!$C$9:$C$2584,"N/A",0)</f>
        <v>111.21</v>
      </c>
      <c r="K2345">
        <f>_xlfn.XLOOKUP($A2345,[1]Sheet1!$E$9:$E$2584,[1]Sheet1!$F$9:$F$2584,"N/A",0)</f>
        <v>184.41</v>
      </c>
      <c r="L2345">
        <f>_xlfn.XLOOKUP($A2345,[1]Sheet1!$H$9:$H$2584,[1]Sheet1!$I$9:$I$2584,"N/A",0)</f>
        <v>54.51</v>
      </c>
      <c r="M2345">
        <f>_xlfn.XLOOKUP($A2345,[1]Sheet1!$K$9:$K$2584,[1]Sheet1!$L$9:$L$2584,"N/A",0)</f>
        <v>140.62</v>
      </c>
      <c r="N2345">
        <f>_xlfn.XLOOKUP($A2345,[1]Sheet1!$N$9:$N$2584,[1]Sheet1!$O$9:$O$2584,"N/A",0)</f>
        <v>129.69</v>
      </c>
      <c r="O2345">
        <v>111.21</v>
      </c>
      <c r="P2345">
        <v>184.41</v>
      </c>
      <c r="Q2345">
        <v>54.51</v>
      </c>
      <c r="R2345">
        <v>129.69</v>
      </c>
      <c r="S2345">
        <v>140.62</v>
      </c>
    </row>
    <row r="2346" spans="1:19">
      <c r="A2346" s="1">
        <v>45772</v>
      </c>
      <c r="B2346" t="s">
        <v>1027</v>
      </c>
      <c r="C2346" t="s">
        <v>1029</v>
      </c>
      <c r="D2346">
        <v>23.4981</v>
      </c>
      <c r="E2346">
        <v>23.2525</v>
      </c>
      <c r="F2346">
        <v>-0.010451908877739</v>
      </c>
      <c r="G2346">
        <f ca="1" t="shared" si="108"/>
        <v>-0.34254373022091</v>
      </c>
      <c r="H2346" t="str">
        <f ca="1" t="shared" si="109"/>
        <v>Risk-On</v>
      </c>
      <c r="I2346">
        <f ca="1" t="shared" si="110"/>
        <v>1</v>
      </c>
      <c r="J2346">
        <f>_xlfn.XLOOKUP($A2346,[1]Sheet1!$B$9:$B$2584,[1]Sheet1!$C$9:$C$2584,"N/A",0)</f>
        <v>112.3</v>
      </c>
      <c r="K2346">
        <f>_xlfn.XLOOKUP($A2346,[1]Sheet1!$E$9:$E$2584,[1]Sheet1!$F$9:$F$2584,"N/A",0)</f>
        <v>185.97</v>
      </c>
      <c r="L2346">
        <f>_xlfn.XLOOKUP($A2346,[1]Sheet1!$H$9:$H$2584,[1]Sheet1!$I$9:$I$2584,"N/A",0)</f>
        <v>54.28</v>
      </c>
      <c r="M2346">
        <f>_xlfn.XLOOKUP($A2346,[1]Sheet1!$K$9:$K$2584,[1]Sheet1!$L$9:$L$2584,"N/A",0)</f>
        <v>140.62</v>
      </c>
      <c r="N2346">
        <f>_xlfn.XLOOKUP($A2346,[1]Sheet1!$N$9:$N$2584,[1]Sheet1!$O$9:$O$2584,"N/A",0)</f>
        <v>129.93</v>
      </c>
      <c r="O2346">
        <v>112.3</v>
      </c>
      <c r="P2346">
        <v>185.97</v>
      </c>
      <c r="Q2346">
        <v>54.28</v>
      </c>
      <c r="R2346">
        <v>129.93</v>
      </c>
      <c r="S2346">
        <v>140.62</v>
      </c>
    </row>
    <row r="2347" spans="1:19">
      <c r="A2347" s="1">
        <v>45775</v>
      </c>
      <c r="B2347" t="s">
        <v>1027</v>
      </c>
      <c r="C2347" t="s">
        <v>1029</v>
      </c>
      <c r="D2347">
        <v>23.682</v>
      </c>
      <c r="E2347">
        <v>23.3132</v>
      </c>
      <c r="F2347">
        <v>-0.0155730090363989</v>
      </c>
      <c r="G2347">
        <f ca="1" t="shared" si="108"/>
        <v>-0.419198144640633</v>
      </c>
      <c r="H2347" t="str">
        <f ca="1" t="shared" si="109"/>
        <v>Risk-On</v>
      </c>
      <c r="I2347">
        <f ca="1" t="shared" si="110"/>
        <v>1</v>
      </c>
      <c r="J2347">
        <f>_xlfn.XLOOKUP($A2347,[1]Sheet1!$B$9:$B$2584,[1]Sheet1!$C$9:$C$2584,"N/A",0)</f>
        <v>111.72</v>
      </c>
      <c r="K2347">
        <f>_xlfn.XLOOKUP($A2347,[1]Sheet1!$E$9:$E$2584,[1]Sheet1!$F$9:$F$2584,"N/A",0)</f>
        <v>186.44</v>
      </c>
      <c r="L2347">
        <f>_xlfn.XLOOKUP($A2347,[1]Sheet1!$H$9:$H$2584,[1]Sheet1!$I$9:$I$2584,"N/A",0)</f>
        <v>54.37</v>
      </c>
      <c r="M2347">
        <f>_xlfn.XLOOKUP($A2347,[1]Sheet1!$K$9:$K$2584,[1]Sheet1!$L$9:$L$2584,"N/A",0)</f>
        <v>140.63</v>
      </c>
      <c r="N2347">
        <f>_xlfn.XLOOKUP($A2347,[1]Sheet1!$N$9:$N$2584,[1]Sheet1!$O$9:$O$2584,"N/A",0)</f>
        <v>129.87</v>
      </c>
      <c r="O2347">
        <v>111.72</v>
      </c>
      <c r="P2347">
        <v>186.44</v>
      </c>
      <c r="Q2347">
        <v>54.37</v>
      </c>
      <c r="R2347">
        <v>129.87</v>
      </c>
      <c r="S2347">
        <v>140.63</v>
      </c>
    </row>
    <row r="2348" spans="1:19">
      <c r="A2348" s="1">
        <v>45776</v>
      </c>
      <c r="B2348" t="s">
        <v>1027</v>
      </c>
      <c r="C2348" t="s">
        <v>1029</v>
      </c>
      <c r="D2348">
        <v>23.3847</v>
      </c>
      <c r="E2348">
        <v>23.1101</v>
      </c>
      <c r="F2348">
        <v>-0.011742720667787</v>
      </c>
      <c r="G2348">
        <f ca="1" t="shared" si="108"/>
        <v>-0.359655157362886</v>
      </c>
      <c r="H2348" t="str">
        <f ca="1" t="shared" si="109"/>
        <v>Risk-On</v>
      </c>
      <c r="I2348">
        <f ca="1" t="shared" si="110"/>
        <v>1</v>
      </c>
      <c r="J2348">
        <f>_xlfn.XLOOKUP($A2348,[1]Sheet1!$B$9:$B$2584,[1]Sheet1!$C$9:$C$2584,"N/A",0)</f>
        <v>112.12</v>
      </c>
      <c r="K2348">
        <f>_xlfn.XLOOKUP($A2348,[1]Sheet1!$E$9:$E$2584,[1]Sheet1!$F$9:$F$2584,"N/A",0)</f>
        <v>187.05</v>
      </c>
      <c r="L2348">
        <f>_xlfn.XLOOKUP($A2348,[1]Sheet1!$H$9:$H$2584,[1]Sheet1!$I$9:$I$2584,"N/A",0)</f>
        <v>53.82</v>
      </c>
      <c r="M2348">
        <f>_xlfn.XLOOKUP($A2348,[1]Sheet1!$K$9:$K$2584,[1]Sheet1!$L$9:$L$2584,"N/A",0)</f>
        <v>141.02</v>
      </c>
      <c r="N2348">
        <f>_xlfn.XLOOKUP($A2348,[1]Sheet1!$N$9:$N$2584,[1]Sheet1!$O$9:$O$2584,"N/A",0)</f>
        <v>129.76</v>
      </c>
      <c r="O2348">
        <v>112.12</v>
      </c>
      <c r="P2348">
        <v>187.05</v>
      </c>
      <c r="Q2348">
        <v>53.82</v>
      </c>
      <c r="R2348">
        <v>129.76</v>
      </c>
      <c r="S2348">
        <v>141.02</v>
      </c>
    </row>
    <row r="2349" spans="1:19">
      <c r="A2349" s="1">
        <v>45777</v>
      </c>
      <c r="B2349" t="s">
        <v>1027</v>
      </c>
      <c r="C2349" t="s">
        <v>1029</v>
      </c>
      <c r="D2349">
        <v>24.0109</v>
      </c>
      <c r="E2349">
        <v>23.5652</v>
      </c>
      <c r="F2349">
        <v>-0.0185624029086789</v>
      </c>
      <c r="G2349">
        <f ca="1" t="shared" si="108"/>
        <v>-0.459633353939451</v>
      </c>
      <c r="H2349" t="str">
        <f ca="1" t="shared" si="109"/>
        <v>Risk-On</v>
      </c>
      <c r="I2349">
        <f ca="1" t="shared" si="110"/>
        <v>1</v>
      </c>
      <c r="J2349">
        <f>_xlfn.XLOOKUP($A2349,[1]Sheet1!$B$9:$B$2584,[1]Sheet1!$C$9:$C$2584,"N/A",0)</f>
        <v>112.05</v>
      </c>
      <c r="K2349">
        <f>_xlfn.XLOOKUP($A2349,[1]Sheet1!$E$9:$E$2584,[1]Sheet1!$F$9:$F$2584,"N/A",0)</f>
        <v>188.59</v>
      </c>
      <c r="L2349">
        <f>_xlfn.XLOOKUP($A2349,[1]Sheet1!$H$9:$H$2584,[1]Sheet1!$I$9:$I$2584,"N/A",0)</f>
        <v>53.35</v>
      </c>
      <c r="M2349">
        <f>_xlfn.XLOOKUP($A2349,[1]Sheet1!$K$9:$K$2584,[1]Sheet1!$L$9:$L$2584,"N/A",0)</f>
        <v>140.75</v>
      </c>
      <c r="N2349">
        <f>_xlfn.XLOOKUP($A2349,[1]Sheet1!$N$9:$N$2584,[1]Sheet1!$O$9:$O$2584,"N/A",0)</f>
        <v>130.99</v>
      </c>
      <c r="O2349">
        <v>112.05</v>
      </c>
      <c r="P2349">
        <v>188.59</v>
      </c>
      <c r="Q2349">
        <v>53.35</v>
      </c>
      <c r="R2349">
        <v>130.99</v>
      </c>
      <c r="S2349">
        <v>140.75</v>
      </c>
    </row>
    <row r="2350" spans="1:19">
      <c r="A2350" s="1">
        <v>45778</v>
      </c>
      <c r="B2350" t="s">
        <v>1027</v>
      </c>
      <c r="C2350" t="s">
        <v>1029</v>
      </c>
      <c r="D2350">
        <v>23.5699</v>
      </c>
      <c r="E2350">
        <v>23.261</v>
      </c>
      <c r="F2350">
        <v>-0.0131056983695306</v>
      </c>
      <c r="G2350">
        <f ca="1" t="shared" si="108"/>
        <v>-0.375031165446342</v>
      </c>
      <c r="H2350" t="str">
        <f ca="1" t="shared" si="109"/>
        <v>Risk-On</v>
      </c>
      <c r="I2350">
        <f ca="1" t="shared" si="110"/>
        <v>1</v>
      </c>
      <c r="J2350">
        <f>_xlfn.XLOOKUP($A2350,[1]Sheet1!$B$9:$B$2584,[1]Sheet1!$C$9:$C$2584,"N/A",0)</f>
        <v>112.12</v>
      </c>
      <c r="K2350">
        <f>_xlfn.XLOOKUP($A2350,[1]Sheet1!$E$9:$E$2584,[1]Sheet1!$F$9:$F$2584,"N/A",0)</f>
        <v>188.85</v>
      </c>
      <c r="L2350">
        <f>_xlfn.XLOOKUP($A2350,[1]Sheet1!$H$9:$H$2584,[1]Sheet1!$I$9:$I$2584,"N/A",0)</f>
        <v>53.28</v>
      </c>
      <c r="M2350">
        <f>_xlfn.XLOOKUP($A2350,[1]Sheet1!$K$9:$K$2584,[1]Sheet1!$L$9:$L$2584,"N/A",0)</f>
        <v>140.77</v>
      </c>
      <c r="N2350">
        <f>_xlfn.XLOOKUP($A2350,[1]Sheet1!$N$9:$N$2584,[1]Sheet1!$O$9:$O$2584,"N/A",0)</f>
        <v>130.51</v>
      </c>
      <c r="O2350">
        <v>112.12</v>
      </c>
      <c r="P2350">
        <v>188.85</v>
      </c>
      <c r="Q2350">
        <v>53.28</v>
      </c>
      <c r="R2350">
        <v>130.51</v>
      </c>
      <c r="S2350">
        <v>140.77</v>
      </c>
    </row>
    <row r="2351" spans="1:19">
      <c r="A2351" s="1">
        <v>45779</v>
      </c>
      <c r="B2351" t="s">
        <v>1027</v>
      </c>
      <c r="C2351" t="s">
        <v>1029</v>
      </c>
      <c r="D2351">
        <v>22.4818</v>
      </c>
      <c r="E2351">
        <v>22.4001</v>
      </c>
      <c r="F2351">
        <v>-0.0036340506543071</v>
      </c>
      <c r="G2351">
        <f ca="1" t="shared" si="108"/>
        <v>-0.229283460001602</v>
      </c>
      <c r="H2351" t="str">
        <f ca="1" t="shared" si="109"/>
        <v>Risk-On</v>
      </c>
      <c r="I2351">
        <f ca="1" t="shared" si="110"/>
        <v>1</v>
      </c>
      <c r="J2351">
        <f>_xlfn.XLOOKUP($A2351,[1]Sheet1!$B$9:$B$2584,[1]Sheet1!$C$9:$C$2584,"N/A",0)</f>
        <v>112.12</v>
      </c>
      <c r="K2351">
        <f>_xlfn.XLOOKUP($A2351,[1]Sheet1!$E$9:$E$2584,[1]Sheet1!$F$9:$F$2584,"N/A",0)</f>
        <v>188.93</v>
      </c>
      <c r="L2351">
        <f>_xlfn.XLOOKUP($A2351,[1]Sheet1!$H$9:$H$2584,[1]Sheet1!$I$9:$I$2584,"N/A",0)</f>
        <v>53.22</v>
      </c>
      <c r="M2351">
        <f>_xlfn.XLOOKUP($A2351,[1]Sheet1!$K$9:$K$2584,[1]Sheet1!$L$9:$L$2584,"N/A",0)</f>
        <v>140.31</v>
      </c>
      <c r="N2351">
        <f>_xlfn.XLOOKUP($A2351,[1]Sheet1!$N$9:$N$2584,[1]Sheet1!$O$9:$O$2584,"N/A",0)</f>
        <v>130.05</v>
      </c>
      <c r="O2351">
        <v>112.12</v>
      </c>
      <c r="P2351">
        <v>188.93</v>
      </c>
      <c r="Q2351">
        <v>53.22</v>
      </c>
      <c r="R2351">
        <v>130.05</v>
      </c>
      <c r="S2351">
        <v>140.31</v>
      </c>
    </row>
    <row r="2352" spans="1:19">
      <c r="A2352" s="1">
        <v>45782</v>
      </c>
      <c r="B2352" t="s">
        <v>1027</v>
      </c>
      <c r="C2352" t="s">
        <v>1029</v>
      </c>
      <c r="D2352">
        <v>23.1838</v>
      </c>
      <c r="E2352">
        <v>22.8084</v>
      </c>
      <c r="F2352">
        <v>-0.0161923412037717</v>
      </c>
      <c r="G2352">
        <f ca="1" t="shared" si="108"/>
        <v>-0.420881947820478</v>
      </c>
      <c r="H2352" t="str">
        <f ca="1" t="shared" si="109"/>
        <v>Risk-On</v>
      </c>
      <c r="I2352">
        <f ca="1" t="shared" si="110"/>
        <v>1</v>
      </c>
      <c r="J2352">
        <f>_xlfn.XLOOKUP($A2352,[1]Sheet1!$B$9:$B$2584,[1]Sheet1!$C$9:$C$2584,"N/A",0)</f>
        <v>112.58</v>
      </c>
      <c r="K2352">
        <f>_xlfn.XLOOKUP($A2352,[1]Sheet1!$E$9:$E$2584,[1]Sheet1!$F$9:$F$2584,"N/A",0)</f>
        <v>190.39</v>
      </c>
      <c r="L2352">
        <f>_xlfn.XLOOKUP($A2352,[1]Sheet1!$H$9:$H$2584,[1]Sheet1!$I$9:$I$2584,"N/A",0)</f>
        <v>52.68</v>
      </c>
      <c r="M2352">
        <f>_xlfn.XLOOKUP($A2352,[1]Sheet1!$K$9:$K$2584,[1]Sheet1!$L$9:$L$2584,"N/A",0)</f>
        <v>140.77</v>
      </c>
      <c r="N2352">
        <f>_xlfn.XLOOKUP($A2352,[1]Sheet1!$N$9:$N$2584,[1]Sheet1!$O$9:$O$2584,"N/A",0)</f>
        <v>130.06</v>
      </c>
      <c r="O2352">
        <v>112.58</v>
      </c>
      <c r="P2352">
        <v>190.39</v>
      </c>
      <c r="Q2352">
        <v>52.68</v>
      </c>
      <c r="R2352">
        <v>130.06</v>
      </c>
      <c r="S2352">
        <v>140.77</v>
      </c>
    </row>
    <row r="2353" spans="1:19">
      <c r="A2353" s="1">
        <v>45783</v>
      </c>
      <c r="B2353" t="s">
        <v>1027</v>
      </c>
      <c r="C2353" t="s">
        <v>1029</v>
      </c>
      <c r="D2353">
        <v>24.1076</v>
      </c>
      <c r="E2353">
        <v>23.5229</v>
      </c>
      <c r="F2353">
        <v>-0.024253762299026</v>
      </c>
      <c r="G2353">
        <f ca="1" t="shared" si="108"/>
        <v>-0.540305044973441</v>
      </c>
      <c r="H2353" t="str">
        <f ca="1" t="shared" si="109"/>
        <v>Risk-On</v>
      </c>
      <c r="I2353">
        <f ca="1" t="shared" si="110"/>
        <v>1</v>
      </c>
      <c r="J2353">
        <f>_xlfn.XLOOKUP($A2353,[1]Sheet1!$B$9:$B$2584,[1]Sheet1!$C$9:$C$2584,"N/A",0)</f>
        <v>113.38</v>
      </c>
      <c r="K2353">
        <f>_xlfn.XLOOKUP($A2353,[1]Sheet1!$E$9:$E$2584,[1]Sheet1!$F$9:$F$2584,"N/A",0)</f>
        <v>191.12</v>
      </c>
      <c r="L2353">
        <f>_xlfn.XLOOKUP($A2353,[1]Sheet1!$H$9:$H$2584,[1]Sheet1!$I$9:$I$2584,"N/A",0)</f>
        <v>52.98</v>
      </c>
      <c r="M2353">
        <f>_xlfn.XLOOKUP($A2353,[1]Sheet1!$K$9:$K$2584,[1]Sheet1!$L$9:$L$2584,"N/A",0)</f>
        <v>140.52</v>
      </c>
      <c r="N2353">
        <f>_xlfn.XLOOKUP($A2353,[1]Sheet1!$N$9:$N$2584,[1]Sheet1!$O$9:$O$2584,"N/A",0)</f>
        <v>129.85</v>
      </c>
      <c r="O2353">
        <v>113.38</v>
      </c>
      <c r="P2353">
        <v>191.12</v>
      </c>
      <c r="Q2353">
        <v>52.98</v>
      </c>
      <c r="R2353">
        <v>129.85</v>
      </c>
      <c r="S2353">
        <v>140.52</v>
      </c>
    </row>
    <row r="2354" spans="1:19">
      <c r="A2354" s="1">
        <v>45784</v>
      </c>
      <c r="B2354" t="s">
        <v>1027</v>
      </c>
      <c r="C2354" t="s">
        <v>1029</v>
      </c>
      <c r="D2354">
        <v>23.3234</v>
      </c>
      <c r="E2354">
        <v>22.9534</v>
      </c>
      <c r="F2354">
        <v>-0.0158638963444438</v>
      </c>
      <c r="G2354">
        <f ca="1" t="shared" si="108"/>
        <v>-0.406668330072694</v>
      </c>
      <c r="H2354" t="str">
        <f ca="1" t="shared" si="109"/>
        <v>Risk-On</v>
      </c>
      <c r="I2354">
        <f ca="1" t="shared" si="110"/>
        <v>1</v>
      </c>
      <c r="J2354">
        <f>_xlfn.XLOOKUP($A2354,[1]Sheet1!$B$9:$B$2584,[1]Sheet1!$C$9:$C$2584,"N/A",0)</f>
        <v>114.39</v>
      </c>
      <c r="K2354">
        <f>_xlfn.XLOOKUP($A2354,[1]Sheet1!$E$9:$E$2584,[1]Sheet1!$F$9:$F$2584,"N/A",0)</f>
        <v>191.93</v>
      </c>
      <c r="L2354">
        <f>_xlfn.XLOOKUP($A2354,[1]Sheet1!$H$9:$H$2584,[1]Sheet1!$I$9:$I$2584,"N/A",0)</f>
        <v>52.95</v>
      </c>
      <c r="M2354">
        <f>_xlfn.XLOOKUP($A2354,[1]Sheet1!$K$9:$K$2584,[1]Sheet1!$L$9:$L$2584,"N/A",0)</f>
        <v>140.99</v>
      </c>
      <c r="N2354">
        <f>_xlfn.XLOOKUP($A2354,[1]Sheet1!$N$9:$N$2584,[1]Sheet1!$O$9:$O$2584,"N/A",0)</f>
        <v>130.84</v>
      </c>
      <c r="O2354">
        <v>114.39</v>
      </c>
      <c r="P2354">
        <v>191.93</v>
      </c>
      <c r="Q2354">
        <v>52.95</v>
      </c>
      <c r="R2354">
        <v>130.84</v>
      </c>
      <c r="S2354">
        <v>140.99</v>
      </c>
    </row>
    <row r="2355" spans="1:19">
      <c r="A2355" s="1">
        <v>45785</v>
      </c>
      <c r="B2355" t="s">
        <v>1027</v>
      </c>
      <c r="C2355" t="s">
        <v>1029</v>
      </c>
      <c r="D2355">
        <v>22.2923</v>
      </c>
      <c r="E2355">
        <v>22.229</v>
      </c>
      <c r="F2355">
        <v>-0.00283954549328699</v>
      </c>
      <c r="G2355">
        <f ca="1" t="shared" si="108"/>
        <v>-0.205718288048714</v>
      </c>
      <c r="H2355" t="str">
        <f ca="1" t="shared" si="109"/>
        <v>Risk-On</v>
      </c>
      <c r="I2355">
        <f ca="1" t="shared" si="110"/>
        <v>1</v>
      </c>
      <c r="J2355">
        <f>_xlfn.XLOOKUP($A2355,[1]Sheet1!$B$9:$B$2584,[1]Sheet1!$C$9:$C$2584,"N/A",0)</f>
        <v>113.5</v>
      </c>
      <c r="K2355">
        <f>_xlfn.XLOOKUP($A2355,[1]Sheet1!$E$9:$E$2584,[1]Sheet1!$F$9:$F$2584,"N/A",0)</f>
        <v>188.35</v>
      </c>
      <c r="L2355">
        <f>_xlfn.XLOOKUP($A2355,[1]Sheet1!$H$9:$H$2584,[1]Sheet1!$I$9:$I$2584,"N/A",0)</f>
        <v>53.21</v>
      </c>
      <c r="M2355">
        <f>_xlfn.XLOOKUP($A2355,[1]Sheet1!$K$9:$K$2584,[1]Sheet1!$L$9:$L$2584,"N/A",0)</f>
        <v>141.43</v>
      </c>
      <c r="N2355">
        <f>_xlfn.XLOOKUP($A2355,[1]Sheet1!$N$9:$N$2584,[1]Sheet1!$O$9:$O$2584,"N/A",0)</f>
        <v>129.7</v>
      </c>
      <c r="O2355">
        <v>113.5</v>
      </c>
      <c r="P2355">
        <v>188.35</v>
      </c>
      <c r="Q2355">
        <v>53.21</v>
      </c>
      <c r="R2355">
        <v>129.7</v>
      </c>
      <c r="S2355">
        <v>141.43</v>
      </c>
    </row>
    <row r="2356" spans="1:19">
      <c r="A2356" s="1">
        <v>45786</v>
      </c>
      <c r="B2356" t="s">
        <v>1027</v>
      </c>
      <c r="C2356" t="s">
        <v>1029</v>
      </c>
      <c r="D2356">
        <v>22.0058</v>
      </c>
      <c r="E2356">
        <v>22.092</v>
      </c>
      <c r="F2356">
        <v>0.00391714911523316</v>
      </c>
      <c r="G2356">
        <f ca="1" t="shared" si="108"/>
        <v>-0.0984463282443249</v>
      </c>
      <c r="H2356" t="str">
        <f ca="1" t="shared" si="109"/>
        <v>Risk-On</v>
      </c>
      <c r="I2356">
        <f ca="1" t="shared" si="110"/>
        <v>1</v>
      </c>
      <c r="J2356">
        <f>_xlfn.XLOOKUP($A2356,[1]Sheet1!$B$9:$B$2584,[1]Sheet1!$C$9:$C$2584,"N/A",0)</f>
        <v>112.89</v>
      </c>
      <c r="K2356">
        <f>_xlfn.XLOOKUP($A2356,[1]Sheet1!$E$9:$E$2584,[1]Sheet1!$F$9:$F$2584,"N/A",0)</f>
        <v>187.39</v>
      </c>
      <c r="L2356">
        <f>_xlfn.XLOOKUP($A2356,[1]Sheet1!$H$9:$H$2584,[1]Sheet1!$I$9:$I$2584,"N/A",0)</f>
        <v>53.52</v>
      </c>
      <c r="M2356">
        <f>_xlfn.XLOOKUP($A2356,[1]Sheet1!$K$9:$K$2584,[1]Sheet1!$L$9:$L$2584,"N/A",0)</f>
        <v>140.52</v>
      </c>
      <c r="N2356">
        <f>_xlfn.XLOOKUP($A2356,[1]Sheet1!$N$9:$N$2584,[1]Sheet1!$O$9:$O$2584,"N/A",0)</f>
        <v>130</v>
      </c>
      <c r="O2356">
        <v>112.89</v>
      </c>
      <c r="P2356">
        <v>187.39</v>
      </c>
      <c r="Q2356">
        <v>53.52</v>
      </c>
      <c r="R2356">
        <v>130</v>
      </c>
      <c r="S2356">
        <v>140.52</v>
      </c>
    </row>
    <row r="2357" spans="1:19">
      <c r="A2357" s="1">
        <v>45789</v>
      </c>
      <c r="B2357" t="s">
        <v>1027</v>
      </c>
      <c r="C2357" t="s">
        <v>1029</v>
      </c>
      <c r="D2357">
        <v>18.571</v>
      </c>
      <c r="E2357">
        <v>19.4058</v>
      </c>
      <c r="F2357">
        <v>0.0449518065801517</v>
      </c>
      <c r="G2357">
        <f ca="1" t="shared" si="108"/>
        <v>0.535389798147337</v>
      </c>
      <c r="H2357" t="str">
        <f ca="1" t="shared" si="109"/>
        <v>Risk-On</v>
      </c>
      <c r="I2357">
        <f ca="1" t="shared" si="110"/>
        <v>1</v>
      </c>
      <c r="J2357">
        <f>_xlfn.XLOOKUP($A2357,[1]Sheet1!$B$9:$B$2584,[1]Sheet1!$C$9:$C$2584,"N/A",0)</f>
        <v>112.18</v>
      </c>
      <c r="K2357">
        <f>_xlfn.XLOOKUP($A2357,[1]Sheet1!$E$9:$E$2584,[1]Sheet1!$F$9:$F$2584,"N/A",0)</f>
        <v>180.95</v>
      </c>
      <c r="L2357">
        <f>_xlfn.XLOOKUP($A2357,[1]Sheet1!$H$9:$H$2584,[1]Sheet1!$I$9:$I$2584,"N/A",0)</f>
        <v>53.92</v>
      </c>
      <c r="M2357">
        <f>_xlfn.XLOOKUP($A2357,[1]Sheet1!$K$9:$K$2584,[1]Sheet1!$L$9:$L$2584,"N/A",0)</f>
        <v>141.85</v>
      </c>
      <c r="N2357">
        <f>_xlfn.XLOOKUP($A2357,[1]Sheet1!$N$9:$N$2584,[1]Sheet1!$O$9:$O$2584,"N/A",0)</f>
        <v>130.48</v>
      </c>
      <c r="O2357">
        <v>112.18</v>
      </c>
      <c r="P2357">
        <v>180.95</v>
      </c>
      <c r="Q2357">
        <v>53.92</v>
      </c>
      <c r="R2357">
        <v>130.48</v>
      </c>
      <c r="S2357">
        <v>141.85</v>
      </c>
    </row>
    <row r="2358" spans="1:19">
      <c r="A2358" s="1">
        <v>45790</v>
      </c>
      <c r="B2358" t="s">
        <v>1027</v>
      </c>
      <c r="C2358" t="s">
        <v>1029</v>
      </c>
      <c r="D2358">
        <v>18.4379</v>
      </c>
      <c r="E2358">
        <v>19.2945</v>
      </c>
      <c r="F2358">
        <v>0.0464586531004073</v>
      </c>
      <c r="G2358">
        <f ca="1" t="shared" si="108"/>
        <v>0.556785707496608</v>
      </c>
      <c r="H2358" t="str">
        <f ca="1" t="shared" si="109"/>
        <v>Risk-On</v>
      </c>
      <c r="I2358">
        <f ca="1" t="shared" si="110"/>
        <v>1</v>
      </c>
      <c r="J2358">
        <f>_xlfn.XLOOKUP($A2358,[1]Sheet1!$B$9:$B$2584,[1]Sheet1!$C$9:$C$2584,"N/A",0)</f>
        <v>112.13</v>
      </c>
      <c r="K2358">
        <f>_xlfn.XLOOKUP($A2358,[1]Sheet1!$E$9:$E$2584,[1]Sheet1!$F$9:$F$2584,"N/A",0)</f>
        <v>181.78</v>
      </c>
      <c r="L2358">
        <f>_xlfn.XLOOKUP($A2358,[1]Sheet1!$H$9:$H$2584,[1]Sheet1!$I$9:$I$2584,"N/A",0)</f>
        <v>54.47</v>
      </c>
      <c r="M2358">
        <f>_xlfn.XLOOKUP($A2358,[1]Sheet1!$K$9:$K$2584,[1]Sheet1!$L$9:$L$2584,"N/A",0)</f>
        <v>142.01</v>
      </c>
      <c r="N2358">
        <f>_xlfn.XLOOKUP($A2358,[1]Sheet1!$N$9:$N$2584,[1]Sheet1!$O$9:$O$2584,"N/A",0)</f>
        <v>130.74</v>
      </c>
      <c r="O2358">
        <v>112.13</v>
      </c>
      <c r="P2358">
        <v>181.78</v>
      </c>
      <c r="Q2358">
        <v>54.47</v>
      </c>
      <c r="R2358">
        <v>130.74</v>
      </c>
      <c r="S2358">
        <v>142.01</v>
      </c>
    </row>
    <row r="2359" spans="1:19">
      <c r="A2359" s="1">
        <v>45791</v>
      </c>
      <c r="B2359" t="s">
        <v>1027</v>
      </c>
      <c r="C2359" t="s">
        <v>1029</v>
      </c>
      <c r="D2359">
        <v>18.7805</v>
      </c>
      <c r="E2359">
        <v>19.744</v>
      </c>
      <c r="F2359">
        <v>0.0513032134394717</v>
      </c>
      <c r="G2359">
        <f ca="1" t="shared" si="108"/>
        <v>0.632994631812403</v>
      </c>
      <c r="H2359" t="str">
        <f ca="1" t="shared" si="109"/>
        <v>Risk-On</v>
      </c>
      <c r="I2359">
        <f ca="1" t="shared" si="110"/>
        <v>1</v>
      </c>
      <c r="J2359">
        <f>_xlfn.XLOOKUP($A2359,[1]Sheet1!$B$9:$B$2584,[1]Sheet1!$C$9:$C$2584,"N/A",0)</f>
        <v>112.57</v>
      </c>
      <c r="K2359">
        <f>_xlfn.XLOOKUP($A2359,[1]Sheet1!$E$9:$E$2584,[1]Sheet1!$F$9:$F$2584,"N/A",0)</f>
        <v>183.29</v>
      </c>
      <c r="L2359">
        <f>_xlfn.XLOOKUP($A2359,[1]Sheet1!$H$9:$H$2584,[1]Sheet1!$I$9:$I$2584,"N/A",0)</f>
        <v>54.37</v>
      </c>
      <c r="M2359">
        <f>_xlfn.XLOOKUP($A2359,[1]Sheet1!$K$9:$K$2584,[1]Sheet1!$L$9:$L$2584,"N/A",0)</f>
        <v>142.27</v>
      </c>
      <c r="N2359">
        <f>_xlfn.XLOOKUP($A2359,[1]Sheet1!$N$9:$N$2584,[1]Sheet1!$O$9:$O$2584,"N/A",0)</f>
        <v>131.15</v>
      </c>
      <c r="O2359">
        <v>112.57</v>
      </c>
      <c r="P2359">
        <v>183.29</v>
      </c>
      <c r="Q2359">
        <v>54.37</v>
      </c>
      <c r="R2359">
        <v>131.15</v>
      </c>
      <c r="S2359">
        <v>142.27</v>
      </c>
    </row>
    <row r="2360" spans="1:19">
      <c r="A2360" s="1">
        <v>45792</v>
      </c>
      <c r="B2360" t="s">
        <v>1027</v>
      </c>
      <c r="C2360" t="s">
        <v>1029</v>
      </c>
      <c r="D2360">
        <v>18.2334</v>
      </c>
      <c r="E2360">
        <v>19.4628</v>
      </c>
      <c r="F2360">
        <v>0.0674257132515055</v>
      </c>
      <c r="G2360">
        <f ca="1" t="shared" si="108"/>
        <v>0.881239385155461</v>
      </c>
      <c r="H2360" t="str">
        <f ca="1" t="shared" si="109"/>
        <v>Risk-On</v>
      </c>
      <c r="I2360">
        <f ca="1" t="shared" si="110"/>
        <v>1</v>
      </c>
      <c r="J2360">
        <f>_xlfn.XLOOKUP($A2360,[1]Sheet1!$B$9:$B$2584,[1]Sheet1!$C$9:$C$2584,"N/A",0)</f>
        <v>110.85</v>
      </c>
      <c r="K2360">
        <f>_xlfn.XLOOKUP($A2360,[1]Sheet1!$E$9:$E$2584,[1]Sheet1!$F$9:$F$2584,"N/A",0)</f>
        <v>184.46</v>
      </c>
      <c r="L2360">
        <f>_xlfn.XLOOKUP($A2360,[1]Sheet1!$H$9:$H$2584,[1]Sheet1!$I$9:$I$2584,"N/A",0)</f>
        <v>53.99</v>
      </c>
      <c r="M2360">
        <f>_xlfn.XLOOKUP($A2360,[1]Sheet1!$K$9:$K$2584,[1]Sheet1!$L$9:$L$2584,"N/A",0)</f>
        <v>142.31</v>
      </c>
      <c r="N2360">
        <f>_xlfn.XLOOKUP($A2360,[1]Sheet1!$N$9:$N$2584,[1]Sheet1!$O$9:$O$2584,"N/A",0)</f>
        <v>130.89</v>
      </c>
      <c r="O2360">
        <v>110.85</v>
      </c>
      <c r="P2360">
        <v>184.46</v>
      </c>
      <c r="Q2360">
        <v>53.99</v>
      </c>
      <c r="R2360">
        <v>130.89</v>
      </c>
      <c r="S2360">
        <v>142.31</v>
      </c>
    </row>
    <row r="2361" spans="1:19">
      <c r="A2361" s="1">
        <v>45793</v>
      </c>
      <c r="B2361" t="s">
        <v>1027</v>
      </c>
      <c r="C2361" t="s">
        <v>1029</v>
      </c>
      <c r="D2361">
        <v>17.9271</v>
      </c>
      <c r="E2361">
        <v>19.4121</v>
      </c>
      <c r="F2361">
        <v>0.0828354837090215</v>
      </c>
      <c r="G2361">
        <f ca="1" t="shared" si="108"/>
        <v>1.11461959927641</v>
      </c>
      <c r="H2361" t="str">
        <f ca="1" t="shared" si="109"/>
        <v>Risk-On</v>
      </c>
      <c r="I2361">
        <f ca="1" t="shared" si="110"/>
        <v>1</v>
      </c>
      <c r="J2361">
        <f>_xlfn.XLOOKUP($A2361,[1]Sheet1!$B$9:$B$2584,[1]Sheet1!$C$9:$C$2584,"N/A",0)</f>
        <v>110.38</v>
      </c>
      <c r="K2361">
        <f>_xlfn.XLOOKUP($A2361,[1]Sheet1!$E$9:$E$2584,[1]Sheet1!$F$9:$F$2584,"N/A",0)</f>
        <v>184.41</v>
      </c>
      <c r="L2361">
        <f>_xlfn.XLOOKUP($A2361,[1]Sheet1!$H$9:$H$2584,[1]Sheet1!$I$9:$I$2584,"N/A",0)</f>
        <v>53.91</v>
      </c>
      <c r="M2361">
        <f>_xlfn.XLOOKUP($A2361,[1]Sheet1!$K$9:$K$2584,[1]Sheet1!$L$9:$L$2584,"N/A",0)</f>
        <v>143.08</v>
      </c>
      <c r="N2361">
        <f>_xlfn.XLOOKUP($A2361,[1]Sheet1!$N$9:$N$2584,[1]Sheet1!$O$9:$O$2584,"N/A",0)</f>
        <v>130.84</v>
      </c>
      <c r="O2361">
        <v>110.38</v>
      </c>
      <c r="P2361">
        <v>184.41</v>
      </c>
      <c r="Q2361">
        <v>53.91</v>
      </c>
      <c r="R2361">
        <v>130.84</v>
      </c>
      <c r="S2361">
        <v>143.08</v>
      </c>
    </row>
    <row r="2362" spans="1:19">
      <c r="A2362" s="1">
        <v>45796</v>
      </c>
      <c r="B2362" t="s">
        <v>1027</v>
      </c>
      <c r="C2362" t="s">
        <v>1029</v>
      </c>
      <c r="D2362">
        <v>18.2044</v>
      </c>
      <c r="E2362">
        <v>19.6515</v>
      </c>
      <c r="F2362">
        <v>0.0794917712201445</v>
      </c>
      <c r="G2362">
        <f ca="1" t="shared" si="108"/>
        <v>1.06091113808047</v>
      </c>
      <c r="H2362" t="str">
        <f ca="1" t="shared" si="109"/>
        <v>Risk-On</v>
      </c>
      <c r="I2362">
        <f ca="1" t="shared" si="110"/>
        <v>1</v>
      </c>
      <c r="J2362">
        <f>_xlfn.XLOOKUP($A2362,[1]Sheet1!$B$9:$B$2584,[1]Sheet1!$C$9:$C$2584,"N/A",0)</f>
        <v>110.51</v>
      </c>
      <c r="K2362">
        <f>_xlfn.XLOOKUP($A2362,[1]Sheet1!$E$9:$E$2584,[1]Sheet1!$F$9:$F$2584,"N/A",0)</f>
        <v>186.11</v>
      </c>
      <c r="L2362">
        <f>_xlfn.XLOOKUP($A2362,[1]Sheet1!$H$9:$H$2584,[1]Sheet1!$I$9:$I$2584,"N/A",0)</f>
        <v>53.58</v>
      </c>
      <c r="M2362">
        <f>_xlfn.XLOOKUP($A2362,[1]Sheet1!$K$9:$K$2584,[1]Sheet1!$L$9:$L$2584,"N/A",0)</f>
        <v>143.33</v>
      </c>
      <c r="N2362">
        <f>_xlfn.XLOOKUP($A2362,[1]Sheet1!$N$9:$N$2584,[1]Sheet1!$O$9:$O$2584,"N/A",0)</f>
        <v>131.22</v>
      </c>
      <c r="O2362">
        <v>110.51</v>
      </c>
      <c r="P2362">
        <v>186.11</v>
      </c>
      <c r="Q2362">
        <v>53.58</v>
      </c>
      <c r="R2362">
        <v>131.22</v>
      </c>
      <c r="S2362">
        <v>143.33</v>
      </c>
    </row>
    <row r="2363" spans="1:19">
      <c r="A2363" s="1">
        <v>45797</v>
      </c>
      <c r="B2363" t="s">
        <v>1027</v>
      </c>
      <c r="C2363" t="s">
        <v>1029</v>
      </c>
      <c r="D2363">
        <v>18.0043</v>
      </c>
      <c r="E2363">
        <v>19.4966</v>
      </c>
      <c r="F2363">
        <v>0.0828857550696222</v>
      </c>
      <c r="G2363">
        <f ca="1" t="shared" si="108"/>
        <v>1.11163512050779</v>
      </c>
      <c r="H2363" t="str">
        <f ca="1" t="shared" si="109"/>
        <v>Risk-On</v>
      </c>
      <c r="I2363">
        <f ca="1" t="shared" si="110"/>
        <v>1</v>
      </c>
      <c r="J2363">
        <f>_xlfn.XLOOKUP($A2363,[1]Sheet1!$B$9:$B$2584,[1]Sheet1!$C$9:$C$2584,"N/A",0)</f>
        <v>110.17</v>
      </c>
      <c r="K2363">
        <f>_xlfn.XLOOKUP($A2363,[1]Sheet1!$E$9:$E$2584,[1]Sheet1!$F$9:$F$2584,"N/A",0)</f>
        <v>186.98</v>
      </c>
      <c r="L2363">
        <f>_xlfn.XLOOKUP($A2363,[1]Sheet1!$H$9:$H$2584,[1]Sheet1!$I$9:$I$2584,"N/A",0)</f>
        <v>53.47</v>
      </c>
      <c r="M2363">
        <f>_xlfn.XLOOKUP($A2363,[1]Sheet1!$K$9:$K$2584,[1]Sheet1!$L$9:$L$2584,"N/A",0)</f>
        <v>142.44</v>
      </c>
      <c r="N2363">
        <f>_xlfn.XLOOKUP($A2363,[1]Sheet1!$N$9:$N$2584,[1]Sheet1!$O$9:$O$2584,"N/A",0)</f>
        <v>130.43</v>
      </c>
      <c r="O2363">
        <v>110.17</v>
      </c>
      <c r="P2363">
        <v>186.98</v>
      </c>
      <c r="Q2363">
        <v>53.47</v>
      </c>
      <c r="R2363">
        <v>130.43</v>
      </c>
      <c r="S2363">
        <v>142.44</v>
      </c>
    </row>
    <row r="2364" spans="1:19">
      <c r="A2364" s="1">
        <v>45798</v>
      </c>
      <c r="B2364" t="s">
        <v>1027</v>
      </c>
      <c r="C2364" t="s">
        <v>1029</v>
      </c>
      <c r="D2364">
        <v>19.12</v>
      </c>
      <c r="E2364">
        <v>20.7904</v>
      </c>
      <c r="F2364">
        <v>0.0873640167364017</v>
      </c>
      <c r="G2364">
        <f ca="1" t="shared" si="108"/>
        <v>1.17931371485782</v>
      </c>
      <c r="H2364" t="str">
        <f ca="1" t="shared" si="109"/>
        <v>Risk-On</v>
      </c>
      <c r="I2364">
        <f ca="1" t="shared" si="110"/>
        <v>1</v>
      </c>
      <c r="J2364">
        <f>_xlfn.XLOOKUP($A2364,[1]Sheet1!$B$9:$B$2584,[1]Sheet1!$C$9:$C$2584,"N/A",0)</f>
        <v>109.97</v>
      </c>
      <c r="K2364">
        <f>_xlfn.XLOOKUP($A2364,[1]Sheet1!$E$9:$E$2584,[1]Sheet1!$F$9:$F$2584,"N/A",0)</f>
        <v>189.58</v>
      </c>
      <c r="L2364">
        <f>_xlfn.XLOOKUP($A2364,[1]Sheet1!$H$9:$H$2584,[1]Sheet1!$I$9:$I$2584,"N/A",0)</f>
        <v>53.69</v>
      </c>
      <c r="M2364">
        <f>_xlfn.XLOOKUP($A2364,[1]Sheet1!$K$9:$K$2584,[1]Sheet1!$L$9:$L$2584,"N/A",0)</f>
        <v>142.28</v>
      </c>
      <c r="N2364">
        <f>_xlfn.XLOOKUP($A2364,[1]Sheet1!$N$9:$N$2584,[1]Sheet1!$O$9:$O$2584,"N/A",0)</f>
        <v>131.13</v>
      </c>
      <c r="O2364">
        <v>109.97</v>
      </c>
      <c r="P2364">
        <v>189.58</v>
      </c>
      <c r="Q2364">
        <v>53.69</v>
      </c>
      <c r="R2364">
        <v>131.13</v>
      </c>
      <c r="S2364">
        <v>142.28</v>
      </c>
    </row>
    <row r="2365" spans="1:19">
      <c r="A2365" s="1">
        <v>45799</v>
      </c>
      <c r="B2365" t="s">
        <v>1029</v>
      </c>
      <c r="C2365" t="s">
        <v>1030</v>
      </c>
      <c r="D2365">
        <v>20.6395</v>
      </c>
      <c r="E2365">
        <v>21.2388</v>
      </c>
      <c r="F2365">
        <v>0.0290365561181229</v>
      </c>
      <c r="G2365">
        <f ca="1" t="shared" si="108"/>
        <v>0.282165597677746</v>
      </c>
      <c r="H2365" t="str">
        <f ca="1" t="shared" si="109"/>
        <v>Risk-On</v>
      </c>
      <c r="I2365">
        <f ca="1" t="shared" si="110"/>
        <v>1</v>
      </c>
      <c r="J2365">
        <f>_xlfn.XLOOKUP($A2365,[1]Sheet1!$B$9:$B$2584,[1]Sheet1!$C$9:$C$2584,"N/A",0)</f>
        <v>109.91</v>
      </c>
      <c r="K2365">
        <f>_xlfn.XLOOKUP($A2365,[1]Sheet1!$E$9:$E$2584,[1]Sheet1!$F$9:$F$2584,"N/A",0)</f>
        <v>189.28</v>
      </c>
      <c r="L2365">
        <f>_xlfn.XLOOKUP($A2365,[1]Sheet1!$H$9:$H$2584,[1]Sheet1!$I$9:$I$2584,"N/A",0)</f>
        <v>53.5</v>
      </c>
      <c r="M2365">
        <f>_xlfn.XLOOKUP($A2365,[1]Sheet1!$K$9:$K$2584,[1]Sheet1!$L$9:$L$2584,"N/A",0)</f>
        <v>142.38</v>
      </c>
      <c r="N2365">
        <f>_xlfn.XLOOKUP($A2365,[1]Sheet1!$N$9:$N$2584,[1]Sheet1!$O$9:$O$2584,"N/A",0)</f>
        <v>131.13</v>
      </c>
      <c r="O2365">
        <v>109.91</v>
      </c>
      <c r="P2365">
        <v>189.28</v>
      </c>
      <c r="Q2365">
        <v>53.5</v>
      </c>
      <c r="R2365">
        <v>131.13</v>
      </c>
      <c r="S2365">
        <v>142.38</v>
      </c>
    </row>
    <row r="2366" spans="1:19">
      <c r="A2366" s="1">
        <v>45800</v>
      </c>
      <c r="B2366" t="s">
        <v>1029</v>
      </c>
      <c r="C2366" t="s">
        <v>1030</v>
      </c>
      <c r="D2366">
        <v>22.0425</v>
      </c>
      <c r="E2366">
        <v>22.2839</v>
      </c>
      <c r="F2366" s="2" t="s">
        <v>1031</v>
      </c>
      <c r="G2366">
        <f ca="1" t="shared" si="108"/>
        <v>0.00981694332587812</v>
      </c>
      <c r="H2366" t="str">
        <f ca="1" t="shared" si="109"/>
        <v>Risk-On</v>
      </c>
      <c r="I2366">
        <f ca="1" t="shared" si="110"/>
        <v>1</v>
      </c>
      <c r="J2366">
        <f>_xlfn.XLOOKUP($A2366,[1]Sheet1!$B$9:$B$2584,[1]Sheet1!$C$9:$C$2584,"N/A",0)</f>
        <v>110.24</v>
      </c>
      <c r="K2366">
        <f>_xlfn.XLOOKUP($A2366,[1]Sheet1!$E$9:$E$2584,[1]Sheet1!$F$9:$F$2584,"N/A",0)</f>
        <v>191.76</v>
      </c>
      <c r="L2366">
        <f>_xlfn.XLOOKUP($A2366,[1]Sheet1!$H$9:$H$2584,[1]Sheet1!$I$9:$I$2584,"N/A",0)</f>
        <v>53.49</v>
      </c>
      <c r="M2366">
        <f>_xlfn.XLOOKUP($A2366,[1]Sheet1!$K$9:$K$2584,[1]Sheet1!$L$9:$L$2584,"N/A",0)</f>
        <v>141.16</v>
      </c>
      <c r="N2366">
        <f>_xlfn.XLOOKUP($A2366,[1]Sheet1!$N$9:$N$2584,[1]Sheet1!$O$9:$O$2584,"N/A",0)</f>
        <v>131</v>
      </c>
      <c r="O2366">
        <v>110.24</v>
      </c>
      <c r="P2366">
        <v>191.76</v>
      </c>
      <c r="Q2366">
        <v>53.49</v>
      </c>
      <c r="R2366">
        <v>131</v>
      </c>
      <c r="S2366">
        <v>141.16</v>
      </c>
    </row>
    <row r="2367" spans="1:19">
      <c r="A2367" s="1">
        <v>45804</v>
      </c>
      <c r="B2367" t="s">
        <v>1029</v>
      </c>
      <c r="C2367" t="s">
        <v>1030</v>
      </c>
      <c r="D2367">
        <v>19.7008</v>
      </c>
      <c r="E2367">
        <v>20.522</v>
      </c>
      <c r="F2367" s="2" t="s">
        <v>1032</v>
      </c>
      <c r="G2367">
        <f ca="1" t="shared" si="108"/>
        <v>0.484092185016145</v>
      </c>
      <c r="H2367" t="str">
        <f ca="1" t="shared" si="109"/>
        <v>Risk-On</v>
      </c>
      <c r="I2367">
        <f ca="1" t="shared" si="110"/>
        <v>1</v>
      </c>
      <c r="J2367">
        <f>_xlfn.XLOOKUP($A2367,[1]Sheet1!$B$9:$B$2584,[1]Sheet1!$C$9:$C$2584,"N/A",0)</f>
        <v>109.97</v>
      </c>
      <c r="K2367">
        <f>_xlfn.XLOOKUP($A2367,[1]Sheet1!$E$9:$E$2584,[1]Sheet1!$F$9:$F$2584,"N/A",0)</f>
        <v>190.46</v>
      </c>
      <c r="L2367">
        <f>_xlfn.XLOOKUP($A2367,[1]Sheet1!$H$9:$H$2584,[1]Sheet1!$I$9:$I$2584,"N/A",0)</f>
        <v>53.75</v>
      </c>
      <c r="M2367">
        <f>_xlfn.XLOOKUP($A2367,[1]Sheet1!$K$9:$K$2584,[1]Sheet1!$L$9:$L$2584,"N/A",0)</f>
        <v>141.25</v>
      </c>
      <c r="N2367">
        <f>_xlfn.XLOOKUP($A2367,[1]Sheet1!$N$9:$N$2584,[1]Sheet1!$O$9:$O$2584,"N/A",0)</f>
        <v>130.6</v>
      </c>
      <c r="O2367">
        <v>109.97</v>
      </c>
      <c r="P2367">
        <v>190.46</v>
      </c>
      <c r="Q2367">
        <v>53.75</v>
      </c>
      <c r="R2367">
        <v>130.6</v>
      </c>
      <c r="S2367">
        <v>141.25</v>
      </c>
    </row>
    <row r="2368" spans="1:19">
      <c r="A2368" s="1">
        <v>45805</v>
      </c>
      <c r="B2368" t="s">
        <v>1029</v>
      </c>
      <c r="C2368" t="s">
        <v>1030</v>
      </c>
      <c r="D2368">
        <v>19.92</v>
      </c>
      <c r="E2368">
        <v>20.7911</v>
      </c>
      <c r="F2368">
        <v>0.0437299196787147</v>
      </c>
      <c r="G2368">
        <f ca="1" t="shared" si="108"/>
        <v>0.515672449614097</v>
      </c>
      <c r="H2368" t="str">
        <f ca="1" t="shared" si="109"/>
        <v>Risk-On</v>
      </c>
      <c r="I2368">
        <f ca="1" t="shared" si="110"/>
        <v>1</v>
      </c>
      <c r="J2368">
        <f>_xlfn.XLOOKUP($A2368,[1]Sheet1!$B$9:$B$2584,[1]Sheet1!$C$9:$C$2584,"N/A",0)</f>
        <v>110.53</v>
      </c>
      <c r="K2368">
        <f>_xlfn.XLOOKUP($A2368,[1]Sheet1!$E$9:$E$2584,[1]Sheet1!$F$9:$F$2584,"N/A",0)</f>
        <v>192.68</v>
      </c>
      <c r="L2368">
        <f>_xlfn.XLOOKUP($A2368,[1]Sheet1!$H$9:$H$2584,[1]Sheet1!$I$9:$I$2584,"N/A",0)</f>
        <v>53.52</v>
      </c>
      <c r="M2368">
        <f>_xlfn.XLOOKUP($A2368,[1]Sheet1!$K$9:$K$2584,[1]Sheet1!$L$9:$L$2584,"N/A",0)</f>
        <v>141.45</v>
      </c>
      <c r="N2368">
        <f>_xlfn.XLOOKUP($A2368,[1]Sheet1!$N$9:$N$2584,[1]Sheet1!$O$9:$O$2584,"N/A",0)</f>
        <v>131.27</v>
      </c>
      <c r="O2368">
        <v>110.53</v>
      </c>
      <c r="P2368">
        <v>192.68</v>
      </c>
      <c r="Q2368">
        <v>53.52</v>
      </c>
      <c r="R2368">
        <v>131.27</v>
      </c>
      <c r="S2368">
        <v>141.45</v>
      </c>
    </row>
    <row r="2369" spans="1:19">
      <c r="A2369" s="1">
        <v>45806</v>
      </c>
      <c r="B2369" t="s">
        <v>1029</v>
      </c>
      <c r="C2369" t="s">
        <v>1030</v>
      </c>
      <c r="D2369">
        <v>19.9594</v>
      </c>
      <c r="E2369">
        <v>20.8552</v>
      </c>
      <c r="F2369" s="2" t="s">
        <v>1033</v>
      </c>
      <c r="G2369">
        <f ca="1" t="shared" si="108"/>
        <v>0.535891205164963</v>
      </c>
      <c r="H2369" t="str">
        <f ca="1" t="shared" si="109"/>
        <v>Risk-On</v>
      </c>
      <c r="I2369">
        <f ca="1" t="shared" si="110"/>
        <v>1</v>
      </c>
      <c r="J2369">
        <f>_xlfn.XLOOKUP($A2369,[1]Sheet1!$B$9:$B$2584,[1]Sheet1!$C$9:$C$2584,"N/A",0)</f>
        <v>110.09</v>
      </c>
      <c r="K2369">
        <f>_xlfn.XLOOKUP($A2369,[1]Sheet1!$E$9:$E$2584,[1]Sheet1!$F$9:$F$2584,"N/A",0)</f>
        <v>190.97</v>
      </c>
      <c r="L2369">
        <f>_xlfn.XLOOKUP($A2369,[1]Sheet1!$H$9:$H$2584,[1]Sheet1!$I$9:$I$2584,"N/A",0)</f>
        <v>53.62</v>
      </c>
      <c r="M2369">
        <f>_xlfn.XLOOKUP($A2369,[1]Sheet1!$K$9:$K$2584,[1]Sheet1!$L$9:$L$2584,"N/A",0)</f>
        <v>141.17</v>
      </c>
      <c r="N2369">
        <f>_xlfn.XLOOKUP($A2369,[1]Sheet1!$N$9:$N$2584,[1]Sheet1!$O$9:$O$2584,"N/A",0)</f>
        <v>131.33</v>
      </c>
      <c r="O2369">
        <v>110.09</v>
      </c>
      <c r="P2369">
        <v>190.97</v>
      </c>
      <c r="Q2369">
        <v>53.62</v>
      </c>
      <c r="R2369">
        <v>131.33</v>
      </c>
      <c r="S2369">
        <v>141.17</v>
      </c>
    </row>
    <row r="2370" spans="1:19">
      <c r="A2370" s="1">
        <v>45807</v>
      </c>
      <c r="B2370" t="s">
        <v>1029</v>
      </c>
      <c r="C2370" t="s">
        <v>1030</v>
      </c>
      <c r="D2370">
        <v>20.0219</v>
      </c>
      <c r="E2370">
        <v>21.0379</v>
      </c>
      <c r="F2370">
        <v>0.050744434843846</v>
      </c>
      <c r="G2370">
        <f ca="1" t="shared" si="108"/>
        <v>0.629956495096797</v>
      </c>
      <c r="H2370" t="str">
        <f ca="1" t="shared" si="109"/>
        <v>Risk-On</v>
      </c>
      <c r="I2370">
        <f ca="1" t="shared" si="110"/>
        <v>1</v>
      </c>
      <c r="J2370">
        <f>_xlfn.XLOOKUP($A2370,[1]Sheet1!$B$9:$B$2584,[1]Sheet1!$C$9:$C$2584,"N/A",0)</f>
        <v>110.73</v>
      </c>
      <c r="K2370">
        <f>_xlfn.XLOOKUP($A2370,[1]Sheet1!$E$9:$E$2584,[1]Sheet1!$F$9:$F$2584,"N/A",0)</f>
        <v>194.24</v>
      </c>
      <c r="L2370">
        <f>_xlfn.XLOOKUP($A2370,[1]Sheet1!$H$9:$H$2584,[1]Sheet1!$I$9:$I$2584,"N/A",0)</f>
        <v>53.44</v>
      </c>
      <c r="M2370">
        <f>_xlfn.XLOOKUP($A2370,[1]Sheet1!$K$9:$K$2584,[1]Sheet1!$L$9:$L$2584,"N/A",0)</f>
        <v>141.75</v>
      </c>
      <c r="N2370">
        <f>_xlfn.XLOOKUP($A2370,[1]Sheet1!$N$9:$N$2584,[1]Sheet1!$O$9:$O$2584,"N/A",0)</f>
        <v>131.38</v>
      </c>
      <c r="O2370">
        <v>110.73</v>
      </c>
      <c r="P2370">
        <v>194.24</v>
      </c>
      <c r="Q2370">
        <v>53.44</v>
      </c>
      <c r="R2370">
        <v>131.38</v>
      </c>
      <c r="S2370">
        <v>141.75</v>
      </c>
    </row>
    <row r="2371" spans="1:19">
      <c r="A2371" s="1">
        <v>45810</v>
      </c>
      <c r="B2371" t="s">
        <v>1029</v>
      </c>
      <c r="C2371" t="s">
        <v>1030</v>
      </c>
      <c r="D2371">
        <v>19.7059</v>
      </c>
      <c r="E2371">
        <v>20.8963</v>
      </c>
      <c r="F2371">
        <v>0.0604083041119664</v>
      </c>
      <c r="G2371">
        <f ca="1" t="shared" ref="G2371:G2434" si="111">IF(ROW()-ROW($A$3)+1&gt;252,(F2371-AVERAGE(OFFSET(F2371,-252,0,252,1)))/_xlfn.STDEV.S(OFFSET(F2371,-252,0,252,1)),"N/A")</f>
        <v>0.778200006138009</v>
      </c>
      <c r="H2371" t="str">
        <f ca="1" t="shared" ref="H2371:H2434" si="112">IF(G2371&lt;&gt;"N/A",IF(G2621&gt;-0.5,"Risk-On","Risk-Off"),"N/A")</f>
        <v>Risk-On</v>
      </c>
      <c r="I2371">
        <f ca="1" t="shared" si="110"/>
        <v>1</v>
      </c>
      <c r="J2371">
        <f>_xlfn.XLOOKUP($A2371,[1]Sheet1!$B$9:$B$2584,[1]Sheet1!$C$9:$C$2584,"N/A",0)</f>
        <v>110.88</v>
      </c>
      <c r="K2371">
        <f>_xlfn.XLOOKUP($A2371,[1]Sheet1!$E$9:$E$2584,[1]Sheet1!$F$9:$F$2584,"N/A",0)</f>
        <v>197.09</v>
      </c>
      <c r="L2371">
        <f>_xlfn.XLOOKUP($A2371,[1]Sheet1!$H$9:$H$2584,[1]Sheet1!$I$9:$I$2584,"N/A",0)</f>
        <v>53.55</v>
      </c>
      <c r="M2371">
        <f>_xlfn.XLOOKUP($A2371,[1]Sheet1!$K$9:$K$2584,[1]Sheet1!$L$9:$L$2584,"N/A",0)</f>
        <v>141.59</v>
      </c>
      <c r="N2371">
        <f>_xlfn.XLOOKUP($A2371,[1]Sheet1!$N$9:$N$2584,[1]Sheet1!$O$9:$O$2584,"N/A",0)</f>
        <v>131.84</v>
      </c>
      <c r="O2371">
        <v>110.88</v>
      </c>
      <c r="P2371">
        <v>197.09</v>
      </c>
      <c r="Q2371">
        <v>53.55</v>
      </c>
      <c r="R2371">
        <v>131.84</v>
      </c>
      <c r="S2371">
        <v>141.59</v>
      </c>
    </row>
    <row r="2372" spans="1:19">
      <c r="A2372" s="1">
        <v>45811</v>
      </c>
      <c r="B2372" t="s">
        <v>1029</v>
      </c>
      <c r="C2372" t="s">
        <v>1030</v>
      </c>
      <c r="D2372">
        <v>19.204</v>
      </c>
      <c r="E2372">
        <v>20.574</v>
      </c>
      <c r="F2372">
        <v>0.0713393043116017</v>
      </c>
      <c r="G2372">
        <f ca="1" t="shared" si="111"/>
        <v>0.944583923695526</v>
      </c>
      <c r="H2372" t="str">
        <f ca="1" t="shared" si="112"/>
        <v>Risk-On</v>
      </c>
      <c r="I2372">
        <f ca="1" t="shared" ref="I2372:I2435" si="113">IF(H2372&lt;&gt;"N/A",IF(H2622&gt;-0.5,1,0),0)</f>
        <v>1</v>
      </c>
      <c r="J2372">
        <f>_xlfn.XLOOKUP($A2372,[1]Sheet1!$B$9:$B$2584,[1]Sheet1!$C$9:$C$2584,"N/A",0)</f>
        <v>111.2</v>
      </c>
      <c r="K2372">
        <f>_xlfn.XLOOKUP($A2372,[1]Sheet1!$E$9:$E$2584,[1]Sheet1!$F$9:$F$2584,"N/A",0)</f>
        <v>193.39</v>
      </c>
      <c r="L2372">
        <f>_xlfn.XLOOKUP($A2372,[1]Sheet1!$H$9:$H$2584,[1]Sheet1!$I$9:$I$2584,"N/A",0)</f>
        <v>53.71</v>
      </c>
      <c r="M2372">
        <f>_xlfn.XLOOKUP($A2372,[1]Sheet1!$K$9:$K$2584,[1]Sheet1!$L$9:$L$2584,"N/A",0)</f>
        <v>141.89</v>
      </c>
      <c r="N2372">
        <f>_xlfn.XLOOKUP($A2372,[1]Sheet1!$N$9:$N$2584,[1]Sheet1!$O$9:$O$2584,"N/A",0)</f>
        <v>131.21</v>
      </c>
      <c r="O2372">
        <v>111.2</v>
      </c>
      <c r="P2372">
        <v>193.39</v>
      </c>
      <c r="Q2372">
        <v>53.71</v>
      </c>
      <c r="R2372">
        <v>131.21</v>
      </c>
      <c r="S2372">
        <v>141.89</v>
      </c>
    </row>
    <row r="2373" spans="1:19">
      <c r="A2373" s="1">
        <v>45812</v>
      </c>
      <c r="B2373" t="s">
        <v>1029</v>
      </c>
      <c r="C2373" t="s">
        <v>1030</v>
      </c>
      <c r="D2373">
        <v>19.1474</v>
      </c>
      <c r="E2373">
        <v>20.498</v>
      </c>
      <c r="F2373">
        <v>0.0705369919675778</v>
      </c>
      <c r="G2373">
        <f ca="1" t="shared" si="111"/>
        <v>0.930222298278529</v>
      </c>
      <c r="H2373" t="str">
        <f ca="1" t="shared" si="112"/>
        <v>Risk-On</v>
      </c>
      <c r="I2373">
        <f ca="1" t="shared" si="113"/>
        <v>1</v>
      </c>
      <c r="J2373">
        <f>_xlfn.XLOOKUP($A2373,[1]Sheet1!$B$9:$B$2584,[1]Sheet1!$C$9:$C$2584,"N/A",0)</f>
        <v>111.23</v>
      </c>
      <c r="K2373">
        <f>_xlfn.XLOOKUP($A2373,[1]Sheet1!$E$9:$E$2584,[1]Sheet1!$F$9:$F$2584,"N/A",0)</f>
        <v>193.15</v>
      </c>
      <c r="L2373">
        <f>_xlfn.XLOOKUP($A2373,[1]Sheet1!$H$9:$H$2584,[1]Sheet1!$I$9:$I$2584,"N/A",0)</f>
        <v>53.65</v>
      </c>
      <c r="M2373">
        <f>_xlfn.XLOOKUP($A2373,[1]Sheet1!$K$9:$K$2584,[1]Sheet1!$L$9:$L$2584,"N/A",0)</f>
        <v>142.07</v>
      </c>
      <c r="N2373">
        <f>_xlfn.XLOOKUP($A2373,[1]Sheet1!$N$9:$N$2584,[1]Sheet1!$O$9:$O$2584,"N/A",0)</f>
        <v>131.22</v>
      </c>
      <c r="O2373">
        <v>111.23</v>
      </c>
      <c r="P2373">
        <v>193.15</v>
      </c>
      <c r="Q2373">
        <v>53.65</v>
      </c>
      <c r="R2373">
        <v>131.22</v>
      </c>
      <c r="S2373">
        <v>142.07</v>
      </c>
    </row>
    <row r="2374" spans="1:19">
      <c r="A2374" s="1">
        <v>45813</v>
      </c>
      <c r="B2374" t="s">
        <v>1029</v>
      </c>
      <c r="C2374" t="s">
        <v>1030</v>
      </c>
      <c r="D2374">
        <v>19.5782</v>
      </c>
      <c r="E2374">
        <v>20.8932</v>
      </c>
      <c r="F2374">
        <v>0.0671665423787682</v>
      </c>
      <c r="G2374">
        <f ca="1" t="shared" si="111"/>
        <v>0.877227991961204</v>
      </c>
      <c r="H2374" t="str">
        <f ca="1" t="shared" si="112"/>
        <v>Risk-On</v>
      </c>
      <c r="I2374">
        <f ca="1" t="shared" si="113"/>
        <v>1</v>
      </c>
      <c r="J2374">
        <f>_xlfn.XLOOKUP($A2374,[1]Sheet1!$B$9:$B$2584,[1]Sheet1!$C$9:$C$2584,"N/A",0)</f>
        <v>111.39</v>
      </c>
      <c r="K2374">
        <f>_xlfn.XLOOKUP($A2374,[1]Sheet1!$E$9:$E$2584,[1]Sheet1!$F$9:$F$2584,"N/A",0)</f>
        <v>194.06</v>
      </c>
      <c r="L2374">
        <f>_xlfn.XLOOKUP($A2374,[1]Sheet1!$H$9:$H$2584,[1]Sheet1!$I$9:$I$2584,"N/A",0)</f>
        <v>53.64</v>
      </c>
      <c r="M2374">
        <f>_xlfn.XLOOKUP($A2374,[1]Sheet1!$K$9:$K$2584,[1]Sheet1!$L$9:$L$2584,"N/A",0)</f>
        <v>142.25</v>
      </c>
      <c r="N2374">
        <f>_xlfn.XLOOKUP($A2374,[1]Sheet1!$N$9:$N$2584,[1]Sheet1!$O$9:$O$2584,"N/A",0)</f>
        <v>130.81</v>
      </c>
      <c r="O2374">
        <v>111.39</v>
      </c>
      <c r="P2374">
        <v>194.06</v>
      </c>
      <c r="Q2374">
        <v>53.64</v>
      </c>
      <c r="R2374">
        <v>130.81</v>
      </c>
      <c r="S2374">
        <v>142.25</v>
      </c>
    </row>
    <row r="2375" spans="1:19">
      <c r="A2375" s="1">
        <v>45814</v>
      </c>
      <c r="B2375" t="s">
        <v>1029</v>
      </c>
      <c r="C2375" t="s">
        <v>1030</v>
      </c>
      <c r="D2375">
        <v>18.5314</v>
      </c>
      <c r="E2375">
        <v>20.1545</v>
      </c>
      <c r="F2375">
        <v>0.0875864748480955</v>
      </c>
      <c r="G2375">
        <f ca="1" t="shared" si="111"/>
        <v>1.19099734679874</v>
      </c>
      <c r="H2375" t="str">
        <f ca="1" t="shared" si="112"/>
        <v>Risk-On</v>
      </c>
      <c r="I2375">
        <f ca="1" t="shared" si="113"/>
        <v>1</v>
      </c>
      <c r="J2375">
        <f>_xlfn.XLOOKUP($A2375,[1]Sheet1!$B$9:$B$2584,[1]Sheet1!$C$9:$C$2584,"N/A",0)</f>
        <v>111.42</v>
      </c>
      <c r="K2375">
        <f>_xlfn.XLOOKUP($A2375,[1]Sheet1!$E$9:$E$2584,[1]Sheet1!$F$9:$F$2584,"N/A",0)</f>
        <v>192.77</v>
      </c>
      <c r="L2375">
        <f>_xlfn.XLOOKUP($A2375,[1]Sheet1!$H$9:$H$2584,[1]Sheet1!$I$9:$I$2584,"N/A",0)</f>
        <v>53.82</v>
      </c>
      <c r="M2375">
        <f>_xlfn.XLOOKUP($A2375,[1]Sheet1!$K$9:$K$2584,[1]Sheet1!$L$9:$L$2584,"N/A",0)</f>
        <v>141.56</v>
      </c>
      <c r="N2375">
        <f>_xlfn.XLOOKUP($A2375,[1]Sheet1!$N$9:$N$2584,[1]Sheet1!$O$9:$O$2584,"N/A",0)</f>
        <v>130.17</v>
      </c>
      <c r="O2375">
        <v>111.42</v>
      </c>
      <c r="P2375">
        <v>192.77</v>
      </c>
      <c r="Q2375">
        <v>53.82</v>
      </c>
      <c r="R2375">
        <v>130.17</v>
      </c>
      <c r="S2375">
        <v>141.56</v>
      </c>
    </row>
    <row r="2376" spans="1:19">
      <c r="A2376" s="1">
        <v>45817</v>
      </c>
      <c r="B2376" t="s">
        <v>1029</v>
      </c>
      <c r="C2376" t="s">
        <v>1030</v>
      </c>
      <c r="D2376">
        <v>18.3048</v>
      </c>
      <c r="E2376">
        <v>20.0001</v>
      </c>
      <c r="F2376">
        <v>0.0926150517896944</v>
      </c>
      <c r="G2376">
        <f ca="1" t="shared" si="111"/>
        <v>1.26653581426958</v>
      </c>
      <c r="H2376" t="str">
        <f ca="1" t="shared" si="112"/>
        <v>Risk-On</v>
      </c>
      <c r="I2376">
        <f ca="1" t="shared" si="113"/>
        <v>1</v>
      </c>
      <c r="J2376">
        <f>_xlfn.XLOOKUP($A2376,[1]Sheet1!$B$9:$B$2584,[1]Sheet1!$C$9:$C$2584,"N/A",0)</f>
        <v>111.12</v>
      </c>
      <c r="K2376">
        <f>_xlfn.XLOOKUP($A2376,[1]Sheet1!$E$9:$E$2584,[1]Sheet1!$F$9:$F$2584,"N/A",0)</f>
        <v>189.41</v>
      </c>
      <c r="L2376">
        <f>_xlfn.XLOOKUP($A2376,[1]Sheet1!$H$9:$H$2584,[1]Sheet1!$I$9:$I$2584,"N/A",0)</f>
        <v>54.19</v>
      </c>
      <c r="M2376">
        <f>_xlfn.XLOOKUP($A2376,[1]Sheet1!$K$9:$K$2584,[1]Sheet1!$L$9:$L$2584,"N/A",0)</f>
        <v>140.21</v>
      </c>
      <c r="N2376">
        <f>_xlfn.XLOOKUP($A2376,[1]Sheet1!$N$9:$N$2584,[1]Sheet1!$O$9:$O$2584,"N/A",0)</f>
        <v>129.96</v>
      </c>
      <c r="O2376">
        <v>111.12</v>
      </c>
      <c r="P2376">
        <v>189.41</v>
      </c>
      <c r="Q2376">
        <v>54.19</v>
      </c>
      <c r="R2376">
        <v>129.96</v>
      </c>
      <c r="S2376">
        <v>140.21</v>
      </c>
    </row>
    <row r="2377" spans="1:19">
      <c r="A2377" s="1">
        <v>45818</v>
      </c>
      <c r="B2377" t="s">
        <v>1029</v>
      </c>
      <c r="C2377" t="s">
        <v>1030</v>
      </c>
      <c r="D2377">
        <v>18.1408</v>
      </c>
      <c r="E2377">
        <v>19.971</v>
      </c>
      <c r="F2377" s="2" t="s">
        <v>1034</v>
      </c>
      <c r="G2377">
        <f ca="1" t="shared" si="111"/>
        <v>1.39109398842759</v>
      </c>
      <c r="H2377" t="str">
        <f ca="1" t="shared" si="112"/>
        <v>Risk-On</v>
      </c>
      <c r="I2377">
        <f ca="1" t="shared" si="113"/>
        <v>1</v>
      </c>
      <c r="J2377">
        <f>_xlfn.XLOOKUP($A2377,[1]Sheet1!$B$9:$B$2584,[1]Sheet1!$C$9:$C$2584,"N/A",0)</f>
        <v>110.72</v>
      </c>
      <c r="K2377">
        <f>_xlfn.XLOOKUP($A2377,[1]Sheet1!$E$9:$E$2584,[1]Sheet1!$F$9:$F$2584,"N/A",0)</f>
        <v>185.8</v>
      </c>
      <c r="L2377">
        <f>_xlfn.XLOOKUP($A2377,[1]Sheet1!$H$9:$H$2584,[1]Sheet1!$I$9:$I$2584,"N/A",0)</f>
        <v>54.57</v>
      </c>
      <c r="M2377">
        <f>_xlfn.XLOOKUP($A2377,[1]Sheet1!$K$9:$K$2584,[1]Sheet1!$L$9:$L$2584,"N/A",0)</f>
        <v>140.02</v>
      </c>
      <c r="N2377">
        <f>_xlfn.XLOOKUP($A2377,[1]Sheet1!$N$9:$N$2584,[1]Sheet1!$O$9:$O$2584,"N/A",0)</f>
        <v>130.64</v>
      </c>
      <c r="O2377">
        <v>110.72</v>
      </c>
      <c r="P2377">
        <v>185.8</v>
      </c>
      <c r="Q2377">
        <v>54.57</v>
      </c>
      <c r="R2377">
        <v>130.64</v>
      </c>
      <c r="S2377">
        <v>140.02</v>
      </c>
    </row>
    <row r="2378" spans="1:19">
      <c r="A2378" s="1">
        <v>45819</v>
      </c>
      <c r="B2378" t="s">
        <v>1029</v>
      </c>
      <c r="C2378" t="s">
        <v>1030</v>
      </c>
      <c r="D2378">
        <v>18.3462</v>
      </c>
      <c r="E2378">
        <v>20.0947</v>
      </c>
      <c r="F2378">
        <v>0.0953058399014509</v>
      </c>
      <c r="G2378">
        <f ca="1" t="shared" si="111"/>
        <v>1.31420687711629</v>
      </c>
      <c r="H2378" t="str">
        <f ca="1" t="shared" si="112"/>
        <v>Risk-On</v>
      </c>
      <c r="I2378">
        <f ca="1" t="shared" si="113"/>
        <v>1</v>
      </c>
      <c r="J2378">
        <f>_xlfn.XLOOKUP($A2378,[1]Sheet1!$B$9:$B$2584,[1]Sheet1!$C$9:$C$2584,"N/A",0)</f>
        <v>110.86</v>
      </c>
      <c r="K2378">
        <f>_xlfn.XLOOKUP($A2378,[1]Sheet1!$E$9:$E$2584,[1]Sheet1!$F$9:$F$2584,"N/A",0)</f>
        <v>187.83</v>
      </c>
      <c r="L2378">
        <f>_xlfn.XLOOKUP($A2378,[1]Sheet1!$H$9:$H$2584,[1]Sheet1!$I$9:$I$2584,"N/A",0)</f>
        <v>54.43</v>
      </c>
      <c r="M2378">
        <f>_xlfn.XLOOKUP($A2378,[1]Sheet1!$K$9:$K$2584,[1]Sheet1!$L$9:$L$2584,"N/A",0)</f>
        <v>140.26</v>
      </c>
      <c r="N2378">
        <f>_xlfn.XLOOKUP($A2378,[1]Sheet1!$N$9:$N$2584,[1]Sheet1!$O$9:$O$2584,"N/A",0)</f>
        <v>130.79</v>
      </c>
      <c r="O2378">
        <v>110.86</v>
      </c>
      <c r="P2378">
        <v>187.83</v>
      </c>
      <c r="Q2378">
        <v>54.43</v>
      </c>
      <c r="R2378">
        <v>130.79</v>
      </c>
      <c r="S2378">
        <v>140.26</v>
      </c>
    </row>
    <row r="2379" spans="1:19">
      <c r="A2379" s="1">
        <v>45820</v>
      </c>
      <c r="B2379" t="s">
        <v>1029</v>
      </c>
      <c r="C2379" t="s">
        <v>1030</v>
      </c>
      <c r="D2379">
        <v>18.7455</v>
      </c>
      <c r="E2379">
        <v>20.2997</v>
      </c>
      <c r="F2379">
        <v>0.0829105652023153</v>
      </c>
      <c r="G2379">
        <f ca="1" t="shared" si="111"/>
        <v>1.1229699973712</v>
      </c>
      <c r="H2379" t="str">
        <f ca="1" t="shared" si="112"/>
        <v>Risk-On</v>
      </c>
      <c r="I2379">
        <f ca="1" t="shared" si="113"/>
        <v>1</v>
      </c>
      <c r="J2379">
        <f>_xlfn.XLOOKUP($A2379,[1]Sheet1!$B$9:$B$2584,[1]Sheet1!$C$9:$C$2584,"N/A",0)</f>
        <v>110.89</v>
      </c>
      <c r="K2379">
        <f>_xlfn.XLOOKUP($A2379,[1]Sheet1!$E$9:$E$2584,[1]Sheet1!$F$9:$F$2584,"N/A",0)</f>
        <v>188.41</v>
      </c>
      <c r="L2379">
        <f>_xlfn.XLOOKUP($A2379,[1]Sheet1!$H$9:$H$2584,[1]Sheet1!$I$9:$I$2584,"N/A",0)</f>
        <v>54.48</v>
      </c>
      <c r="M2379">
        <f>_xlfn.XLOOKUP($A2379,[1]Sheet1!$K$9:$K$2584,[1]Sheet1!$L$9:$L$2584,"N/A",0)</f>
        <v>140.18</v>
      </c>
      <c r="N2379">
        <f>_xlfn.XLOOKUP($A2379,[1]Sheet1!$N$9:$N$2584,[1]Sheet1!$O$9:$O$2584,"N/A",0)</f>
        <v>131.58</v>
      </c>
      <c r="O2379">
        <v>110.89</v>
      </c>
      <c r="P2379">
        <v>188.41</v>
      </c>
      <c r="Q2379">
        <v>54.48</v>
      </c>
      <c r="R2379">
        <v>131.58</v>
      </c>
      <c r="S2379">
        <v>140.18</v>
      </c>
    </row>
    <row r="2380" spans="1:19">
      <c r="A2380" s="1">
        <v>45821</v>
      </c>
      <c r="B2380" t="s">
        <v>1029</v>
      </c>
      <c r="C2380" t="s">
        <v>1030</v>
      </c>
      <c r="D2380">
        <v>21.2716</v>
      </c>
      <c r="E2380">
        <v>21.8201</v>
      </c>
      <c r="F2380" s="2" t="s">
        <v>1035</v>
      </c>
      <c r="G2380">
        <f ca="1" t="shared" si="111"/>
        <v>0.246015401813718</v>
      </c>
      <c r="H2380" t="str">
        <f ca="1" t="shared" si="112"/>
        <v>Risk-On</v>
      </c>
      <c r="I2380">
        <f ca="1" t="shared" si="113"/>
        <v>1</v>
      </c>
      <c r="J2380">
        <f>_xlfn.XLOOKUP($A2380,[1]Sheet1!$B$9:$B$2584,[1]Sheet1!$C$9:$C$2584,"N/A",0)</f>
        <v>110.63</v>
      </c>
      <c r="K2380">
        <f>_xlfn.XLOOKUP($A2380,[1]Sheet1!$E$9:$E$2584,[1]Sheet1!$F$9:$F$2584,"N/A",0)</f>
        <v>190.38</v>
      </c>
      <c r="L2380">
        <f>_xlfn.XLOOKUP($A2380,[1]Sheet1!$H$9:$H$2584,[1]Sheet1!$I$9:$I$2584,"N/A",0)</f>
        <v>54.82</v>
      </c>
      <c r="M2380">
        <f>_xlfn.XLOOKUP($A2380,[1]Sheet1!$K$9:$K$2584,[1]Sheet1!$L$9:$L$2584,"N/A",0)</f>
        <v>139.59</v>
      </c>
      <c r="N2380">
        <f>_xlfn.XLOOKUP($A2380,[1]Sheet1!$N$9:$N$2584,[1]Sheet1!$O$9:$O$2584,"N/A",0)</f>
        <v>132.41</v>
      </c>
      <c r="O2380">
        <v>110.63</v>
      </c>
      <c r="P2380">
        <v>190.38</v>
      </c>
      <c r="Q2380">
        <v>54.82</v>
      </c>
      <c r="R2380">
        <v>132.41</v>
      </c>
      <c r="S2380">
        <v>139.59</v>
      </c>
    </row>
    <row r="2381" spans="1:19">
      <c r="A2381" s="1">
        <v>45824</v>
      </c>
      <c r="B2381" t="s">
        <v>1029</v>
      </c>
      <c r="C2381" t="s">
        <v>1030</v>
      </c>
      <c r="D2381">
        <v>19.1942</v>
      </c>
      <c r="E2381">
        <v>20.2816</v>
      </c>
      <c r="F2381" s="2" t="s">
        <v>1036</v>
      </c>
      <c r="G2381">
        <f ca="1" t="shared" si="111"/>
        <v>0.721483136225675</v>
      </c>
      <c r="H2381" t="str">
        <f ca="1" t="shared" si="112"/>
        <v>Risk-On</v>
      </c>
      <c r="I2381">
        <f ca="1" t="shared" si="113"/>
        <v>1</v>
      </c>
      <c r="J2381">
        <f>_xlfn.XLOOKUP($A2381,[1]Sheet1!$B$9:$B$2584,[1]Sheet1!$C$9:$C$2584,"N/A",0)</f>
        <v>110.71</v>
      </c>
      <c r="K2381">
        <f>_xlfn.XLOOKUP($A2381,[1]Sheet1!$E$9:$E$2584,[1]Sheet1!$F$9:$F$2584,"N/A",0)</f>
        <v>188.88</v>
      </c>
      <c r="L2381">
        <f>_xlfn.XLOOKUP($A2381,[1]Sheet1!$H$9:$H$2584,[1]Sheet1!$I$9:$I$2584,"N/A",0)</f>
        <v>54.72</v>
      </c>
      <c r="M2381">
        <f>_xlfn.XLOOKUP($A2381,[1]Sheet1!$K$9:$K$2584,[1]Sheet1!$L$9:$L$2584,"N/A",0)</f>
        <v>139.45</v>
      </c>
      <c r="N2381">
        <f>_xlfn.XLOOKUP($A2381,[1]Sheet1!$N$9:$N$2584,[1]Sheet1!$O$9:$O$2584,"N/A",0)</f>
        <v>132.24</v>
      </c>
      <c r="O2381">
        <v>110.71</v>
      </c>
      <c r="P2381">
        <v>188.88</v>
      </c>
      <c r="Q2381">
        <v>54.72</v>
      </c>
      <c r="R2381">
        <v>132.24</v>
      </c>
      <c r="S2381">
        <v>139.45</v>
      </c>
    </row>
    <row r="2382" spans="1:19">
      <c r="A2382" s="1">
        <v>45825</v>
      </c>
      <c r="B2382" t="s">
        <v>1029</v>
      </c>
      <c r="C2382" t="s">
        <v>1030</v>
      </c>
      <c r="D2382">
        <v>20.9935</v>
      </c>
      <c r="E2382">
        <v>21.4052</v>
      </c>
      <c r="F2382">
        <v>0.0196108319241669</v>
      </c>
      <c r="G2382">
        <f ca="1" t="shared" si="111"/>
        <v>0.150901409151691</v>
      </c>
      <c r="H2382" t="str">
        <f ca="1" t="shared" si="112"/>
        <v>Risk-On</v>
      </c>
      <c r="I2382">
        <f ca="1" t="shared" si="113"/>
        <v>1</v>
      </c>
      <c r="J2382">
        <f>_xlfn.XLOOKUP($A2382,[1]Sheet1!$B$9:$B$2584,[1]Sheet1!$C$9:$C$2584,"N/A",0)</f>
        <v>111.08</v>
      </c>
      <c r="K2382">
        <f>_xlfn.XLOOKUP($A2382,[1]Sheet1!$E$9:$E$2584,[1]Sheet1!$F$9:$F$2584,"N/A",0)</f>
        <v>191.47</v>
      </c>
      <c r="L2382">
        <f>_xlfn.XLOOKUP($A2382,[1]Sheet1!$H$9:$H$2584,[1]Sheet1!$I$9:$I$2584,"N/A",0)</f>
        <v>54.47</v>
      </c>
      <c r="M2382">
        <f>_xlfn.XLOOKUP($A2382,[1]Sheet1!$K$9:$K$2584,[1]Sheet1!$L$9:$L$2584,"N/A",0)</f>
        <v>139.45</v>
      </c>
      <c r="N2382">
        <f>_xlfn.XLOOKUP($A2382,[1]Sheet1!$N$9:$N$2584,[1]Sheet1!$O$9:$O$2584,"N/A",0)</f>
        <v>132.12</v>
      </c>
      <c r="O2382">
        <v>111.08</v>
      </c>
      <c r="P2382">
        <v>191.47</v>
      </c>
      <c r="Q2382">
        <v>54.47</v>
      </c>
      <c r="R2382">
        <v>132.12</v>
      </c>
      <c r="S2382">
        <v>139.45</v>
      </c>
    </row>
    <row r="2383" spans="1:19">
      <c r="A2383" s="1">
        <v>45826</v>
      </c>
      <c r="B2383" t="s">
        <v>1029</v>
      </c>
      <c r="C2383" t="s">
        <v>1030</v>
      </c>
      <c r="D2383">
        <v>20.68</v>
      </c>
      <c r="E2383">
        <v>20.8053</v>
      </c>
      <c r="F2383">
        <v>0.00605899419729203</v>
      </c>
      <c r="G2383">
        <f ca="1" t="shared" si="111"/>
        <v>-0.0587844918438153</v>
      </c>
      <c r="H2383" t="str">
        <f ca="1" t="shared" si="112"/>
        <v>Risk-On</v>
      </c>
      <c r="I2383">
        <f ca="1" t="shared" si="113"/>
        <v>1</v>
      </c>
      <c r="J2383">
        <f>_xlfn.XLOOKUP($A2383,[1]Sheet1!$B$9:$B$2584,[1]Sheet1!$C$9:$C$2584,"N/A",0)</f>
        <v>111.04</v>
      </c>
      <c r="K2383">
        <f>_xlfn.XLOOKUP($A2383,[1]Sheet1!$E$9:$E$2584,[1]Sheet1!$F$9:$F$2584,"N/A",0)</f>
        <v>191.15</v>
      </c>
      <c r="L2383">
        <f>_xlfn.XLOOKUP($A2383,[1]Sheet1!$H$9:$H$2584,[1]Sheet1!$I$9:$I$2584,"N/A",0)</f>
        <v>54.37</v>
      </c>
      <c r="M2383">
        <f>_xlfn.XLOOKUP($A2383,[1]Sheet1!$K$9:$K$2584,[1]Sheet1!$L$9:$L$2584,"N/A",0)</f>
        <v>138.96</v>
      </c>
      <c r="N2383">
        <f>_xlfn.XLOOKUP($A2383,[1]Sheet1!$N$9:$N$2584,[1]Sheet1!$O$9:$O$2584,"N/A",0)</f>
        <v>131.79</v>
      </c>
      <c r="O2383">
        <v>111.04</v>
      </c>
      <c r="P2383">
        <v>191.15</v>
      </c>
      <c r="Q2383">
        <v>54.37</v>
      </c>
      <c r="R2383">
        <v>131.79</v>
      </c>
      <c r="S2383">
        <v>138.96</v>
      </c>
    </row>
    <row r="2384" spans="1:19">
      <c r="A2384" s="1">
        <v>45828</v>
      </c>
      <c r="B2384" t="s">
        <v>1030</v>
      </c>
      <c r="C2384" t="s">
        <v>1037</v>
      </c>
      <c r="D2384">
        <v>21.1254</v>
      </c>
      <c r="E2384">
        <v>21.6516</v>
      </c>
      <c r="F2384">
        <v>0.024908404101224</v>
      </c>
      <c r="G2384">
        <f ca="1" t="shared" si="111"/>
        <v>0.233223808448575</v>
      </c>
      <c r="H2384" t="str">
        <f ca="1" t="shared" si="112"/>
        <v>Risk-On</v>
      </c>
      <c r="I2384">
        <f ca="1" t="shared" si="113"/>
        <v>1</v>
      </c>
      <c r="J2384">
        <f>_xlfn.XLOOKUP($A2384,[1]Sheet1!$B$9:$B$2584,[1]Sheet1!$C$9:$C$2584,"N/A",0)</f>
        <v>110.56</v>
      </c>
      <c r="K2384">
        <f>_xlfn.XLOOKUP($A2384,[1]Sheet1!$E$9:$E$2584,[1]Sheet1!$F$9:$F$2584,"N/A",0)</f>
        <v>191.08</v>
      </c>
      <c r="L2384">
        <f>_xlfn.XLOOKUP($A2384,[1]Sheet1!$H$9:$H$2584,[1]Sheet1!$I$9:$I$2584,"N/A",0)</f>
        <v>54.26</v>
      </c>
      <c r="M2384">
        <f>_xlfn.XLOOKUP($A2384,[1]Sheet1!$K$9:$K$2584,[1]Sheet1!$L$9:$L$2584,"N/A",0)</f>
        <v>139.09</v>
      </c>
      <c r="N2384">
        <f>_xlfn.XLOOKUP($A2384,[1]Sheet1!$N$9:$N$2584,[1]Sheet1!$O$9:$O$2584,"N/A",0)</f>
        <v>132.09</v>
      </c>
      <c r="O2384">
        <v>110.56</v>
      </c>
      <c r="P2384">
        <v>191.08</v>
      </c>
      <c r="Q2384">
        <v>54.26</v>
      </c>
      <c r="R2384">
        <v>132.09</v>
      </c>
      <c r="S2384">
        <v>139.09</v>
      </c>
    </row>
    <row r="2385" spans="1:19">
      <c r="A2385" s="1">
        <v>45831</v>
      </c>
      <c r="B2385" t="s">
        <v>1030</v>
      </c>
      <c r="C2385" t="s">
        <v>1037</v>
      </c>
      <c r="D2385">
        <v>20.7581</v>
      </c>
      <c r="E2385">
        <v>21.499</v>
      </c>
      <c r="F2385" s="2" t="s">
        <v>1038</v>
      </c>
      <c r="G2385">
        <f ca="1" t="shared" si="111"/>
        <v>0.399972885179215</v>
      </c>
      <c r="H2385" t="str">
        <f ca="1" t="shared" si="112"/>
        <v>Risk-On</v>
      </c>
      <c r="I2385">
        <f ca="1" t="shared" si="113"/>
        <v>1</v>
      </c>
      <c r="J2385">
        <f>_xlfn.XLOOKUP($A2385,[1]Sheet1!$B$9:$B$2584,[1]Sheet1!$C$9:$C$2584,"N/A",0)</f>
        <v>110.23</v>
      </c>
      <c r="K2385">
        <f>_xlfn.XLOOKUP($A2385,[1]Sheet1!$E$9:$E$2584,[1]Sheet1!$F$9:$F$2584,"N/A",0)</f>
        <v>192.33</v>
      </c>
      <c r="L2385">
        <f>_xlfn.XLOOKUP($A2385,[1]Sheet1!$H$9:$H$2584,[1]Sheet1!$I$9:$I$2584,"N/A",0)</f>
        <v>53.95</v>
      </c>
      <c r="M2385">
        <f>_xlfn.XLOOKUP($A2385,[1]Sheet1!$K$9:$K$2584,[1]Sheet1!$L$9:$L$2584,"N/A",0)</f>
        <v>139.36</v>
      </c>
      <c r="N2385">
        <f>_xlfn.XLOOKUP($A2385,[1]Sheet1!$N$9:$N$2584,[1]Sheet1!$O$9:$O$2584,"N/A",0)</f>
        <v>131.31</v>
      </c>
      <c r="O2385">
        <v>110.23</v>
      </c>
      <c r="P2385">
        <v>192.33</v>
      </c>
      <c r="Q2385">
        <v>53.95</v>
      </c>
      <c r="R2385">
        <v>131.31</v>
      </c>
      <c r="S2385">
        <v>139.36</v>
      </c>
    </row>
    <row r="2386" spans="1:19">
      <c r="A2386" s="1">
        <v>45832</v>
      </c>
      <c r="B2386" t="s">
        <v>1030</v>
      </c>
      <c r="C2386" t="s">
        <v>1037</v>
      </c>
      <c r="D2386">
        <v>19.2484</v>
      </c>
      <c r="E2386">
        <v>20.446</v>
      </c>
      <c r="F2386">
        <v>0.0622181583923859</v>
      </c>
      <c r="G2386">
        <f ca="1" t="shared" si="111"/>
        <v>0.814901875985264</v>
      </c>
      <c r="H2386" t="str">
        <f ca="1" t="shared" si="112"/>
        <v>Risk-On</v>
      </c>
      <c r="I2386">
        <f ca="1" t="shared" si="113"/>
        <v>1</v>
      </c>
      <c r="J2386">
        <f>_xlfn.XLOOKUP($A2386,[1]Sheet1!$B$9:$B$2584,[1]Sheet1!$C$9:$C$2584,"N/A",0)</f>
        <v>110.06</v>
      </c>
      <c r="K2386">
        <f>_xlfn.XLOOKUP($A2386,[1]Sheet1!$E$9:$E$2584,[1]Sheet1!$F$9:$F$2584,"N/A",0)</f>
        <v>191.31</v>
      </c>
      <c r="L2386">
        <f>_xlfn.XLOOKUP($A2386,[1]Sheet1!$H$9:$H$2584,[1]Sheet1!$I$9:$I$2584,"N/A",0)</f>
        <v>53.69</v>
      </c>
      <c r="M2386">
        <f>_xlfn.XLOOKUP($A2386,[1]Sheet1!$K$9:$K$2584,[1]Sheet1!$L$9:$L$2584,"N/A",0)</f>
        <v>139.26</v>
      </c>
      <c r="N2386">
        <f>_xlfn.XLOOKUP($A2386,[1]Sheet1!$N$9:$N$2584,[1]Sheet1!$O$9:$O$2584,"N/A",0)</f>
        <v>131.41</v>
      </c>
      <c r="O2386">
        <v>110.06</v>
      </c>
      <c r="P2386">
        <v>191.31</v>
      </c>
      <c r="Q2386">
        <v>53.69</v>
      </c>
      <c r="R2386">
        <v>131.41</v>
      </c>
      <c r="S2386">
        <v>139.26</v>
      </c>
    </row>
    <row r="2387" spans="1:19">
      <c r="A2387" s="1">
        <v>45833</v>
      </c>
      <c r="B2387" t="s">
        <v>1030</v>
      </c>
      <c r="C2387" t="s">
        <v>1037</v>
      </c>
      <c r="D2387">
        <v>19.0176</v>
      </c>
      <c r="E2387">
        <v>20.2389</v>
      </c>
      <c r="F2387">
        <v>0.0642194598687531</v>
      </c>
      <c r="G2387">
        <f ca="1" t="shared" si="111"/>
        <v>0.842474222865593</v>
      </c>
      <c r="H2387" t="str">
        <f ca="1" t="shared" si="112"/>
        <v>Risk-On</v>
      </c>
      <c r="I2387">
        <f ca="1" t="shared" si="113"/>
        <v>1</v>
      </c>
      <c r="J2387">
        <f>_xlfn.XLOOKUP($A2387,[1]Sheet1!$B$9:$B$2584,[1]Sheet1!$C$9:$C$2584,"N/A",0)</f>
        <v>109.21</v>
      </c>
      <c r="K2387">
        <f>_xlfn.XLOOKUP($A2387,[1]Sheet1!$E$9:$E$2584,[1]Sheet1!$F$9:$F$2584,"N/A",0)</f>
        <v>190.76</v>
      </c>
      <c r="L2387">
        <f>_xlfn.XLOOKUP($A2387,[1]Sheet1!$H$9:$H$2584,[1]Sheet1!$I$9:$I$2584,"N/A",0)</f>
        <v>53.83</v>
      </c>
      <c r="M2387">
        <f>_xlfn.XLOOKUP($A2387,[1]Sheet1!$K$9:$K$2584,[1]Sheet1!$L$9:$L$2584,"N/A",0)</f>
        <v>138.6</v>
      </c>
      <c r="N2387">
        <f>_xlfn.XLOOKUP($A2387,[1]Sheet1!$N$9:$N$2584,[1]Sheet1!$O$9:$O$2584,"N/A",0)</f>
        <v>132.4</v>
      </c>
      <c r="O2387">
        <v>109.21</v>
      </c>
      <c r="P2387">
        <v>190.76</v>
      </c>
      <c r="Q2387">
        <v>53.83</v>
      </c>
      <c r="R2387">
        <v>132.4</v>
      </c>
      <c r="S2387">
        <v>138.6</v>
      </c>
    </row>
    <row r="2388" spans="1:19">
      <c r="A2388" s="1">
        <v>45834</v>
      </c>
      <c r="B2388" t="s">
        <v>1030</v>
      </c>
      <c r="C2388" t="s">
        <v>1037</v>
      </c>
      <c r="D2388">
        <v>18.9112</v>
      </c>
      <c r="E2388">
        <v>20.1218</v>
      </c>
      <c r="F2388">
        <v>0.0640149752527602</v>
      </c>
      <c r="G2388">
        <f ca="1" t="shared" si="111"/>
        <v>0.838867555306324</v>
      </c>
      <c r="H2388" t="str">
        <f ca="1" t="shared" si="112"/>
        <v>Risk-On</v>
      </c>
      <c r="I2388">
        <f ca="1" t="shared" si="113"/>
        <v>1</v>
      </c>
      <c r="J2388">
        <f>_xlfn.XLOOKUP($A2388,[1]Sheet1!$B$9:$B$2584,[1]Sheet1!$C$9:$C$2584,"N/A",0)</f>
        <v>109.78</v>
      </c>
      <c r="K2388">
        <f>_xlfn.XLOOKUP($A2388,[1]Sheet1!$E$9:$E$2584,[1]Sheet1!$F$9:$F$2584,"N/A",0)</f>
        <v>190.98</v>
      </c>
      <c r="L2388">
        <f>_xlfn.XLOOKUP($A2388,[1]Sheet1!$H$9:$H$2584,[1]Sheet1!$I$9:$I$2584,"N/A",0)</f>
        <v>54.13</v>
      </c>
      <c r="M2388">
        <f>_xlfn.XLOOKUP($A2388,[1]Sheet1!$K$9:$K$2584,[1]Sheet1!$L$9:$L$2584,"N/A",0)</f>
        <v>137.88</v>
      </c>
      <c r="N2388">
        <f>_xlfn.XLOOKUP($A2388,[1]Sheet1!$N$9:$N$2584,[1]Sheet1!$O$9:$O$2584,"N/A",0)</f>
        <v>131.53</v>
      </c>
      <c r="O2388">
        <v>109.78</v>
      </c>
      <c r="P2388">
        <v>190.98</v>
      </c>
      <c r="Q2388">
        <v>54.13</v>
      </c>
      <c r="R2388">
        <v>131.53</v>
      </c>
      <c r="S2388">
        <v>137.88</v>
      </c>
    </row>
    <row r="2389" spans="1:19">
      <c r="A2389" s="1">
        <v>45835</v>
      </c>
      <c r="B2389" t="s">
        <v>1030</v>
      </c>
      <c r="C2389" t="s">
        <v>1037</v>
      </c>
      <c r="D2389">
        <v>18.8523</v>
      </c>
      <c r="E2389">
        <v>20.1951</v>
      </c>
      <c r="F2389">
        <v>0.0712273833961904</v>
      </c>
      <c r="G2389">
        <f ca="1" t="shared" si="111"/>
        <v>0.950862720719209</v>
      </c>
      <c r="H2389" t="str">
        <f ca="1" t="shared" si="112"/>
        <v>Risk-On</v>
      </c>
      <c r="I2389">
        <f ca="1" t="shared" si="113"/>
        <v>1</v>
      </c>
      <c r="J2389">
        <f>_xlfn.XLOOKUP($A2389,[1]Sheet1!$B$9:$B$2584,[1]Sheet1!$C$9:$C$2584,"N/A",0)</f>
        <v>109.94</v>
      </c>
      <c r="K2389">
        <f>_xlfn.XLOOKUP($A2389,[1]Sheet1!$E$9:$E$2584,[1]Sheet1!$F$9:$F$2584,"N/A",0)</f>
        <v>191.16</v>
      </c>
      <c r="L2389">
        <f>_xlfn.XLOOKUP($A2389,[1]Sheet1!$H$9:$H$2584,[1]Sheet1!$I$9:$I$2584,"N/A",0)</f>
        <v>53.81</v>
      </c>
      <c r="M2389">
        <f>_xlfn.XLOOKUP($A2389,[1]Sheet1!$K$9:$K$2584,[1]Sheet1!$L$9:$L$2584,"N/A",0)</f>
        <v>138.11</v>
      </c>
      <c r="N2389">
        <f>_xlfn.XLOOKUP($A2389,[1]Sheet1!$N$9:$N$2584,[1]Sheet1!$O$9:$O$2584,"N/A",0)</f>
        <v>132.25</v>
      </c>
      <c r="O2389">
        <v>109.94</v>
      </c>
      <c r="P2389">
        <v>191.16</v>
      </c>
      <c r="Q2389">
        <v>53.81</v>
      </c>
      <c r="R2389">
        <v>132.25</v>
      </c>
      <c r="S2389">
        <v>138.11</v>
      </c>
    </row>
    <row r="2390" spans="1:19">
      <c r="A2390" s="1">
        <v>45838</v>
      </c>
      <c r="B2390" t="s">
        <v>1030</v>
      </c>
      <c r="C2390" t="s">
        <v>1037</v>
      </c>
      <c r="D2390">
        <v>18.7125</v>
      </c>
      <c r="E2390">
        <v>20.0976</v>
      </c>
      <c r="F2390">
        <v>0.0740200400801604</v>
      </c>
      <c r="G2390">
        <f ca="1" t="shared" si="111"/>
        <v>0.994096941887631</v>
      </c>
      <c r="H2390" t="str">
        <f ca="1" t="shared" si="112"/>
        <v>Risk-On</v>
      </c>
      <c r="I2390">
        <f ca="1" t="shared" si="113"/>
        <v>1</v>
      </c>
      <c r="J2390">
        <f>_xlfn.XLOOKUP($A2390,[1]Sheet1!$B$9:$B$2584,[1]Sheet1!$C$9:$C$2584,"N/A",0)</f>
        <v>110.57</v>
      </c>
      <c r="K2390">
        <f>_xlfn.XLOOKUP($A2390,[1]Sheet1!$E$9:$E$2584,[1]Sheet1!$F$9:$F$2584,"N/A",0)</f>
        <v>193.67</v>
      </c>
      <c r="L2390">
        <f>_xlfn.XLOOKUP($A2390,[1]Sheet1!$H$9:$H$2584,[1]Sheet1!$I$9:$I$2584,"N/A",0)</f>
        <v>54.04</v>
      </c>
      <c r="M2390">
        <f>_xlfn.XLOOKUP($A2390,[1]Sheet1!$K$9:$K$2584,[1]Sheet1!$L$9:$L$2584,"N/A",0)</f>
        <v>138.61</v>
      </c>
      <c r="N2390">
        <f>_xlfn.XLOOKUP($A2390,[1]Sheet1!$N$9:$N$2584,[1]Sheet1!$O$9:$O$2584,"N/A",0)</f>
        <v>132.73</v>
      </c>
      <c r="O2390">
        <v>110.57</v>
      </c>
      <c r="P2390">
        <v>193.67</v>
      </c>
      <c r="Q2390">
        <v>54.04</v>
      </c>
      <c r="R2390">
        <v>132.73</v>
      </c>
      <c r="S2390">
        <v>138.61</v>
      </c>
    </row>
    <row r="2391" spans="1:19">
      <c r="A2391" s="1">
        <v>45839</v>
      </c>
      <c r="B2391" t="s">
        <v>1030</v>
      </c>
      <c r="C2391" t="s">
        <v>1037</v>
      </c>
      <c r="D2391">
        <v>18.6524</v>
      </c>
      <c r="E2391">
        <v>20.1918</v>
      </c>
      <c r="F2391">
        <v>0.0825309343569728</v>
      </c>
      <c r="G2391">
        <f ca="1" t="shared" si="111"/>
        <v>1.12666428303319</v>
      </c>
      <c r="H2391" t="str">
        <f ca="1" t="shared" si="112"/>
        <v>Risk-On</v>
      </c>
      <c r="I2391">
        <f ca="1" t="shared" si="113"/>
        <v>1</v>
      </c>
      <c r="J2391">
        <f>_xlfn.XLOOKUP($A2391,[1]Sheet1!$B$9:$B$2584,[1]Sheet1!$C$9:$C$2584,"N/A",0)</f>
        <v>109.38</v>
      </c>
      <c r="K2391">
        <f>_xlfn.XLOOKUP($A2391,[1]Sheet1!$E$9:$E$2584,[1]Sheet1!$F$9:$F$2584,"N/A",0)</f>
        <v>186.35</v>
      </c>
      <c r="L2391">
        <f>_xlfn.XLOOKUP($A2391,[1]Sheet1!$H$9:$H$2584,[1]Sheet1!$I$9:$I$2584,"N/A",0)</f>
        <v>54.8</v>
      </c>
      <c r="M2391">
        <f>_xlfn.XLOOKUP($A2391,[1]Sheet1!$K$9:$K$2584,[1]Sheet1!$L$9:$L$2584,"N/A",0)</f>
        <v>138.85</v>
      </c>
      <c r="N2391">
        <f>_xlfn.XLOOKUP($A2391,[1]Sheet1!$N$9:$N$2584,[1]Sheet1!$O$9:$O$2584,"N/A",0)</f>
        <v>132.24</v>
      </c>
      <c r="O2391">
        <v>109.38</v>
      </c>
      <c r="P2391">
        <v>186.35</v>
      </c>
      <c r="Q2391">
        <v>54.8</v>
      </c>
      <c r="R2391">
        <v>132.24</v>
      </c>
      <c r="S2391">
        <v>138.85</v>
      </c>
    </row>
    <row r="2392" spans="1:19">
      <c r="A2392" s="1">
        <v>45840</v>
      </c>
      <c r="B2392" t="s">
        <v>1030</v>
      </c>
      <c r="C2392" t="s">
        <v>1037</v>
      </c>
      <c r="D2392">
        <v>18.5591</v>
      </c>
      <c r="E2392">
        <v>20.1827</v>
      </c>
      <c r="F2392">
        <v>0.0874826904321868</v>
      </c>
      <c r="G2392">
        <f ca="1" t="shared" si="111"/>
        <v>1.20050687981095</v>
      </c>
      <c r="H2392" t="str">
        <f ca="1" t="shared" si="112"/>
        <v>Risk-On</v>
      </c>
      <c r="I2392">
        <f ca="1" t="shared" si="113"/>
        <v>1</v>
      </c>
      <c r="J2392">
        <f>_xlfn.XLOOKUP($A2392,[1]Sheet1!$B$9:$B$2584,[1]Sheet1!$C$9:$C$2584,"N/A",0)</f>
        <v>108.16</v>
      </c>
      <c r="K2392">
        <f>_xlfn.XLOOKUP($A2392,[1]Sheet1!$E$9:$E$2584,[1]Sheet1!$F$9:$F$2584,"N/A",0)</f>
        <v>183.5</v>
      </c>
      <c r="L2392">
        <f>_xlfn.XLOOKUP($A2392,[1]Sheet1!$H$9:$H$2584,[1]Sheet1!$I$9:$I$2584,"N/A",0)</f>
        <v>55.21</v>
      </c>
      <c r="M2392">
        <f>_xlfn.XLOOKUP($A2392,[1]Sheet1!$K$9:$K$2584,[1]Sheet1!$L$9:$L$2584,"N/A",0)</f>
        <v>138.39</v>
      </c>
      <c r="N2392">
        <f>_xlfn.XLOOKUP($A2392,[1]Sheet1!$N$9:$N$2584,[1]Sheet1!$O$9:$O$2584,"N/A",0)</f>
        <v>131.69</v>
      </c>
      <c r="O2392">
        <v>108.16</v>
      </c>
      <c r="P2392">
        <v>183.5</v>
      </c>
      <c r="Q2392">
        <v>55.21</v>
      </c>
      <c r="R2392">
        <v>131.69</v>
      </c>
      <c r="S2392">
        <v>138.39</v>
      </c>
    </row>
    <row r="2393" spans="1:19">
      <c r="A2393" s="1">
        <v>45841</v>
      </c>
      <c r="B2393" t="s">
        <v>1030</v>
      </c>
      <c r="C2393" t="s">
        <v>1037</v>
      </c>
      <c r="D2393">
        <v>18.3205</v>
      </c>
      <c r="E2393">
        <v>20.0767</v>
      </c>
      <c r="F2393">
        <v>0.0958598291531344</v>
      </c>
      <c r="G2393">
        <f ca="1" t="shared" si="111"/>
        <v>1.32797426333372</v>
      </c>
      <c r="H2393" t="str">
        <f ca="1" t="shared" si="112"/>
        <v>Risk-On</v>
      </c>
      <c r="I2393">
        <f ca="1" t="shared" si="113"/>
        <v>1</v>
      </c>
      <c r="J2393">
        <f>_xlfn.XLOOKUP($A2393,[1]Sheet1!$B$9:$B$2584,[1]Sheet1!$C$9:$C$2584,"N/A",0)</f>
        <v>108.47</v>
      </c>
      <c r="K2393">
        <f>_xlfn.XLOOKUP($A2393,[1]Sheet1!$E$9:$E$2584,[1]Sheet1!$F$9:$F$2584,"N/A",0)</f>
        <v>186.06</v>
      </c>
      <c r="L2393">
        <f>_xlfn.XLOOKUP($A2393,[1]Sheet1!$H$9:$H$2584,[1]Sheet1!$I$9:$I$2584,"N/A",0)</f>
        <v>55.14</v>
      </c>
      <c r="M2393">
        <f>_xlfn.XLOOKUP($A2393,[1]Sheet1!$K$9:$K$2584,[1]Sheet1!$L$9:$L$2584,"N/A",0)</f>
        <v>138.33</v>
      </c>
      <c r="N2393">
        <f>_xlfn.XLOOKUP($A2393,[1]Sheet1!$N$9:$N$2584,[1]Sheet1!$O$9:$O$2584,"N/A",0)</f>
        <v>131.28</v>
      </c>
      <c r="O2393">
        <v>108.47</v>
      </c>
      <c r="P2393">
        <v>186.06</v>
      </c>
      <c r="Q2393">
        <v>55.14</v>
      </c>
      <c r="R2393">
        <v>131.28</v>
      </c>
      <c r="S2393">
        <v>138.33</v>
      </c>
    </row>
    <row r="2394" spans="1:19">
      <c r="A2394" s="1">
        <v>45845</v>
      </c>
      <c r="B2394" t="s">
        <v>1030</v>
      </c>
      <c r="C2394" t="s">
        <v>1037</v>
      </c>
      <c r="D2394">
        <v>18.729</v>
      </c>
      <c r="E2394">
        <v>20.2403</v>
      </c>
      <c r="F2394">
        <v>0.0806930428746864</v>
      </c>
      <c r="G2394">
        <f ca="1" t="shared" si="111"/>
        <v>1.09066911192665</v>
      </c>
      <c r="H2394" t="str">
        <f ca="1" t="shared" si="112"/>
        <v>Risk-On</v>
      </c>
      <c r="I2394">
        <f ca="1" t="shared" si="113"/>
        <v>1</v>
      </c>
      <c r="J2394">
        <f>_xlfn.XLOOKUP($A2394,[1]Sheet1!$B$9:$B$2584,[1]Sheet1!$C$9:$C$2584,"N/A",0)</f>
        <v>108.41</v>
      </c>
      <c r="K2394">
        <f>_xlfn.XLOOKUP($A2394,[1]Sheet1!$E$9:$E$2584,[1]Sheet1!$F$9:$F$2584,"N/A",0)</f>
        <v>189.09</v>
      </c>
      <c r="L2394">
        <f>_xlfn.XLOOKUP($A2394,[1]Sheet1!$H$9:$H$2584,[1]Sheet1!$I$9:$I$2584,"N/A",0)</f>
        <v>54.74</v>
      </c>
      <c r="M2394">
        <f>_xlfn.XLOOKUP($A2394,[1]Sheet1!$K$9:$K$2584,[1]Sheet1!$L$9:$L$2584,"N/A",0)</f>
        <v>138.94</v>
      </c>
      <c r="N2394">
        <f>_xlfn.XLOOKUP($A2394,[1]Sheet1!$N$9:$N$2584,[1]Sheet1!$O$9:$O$2584,"N/A",0)</f>
        <v>132.09</v>
      </c>
      <c r="O2394">
        <v>108.41</v>
      </c>
      <c r="P2394">
        <v>189.09</v>
      </c>
      <c r="Q2394">
        <v>54.74</v>
      </c>
      <c r="R2394">
        <v>132.09</v>
      </c>
      <c r="S2394">
        <v>138.94</v>
      </c>
    </row>
    <row r="2395" spans="1:19">
      <c r="A2395" s="1">
        <v>45846</v>
      </c>
      <c r="B2395" t="s">
        <v>1030</v>
      </c>
      <c r="C2395" t="s">
        <v>1037</v>
      </c>
      <c r="D2395">
        <v>18.0173</v>
      </c>
      <c r="E2395">
        <v>19.8183</v>
      </c>
      <c r="F2395">
        <v>0.099959483385413</v>
      </c>
      <c r="G2395">
        <f ca="1" t="shared" si="111"/>
        <v>1.38868151466869</v>
      </c>
      <c r="H2395" t="str">
        <f ca="1" t="shared" si="112"/>
        <v>Risk-On</v>
      </c>
      <c r="I2395">
        <f ca="1" t="shared" si="113"/>
        <v>1</v>
      </c>
      <c r="J2395">
        <f>_xlfn.XLOOKUP($A2395,[1]Sheet1!$B$9:$B$2584,[1]Sheet1!$C$9:$C$2584,"N/A",0)</f>
        <v>108.68</v>
      </c>
      <c r="K2395">
        <f>_xlfn.XLOOKUP($A2395,[1]Sheet1!$E$9:$E$2584,[1]Sheet1!$F$9:$F$2584,"N/A",0)</f>
        <v>183.66</v>
      </c>
      <c r="L2395">
        <f>_xlfn.XLOOKUP($A2395,[1]Sheet1!$H$9:$H$2584,[1]Sheet1!$I$9:$I$2584,"N/A",0)</f>
        <v>54.94</v>
      </c>
      <c r="M2395">
        <f>_xlfn.XLOOKUP($A2395,[1]Sheet1!$K$9:$K$2584,[1]Sheet1!$L$9:$L$2584,"N/A",0)</f>
        <v>138.63</v>
      </c>
      <c r="N2395">
        <f>_xlfn.XLOOKUP($A2395,[1]Sheet1!$N$9:$N$2584,[1]Sheet1!$O$9:$O$2584,"N/A",0)</f>
        <v>132.29</v>
      </c>
      <c r="O2395">
        <v>108.68</v>
      </c>
      <c r="P2395">
        <v>183.66</v>
      </c>
      <c r="Q2395">
        <v>54.94</v>
      </c>
      <c r="R2395">
        <v>132.29</v>
      </c>
      <c r="S2395">
        <v>138.63</v>
      </c>
    </row>
    <row r="2396" spans="1:19">
      <c r="A2396" s="1">
        <v>45847</v>
      </c>
      <c r="B2396" t="s">
        <v>1030</v>
      </c>
      <c r="C2396" t="s">
        <v>1037</v>
      </c>
      <c r="D2396">
        <v>17.0818</v>
      </c>
      <c r="E2396">
        <v>19.2593</v>
      </c>
      <c r="F2396" s="2" t="s">
        <v>1039</v>
      </c>
      <c r="G2396">
        <f ca="1" t="shared" si="111"/>
        <v>1.80910092979079</v>
      </c>
      <c r="H2396" t="str">
        <f ca="1" t="shared" si="112"/>
        <v>Risk-On</v>
      </c>
      <c r="I2396">
        <f ca="1" t="shared" si="113"/>
        <v>1</v>
      </c>
      <c r="J2396">
        <f>_xlfn.XLOOKUP($A2396,[1]Sheet1!$B$9:$B$2584,[1]Sheet1!$C$9:$C$2584,"N/A",0)</f>
        <v>108.52</v>
      </c>
      <c r="K2396">
        <f>_xlfn.XLOOKUP($A2396,[1]Sheet1!$E$9:$E$2584,[1]Sheet1!$F$9:$F$2584,"N/A",0)</f>
        <v>184.2</v>
      </c>
      <c r="L2396">
        <f>_xlfn.XLOOKUP($A2396,[1]Sheet1!$H$9:$H$2584,[1]Sheet1!$I$9:$I$2584,"N/A",0)</f>
        <v>54.63</v>
      </c>
      <c r="M2396">
        <f>_xlfn.XLOOKUP($A2396,[1]Sheet1!$K$9:$K$2584,[1]Sheet1!$L$9:$L$2584,"N/A",0)</f>
        <v>139.47</v>
      </c>
      <c r="N2396">
        <f>_xlfn.XLOOKUP($A2396,[1]Sheet1!$N$9:$N$2584,[1]Sheet1!$O$9:$O$2584,"N/A",0)</f>
        <v>132.23</v>
      </c>
      <c r="O2396">
        <v>108.52</v>
      </c>
      <c r="P2396">
        <v>184.2</v>
      </c>
      <c r="Q2396">
        <v>54.63</v>
      </c>
      <c r="R2396">
        <v>132.23</v>
      </c>
      <c r="S2396">
        <v>139.47</v>
      </c>
    </row>
    <row r="2397" spans="1:19">
      <c r="A2397" s="1">
        <v>45848</v>
      </c>
      <c r="B2397" t="s">
        <v>1030</v>
      </c>
      <c r="C2397" t="s">
        <v>1037</v>
      </c>
      <c r="D2397">
        <v>16.8712</v>
      </c>
      <c r="E2397">
        <v>19.1121</v>
      </c>
      <c r="F2397" s="2" t="s">
        <v>1040</v>
      </c>
      <c r="G2397">
        <f ca="1" t="shared" si="111"/>
        <v>1.8990636529292</v>
      </c>
      <c r="H2397" t="str">
        <f ca="1" t="shared" si="112"/>
        <v>Risk-On</v>
      </c>
      <c r="I2397">
        <f ca="1" t="shared" si="113"/>
        <v>1</v>
      </c>
      <c r="J2397">
        <f>_xlfn.XLOOKUP($A2397,[1]Sheet1!$B$9:$B$2584,[1]Sheet1!$C$9:$C$2584,"N/A",0)</f>
        <v>107.96</v>
      </c>
      <c r="K2397">
        <f>_xlfn.XLOOKUP($A2397,[1]Sheet1!$E$9:$E$2584,[1]Sheet1!$F$9:$F$2584,"N/A",0)</f>
        <v>181.18</v>
      </c>
      <c r="L2397">
        <f>_xlfn.XLOOKUP($A2397,[1]Sheet1!$H$9:$H$2584,[1]Sheet1!$I$9:$I$2584,"N/A",0)</f>
        <v>54.83</v>
      </c>
      <c r="M2397">
        <f>_xlfn.XLOOKUP($A2397,[1]Sheet1!$K$9:$K$2584,[1]Sheet1!$L$9:$L$2584,"N/A",0)</f>
        <v>139.17</v>
      </c>
      <c r="N2397">
        <f>_xlfn.XLOOKUP($A2397,[1]Sheet1!$N$9:$N$2584,[1]Sheet1!$O$9:$O$2584,"N/A",0)</f>
        <v>132.22</v>
      </c>
      <c r="O2397">
        <v>107.96</v>
      </c>
      <c r="P2397">
        <v>181.18</v>
      </c>
      <c r="Q2397">
        <v>54.83</v>
      </c>
      <c r="R2397">
        <v>132.22</v>
      </c>
      <c r="S2397">
        <v>139.17</v>
      </c>
    </row>
    <row r="2398" spans="1:19">
      <c r="A2398" s="1">
        <v>45849</v>
      </c>
      <c r="B2398" t="s">
        <v>1030</v>
      </c>
      <c r="C2398" t="s">
        <v>1037</v>
      </c>
      <c r="D2398">
        <v>17.1231</v>
      </c>
      <c r="E2398">
        <v>19.1936</v>
      </c>
      <c r="F2398" s="2" t="s">
        <v>1041</v>
      </c>
      <c r="G2398">
        <f ca="1" t="shared" si="111"/>
        <v>1.72514290617373</v>
      </c>
      <c r="H2398" t="str">
        <f ca="1" t="shared" si="112"/>
        <v>Risk-On</v>
      </c>
      <c r="I2398">
        <f ca="1" t="shared" si="113"/>
        <v>1</v>
      </c>
      <c r="J2398">
        <f>_xlfn.XLOOKUP($A2398,[1]Sheet1!$B$9:$B$2584,[1]Sheet1!$C$9:$C$2584,"N/A",0)</f>
        <v>107.43</v>
      </c>
      <c r="K2398">
        <f>_xlfn.XLOOKUP($A2398,[1]Sheet1!$E$9:$E$2584,[1]Sheet1!$F$9:$F$2584,"N/A",0)</f>
        <v>181.67</v>
      </c>
      <c r="L2398">
        <f>_xlfn.XLOOKUP($A2398,[1]Sheet1!$H$9:$H$2584,[1]Sheet1!$I$9:$I$2584,"N/A",0)</f>
        <v>54.87</v>
      </c>
      <c r="M2398">
        <f>_xlfn.XLOOKUP($A2398,[1]Sheet1!$K$9:$K$2584,[1]Sheet1!$L$9:$L$2584,"N/A",0)</f>
        <v>138.71</v>
      </c>
      <c r="N2398">
        <f>_xlfn.XLOOKUP($A2398,[1]Sheet1!$N$9:$N$2584,[1]Sheet1!$O$9:$O$2584,"N/A",0)</f>
        <v>133.19</v>
      </c>
      <c r="O2398">
        <v>107.43</v>
      </c>
      <c r="P2398">
        <v>181.67</v>
      </c>
      <c r="Q2398">
        <v>54.87</v>
      </c>
      <c r="R2398">
        <v>133.19</v>
      </c>
      <c r="S2398">
        <v>138.71</v>
      </c>
    </row>
    <row r="2399" spans="1:19">
      <c r="A2399" s="1">
        <v>45852</v>
      </c>
      <c r="B2399" t="s">
        <v>1030</v>
      </c>
      <c r="C2399" t="s">
        <v>1037</v>
      </c>
      <c r="D2399">
        <v>17.3381</v>
      </c>
      <c r="E2399">
        <v>19.4824</v>
      </c>
      <c r="F2399" s="2" t="s">
        <v>1042</v>
      </c>
      <c r="G2399">
        <f ca="1" t="shared" si="111"/>
        <v>1.778146359445</v>
      </c>
      <c r="H2399" t="str">
        <f ca="1" t="shared" si="112"/>
        <v>Risk-On</v>
      </c>
      <c r="I2399">
        <f ca="1" t="shared" si="113"/>
        <v>1</v>
      </c>
      <c r="J2399">
        <f>_xlfn.XLOOKUP($A2399,[1]Sheet1!$B$9:$B$2584,[1]Sheet1!$C$9:$C$2584,"N/A",0)</f>
        <v>107.84</v>
      </c>
      <c r="K2399">
        <f>_xlfn.XLOOKUP($A2399,[1]Sheet1!$E$9:$E$2584,[1]Sheet1!$F$9:$F$2584,"N/A",0)</f>
        <v>185.72</v>
      </c>
      <c r="L2399">
        <f>_xlfn.XLOOKUP($A2399,[1]Sheet1!$H$9:$H$2584,[1]Sheet1!$I$9:$I$2584,"N/A",0)</f>
        <v>54.66</v>
      </c>
      <c r="M2399">
        <f>_xlfn.XLOOKUP($A2399,[1]Sheet1!$K$9:$K$2584,[1]Sheet1!$L$9:$L$2584,"N/A",0)</f>
        <v>138.47</v>
      </c>
      <c r="N2399">
        <f>_xlfn.XLOOKUP($A2399,[1]Sheet1!$N$9:$N$2584,[1]Sheet1!$O$9:$O$2584,"N/A",0)</f>
        <v>132.69</v>
      </c>
      <c r="O2399">
        <v>107.84</v>
      </c>
      <c r="P2399">
        <v>185.72</v>
      </c>
      <c r="Q2399">
        <v>54.66</v>
      </c>
      <c r="R2399">
        <v>132.69</v>
      </c>
      <c r="S2399">
        <v>138.47</v>
      </c>
    </row>
    <row r="2400" spans="1:19">
      <c r="A2400" s="1">
        <v>45853</v>
      </c>
      <c r="B2400" t="s">
        <v>1030</v>
      </c>
      <c r="C2400" t="s">
        <v>1037</v>
      </c>
      <c r="D2400">
        <v>16.9855</v>
      </c>
      <c r="E2400">
        <v>19.3911</v>
      </c>
      <c r="F2400">
        <v>0.141626681581349</v>
      </c>
      <c r="G2400">
        <f ca="1" t="shared" si="111"/>
        <v>2.06404110085321</v>
      </c>
      <c r="H2400" t="str">
        <f ca="1" t="shared" si="112"/>
        <v>Risk-On</v>
      </c>
      <c r="I2400">
        <f ca="1" t="shared" si="113"/>
        <v>1</v>
      </c>
      <c r="J2400">
        <f>_xlfn.XLOOKUP($A2400,[1]Sheet1!$B$9:$B$2584,[1]Sheet1!$C$9:$C$2584,"N/A",0)</f>
        <v>108.64</v>
      </c>
      <c r="K2400">
        <f>_xlfn.XLOOKUP($A2400,[1]Sheet1!$E$9:$E$2584,[1]Sheet1!$F$9:$F$2584,"N/A",0)</f>
        <v>186.79</v>
      </c>
      <c r="L2400">
        <f>_xlfn.XLOOKUP($A2400,[1]Sheet1!$H$9:$H$2584,[1]Sheet1!$I$9:$I$2584,"N/A",0)</f>
        <v>54.69</v>
      </c>
      <c r="M2400">
        <f>_xlfn.XLOOKUP($A2400,[1]Sheet1!$K$9:$K$2584,[1]Sheet1!$L$9:$L$2584,"N/A",0)</f>
        <v>137.42</v>
      </c>
      <c r="N2400">
        <f>_xlfn.XLOOKUP($A2400,[1]Sheet1!$N$9:$N$2584,[1]Sheet1!$O$9:$O$2584,"N/A",0)</f>
        <v>133.64</v>
      </c>
      <c r="O2400">
        <v>108.64</v>
      </c>
      <c r="P2400">
        <v>186.79</v>
      </c>
      <c r="Q2400">
        <v>54.69</v>
      </c>
      <c r="R2400">
        <v>133.64</v>
      </c>
      <c r="S2400">
        <v>137.42</v>
      </c>
    </row>
    <row r="2401" spans="1:19">
      <c r="A2401" s="1">
        <v>45854</v>
      </c>
      <c r="B2401" t="s">
        <v>1030</v>
      </c>
      <c r="C2401" t="s">
        <v>1037</v>
      </c>
      <c r="D2401">
        <v>16.74</v>
      </c>
      <c r="E2401">
        <v>19.5255</v>
      </c>
      <c r="F2401" s="2" t="s">
        <v>1043</v>
      </c>
      <c r="G2401">
        <f ca="1" t="shared" si="111"/>
        <v>2.42811250202383</v>
      </c>
      <c r="H2401" t="str">
        <f ca="1" t="shared" si="112"/>
        <v>Risk-On</v>
      </c>
      <c r="I2401">
        <f ca="1" t="shared" si="113"/>
        <v>1</v>
      </c>
      <c r="J2401">
        <f>_xlfn.XLOOKUP($A2401,[1]Sheet1!$B$9:$B$2584,[1]Sheet1!$C$9:$C$2584,"N/A",0)</f>
        <v>108.06</v>
      </c>
      <c r="K2401">
        <f>_xlfn.XLOOKUP($A2401,[1]Sheet1!$E$9:$E$2584,[1]Sheet1!$F$9:$F$2584,"N/A",0)</f>
        <v>186.79</v>
      </c>
      <c r="L2401">
        <f>_xlfn.XLOOKUP($A2401,[1]Sheet1!$H$9:$H$2584,[1]Sheet1!$I$9:$I$2584,"N/A",0)</f>
        <v>54.5</v>
      </c>
      <c r="M2401">
        <f>_xlfn.XLOOKUP($A2401,[1]Sheet1!$K$9:$K$2584,[1]Sheet1!$L$9:$L$2584,"N/A",0)</f>
        <v>137.7</v>
      </c>
      <c r="N2401">
        <f>_xlfn.XLOOKUP($A2401,[1]Sheet1!$N$9:$N$2584,[1]Sheet1!$O$9:$O$2584,"N/A",0)</f>
        <v>133.13</v>
      </c>
      <c r="O2401">
        <v>108.06</v>
      </c>
      <c r="P2401">
        <v>186.79</v>
      </c>
      <c r="Q2401">
        <v>54.5</v>
      </c>
      <c r="R2401">
        <v>133.13</v>
      </c>
      <c r="S2401">
        <v>137.7</v>
      </c>
    </row>
    <row r="2402" spans="1:19">
      <c r="A2402" s="1">
        <v>45855</v>
      </c>
      <c r="B2402" t="s">
        <v>1037</v>
      </c>
      <c r="C2402" t="s">
        <v>1044</v>
      </c>
      <c r="D2402">
        <v>19.4451</v>
      </c>
      <c r="E2402">
        <v>20.9494</v>
      </c>
      <c r="F2402">
        <v>0.0773613918159331</v>
      </c>
      <c r="G2402">
        <f ca="1" t="shared" si="111"/>
        <v>1.06264801099189</v>
      </c>
      <c r="H2402" t="str">
        <f ca="1" t="shared" si="112"/>
        <v>Risk-On</v>
      </c>
      <c r="I2402">
        <f ca="1" t="shared" si="113"/>
        <v>1</v>
      </c>
      <c r="J2402">
        <f>_xlfn.XLOOKUP($A2402,[1]Sheet1!$B$9:$B$2584,[1]Sheet1!$C$9:$C$2584,"N/A",0)</f>
        <v>107.68</v>
      </c>
      <c r="K2402">
        <f>_xlfn.XLOOKUP($A2402,[1]Sheet1!$E$9:$E$2584,[1]Sheet1!$F$9:$F$2584,"N/A",0)</f>
        <v>185.69</v>
      </c>
      <c r="L2402">
        <f>_xlfn.XLOOKUP($A2402,[1]Sheet1!$H$9:$H$2584,[1]Sheet1!$I$9:$I$2584,"N/A",0)</f>
        <v>54.66</v>
      </c>
      <c r="M2402">
        <f>_xlfn.XLOOKUP($A2402,[1]Sheet1!$K$9:$K$2584,[1]Sheet1!$L$9:$L$2584,"N/A",0)</f>
        <v>137.68</v>
      </c>
      <c r="N2402">
        <f>_xlfn.XLOOKUP($A2402,[1]Sheet1!$N$9:$N$2584,[1]Sheet1!$O$9:$O$2584,"N/A",0)</f>
        <v>132.76</v>
      </c>
      <c r="O2402">
        <v>107.68</v>
      </c>
      <c r="P2402">
        <v>185.69</v>
      </c>
      <c r="Q2402">
        <v>54.66</v>
      </c>
      <c r="R2402">
        <v>132.76</v>
      </c>
      <c r="S2402">
        <v>137.68</v>
      </c>
    </row>
    <row r="2403" spans="1:19">
      <c r="A2403" s="1">
        <v>45856</v>
      </c>
      <c r="B2403" t="s">
        <v>1037</v>
      </c>
      <c r="C2403" t="s">
        <v>1044</v>
      </c>
      <c r="D2403">
        <v>19.141</v>
      </c>
      <c r="E2403">
        <v>20.8192</v>
      </c>
      <c r="F2403">
        <v>0.0876756700276892</v>
      </c>
      <c r="G2403">
        <f ca="1" t="shared" si="111"/>
        <v>1.22411930956881</v>
      </c>
      <c r="H2403" t="str">
        <f ca="1" t="shared" si="112"/>
        <v>Risk-On</v>
      </c>
      <c r="I2403">
        <f ca="1" t="shared" si="113"/>
        <v>1</v>
      </c>
      <c r="J2403">
        <f>_xlfn.XLOOKUP($A2403,[1]Sheet1!$B$9:$B$2584,[1]Sheet1!$C$9:$C$2584,"N/A",0)</f>
        <v>108.26</v>
      </c>
      <c r="K2403">
        <f>_xlfn.XLOOKUP($A2403,[1]Sheet1!$E$9:$E$2584,[1]Sheet1!$F$9:$F$2584,"N/A",0)</f>
        <v>187.87</v>
      </c>
      <c r="L2403">
        <f>_xlfn.XLOOKUP($A2403,[1]Sheet1!$H$9:$H$2584,[1]Sheet1!$I$9:$I$2584,"N/A",0)</f>
        <v>54.55</v>
      </c>
      <c r="M2403">
        <f>_xlfn.XLOOKUP($A2403,[1]Sheet1!$K$9:$K$2584,[1]Sheet1!$L$9:$L$2584,"N/A",0)</f>
        <v>137.47</v>
      </c>
      <c r="N2403">
        <f>_xlfn.XLOOKUP($A2403,[1]Sheet1!$N$9:$N$2584,[1]Sheet1!$O$9:$O$2584,"N/A",0)</f>
        <v>133.51</v>
      </c>
      <c r="O2403">
        <v>108.26</v>
      </c>
      <c r="P2403">
        <v>187.87</v>
      </c>
      <c r="Q2403">
        <v>54.55</v>
      </c>
      <c r="R2403">
        <v>133.51</v>
      </c>
      <c r="S2403">
        <v>137.47</v>
      </c>
    </row>
    <row r="2404" spans="1:19">
      <c r="A2404" s="1">
        <v>45859</v>
      </c>
      <c r="B2404" t="s">
        <v>1037</v>
      </c>
      <c r="C2404" t="s">
        <v>1044</v>
      </c>
      <c r="D2404">
        <v>19.0016</v>
      </c>
      <c r="E2404">
        <v>20.6923</v>
      </c>
      <c r="F2404">
        <v>0.0889767177500841</v>
      </c>
      <c r="G2404">
        <f ca="1" t="shared" si="111"/>
        <v>1.24012573545139</v>
      </c>
      <c r="H2404" t="str">
        <f ca="1" t="shared" si="112"/>
        <v>Risk-On</v>
      </c>
      <c r="I2404">
        <f ca="1" t="shared" si="113"/>
        <v>1</v>
      </c>
      <c r="J2404">
        <f>_xlfn.XLOOKUP($A2404,[1]Sheet1!$B$9:$B$2584,[1]Sheet1!$C$9:$C$2584,"N/A",0)</f>
        <v>108.54</v>
      </c>
      <c r="K2404">
        <f>_xlfn.XLOOKUP($A2404,[1]Sheet1!$E$9:$E$2584,[1]Sheet1!$F$9:$F$2584,"N/A",0)</f>
        <v>187.56</v>
      </c>
      <c r="L2404">
        <f>_xlfn.XLOOKUP($A2404,[1]Sheet1!$H$9:$H$2584,[1]Sheet1!$I$9:$I$2584,"N/A",0)</f>
        <v>55.11</v>
      </c>
      <c r="M2404">
        <f>_xlfn.XLOOKUP($A2404,[1]Sheet1!$K$9:$K$2584,[1]Sheet1!$L$9:$L$2584,"N/A",0)</f>
        <v>137.75</v>
      </c>
      <c r="N2404">
        <f>_xlfn.XLOOKUP($A2404,[1]Sheet1!$N$9:$N$2584,[1]Sheet1!$O$9:$O$2584,"N/A",0)</f>
        <v>133.8</v>
      </c>
      <c r="O2404">
        <v>108.54</v>
      </c>
      <c r="P2404">
        <v>187.56</v>
      </c>
      <c r="Q2404">
        <v>55.11</v>
      </c>
      <c r="R2404">
        <v>133.8</v>
      </c>
      <c r="S2404">
        <v>137.75</v>
      </c>
    </row>
    <row r="2405" spans="1:19">
      <c r="A2405" s="1">
        <v>45860</v>
      </c>
      <c r="B2405" t="s">
        <v>1037</v>
      </c>
      <c r="C2405" t="s">
        <v>1044</v>
      </c>
      <c r="D2405">
        <v>18.8975</v>
      </c>
      <c r="E2405">
        <v>20.705</v>
      </c>
      <c r="F2405">
        <v>0.0956475724302155</v>
      </c>
      <c r="G2405">
        <f ca="1" t="shared" si="111"/>
        <v>1.33567053203156</v>
      </c>
      <c r="H2405" t="str">
        <f ca="1" t="shared" si="112"/>
        <v>Risk-On</v>
      </c>
      <c r="I2405">
        <f ca="1" t="shared" si="113"/>
        <v>1</v>
      </c>
      <c r="J2405">
        <f>_xlfn.XLOOKUP($A2405,[1]Sheet1!$B$9:$B$2584,[1]Sheet1!$C$9:$C$2584,"N/A",0)</f>
        <v>109.08</v>
      </c>
      <c r="K2405">
        <f>_xlfn.XLOOKUP($A2405,[1]Sheet1!$E$9:$E$2584,[1]Sheet1!$F$9:$F$2584,"N/A",0)</f>
        <v>181.89</v>
      </c>
      <c r="L2405">
        <f>_xlfn.XLOOKUP($A2405,[1]Sheet1!$H$9:$H$2584,[1]Sheet1!$I$9:$I$2584,"N/A",0)</f>
        <v>55.28</v>
      </c>
      <c r="M2405">
        <f>_xlfn.XLOOKUP($A2405,[1]Sheet1!$K$9:$K$2584,[1]Sheet1!$L$9:$L$2584,"N/A",0)</f>
        <v>137.63</v>
      </c>
      <c r="N2405">
        <f>_xlfn.XLOOKUP($A2405,[1]Sheet1!$N$9:$N$2584,[1]Sheet1!$O$9:$O$2584,"N/A",0)</f>
        <v>133.55</v>
      </c>
      <c r="O2405">
        <v>109.08</v>
      </c>
      <c r="P2405">
        <v>181.89</v>
      </c>
      <c r="Q2405">
        <v>55.28</v>
      </c>
      <c r="R2405">
        <v>133.55</v>
      </c>
      <c r="S2405">
        <v>137.63</v>
      </c>
    </row>
    <row r="2406" spans="1:19">
      <c r="A2406" s="1">
        <v>45861</v>
      </c>
      <c r="B2406" t="s">
        <v>1037</v>
      </c>
      <c r="C2406" t="s">
        <v>1044</v>
      </c>
      <c r="D2406">
        <v>18.0956</v>
      </c>
      <c r="E2406">
        <v>20.0524</v>
      </c>
      <c r="F2406" s="2" t="s">
        <v>1045</v>
      </c>
      <c r="G2406">
        <f ca="1" t="shared" si="111"/>
        <v>1.51745292443666</v>
      </c>
      <c r="H2406" t="str">
        <f ca="1" t="shared" si="112"/>
        <v>Risk-On</v>
      </c>
      <c r="I2406">
        <f ca="1" t="shared" si="113"/>
        <v>1</v>
      </c>
      <c r="J2406">
        <f>_xlfn.XLOOKUP($A2406,[1]Sheet1!$B$9:$B$2584,[1]Sheet1!$C$9:$C$2584,"N/A",0)</f>
        <v>109.39</v>
      </c>
      <c r="K2406">
        <f>_xlfn.XLOOKUP($A2406,[1]Sheet1!$E$9:$E$2584,[1]Sheet1!$F$9:$F$2584,"N/A",0)</f>
        <v>181.14</v>
      </c>
      <c r="L2406">
        <f>_xlfn.XLOOKUP($A2406,[1]Sheet1!$H$9:$H$2584,[1]Sheet1!$I$9:$I$2584,"N/A",0)</f>
        <v>55.62</v>
      </c>
      <c r="M2406">
        <f>_xlfn.XLOOKUP($A2406,[1]Sheet1!$K$9:$K$2584,[1]Sheet1!$L$9:$L$2584,"N/A",0)</f>
        <v>138.99</v>
      </c>
      <c r="N2406">
        <f>_xlfn.XLOOKUP($A2406,[1]Sheet1!$N$9:$N$2584,[1]Sheet1!$O$9:$O$2584,"N/A",0)</f>
        <v>133.42</v>
      </c>
      <c r="O2406">
        <v>109.39</v>
      </c>
      <c r="P2406">
        <v>181.14</v>
      </c>
      <c r="Q2406">
        <v>55.62</v>
      </c>
      <c r="R2406">
        <v>133.42</v>
      </c>
      <c r="S2406">
        <v>138.99</v>
      </c>
    </row>
    <row r="2407" spans="1:19">
      <c r="A2407" s="1">
        <v>45862</v>
      </c>
      <c r="B2407" t="s">
        <v>1037</v>
      </c>
      <c r="C2407" t="s">
        <v>1044</v>
      </c>
      <c r="D2407">
        <v>18.0782</v>
      </c>
      <c r="E2407">
        <v>19.8785</v>
      </c>
      <c r="F2407">
        <v>0.0995840293834563</v>
      </c>
      <c r="G2407">
        <f ca="1" t="shared" si="111"/>
        <v>1.38738024670921</v>
      </c>
      <c r="H2407" t="str">
        <f ca="1" t="shared" si="112"/>
        <v>Risk-On</v>
      </c>
      <c r="I2407">
        <f ca="1" t="shared" si="113"/>
        <v>1</v>
      </c>
      <c r="J2407">
        <f>_xlfn.XLOOKUP($A2407,[1]Sheet1!$B$9:$B$2584,[1]Sheet1!$C$9:$C$2584,"N/A",0)</f>
        <v>108.74</v>
      </c>
      <c r="K2407">
        <f>_xlfn.XLOOKUP($A2407,[1]Sheet1!$E$9:$E$2584,[1]Sheet1!$F$9:$F$2584,"N/A",0)</f>
        <v>183.12</v>
      </c>
      <c r="L2407">
        <f>_xlfn.XLOOKUP($A2407,[1]Sheet1!$H$9:$H$2584,[1]Sheet1!$I$9:$I$2584,"N/A",0)</f>
        <v>54.64</v>
      </c>
      <c r="M2407">
        <f>_xlfn.XLOOKUP($A2407,[1]Sheet1!$K$9:$K$2584,[1]Sheet1!$L$9:$L$2584,"N/A",0)</f>
        <v>140.17</v>
      </c>
      <c r="N2407">
        <f>_xlfn.XLOOKUP($A2407,[1]Sheet1!$N$9:$N$2584,[1]Sheet1!$O$9:$O$2584,"N/A",0)</f>
        <v>134.83</v>
      </c>
      <c r="O2407">
        <v>108.74</v>
      </c>
      <c r="P2407">
        <v>183.12</v>
      </c>
      <c r="Q2407">
        <v>54.64</v>
      </c>
      <c r="R2407">
        <v>134.83</v>
      </c>
      <c r="S2407">
        <v>140.17</v>
      </c>
    </row>
    <row r="2408" spans="1:19">
      <c r="A2408" s="1">
        <v>45863</v>
      </c>
      <c r="B2408" t="s">
        <v>1037</v>
      </c>
      <c r="C2408" t="s">
        <v>1044</v>
      </c>
      <c r="D2408">
        <v>17.8844</v>
      </c>
      <c r="E2408">
        <v>19.7887</v>
      </c>
      <c r="F2408" s="2" t="s">
        <v>1046</v>
      </c>
      <c r="G2408">
        <f ca="1" t="shared" si="111"/>
        <v>1.48309113476048</v>
      </c>
      <c r="H2408" t="str">
        <f ca="1" t="shared" si="112"/>
        <v>Risk-On</v>
      </c>
      <c r="I2408">
        <f ca="1" t="shared" si="113"/>
        <v>1</v>
      </c>
      <c r="J2408">
        <f>_xlfn.XLOOKUP($A2408,[1]Sheet1!$B$9:$B$2584,[1]Sheet1!$C$9:$C$2584,"N/A",0)</f>
        <v>109.24</v>
      </c>
      <c r="K2408">
        <f>_xlfn.XLOOKUP($A2408,[1]Sheet1!$E$9:$E$2584,[1]Sheet1!$F$9:$F$2584,"N/A",0)</f>
        <v>183.15</v>
      </c>
      <c r="L2408">
        <f>_xlfn.XLOOKUP($A2408,[1]Sheet1!$H$9:$H$2584,[1]Sheet1!$I$9:$I$2584,"N/A",0)</f>
        <v>54.85</v>
      </c>
      <c r="M2408">
        <f>_xlfn.XLOOKUP($A2408,[1]Sheet1!$K$9:$K$2584,[1]Sheet1!$L$9:$L$2584,"N/A",0)</f>
        <v>140.13</v>
      </c>
      <c r="N2408">
        <f>_xlfn.XLOOKUP($A2408,[1]Sheet1!$N$9:$N$2584,[1]Sheet1!$O$9:$O$2584,"N/A",0)</f>
        <v>135</v>
      </c>
      <c r="O2408">
        <v>109.24</v>
      </c>
      <c r="P2408">
        <v>183.15</v>
      </c>
      <c r="Q2408">
        <v>54.85</v>
      </c>
      <c r="R2408">
        <v>135</v>
      </c>
      <c r="S2408">
        <v>140.13</v>
      </c>
    </row>
    <row r="2409" spans="1:19">
      <c r="A2409" s="1">
        <v>45866</v>
      </c>
      <c r="B2409" t="s">
        <v>1037</v>
      </c>
      <c r="C2409" t="s">
        <v>1044</v>
      </c>
      <c r="D2409">
        <v>17.3948</v>
      </c>
      <c r="E2409">
        <v>19.3055</v>
      </c>
      <c r="F2409" s="2" t="s">
        <v>1047</v>
      </c>
      <c r="G2409">
        <f ca="1" t="shared" si="111"/>
        <v>1.53156378483577</v>
      </c>
      <c r="H2409" t="str">
        <f ca="1" t="shared" si="112"/>
        <v>Risk-On</v>
      </c>
      <c r="I2409">
        <f ca="1" t="shared" si="113"/>
        <v>1</v>
      </c>
      <c r="J2409">
        <f>_xlfn.XLOOKUP($A2409,[1]Sheet1!$B$9:$B$2584,[1]Sheet1!$C$9:$C$2584,"N/A",0)</f>
        <v>109.44</v>
      </c>
      <c r="K2409">
        <f>_xlfn.XLOOKUP($A2409,[1]Sheet1!$E$9:$E$2584,[1]Sheet1!$F$9:$F$2584,"N/A",0)</f>
        <v>183.53</v>
      </c>
      <c r="L2409">
        <f>_xlfn.XLOOKUP($A2409,[1]Sheet1!$H$9:$H$2584,[1]Sheet1!$I$9:$I$2584,"N/A",0)</f>
        <v>54.72</v>
      </c>
      <c r="M2409">
        <f>_xlfn.XLOOKUP($A2409,[1]Sheet1!$K$9:$K$2584,[1]Sheet1!$L$9:$L$2584,"N/A",0)</f>
        <v>139.97</v>
      </c>
      <c r="N2409">
        <f>_xlfn.XLOOKUP($A2409,[1]Sheet1!$N$9:$N$2584,[1]Sheet1!$O$9:$O$2584,"N/A",0)</f>
        <v>135.06</v>
      </c>
      <c r="O2409">
        <v>109.44</v>
      </c>
      <c r="P2409">
        <v>183.53</v>
      </c>
      <c r="Q2409">
        <v>54.72</v>
      </c>
      <c r="R2409">
        <v>135.06</v>
      </c>
      <c r="S2409">
        <v>139.97</v>
      </c>
    </row>
    <row r="2410" spans="1:19">
      <c r="A2410" s="1">
        <v>45867</v>
      </c>
      <c r="B2410" t="s">
        <v>1037</v>
      </c>
      <c r="C2410" t="s">
        <v>1044</v>
      </c>
      <c r="D2410">
        <v>17.8434</v>
      </c>
      <c r="E2410">
        <v>19.7103</v>
      </c>
      <c r="F2410" s="2" t="s">
        <v>1048</v>
      </c>
      <c r="G2410">
        <f ca="1" t="shared" si="111"/>
        <v>1.44979945904081</v>
      </c>
      <c r="H2410" t="str">
        <f ca="1" t="shared" si="112"/>
        <v>Risk-On</v>
      </c>
      <c r="I2410">
        <f ca="1" t="shared" si="113"/>
        <v>1</v>
      </c>
      <c r="J2410">
        <f>_xlfn.XLOOKUP($A2410,[1]Sheet1!$B$9:$B$2584,[1]Sheet1!$C$9:$C$2584,"N/A",0)</f>
        <v>108.82</v>
      </c>
      <c r="K2410">
        <f>_xlfn.XLOOKUP($A2410,[1]Sheet1!$E$9:$E$2584,[1]Sheet1!$F$9:$F$2584,"N/A",0)</f>
        <v>185.16</v>
      </c>
      <c r="L2410">
        <f>_xlfn.XLOOKUP($A2410,[1]Sheet1!$H$9:$H$2584,[1]Sheet1!$I$9:$I$2584,"N/A",0)</f>
        <v>54.7</v>
      </c>
      <c r="M2410">
        <f>_xlfn.XLOOKUP($A2410,[1]Sheet1!$K$9:$K$2584,[1]Sheet1!$L$9:$L$2584,"N/A",0)</f>
        <v>139.58</v>
      </c>
      <c r="N2410">
        <f>_xlfn.XLOOKUP($A2410,[1]Sheet1!$N$9:$N$2584,[1]Sheet1!$O$9:$O$2584,"N/A",0)</f>
        <v>135.21</v>
      </c>
      <c r="O2410">
        <v>108.82</v>
      </c>
      <c r="P2410">
        <v>185.16</v>
      </c>
      <c r="Q2410">
        <v>54.7</v>
      </c>
      <c r="R2410">
        <v>135.21</v>
      </c>
      <c r="S2410">
        <v>139.58</v>
      </c>
    </row>
    <row r="2411" spans="1:19">
      <c r="A2411" s="1">
        <v>45868</v>
      </c>
      <c r="B2411" t="s">
        <v>1037</v>
      </c>
      <c r="C2411" t="s">
        <v>1044</v>
      </c>
      <c r="D2411">
        <v>17.9038</v>
      </c>
      <c r="E2411">
        <v>19.7879</v>
      </c>
      <c r="F2411" s="2" t="s">
        <v>1049</v>
      </c>
      <c r="G2411">
        <f ca="1" t="shared" si="111"/>
        <v>1.45761319718167</v>
      </c>
      <c r="H2411" t="str">
        <f ca="1" t="shared" si="112"/>
        <v>Risk-On</v>
      </c>
      <c r="I2411">
        <f ca="1" t="shared" si="113"/>
        <v>1</v>
      </c>
      <c r="J2411">
        <f>_xlfn.XLOOKUP($A2411,[1]Sheet1!$B$9:$B$2584,[1]Sheet1!$C$9:$C$2584,"N/A",0)</f>
        <v>109.46</v>
      </c>
      <c r="K2411">
        <f>_xlfn.XLOOKUP($A2411,[1]Sheet1!$E$9:$E$2584,[1]Sheet1!$F$9:$F$2584,"N/A",0)</f>
        <v>188.23</v>
      </c>
      <c r="L2411">
        <f>_xlfn.XLOOKUP($A2411,[1]Sheet1!$H$9:$H$2584,[1]Sheet1!$I$9:$I$2584,"N/A",0)</f>
        <v>54.32</v>
      </c>
      <c r="M2411">
        <f>_xlfn.XLOOKUP($A2411,[1]Sheet1!$K$9:$K$2584,[1]Sheet1!$L$9:$L$2584,"N/A",0)</f>
        <v>139.4</v>
      </c>
      <c r="N2411">
        <f>_xlfn.XLOOKUP($A2411,[1]Sheet1!$N$9:$N$2584,[1]Sheet1!$O$9:$O$2584,"N/A",0)</f>
        <v>135.29</v>
      </c>
      <c r="O2411">
        <v>109.46</v>
      </c>
      <c r="P2411">
        <v>188.23</v>
      </c>
      <c r="Q2411">
        <v>54.32</v>
      </c>
      <c r="R2411">
        <v>135.29</v>
      </c>
      <c r="S2411">
        <v>139.4</v>
      </c>
    </row>
    <row r="2412" spans="1:19">
      <c r="A2412" s="1">
        <v>45869</v>
      </c>
      <c r="B2412" t="s">
        <v>1037</v>
      </c>
      <c r="C2412" t="s">
        <v>1044</v>
      </c>
      <c r="D2412">
        <v>17.9566</v>
      </c>
      <c r="E2412">
        <v>19.8708</v>
      </c>
      <c r="F2412" s="2" t="s">
        <v>1050</v>
      </c>
      <c r="G2412">
        <f ca="1" t="shared" si="111"/>
        <v>1.47830315824949</v>
      </c>
      <c r="H2412" t="str">
        <f ca="1" t="shared" si="112"/>
        <v>Risk-On</v>
      </c>
      <c r="I2412">
        <f ca="1" t="shared" si="113"/>
        <v>1</v>
      </c>
      <c r="J2412">
        <f>_xlfn.XLOOKUP($A2412,[1]Sheet1!$B$9:$B$2584,[1]Sheet1!$C$9:$C$2584,"N/A",0)</f>
        <v>108.75</v>
      </c>
      <c r="K2412">
        <f>_xlfn.XLOOKUP($A2412,[1]Sheet1!$E$9:$E$2584,[1]Sheet1!$F$9:$F$2584,"N/A",0)</f>
        <v>192.41</v>
      </c>
      <c r="L2412">
        <f>_xlfn.XLOOKUP($A2412,[1]Sheet1!$H$9:$H$2584,[1]Sheet1!$I$9:$I$2584,"N/A",0)</f>
        <v>54.47</v>
      </c>
      <c r="M2412">
        <f>_xlfn.XLOOKUP($A2412,[1]Sheet1!$K$9:$K$2584,[1]Sheet1!$L$9:$L$2584,"N/A",0)</f>
        <v>139.93</v>
      </c>
      <c r="N2412">
        <f>_xlfn.XLOOKUP($A2412,[1]Sheet1!$N$9:$N$2584,[1]Sheet1!$O$9:$O$2584,"N/A",0)</f>
        <v>135.49</v>
      </c>
      <c r="O2412">
        <v>108.75</v>
      </c>
      <c r="P2412">
        <v>192.41</v>
      </c>
      <c r="Q2412">
        <v>54.47</v>
      </c>
      <c r="R2412">
        <v>135.49</v>
      </c>
      <c r="S2412">
        <v>139.93</v>
      </c>
    </row>
    <row r="2413" spans="1:19">
      <c r="A2413" s="1">
        <v>45870</v>
      </c>
      <c r="B2413" t="s">
        <v>1037</v>
      </c>
      <c r="C2413" t="s">
        <v>1044</v>
      </c>
      <c r="D2413">
        <v>19.8518</v>
      </c>
      <c r="E2413">
        <v>21.1103</v>
      </c>
      <c r="F2413">
        <v>0.0633947551355543</v>
      </c>
      <c r="G2413">
        <f ca="1" t="shared" si="111"/>
        <v>0.82427477385195</v>
      </c>
      <c r="H2413" t="str">
        <f ca="1" t="shared" si="112"/>
        <v>Risk-On</v>
      </c>
      <c r="I2413">
        <f ca="1" t="shared" si="113"/>
        <v>1</v>
      </c>
      <c r="J2413">
        <f>_xlfn.XLOOKUP($A2413,[1]Sheet1!$B$9:$B$2584,[1]Sheet1!$C$9:$C$2584,"N/A",0)</f>
        <v>107.97</v>
      </c>
      <c r="K2413">
        <f>_xlfn.XLOOKUP($A2413,[1]Sheet1!$E$9:$E$2584,[1]Sheet1!$F$9:$F$2584,"N/A",0)</f>
        <v>193.08</v>
      </c>
      <c r="L2413">
        <f>_xlfn.XLOOKUP($A2413,[1]Sheet1!$H$9:$H$2584,[1]Sheet1!$I$9:$I$2584,"N/A",0)</f>
        <v>54.5</v>
      </c>
      <c r="M2413">
        <f>_xlfn.XLOOKUP($A2413,[1]Sheet1!$K$9:$K$2584,[1]Sheet1!$L$9:$L$2584,"N/A",0)</f>
        <v>140.9</v>
      </c>
      <c r="N2413">
        <f>_xlfn.XLOOKUP($A2413,[1]Sheet1!$N$9:$N$2584,[1]Sheet1!$O$9:$O$2584,"N/A",0)</f>
        <v>135.84</v>
      </c>
      <c r="O2413">
        <v>107.97</v>
      </c>
      <c r="P2413">
        <v>193.08</v>
      </c>
      <c r="Q2413">
        <v>54.5</v>
      </c>
      <c r="R2413">
        <v>135.84</v>
      </c>
      <c r="S2413">
        <v>140.9</v>
      </c>
    </row>
    <row r="2414" spans="1:19">
      <c r="A2414" s="1">
        <v>45873</v>
      </c>
      <c r="B2414" t="s">
        <v>1037</v>
      </c>
      <c r="C2414" t="s">
        <v>1044</v>
      </c>
      <c r="D2414">
        <v>18.1045</v>
      </c>
      <c r="E2414">
        <v>19.9853</v>
      </c>
      <c r="F2414" s="2" t="s">
        <v>1051</v>
      </c>
      <c r="G2414">
        <f ca="1" t="shared" si="111"/>
        <v>1.43403755988599</v>
      </c>
      <c r="H2414" t="str">
        <f ca="1" t="shared" si="112"/>
        <v>Risk-On</v>
      </c>
      <c r="I2414">
        <f ca="1" t="shared" si="113"/>
        <v>1</v>
      </c>
      <c r="J2414">
        <f>_xlfn.XLOOKUP($A2414,[1]Sheet1!$B$9:$B$2584,[1]Sheet1!$C$9:$C$2584,"N/A",0)</f>
        <v>107.67</v>
      </c>
      <c r="K2414">
        <f>_xlfn.XLOOKUP($A2414,[1]Sheet1!$E$9:$E$2584,[1]Sheet1!$F$9:$F$2584,"N/A",0)</f>
        <v>194.85</v>
      </c>
      <c r="L2414">
        <f>_xlfn.XLOOKUP($A2414,[1]Sheet1!$H$9:$H$2584,[1]Sheet1!$I$9:$I$2584,"N/A",0)</f>
        <v>53.7</v>
      </c>
      <c r="M2414">
        <f>_xlfn.XLOOKUP($A2414,[1]Sheet1!$K$9:$K$2584,[1]Sheet1!$L$9:$L$2584,"N/A",0)</f>
        <v>142.08</v>
      </c>
      <c r="N2414">
        <f>_xlfn.XLOOKUP($A2414,[1]Sheet1!$N$9:$N$2584,[1]Sheet1!$O$9:$O$2584,"N/A",0)</f>
        <v>134.89</v>
      </c>
      <c r="O2414">
        <v>107.67</v>
      </c>
      <c r="P2414">
        <v>194.85</v>
      </c>
      <c r="Q2414">
        <v>53.7</v>
      </c>
      <c r="R2414">
        <v>134.89</v>
      </c>
      <c r="S2414">
        <v>142.08</v>
      </c>
    </row>
    <row r="2415" spans="1:19">
      <c r="A2415" s="1">
        <v>45874</v>
      </c>
      <c r="B2415" t="s">
        <v>1037</v>
      </c>
      <c r="C2415" t="s">
        <v>1044</v>
      </c>
      <c r="D2415">
        <v>18.3111</v>
      </c>
      <c r="E2415">
        <v>20.1609</v>
      </c>
      <c r="F2415" s="2" t="s">
        <v>1052</v>
      </c>
      <c r="G2415">
        <f ca="1" t="shared" si="111"/>
        <v>1.38803947926818</v>
      </c>
      <c r="H2415" t="str">
        <f ca="1" t="shared" si="112"/>
        <v>Risk-On</v>
      </c>
      <c r="I2415">
        <f ca="1" t="shared" si="113"/>
        <v>1</v>
      </c>
      <c r="J2415">
        <f>_xlfn.XLOOKUP($A2415,[1]Sheet1!$B$9:$B$2584,[1]Sheet1!$C$9:$C$2584,"N/A",0)</f>
        <v>107.73</v>
      </c>
      <c r="K2415">
        <f>_xlfn.XLOOKUP($A2415,[1]Sheet1!$E$9:$E$2584,[1]Sheet1!$F$9:$F$2584,"N/A",0)</f>
        <v>193.88</v>
      </c>
      <c r="L2415">
        <f>_xlfn.XLOOKUP($A2415,[1]Sheet1!$H$9:$H$2584,[1]Sheet1!$I$9:$I$2584,"N/A",0)</f>
        <v>55.18</v>
      </c>
      <c r="M2415">
        <f>_xlfn.XLOOKUP($A2415,[1]Sheet1!$K$9:$K$2584,[1]Sheet1!$L$9:$L$2584,"N/A",0)</f>
        <v>140.74</v>
      </c>
      <c r="N2415">
        <f>_xlfn.XLOOKUP($A2415,[1]Sheet1!$N$9:$N$2584,[1]Sheet1!$O$9:$O$2584,"N/A",0)</f>
        <v>134.12</v>
      </c>
      <c r="O2415">
        <v>107.73</v>
      </c>
      <c r="P2415">
        <v>193.88</v>
      </c>
      <c r="Q2415">
        <v>55.18</v>
      </c>
      <c r="R2415">
        <v>134.12</v>
      </c>
      <c r="S2415">
        <v>140.74</v>
      </c>
    </row>
    <row r="2416" spans="1:19">
      <c r="A2416" s="1">
        <v>45875</v>
      </c>
      <c r="B2416" t="s">
        <v>1037</v>
      </c>
      <c r="C2416" t="s">
        <v>1044</v>
      </c>
      <c r="D2416">
        <v>17.6048</v>
      </c>
      <c r="E2416">
        <v>19.5688</v>
      </c>
      <c r="F2416" s="2" t="s">
        <v>1053</v>
      </c>
      <c r="G2416">
        <f ca="1" t="shared" si="111"/>
        <v>1.54287341754222</v>
      </c>
      <c r="H2416" t="str">
        <f ca="1" t="shared" si="112"/>
        <v>Risk-On</v>
      </c>
      <c r="I2416">
        <f ca="1" t="shared" si="113"/>
        <v>1</v>
      </c>
      <c r="J2416">
        <f>_xlfn.XLOOKUP($A2416,[1]Sheet1!$B$9:$B$2584,[1]Sheet1!$C$9:$C$2584,"N/A",0)</f>
        <v>107.49</v>
      </c>
      <c r="K2416">
        <f>_xlfn.XLOOKUP($A2416,[1]Sheet1!$E$9:$E$2584,[1]Sheet1!$F$9:$F$2584,"N/A",0)</f>
        <v>197.34</v>
      </c>
      <c r="L2416">
        <f>_xlfn.XLOOKUP($A2416,[1]Sheet1!$H$9:$H$2584,[1]Sheet1!$I$9:$I$2584,"N/A",0)</f>
        <v>55.69</v>
      </c>
      <c r="M2416">
        <f>_xlfn.XLOOKUP($A2416,[1]Sheet1!$K$9:$K$2584,[1]Sheet1!$L$9:$L$2584,"N/A",0)</f>
        <v>141.32</v>
      </c>
      <c r="N2416">
        <f>_xlfn.XLOOKUP($A2416,[1]Sheet1!$N$9:$N$2584,[1]Sheet1!$O$9:$O$2584,"N/A",0)</f>
        <v>134.46</v>
      </c>
      <c r="O2416">
        <v>107.49</v>
      </c>
      <c r="P2416">
        <v>197.34</v>
      </c>
      <c r="Q2416">
        <v>55.69</v>
      </c>
      <c r="R2416">
        <v>134.46</v>
      </c>
      <c r="S2416">
        <v>141.32</v>
      </c>
    </row>
    <row r="2417" spans="1:19">
      <c r="A2417" s="1">
        <v>45876</v>
      </c>
      <c r="B2417" t="s">
        <v>1037</v>
      </c>
      <c r="C2417" t="s">
        <v>1044</v>
      </c>
      <c r="D2417">
        <v>17.7978</v>
      </c>
      <c r="E2417">
        <v>19.7075</v>
      </c>
      <c r="F2417" s="2" t="s">
        <v>1054</v>
      </c>
      <c r="G2417">
        <f ca="1" t="shared" si="111"/>
        <v>1.47310568034231</v>
      </c>
      <c r="H2417" t="str">
        <f ca="1" t="shared" si="112"/>
        <v>Risk-On</v>
      </c>
      <c r="I2417">
        <f ca="1" t="shared" si="113"/>
        <v>1</v>
      </c>
      <c r="J2417">
        <f>_xlfn.XLOOKUP($A2417,[1]Sheet1!$B$9:$B$2584,[1]Sheet1!$C$9:$C$2584,"N/A",0)</f>
        <v>107.38</v>
      </c>
      <c r="K2417">
        <f>_xlfn.XLOOKUP($A2417,[1]Sheet1!$E$9:$E$2584,[1]Sheet1!$F$9:$F$2584,"N/A",0)</f>
        <v>196.49</v>
      </c>
      <c r="L2417">
        <f>_xlfn.XLOOKUP($A2417,[1]Sheet1!$H$9:$H$2584,[1]Sheet1!$I$9:$I$2584,"N/A",0)</f>
        <v>55.52</v>
      </c>
      <c r="M2417">
        <f>_xlfn.XLOOKUP($A2417,[1]Sheet1!$K$9:$K$2584,[1]Sheet1!$L$9:$L$2584,"N/A",0)</f>
        <v>141.04</v>
      </c>
      <c r="N2417">
        <f>_xlfn.XLOOKUP($A2417,[1]Sheet1!$N$9:$N$2584,[1]Sheet1!$O$9:$O$2584,"N/A",0)</f>
        <v>135.1</v>
      </c>
      <c r="O2417">
        <v>107.38</v>
      </c>
      <c r="P2417">
        <v>196.49</v>
      </c>
      <c r="Q2417">
        <v>55.52</v>
      </c>
      <c r="R2417">
        <v>135.1</v>
      </c>
      <c r="S2417">
        <v>141.04</v>
      </c>
    </row>
    <row r="2418" spans="1:19">
      <c r="A2418" s="1">
        <v>45877</v>
      </c>
      <c r="B2418" t="s">
        <v>1037</v>
      </c>
      <c r="C2418" t="s">
        <v>1044</v>
      </c>
      <c r="D2418">
        <v>16.868</v>
      </c>
      <c r="E2418">
        <v>19.1604</v>
      </c>
      <c r="F2418" s="2" t="s">
        <v>1055</v>
      </c>
      <c r="G2418">
        <f ca="1" t="shared" si="111"/>
        <v>1.89750696114881</v>
      </c>
      <c r="H2418" t="str">
        <f ca="1" t="shared" si="112"/>
        <v>Risk-On</v>
      </c>
      <c r="I2418">
        <f ca="1" t="shared" si="113"/>
        <v>1</v>
      </c>
      <c r="J2418">
        <f>_xlfn.XLOOKUP($A2418,[1]Sheet1!$B$9:$B$2584,[1]Sheet1!$C$9:$C$2584,"N/A",0)</f>
        <v>106.8</v>
      </c>
      <c r="K2418">
        <f>_xlfn.XLOOKUP($A2418,[1]Sheet1!$E$9:$E$2584,[1]Sheet1!$F$9:$F$2584,"N/A",0)</f>
        <v>197.29</v>
      </c>
      <c r="L2418">
        <f>_xlfn.XLOOKUP($A2418,[1]Sheet1!$H$9:$H$2584,[1]Sheet1!$I$9:$I$2584,"N/A",0)</f>
        <v>56.32</v>
      </c>
      <c r="M2418">
        <f>_xlfn.XLOOKUP($A2418,[1]Sheet1!$K$9:$K$2584,[1]Sheet1!$L$9:$L$2584,"N/A",0)</f>
        <v>141.33</v>
      </c>
      <c r="N2418">
        <f>_xlfn.XLOOKUP($A2418,[1]Sheet1!$N$9:$N$2584,[1]Sheet1!$O$9:$O$2584,"N/A",0)</f>
        <v>135.76</v>
      </c>
      <c r="O2418">
        <v>106.8</v>
      </c>
      <c r="P2418">
        <v>197.29</v>
      </c>
      <c r="Q2418">
        <v>56.32</v>
      </c>
      <c r="R2418">
        <v>135.76</v>
      </c>
      <c r="S2418">
        <v>141.33</v>
      </c>
    </row>
    <row r="2419" spans="1:19">
      <c r="A2419" s="1">
        <v>45880</v>
      </c>
      <c r="B2419" t="s">
        <v>1037</v>
      </c>
      <c r="C2419" t="s">
        <v>1044</v>
      </c>
      <c r="D2419">
        <v>16.9014</v>
      </c>
      <c r="E2419">
        <v>19.2976</v>
      </c>
      <c r="F2419" s="2" t="s">
        <v>1056</v>
      </c>
      <c r="G2419">
        <f ca="1" t="shared" si="111"/>
        <v>1.9806570271903</v>
      </c>
      <c r="H2419" t="str">
        <f ca="1" t="shared" si="112"/>
        <v>Risk-On</v>
      </c>
      <c r="I2419">
        <f ca="1" t="shared" si="113"/>
        <v>1</v>
      </c>
      <c r="J2419">
        <f>_xlfn.XLOOKUP($A2419,[1]Sheet1!$B$9:$B$2584,[1]Sheet1!$C$9:$C$2584,"N/A",0)</f>
        <v>106.82</v>
      </c>
      <c r="K2419">
        <f>_xlfn.XLOOKUP($A2419,[1]Sheet1!$E$9:$E$2584,[1]Sheet1!$F$9:$F$2584,"N/A",0)</f>
        <v>198.22</v>
      </c>
      <c r="L2419">
        <f>_xlfn.XLOOKUP($A2419,[1]Sheet1!$H$9:$H$2584,[1]Sheet1!$I$9:$I$2584,"N/A",0)</f>
        <v>56.04</v>
      </c>
      <c r="M2419">
        <f>_xlfn.XLOOKUP($A2419,[1]Sheet1!$K$9:$K$2584,[1]Sheet1!$L$9:$L$2584,"N/A",0)</f>
        <v>141.19</v>
      </c>
      <c r="N2419">
        <f>_xlfn.XLOOKUP($A2419,[1]Sheet1!$N$9:$N$2584,[1]Sheet1!$O$9:$O$2584,"N/A",0)</f>
        <v>135.38</v>
      </c>
      <c r="O2419">
        <v>106.82</v>
      </c>
      <c r="P2419">
        <v>198.22</v>
      </c>
      <c r="Q2419">
        <v>56.04</v>
      </c>
      <c r="R2419">
        <v>135.38</v>
      </c>
      <c r="S2419">
        <v>141.19</v>
      </c>
    </row>
    <row r="2420" spans="1:19">
      <c r="A2420" s="1">
        <v>45881</v>
      </c>
      <c r="B2420" t="s">
        <v>1037</v>
      </c>
      <c r="C2420" t="s">
        <v>1044</v>
      </c>
      <c r="D2420">
        <v>15.8937</v>
      </c>
      <c r="E2420">
        <v>18.5508</v>
      </c>
      <c r="F2420" s="2" t="s">
        <v>1057</v>
      </c>
      <c r="G2420">
        <f ca="1" t="shared" si="111"/>
        <v>2.35612103939097</v>
      </c>
      <c r="H2420" t="str">
        <f ca="1" t="shared" si="112"/>
        <v>Risk-On</v>
      </c>
      <c r="I2420">
        <f ca="1" t="shared" si="113"/>
        <v>1</v>
      </c>
      <c r="J2420">
        <f>_xlfn.XLOOKUP($A2420,[1]Sheet1!$B$9:$B$2584,[1]Sheet1!$C$9:$C$2584,"N/A",0)</f>
        <v>106.82</v>
      </c>
      <c r="K2420">
        <f>_xlfn.XLOOKUP($A2420,[1]Sheet1!$E$9:$E$2584,[1]Sheet1!$F$9:$F$2584,"N/A",0)</f>
        <v>195.67</v>
      </c>
      <c r="L2420">
        <f>_xlfn.XLOOKUP($A2420,[1]Sheet1!$H$9:$H$2584,[1]Sheet1!$I$9:$I$2584,"N/A",0)</f>
        <v>56.72</v>
      </c>
      <c r="M2420">
        <f>_xlfn.XLOOKUP($A2420,[1]Sheet1!$K$9:$K$2584,[1]Sheet1!$L$9:$L$2584,"N/A",0)</f>
        <v>141.39</v>
      </c>
      <c r="N2420">
        <f>_xlfn.XLOOKUP($A2420,[1]Sheet1!$N$9:$N$2584,[1]Sheet1!$O$9:$O$2584,"N/A",0)</f>
        <v>133.43</v>
      </c>
      <c r="O2420">
        <v>106.82</v>
      </c>
      <c r="P2420">
        <v>195.67</v>
      </c>
      <c r="Q2420">
        <v>56.72</v>
      </c>
      <c r="R2420">
        <v>133.43</v>
      </c>
      <c r="S2420">
        <v>141.39</v>
      </c>
    </row>
    <row r="2421" spans="1:19">
      <c r="A2421" s="1">
        <v>45882</v>
      </c>
      <c r="B2421" t="s">
        <v>1037</v>
      </c>
      <c r="C2421" t="s">
        <v>1044</v>
      </c>
      <c r="D2421">
        <v>15.6455</v>
      </c>
      <c r="E2421">
        <v>18.4996</v>
      </c>
      <c r="F2421" s="2" t="s">
        <v>1058</v>
      </c>
      <c r="G2421">
        <f ca="1" t="shared" si="111"/>
        <v>2.57752363837693</v>
      </c>
      <c r="H2421" t="str">
        <f ca="1" t="shared" si="112"/>
        <v>Risk-On</v>
      </c>
      <c r="I2421">
        <f ca="1" t="shared" si="113"/>
        <v>1</v>
      </c>
      <c r="J2421">
        <f>_xlfn.XLOOKUP($A2421,[1]Sheet1!$B$9:$B$2584,[1]Sheet1!$C$9:$C$2584,"N/A",0)</f>
        <v>106.93</v>
      </c>
      <c r="K2421">
        <f>_xlfn.XLOOKUP($A2421,[1]Sheet1!$E$9:$E$2584,[1]Sheet1!$F$9:$F$2584,"N/A",0)</f>
        <v>189.79</v>
      </c>
      <c r="L2421">
        <f>_xlfn.XLOOKUP($A2421,[1]Sheet1!$H$9:$H$2584,[1]Sheet1!$I$9:$I$2584,"N/A",0)</f>
        <v>56.86</v>
      </c>
      <c r="M2421">
        <f>_xlfn.XLOOKUP($A2421,[1]Sheet1!$K$9:$K$2584,[1]Sheet1!$L$9:$L$2584,"N/A",0)</f>
        <v>141.97</v>
      </c>
      <c r="N2421">
        <f>_xlfn.XLOOKUP($A2421,[1]Sheet1!$N$9:$N$2584,[1]Sheet1!$O$9:$O$2584,"N/A",0)</f>
        <v>131.93</v>
      </c>
      <c r="O2421">
        <v>106.93</v>
      </c>
      <c r="P2421">
        <v>189.79</v>
      </c>
      <c r="Q2421">
        <v>56.86</v>
      </c>
      <c r="R2421">
        <v>131.93</v>
      </c>
      <c r="S2421">
        <v>141.97</v>
      </c>
    </row>
    <row r="2422" spans="1:19">
      <c r="A2422" s="1">
        <v>45883</v>
      </c>
      <c r="B2422" t="s">
        <v>1037</v>
      </c>
      <c r="C2422" t="s">
        <v>1044</v>
      </c>
      <c r="D2422">
        <v>15.7256</v>
      </c>
      <c r="E2422">
        <v>18.5444</v>
      </c>
      <c r="F2422" s="2" t="s">
        <v>1059</v>
      </c>
      <c r="G2422">
        <f ca="1" t="shared" si="111"/>
        <v>2.52218462138272</v>
      </c>
      <c r="H2422" t="str">
        <f ca="1" t="shared" si="112"/>
        <v>Risk-On</v>
      </c>
      <c r="I2422">
        <f ca="1" t="shared" si="113"/>
        <v>1</v>
      </c>
      <c r="J2422">
        <f>_xlfn.XLOOKUP($A2422,[1]Sheet1!$B$9:$B$2584,[1]Sheet1!$C$9:$C$2584,"N/A",0)</f>
        <v>106.54</v>
      </c>
      <c r="K2422">
        <f>_xlfn.XLOOKUP($A2422,[1]Sheet1!$E$9:$E$2584,[1]Sheet1!$F$9:$F$2584,"N/A",0)</f>
        <v>190.22</v>
      </c>
      <c r="L2422">
        <f>_xlfn.XLOOKUP($A2422,[1]Sheet1!$H$9:$H$2584,[1]Sheet1!$I$9:$I$2584,"N/A",0)</f>
        <v>57.08</v>
      </c>
      <c r="M2422">
        <f>_xlfn.XLOOKUP($A2422,[1]Sheet1!$K$9:$K$2584,[1]Sheet1!$L$9:$L$2584,"N/A",0)</f>
        <v>141.61</v>
      </c>
      <c r="N2422">
        <f>_xlfn.XLOOKUP($A2422,[1]Sheet1!$N$9:$N$2584,[1]Sheet1!$O$9:$O$2584,"N/A",0)</f>
        <v>133.12</v>
      </c>
      <c r="O2422">
        <v>106.54</v>
      </c>
      <c r="P2422">
        <v>190.22</v>
      </c>
      <c r="Q2422">
        <v>57.08</v>
      </c>
      <c r="R2422">
        <v>133.12</v>
      </c>
      <c r="S2422">
        <v>141.61</v>
      </c>
    </row>
    <row r="2423" spans="1:19">
      <c r="A2423" s="1">
        <v>45884</v>
      </c>
      <c r="B2423" t="s">
        <v>1037</v>
      </c>
      <c r="C2423" t="s">
        <v>1044</v>
      </c>
      <c r="D2423">
        <v>15.7742</v>
      </c>
      <c r="E2423">
        <v>18.4744</v>
      </c>
      <c r="F2423" s="2" t="s">
        <v>1060</v>
      </c>
      <c r="G2423">
        <f ca="1" t="shared" si="111"/>
        <v>2.39345376047418</v>
      </c>
      <c r="H2423" t="str">
        <f ca="1" t="shared" si="112"/>
        <v>Risk-On</v>
      </c>
      <c r="I2423">
        <f ca="1" t="shared" si="113"/>
        <v>1</v>
      </c>
      <c r="J2423">
        <f>_xlfn.XLOOKUP($A2423,[1]Sheet1!$B$9:$B$2584,[1]Sheet1!$C$9:$C$2584,"N/A",0)</f>
        <v>106.47</v>
      </c>
      <c r="K2423">
        <f>_xlfn.XLOOKUP($A2423,[1]Sheet1!$E$9:$E$2584,[1]Sheet1!$F$9:$F$2584,"N/A",0)</f>
        <v>189.92</v>
      </c>
      <c r="L2423">
        <f>_xlfn.XLOOKUP($A2423,[1]Sheet1!$H$9:$H$2584,[1]Sheet1!$I$9:$I$2584,"N/A",0)</f>
        <v>57.25</v>
      </c>
      <c r="M2423">
        <f>_xlfn.XLOOKUP($A2423,[1]Sheet1!$K$9:$K$2584,[1]Sheet1!$L$9:$L$2584,"N/A",0)</f>
        <v>141.66</v>
      </c>
      <c r="N2423">
        <f>_xlfn.XLOOKUP($A2423,[1]Sheet1!$N$9:$N$2584,[1]Sheet1!$O$9:$O$2584,"N/A",0)</f>
        <v>133.64</v>
      </c>
      <c r="O2423">
        <v>106.47</v>
      </c>
      <c r="P2423">
        <v>189.92</v>
      </c>
      <c r="Q2423">
        <v>57.25</v>
      </c>
      <c r="R2423">
        <v>133.64</v>
      </c>
      <c r="S2423">
        <v>141.66</v>
      </c>
    </row>
    <row r="2424" spans="1:19">
      <c r="A2424" s="1">
        <v>45887</v>
      </c>
      <c r="B2424" t="s">
        <v>1037</v>
      </c>
      <c r="C2424" t="s">
        <v>1044</v>
      </c>
      <c r="D2424">
        <v>15.3206</v>
      </c>
      <c r="E2424">
        <v>18.009</v>
      </c>
      <c r="F2424" s="2" t="s">
        <v>1061</v>
      </c>
      <c r="G2424">
        <f ca="1" t="shared" si="111"/>
        <v>2.45004961668599</v>
      </c>
      <c r="H2424" t="str">
        <f ca="1" t="shared" si="112"/>
        <v>Risk-On</v>
      </c>
      <c r="I2424">
        <f ca="1" t="shared" si="113"/>
        <v>1</v>
      </c>
      <c r="J2424">
        <f>_xlfn.XLOOKUP($A2424,[1]Sheet1!$B$9:$B$2584,[1]Sheet1!$C$9:$C$2584,"N/A",0)</f>
        <v>106.95</v>
      </c>
      <c r="K2424">
        <f>_xlfn.XLOOKUP($A2424,[1]Sheet1!$E$9:$E$2584,[1]Sheet1!$F$9:$F$2584,"N/A",0)</f>
        <v>190.19</v>
      </c>
      <c r="L2424">
        <f>_xlfn.XLOOKUP($A2424,[1]Sheet1!$H$9:$H$2584,[1]Sheet1!$I$9:$I$2584,"N/A",0)</f>
        <v>57.67</v>
      </c>
      <c r="M2424">
        <f>_xlfn.XLOOKUP($A2424,[1]Sheet1!$K$9:$K$2584,[1]Sheet1!$L$9:$L$2584,"N/A",0)</f>
        <v>141.63</v>
      </c>
      <c r="N2424">
        <f>_xlfn.XLOOKUP($A2424,[1]Sheet1!$N$9:$N$2584,[1]Sheet1!$O$9:$O$2584,"N/A",0)</f>
        <v>133.27</v>
      </c>
      <c r="O2424">
        <v>106.95</v>
      </c>
      <c r="P2424">
        <v>190.19</v>
      </c>
      <c r="Q2424">
        <v>57.67</v>
      </c>
      <c r="R2424">
        <v>133.27</v>
      </c>
      <c r="S2424">
        <v>141.63</v>
      </c>
    </row>
    <row r="2425" spans="1:19">
      <c r="A2425" s="1">
        <v>45888</v>
      </c>
      <c r="B2425" t="s">
        <v>1037</v>
      </c>
      <c r="C2425" t="s">
        <v>1044</v>
      </c>
      <c r="D2425">
        <v>15.5738</v>
      </c>
      <c r="E2425">
        <v>18.3931</v>
      </c>
      <c r="F2425">
        <v>0.181028393840938</v>
      </c>
      <c r="G2425">
        <f ca="1" t="shared" si="111"/>
        <v>2.52718825269166</v>
      </c>
      <c r="H2425" t="str">
        <f ca="1" t="shared" si="112"/>
        <v>Risk-On</v>
      </c>
      <c r="I2425">
        <f ca="1" t="shared" si="113"/>
        <v>1</v>
      </c>
      <c r="J2425">
        <f>_xlfn.XLOOKUP($A2425,[1]Sheet1!$B$9:$B$2584,[1]Sheet1!$C$9:$C$2584,"N/A",0)</f>
        <v>107.15</v>
      </c>
      <c r="K2425">
        <f>_xlfn.XLOOKUP($A2425,[1]Sheet1!$E$9:$E$2584,[1]Sheet1!$F$9:$F$2584,"N/A",0)</f>
        <v>186.19</v>
      </c>
      <c r="L2425">
        <f>_xlfn.XLOOKUP($A2425,[1]Sheet1!$H$9:$H$2584,[1]Sheet1!$I$9:$I$2584,"N/A",0)</f>
        <v>57.58</v>
      </c>
      <c r="M2425">
        <f>_xlfn.XLOOKUP($A2425,[1]Sheet1!$K$9:$K$2584,[1]Sheet1!$L$9:$L$2584,"N/A",0)</f>
        <v>141.54</v>
      </c>
      <c r="N2425">
        <f>_xlfn.XLOOKUP($A2425,[1]Sheet1!$N$9:$N$2584,[1]Sheet1!$O$9:$O$2584,"N/A",0)</f>
        <v>133.39</v>
      </c>
      <c r="O2425">
        <v>107.15</v>
      </c>
      <c r="P2425">
        <v>186.19</v>
      </c>
      <c r="Q2425">
        <v>57.58</v>
      </c>
      <c r="R2425">
        <v>133.39</v>
      </c>
      <c r="S2425">
        <v>141.54</v>
      </c>
    </row>
    <row r="2426" spans="1:19">
      <c r="A2426" s="1">
        <v>45889</v>
      </c>
      <c r="B2426" t="s">
        <v>1037</v>
      </c>
      <c r="C2426" t="s">
        <v>1044</v>
      </c>
      <c r="D2426">
        <v>15.41</v>
      </c>
      <c r="E2426">
        <v>18.3008</v>
      </c>
      <c r="F2426" s="2" t="s">
        <v>1062</v>
      </c>
      <c r="G2426">
        <f ca="1" t="shared" si="111"/>
        <v>2.57167547805214</v>
      </c>
      <c r="H2426" t="str">
        <f ca="1" t="shared" si="112"/>
        <v>Risk-On</v>
      </c>
      <c r="I2426">
        <f ca="1" t="shared" si="113"/>
        <v>1</v>
      </c>
      <c r="J2426">
        <f>_xlfn.XLOOKUP($A2426,[1]Sheet1!$B$9:$B$2584,[1]Sheet1!$C$9:$C$2584,"N/A",0)</f>
        <v>107.29</v>
      </c>
      <c r="K2426">
        <f>_xlfn.XLOOKUP($A2426,[1]Sheet1!$E$9:$E$2584,[1]Sheet1!$F$9:$F$2584,"N/A",0)</f>
        <v>188.33</v>
      </c>
      <c r="L2426">
        <f>_xlfn.XLOOKUP($A2426,[1]Sheet1!$H$9:$H$2584,[1]Sheet1!$I$9:$I$2584,"N/A",0)</f>
        <v>57.42</v>
      </c>
      <c r="M2426">
        <f>_xlfn.XLOOKUP($A2426,[1]Sheet1!$K$9:$K$2584,[1]Sheet1!$L$9:$L$2584,"N/A",0)</f>
        <v>141.65</v>
      </c>
      <c r="N2426">
        <f>_xlfn.XLOOKUP($A2426,[1]Sheet1!$N$9:$N$2584,[1]Sheet1!$O$9:$O$2584,"N/A",0)</f>
        <v>133.61</v>
      </c>
      <c r="O2426">
        <v>107.29</v>
      </c>
      <c r="P2426">
        <v>188.33</v>
      </c>
      <c r="Q2426">
        <v>57.42</v>
      </c>
      <c r="R2426">
        <v>133.61</v>
      </c>
      <c r="S2426">
        <v>141.65</v>
      </c>
    </row>
    <row r="2427" spans="1:19">
      <c r="A2427" s="1">
        <v>45890</v>
      </c>
      <c r="B2427" t="s">
        <v>1044</v>
      </c>
      <c r="C2427" t="s">
        <v>1063</v>
      </c>
      <c r="D2427">
        <v>18.6088</v>
      </c>
      <c r="E2427">
        <v>20.3754</v>
      </c>
      <c r="F2427">
        <v>0.094933579811702</v>
      </c>
      <c r="G2427">
        <f ca="1" t="shared" si="111"/>
        <v>1.21436069687786</v>
      </c>
      <c r="H2427" t="str">
        <f ca="1" t="shared" si="112"/>
        <v>Risk-On</v>
      </c>
      <c r="I2427">
        <f ca="1" t="shared" si="113"/>
        <v>1</v>
      </c>
      <c r="J2427">
        <f>_xlfn.XLOOKUP($A2427,[1]Sheet1!$B$9:$B$2584,[1]Sheet1!$C$9:$C$2584,"N/A",0)</f>
        <v>107.69</v>
      </c>
      <c r="K2427">
        <f>_xlfn.XLOOKUP($A2427,[1]Sheet1!$E$9:$E$2584,[1]Sheet1!$F$9:$F$2584,"N/A",0)</f>
        <v>188.93</v>
      </c>
      <c r="L2427">
        <f>_xlfn.XLOOKUP($A2427,[1]Sheet1!$H$9:$H$2584,[1]Sheet1!$I$9:$I$2584,"N/A",0)</f>
        <v>57.76</v>
      </c>
      <c r="M2427">
        <f>_xlfn.XLOOKUP($A2427,[1]Sheet1!$K$9:$K$2584,[1]Sheet1!$L$9:$L$2584,"N/A",0)</f>
        <v>141.34</v>
      </c>
      <c r="N2427">
        <f>_xlfn.XLOOKUP($A2427,[1]Sheet1!$N$9:$N$2584,[1]Sheet1!$O$9:$O$2584,"N/A",0)</f>
        <v>132.65</v>
      </c>
      <c r="O2427">
        <v>107.69</v>
      </c>
      <c r="P2427">
        <v>188.93</v>
      </c>
      <c r="Q2427">
        <v>57.76</v>
      </c>
      <c r="R2427">
        <v>132.65</v>
      </c>
      <c r="S2427">
        <v>141.34</v>
      </c>
    </row>
    <row r="2428" spans="1:19">
      <c r="A2428" s="1">
        <v>45891</v>
      </c>
      <c r="B2428" t="s">
        <v>1044</v>
      </c>
      <c r="C2428" t="s">
        <v>1063</v>
      </c>
      <c r="D2428">
        <v>16.9975</v>
      </c>
      <c r="E2428">
        <v>19.0513</v>
      </c>
      <c r="F2428" s="2" t="s">
        <v>1064</v>
      </c>
      <c r="G2428">
        <f ca="1" t="shared" si="111"/>
        <v>1.58368050074775</v>
      </c>
      <c r="H2428" t="str">
        <f ca="1" t="shared" si="112"/>
        <v>Risk-On</v>
      </c>
      <c r="I2428">
        <f ca="1" t="shared" si="113"/>
        <v>1</v>
      </c>
      <c r="J2428">
        <f>_xlfn.XLOOKUP($A2428,[1]Sheet1!$B$9:$B$2584,[1]Sheet1!$C$9:$C$2584,"N/A",0)</f>
        <v>107.56</v>
      </c>
      <c r="K2428">
        <f>_xlfn.XLOOKUP($A2428,[1]Sheet1!$E$9:$E$2584,[1]Sheet1!$F$9:$F$2584,"N/A",0)</f>
        <v>184.02</v>
      </c>
      <c r="L2428">
        <f>_xlfn.XLOOKUP($A2428,[1]Sheet1!$H$9:$H$2584,[1]Sheet1!$I$9:$I$2584,"N/A",0)</f>
        <v>58.59</v>
      </c>
      <c r="M2428">
        <f>_xlfn.XLOOKUP($A2428,[1]Sheet1!$K$9:$K$2584,[1]Sheet1!$L$9:$L$2584,"N/A",0)</f>
        <v>140.53</v>
      </c>
      <c r="N2428">
        <f>_xlfn.XLOOKUP($A2428,[1]Sheet1!$N$9:$N$2584,[1]Sheet1!$O$9:$O$2584,"N/A",0)</f>
        <v>130.68</v>
      </c>
      <c r="O2428">
        <v>107.56</v>
      </c>
      <c r="P2428">
        <v>184.02</v>
      </c>
      <c r="Q2428">
        <v>58.59</v>
      </c>
      <c r="R2428">
        <v>130.68</v>
      </c>
      <c r="S2428">
        <v>140.53</v>
      </c>
    </row>
    <row r="2429" spans="1:19">
      <c r="A2429" s="1">
        <v>45894</v>
      </c>
      <c r="B2429" t="s">
        <v>1044</v>
      </c>
      <c r="C2429" t="s">
        <v>1063</v>
      </c>
      <c r="D2429">
        <v>17.0172</v>
      </c>
      <c r="E2429">
        <v>19.1565</v>
      </c>
      <c r="F2429" s="2" t="s">
        <v>1065</v>
      </c>
      <c r="G2429">
        <f ca="1" t="shared" si="111"/>
        <v>1.64984366410418</v>
      </c>
      <c r="H2429" t="str">
        <f ca="1" t="shared" si="112"/>
        <v>Risk-On</v>
      </c>
      <c r="I2429">
        <f ca="1" t="shared" si="113"/>
        <v>1</v>
      </c>
      <c r="J2429">
        <f>_xlfn.XLOOKUP($A2429,[1]Sheet1!$B$9:$B$2584,[1]Sheet1!$C$9:$C$2584,"N/A",0)</f>
        <v>107.39</v>
      </c>
      <c r="K2429">
        <f>_xlfn.XLOOKUP($A2429,[1]Sheet1!$E$9:$E$2584,[1]Sheet1!$F$9:$F$2584,"N/A",0)</f>
        <v>185.05</v>
      </c>
      <c r="L2429">
        <f>_xlfn.XLOOKUP($A2429,[1]Sheet1!$H$9:$H$2584,[1]Sheet1!$I$9:$I$2584,"N/A",0)</f>
        <v>58.97</v>
      </c>
      <c r="M2429">
        <f>_xlfn.XLOOKUP($A2429,[1]Sheet1!$K$9:$K$2584,[1]Sheet1!$L$9:$L$2584,"N/A",0)</f>
        <v>140.69</v>
      </c>
      <c r="N2429">
        <f>_xlfn.XLOOKUP($A2429,[1]Sheet1!$N$9:$N$2584,[1]Sheet1!$O$9:$O$2584,"N/A",0)</f>
        <v>130.96</v>
      </c>
      <c r="O2429">
        <v>107.39</v>
      </c>
      <c r="P2429">
        <v>185.05</v>
      </c>
      <c r="Q2429">
        <v>58.97</v>
      </c>
      <c r="R2429">
        <v>130.96</v>
      </c>
      <c r="S2429">
        <v>140.69</v>
      </c>
    </row>
    <row r="2430" spans="1:19">
      <c r="A2430" s="1">
        <v>45895</v>
      </c>
      <c r="B2430" t="s">
        <v>1044</v>
      </c>
      <c r="C2430" t="s">
        <v>1063</v>
      </c>
      <c r="D2430">
        <v>16.8867</v>
      </c>
      <c r="E2430">
        <v>19.0898</v>
      </c>
      <c r="F2430" s="2" t="s">
        <v>1066</v>
      </c>
      <c r="G2430">
        <f ca="1" t="shared" si="111"/>
        <v>1.71893653582666</v>
      </c>
      <c r="H2430" t="str">
        <f ca="1" t="shared" si="112"/>
        <v>Risk-On</v>
      </c>
      <c r="I2430">
        <f ca="1" t="shared" si="113"/>
        <v>1</v>
      </c>
      <c r="J2430">
        <f>_xlfn.XLOOKUP($A2430,[1]Sheet1!$B$9:$B$2584,[1]Sheet1!$C$9:$C$2584,"N/A",0)</f>
        <v>107.57</v>
      </c>
      <c r="K2430">
        <f>_xlfn.XLOOKUP($A2430,[1]Sheet1!$E$9:$E$2584,[1]Sheet1!$F$9:$F$2584,"N/A",0)</f>
        <v>187.85</v>
      </c>
      <c r="L2430">
        <f>_xlfn.XLOOKUP($A2430,[1]Sheet1!$H$9:$H$2584,[1]Sheet1!$I$9:$I$2584,"N/A",0)</f>
        <v>59.04</v>
      </c>
      <c r="M2430">
        <f>_xlfn.XLOOKUP($A2430,[1]Sheet1!$K$9:$K$2584,[1]Sheet1!$L$9:$L$2584,"N/A",0)</f>
        <v>140.94</v>
      </c>
      <c r="N2430">
        <f>_xlfn.XLOOKUP($A2430,[1]Sheet1!$N$9:$N$2584,[1]Sheet1!$O$9:$O$2584,"N/A",0)</f>
        <v>131.08</v>
      </c>
      <c r="O2430">
        <v>107.57</v>
      </c>
      <c r="P2430">
        <v>187.85</v>
      </c>
      <c r="Q2430">
        <v>59.04</v>
      </c>
      <c r="R2430">
        <v>131.08</v>
      </c>
      <c r="S2430">
        <v>140.94</v>
      </c>
    </row>
    <row r="2431" spans="1:19">
      <c r="A2431" s="1">
        <v>45896</v>
      </c>
      <c r="B2431" t="s">
        <v>1044</v>
      </c>
      <c r="C2431" t="s">
        <v>1063</v>
      </c>
      <c r="D2431">
        <v>16.9045</v>
      </c>
      <c r="E2431">
        <v>19.1748</v>
      </c>
      <c r="F2431" s="2" t="s">
        <v>1067</v>
      </c>
      <c r="G2431">
        <f ca="1" t="shared" si="111"/>
        <v>1.77476637391021</v>
      </c>
      <c r="H2431" t="str">
        <f ca="1" t="shared" si="112"/>
        <v>Risk-On</v>
      </c>
      <c r="I2431">
        <f ca="1" t="shared" si="113"/>
        <v>1</v>
      </c>
      <c r="J2431">
        <f>_xlfn.XLOOKUP($A2431,[1]Sheet1!$B$9:$B$2584,[1]Sheet1!$C$9:$C$2584,"N/A",0)</f>
        <v>107.74</v>
      </c>
      <c r="K2431">
        <f>_xlfn.XLOOKUP($A2431,[1]Sheet1!$E$9:$E$2584,[1]Sheet1!$F$9:$F$2584,"N/A",0)</f>
        <v>185.78</v>
      </c>
      <c r="L2431">
        <f>_xlfn.XLOOKUP($A2431,[1]Sheet1!$H$9:$H$2584,[1]Sheet1!$I$9:$I$2584,"N/A",0)</f>
        <v>59.15</v>
      </c>
      <c r="M2431">
        <f>_xlfn.XLOOKUP($A2431,[1]Sheet1!$K$9:$K$2584,[1]Sheet1!$L$9:$L$2584,"N/A",0)</f>
        <v>141.12</v>
      </c>
      <c r="N2431">
        <f>_xlfn.XLOOKUP($A2431,[1]Sheet1!$N$9:$N$2584,[1]Sheet1!$O$9:$O$2584,"N/A",0)</f>
        <v>130.45</v>
      </c>
      <c r="O2431">
        <v>107.74</v>
      </c>
      <c r="P2431">
        <v>185.78</v>
      </c>
      <c r="Q2431">
        <v>59.15</v>
      </c>
      <c r="R2431">
        <v>130.45</v>
      </c>
      <c r="S2431">
        <v>141.12</v>
      </c>
    </row>
    <row r="2432" spans="1:19">
      <c r="A2432" s="1">
        <v>45897</v>
      </c>
      <c r="B2432" t="s">
        <v>1044</v>
      </c>
      <c r="C2432" t="s">
        <v>1063</v>
      </c>
      <c r="D2432">
        <v>16.6525</v>
      </c>
      <c r="E2432">
        <v>19.0363</v>
      </c>
      <c r="F2432" s="2" t="s">
        <v>1068</v>
      </c>
      <c r="G2432">
        <f ca="1" t="shared" si="111"/>
        <v>1.90348040616824</v>
      </c>
      <c r="H2432" t="str">
        <f ca="1" t="shared" si="112"/>
        <v>Risk-On</v>
      </c>
      <c r="I2432">
        <f ca="1" t="shared" si="113"/>
        <v>1</v>
      </c>
      <c r="J2432">
        <f>_xlfn.XLOOKUP($A2432,[1]Sheet1!$B$9:$B$2584,[1]Sheet1!$C$9:$C$2584,"N/A",0)</f>
        <v>108.19</v>
      </c>
      <c r="K2432">
        <f>_xlfn.XLOOKUP($A2432,[1]Sheet1!$E$9:$E$2584,[1]Sheet1!$F$9:$F$2584,"N/A",0)</f>
        <v>187.85</v>
      </c>
      <c r="L2432">
        <f>_xlfn.XLOOKUP($A2432,[1]Sheet1!$H$9:$H$2584,[1]Sheet1!$I$9:$I$2584,"N/A",0)</f>
        <v>58.81</v>
      </c>
      <c r="M2432">
        <f>_xlfn.XLOOKUP($A2432,[1]Sheet1!$K$9:$K$2584,[1]Sheet1!$L$9:$L$2584,"N/A",0)</f>
        <v>141.33</v>
      </c>
      <c r="N2432">
        <f>_xlfn.XLOOKUP($A2432,[1]Sheet1!$N$9:$N$2584,[1]Sheet1!$O$9:$O$2584,"N/A",0)</f>
        <v>130.91</v>
      </c>
      <c r="O2432">
        <v>108.19</v>
      </c>
      <c r="P2432">
        <v>187.85</v>
      </c>
      <c r="Q2432">
        <v>58.81</v>
      </c>
      <c r="R2432">
        <v>130.91</v>
      </c>
      <c r="S2432">
        <v>141.33</v>
      </c>
    </row>
    <row r="2433" spans="1:19">
      <c r="A2433" s="1">
        <v>45898</v>
      </c>
      <c r="B2433" t="s">
        <v>1044</v>
      </c>
      <c r="C2433" t="s">
        <v>1063</v>
      </c>
      <c r="D2433">
        <v>17.149</v>
      </c>
      <c r="E2433">
        <v>19.3442</v>
      </c>
      <c r="F2433" s="2" t="s">
        <v>1069</v>
      </c>
      <c r="G2433">
        <f ca="1" t="shared" si="111"/>
        <v>1.68320688608772</v>
      </c>
      <c r="H2433" t="str">
        <f ca="1" t="shared" si="112"/>
        <v>Risk-On</v>
      </c>
      <c r="I2433">
        <f ca="1" t="shared" si="113"/>
        <v>1</v>
      </c>
      <c r="J2433">
        <f>_xlfn.XLOOKUP($A2433,[1]Sheet1!$B$9:$B$2584,[1]Sheet1!$C$9:$C$2584,"N/A",0)</f>
        <v>108.27</v>
      </c>
      <c r="K2433">
        <f>_xlfn.XLOOKUP($A2433,[1]Sheet1!$E$9:$E$2584,[1]Sheet1!$F$9:$F$2584,"N/A",0)</f>
        <v>186</v>
      </c>
      <c r="L2433">
        <f>_xlfn.XLOOKUP($A2433,[1]Sheet1!$H$9:$H$2584,[1]Sheet1!$I$9:$I$2584,"N/A",0)</f>
        <v>59.1</v>
      </c>
      <c r="M2433">
        <f>_xlfn.XLOOKUP($A2433,[1]Sheet1!$K$9:$K$2584,[1]Sheet1!$L$9:$L$2584,"N/A",0)</f>
        <v>141.45</v>
      </c>
      <c r="N2433">
        <f>_xlfn.XLOOKUP($A2433,[1]Sheet1!$N$9:$N$2584,[1]Sheet1!$O$9:$O$2584,"N/A",0)</f>
        <v>130.91</v>
      </c>
      <c r="O2433">
        <v>108.27</v>
      </c>
      <c r="P2433">
        <v>186</v>
      </c>
      <c r="Q2433">
        <v>59.1</v>
      </c>
      <c r="R2433">
        <v>130.91</v>
      </c>
      <c r="S2433">
        <v>141.45</v>
      </c>
    </row>
    <row r="2434" spans="1:19">
      <c r="A2434" s="1">
        <v>45902</v>
      </c>
      <c r="B2434" t="s">
        <v>1044</v>
      </c>
      <c r="C2434" t="s">
        <v>1063</v>
      </c>
      <c r="D2434">
        <v>17.7246</v>
      </c>
      <c r="E2434">
        <v>19.8497</v>
      </c>
      <c r="F2434" s="2" t="s">
        <v>1070</v>
      </c>
      <c r="G2434">
        <f ca="1" t="shared" si="111"/>
        <v>1.56520246408053</v>
      </c>
      <c r="H2434" t="str">
        <f ca="1" t="shared" si="112"/>
        <v>Risk-On</v>
      </c>
      <c r="I2434">
        <f ca="1" t="shared" si="113"/>
        <v>1</v>
      </c>
      <c r="J2434">
        <f>_xlfn.XLOOKUP($A2434,[1]Sheet1!$B$9:$B$2584,[1]Sheet1!$C$9:$C$2584,"N/A",0)</f>
        <v>107.44</v>
      </c>
      <c r="K2434">
        <f>_xlfn.XLOOKUP($A2434,[1]Sheet1!$E$9:$E$2584,[1]Sheet1!$F$9:$F$2584,"N/A",0)</f>
        <v>186.9</v>
      </c>
      <c r="L2434">
        <f>_xlfn.XLOOKUP($A2434,[1]Sheet1!$H$9:$H$2584,[1]Sheet1!$I$9:$I$2584,"N/A",0)</f>
        <v>59.55</v>
      </c>
      <c r="M2434">
        <f>_xlfn.XLOOKUP($A2434,[1]Sheet1!$K$9:$K$2584,[1]Sheet1!$L$9:$L$2584,"N/A",0)</f>
        <v>141.74</v>
      </c>
      <c r="N2434">
        <f>_xlfn.XLOOKUP($A2434,[1]Sheet1!$N$9:$N$2584,[1]Sheet1!$O$9:$O$2584,"N/A",0)</f>
        <v>131.35</v>
      </c>
      <c r="O2434">
        <v>107.44</v>
      </c>
      <c r="P2434">
        <v>186.9</v>
      </c>
      <c r="Q2434">
        <v>59.55</v>
      </c>
      <c r="R2434">
        <v>131.35</v>
      </c>
      <c r="S2434">
        <v>141.74</v>
      </c>
    </row>
    <row r="2435" spans="1:19">
      <c r="A2435" s="1">
        <v>45903</v>
      </c>
      <c r="B2435" t="s">
        <v>1044</v>
      </c>
      <c r="C2435" t="s">
        <v>1063</v>
      </c>
      <c r="D2435">
        <v>17.1889</v>
      </c>
      <c r="E2435">
        <v>19.4266</v>
      </c>
      <c r="F2435" s="2" t="s">
        <v>1071</v>
      </c>
      <c r="G2435">
        <f ca="1" t="shared" ref="G2435:G2494" si="114">IF(ROW()-ROW($A$3)+1&gt;252,(F2435-AVERAGE(OFFSET(F2435,-252,0,252,1)))/_xlfn.STDEV.S(OFFSET(F2435,-252,0,252,1)),"N/A")</f>
        <v>1.71485219774597</v>
      </c>
      <c r="H2435" t="str">
        <f ca="1" t="shared" ref="H2435:H2494" si="115">IF(G2435&lt;&gt;"N/A",IF(G2685&gt;-0.5,"Risk-On","Risk-Off"),"N/A")</f>
        <v>Risk-On</v>
      </c>
      <c r="I2435">
        <f ca="1" t="shared" si="113"/>
        <v>1</v>
      </c>
      <c r="J2435">
        <f>_xlfn.XLOOKUP($A2435,[1]Sheet1!$B$9:$B$2584,[1]Sheet1!$C$9:$C$2584,"N/A",0)</f>
        <v>106.95</v>
      </c>
      <c r="K2435">
        <f>_xlfn.XLOOKUP($A2435,[1]Sheet1!$E$9:$E$2584,[1]Sheet1!$F$9:$F$2584,"N/A",0)</f>
        <v>188.33</v>
      </c>
      <c r="L2435">
        <f>_xlfn.XLOOKUP($A2435,[1]Sheet1!$H$9:$H$2584,[1]Sheet1!$I$9:$I$2584,"N/A",0)</f>
        <v>59.67</v>
      </c>
      <c r="M2435">
        <f>_xlfn.XLOOKUP($A2435,[1]Sheet1!$K$9:$K$2584,[1]Sheet1!$L$9:$L$2584,"N/A",0)</f>
        <v>141.22</v>
      </c>
      <c r="N2435">
        <f>_xlfn.XLOOKUP($A2435,[1]Sheet1!$N$9:$N$2584,[1]Sheet1!$O$9:$O$2584,"N/A",0)</f>
        <v>131.24</v>
      </c>
      <c r="O2435">
        <v>106.95</v>
      </c>
      <c r="P2435">
        <v>188.33</v>
      </c>
      <c r="Q2435">
        <v>59.67</v>
      </c>
      <c r="R2435">
        <v>131.24</v>
      </c>
      <c r="S2435">
        <v>141.22</v>
      </c>
    </row>
    <row r="2436" spans="1:19">
      <c r="A2436" s="1">
        <v>45904</v>
      </c>
      <c r="B2436" t="s">
        <v>1044</v>
      </c>
      <c r="C2436" t="s">
        <v>1063</v>
      </c>
      <c r="D2436">
        <v>16.5962</v>
      </c>
      <c r="E2436">
        <v>18.8515</v>
      </c>
      <c r="F2436" s="2" t="s">
        <v>1072</v>
      </c>
      <c r="G2436">
        <f ca="1" t="shared" si="114"/>
        <v>1.7979111530991</v>
      </c>
      <c r="H2436" t="str">
        <f ca="1" t="shared" si="115"/>
        <v>Risk-On</v>
      </c>
      <c r="I2436">
        <f ca="1" t="shared" ref="I2436:I2494" si="116">IF(H2436&lt;&gt;"N/A",IF(H2686&gt;-0.5,1,0),0)</f>
        <v>1</v>
      </c>
      <c r="J2436">
        <f>_xlfn.XLOOKUP($A2436,[1]Sheet1!$B$9:$B$2584,[1]Sheet1!$C$9:$C$2584,"N/A",0)</f>
        <v>106.47</v>
      </c>
      <c r="K2436">
        <f>_xlfn.XLOOKUP($A2436,[1]Sheet1!$E$9:$E$2584,[1]Sheet1!$F$9:$F$2584,"N/A",0)</f>
        <v>188.1</v>
      </c>
      <c r="L2436">
        <f>_xlfn.XLOOKUP($A2436,[1]Sheet1!$H$9:$H$2584,[1]Sheet1!$I$9:$I$2584,"N/A",0)</f>
        <v>59.62</v>
      </c>
      <c r="M2436">
        <f>_xlfn.XLOOKUP($A2436,[1]Sheet1!$K$9:$K$2584,[1]Sheet1!$L$9:$L$2584,"N/A",0)</f>
        <v>141.94</v>
      </c>
      <c r="N2436">
        <f>_xlfn.XLOOKUP($A2436,[1]Sheet1!$N$9:$N$2584,[1]Sheet1!$O$9:$O$2584,"N/A",0)</f>
        <v>130.72</v>
      </c>
      <c r="O2436">
        <v>106.47</v>
      </c>
      <c r="P2436">
        <v>188.1</v>
      </c>
      <c r="Q2436">
        <v>59.62</v>
      </c>
      <c r="R2436">
        <v>130.72</v>
      </c>
      <c r="S2436">
        <v>141.94</v>
      </c>
    </row>
    <row r="2437" spans="1:19">
      <c r="A2437" s="1">
        <v>45905</v>
      </c>
      <c r="B2437" t="s">
        <v>1044</v>
      </c>
      <c r="C2437" t="s">
        <v>1063</v>
      </c>
      <c r="D2437">
        <v>16.7106</v>
      </c>
      <c r="E2437">
        <v>18.8991</v>
      </c>
      <c r="F2437" s="2" t="s">
        <v>1073</v>
      </c>
      <c r="G2437">
        <f ca="1" t="shared" si="114"/>
        <v>1.72683749307526</v>
      </c>
      <c r="H2437" t="str">
        <f ca="1" t="shared" si="115"/>
        <v>Risk-On</v>
      </c>
      <c r="I2437">
        <f ca="1" t="shared" si="116"/>
        <v>1</v>
      </c>
      <c r="J2437">
        <f>_xlfn.XLOOKUP($A2437,[1]Sheet1!$B$9:$B$2584,[1]Sheet1!$C$9:$C$2584,"N/A",0)</f>
        <v>105.85</v>
      </c>
      <c r="K2437">
        <f>_xlfn.XLOOKUP($A2437,[1]Sheet1!$E$9:$E$2584,[1]Sheet1!$F$9:$F$2584,"N/A",0)</f>
        <v>186.65</v>
      </c>
      <c r="L2437">
        <f>_xlfn.XLOOKUP($A2437,[1]Sheet1!$H$9:$H$2584,[1]Sheet1!$I$9:$I$2584,"N/A",0)</f>
        <v>59.73</v>
      </c>
      <c r="M2437">
        <f>_xlfn.XLOOKUP($A2437,[1]Sheet1!$K$9:$K$2584,[1]Sheet1!$L$9:$L$2584,"N/A",0)</f>
        <v>140.99</v>
      </c>
      <c r="N2437">
        <f>_xlfn.XLOOKUP($A2437,[1]Sheet1!$N$9:$N$2584,[1]Sheet1!$O$9:$O$2584,"N/A",0)</f>
        <v>130.3</v>
      </c>
      <c r="O2437">
        <v>105.85</v>
      </c>
      <c r="P2437">
        <v>186.65</v>
      </c>
      <c r="Q2437">
        <v>59.73</v>
      </c>
      <c r="R2437">
        <v>130.3</v>
      </c>
      <c r="S2437">
        <v>140.99</v>
      </c>
    </row>
    <row r="2438" spans="1:19">
      <c r="A2438" s="1">
        <v>45908</v>
      </c>
      <c r="B2438" t="s">
        <v>1044</v>
      </c>
      <c r="C2438" t="s">
        <v>1063</v>
      </c>
      <c r="D2438">
        <v>16.3618</v>
      </c>
      <c r="E2438">
        <v>18.5378</v>
      </c>
      <c r="F2438" s="2" t="s">
        <v>1074</v>
      </c>
      <c r="G2438">
        <f ca="1" t="shared" si="114"/>
        <v>1.75624013894117</v>
      </c>
      <c r="H2438" t="str">
        <f ca="1" t="shared" si="115"/>
        <v>Risk-On</v>
      </c>
      <c r="I2438">
        <f ca="1" t="shared" si="116"/>
        <v>1</v>
      </c>
      <c r="J2438">
        <f>_xlfn.XLOOKUP($A2438,[1]Sheet1!$B$9:$B$2584,[1]Sheet1!$C$9:$C$2584,"N/A",0)</f>
        <v>105.93</v>
      </c>
      <c r="K2438">
        <f>_xlfn.XLOOKUP($A2438,[1]Sheet1!$E$9:$E$2584,[1]Sheet1!$F$9:$F$2584,"N/A",0)</f>
        <v>188.96</v>
      </c>
      <c r="L2438">
        <f>_xlfn.XLOOKUP($A2438,[1]Sheet1!$H$9:$H$2584,[1]Sheet1!$I$9:$I$2584,"N/A",0)</f>
        <v>59.47</v>
      </c>
      <c r="M2438">
        <f>_xlfn.XLOOKUP($A2438,[1]Sheet1!$K$9:$K$2584,[1]Sheet1!$L$9:$L$2584,"N/A",0)</f>
        <v>142</v>
      </c>
      <c r="N2438">
        <f>_xlfn.XLOOKUP($A2438,[1]Sheet1!$N$9:$N$2584,[1]Sheet1!$O$9:$O$2584,"N/A",0)</f>
        <v>129.92</v>
      </c>
      <c r="O2438">
        <v>105.93</v>
      </c>
      <c r="P2438">
        <v>188.96</v>
      </c>
      <c r="Q2438">
        <v>59.47</v>
      </c>
      <c r="R2438">
        <v>129.92</v>
      </c>
      <c r="S2438">
        <v>142</v>
      </c>
    </row>
    <row r="2439" spans="1:19">
      <c r="A2439" s="1">
        <v>45909</v>
      </c>
      <c r="B2439" t="s">
        <v>1044</v>
      </c>
      <c r="C2439" t="s">
        <v>1063</v>
      </c>
      <c r="D2439">
        <v>16.2916</v>
      </c>
      <c r="E2439">
        <v>18.4396</v>
      </c>
      <c r="F2439" s="2" t="s">
        <v>1075</v>
      </c>
      <c r="G2439">
        <f ca="1" t="shared" si="114"/>
        <v>1.73933115588735</v>
      </c>
      <c r="H2439" t="str">
        <f ca="1" t="shared" si="115"/>
        <v>Risk-On</v>
      </c>
      <c r="I2439">
        <f ca="1" t="shared" si="116"/>
        <v>1</v>
      </c>
      <c r="J2439">
        <f>_xlfn.XLOOKUP($A2439,[1]Sheet1!$B$9:$B$2584,[1]Sheet1!$C$9:$C$2584,"N/A",0)</f>
        <v>105.83</v>
      </c>
      <c r="K2439">
        <f>_xlfn.XLOOKUP($A2439,[1]Sheet1!$E$9:$E$2584,[1]Sheet1!$F$9:$F$2584,"N/A",0)</f>
        <v>190.84</v>
      </c>
      <c r="L2439">
        <f>_xlfn.XLOOKUP($A2439,[1]Sheet1!$H$9:$H$2584,[1]Sheet1!$I$9:$I$2584,"N/A",0)</f>
        <v>59.68</v>
      </c>
      <c r="M2439">
        <f>_xlfn.XLOOKUP($A2439,[1]Sheet1!$K$9:$K$2584,[1]Sheet1!$L$9:$L$2584,"N/A",0)</f>
        <v>141.73</v>
      </c>
      <c r="N2439">
        <f>_xlfn.XLOOKUP($A2439,[1]Sheet1!$N$9:$N$2584,[1]Sheet1!$O$9:$O$2584,"N/A",0)</f>
        <v>130.98</v>
      </c>
      <c r="O2439">
        <v>105.83</v>
      </c>
      <c r="P2439">
        <v>190.84</v>
      </c>
      <c r="Q2439">
        <v>59.68</v>
      </c>
      <c r="R2439">
        <v>130.98</v>
      </c>
      <c r="S2439">
        <v>141.73</v>
      </c>
    </row>
    <row r="2440" spans="1:19">
      <c r="A2440" s="1">
        <v>45910</v>
      </c>
      <c r="B2440" t="s">
        <v>1044</v>
      </c>
      <c r="C2440" t="s">
        <v>1063</v>
      </c>
      <c r="D2440">
        <v>16.1314</v>
      </c>
      <c r="E2440">
        <v>18.3931</v>
      </c>
      <c r="F2440" s="2" t="s">
        <v>1076</v>
      </c>
      <c r="G2440">
        <f ca="1" t="shared" si="114"/>
        <v>1.86022566361385</v>
      </c>
      <c r="H2440" t="str">
        <f ca="1" t="shared" si="115"/>
        <v>Risk-On</v>
      </c>
      <c r="I2440">
        <f ca="1" t="shared" si="116"/>
        <v>1</v>
      </c>
      <c r="J2440">
        <f>_xlfn.XLOOKUP($A2440,[1]Sheet1!$B$9:$B$2584,[1]Sheet1!$C$9:$C$2584,"N/A",0)</f>
        <v>105.77</v>
      </c>
      <c r="K2440">
        <f>_xlfn.XLOOKUP($A2440,[1]Sheet1!$E$9:$E$2584,[1]Sheet1!$F$9:$F$2584,"N/A",0)</f>
        <v>193.7</v>
      </c>
      <c r="L2440">
        <f>_xlfn.XLOOKUP($A2440,[1]Sheet1!$H$9:$H$2584,[1]Sheet1!$I$9:$I$2584,"N/A",0)</f>
        <v>60.28</v>
      </c>
      <c r="M2440">
        <f>_xlfn.XLOOKUP($A2440,[1]Sheet1!$K$9:$K$2584,[1]Sheet1!$L$9:$L$2584,"N/A",0)</f>
        <v>142.01</v>
      </c>
      <c r="N2440">
        <f>_xlfn.XLOOKUP($A2440,[1]Sheet1!$N$9:$N$2584,[1]Sheet1!$O$9:$O$2584,"N/A",0)</f>
        <v>132.01</v>
      </c>
      <c r="O2440">
        <v>105.77</v>
      </c>
      <c r="P2440">
        <v>193.7</v>
      </c>
      <c r="Q2440">
        <v>60.28</v>
      </c>
      <c r="R2440">
        <v>132.01</v>
      </c>
      <c r="S2440">
        <v>142.01</v>
      </c>
    </row>
    <row r="2441" spans="1:19">
      <c r="A2441" s="1">
        <v>45911</v>
      </c>
      <c r="B2441" t="s">
        <v>1044</v>
      </c>
      <c r="C2441" t="s">
        <v>1063</v>
      </c>
      <c r="D2441">
        <v>15.6473</v>
      </c>
      <c r="E2441">
        <v>17.995</v>
      </c>
      <c r="F2441" s="2" t="s">
        <v>1077</v>
      </c>
      <c r="G2441">
        <f ca="1" t="shared" si="114"/>
        <v>2.00247217350248</v>
      </c>
      <c r="H2441" t="str">
        <f ca="1" t="shared" si="115"/>
        <v>Risk-On</v>
      </c>
      <c r="I2441">
        <f ca="1" t="shared" si="116"/>
        <v>1</v>
      </c>
      <c r="J2441">
        <f>_xlfn.XLOOKUP($A2441,[1]Sheet1!$B$9:$B$2584,[1]Sheet1!$C$9:$C$2584,"N/A",0)</f>
        <v>105.48</v>
      </c>
      <c r="K2441">
        <f>_xlfn.XLOOKUP($A2441,[1]Sheet1!$E$9:$E$2584,[1]Sheet1!$F$9:$F$2584,"N/A",0)</f>
        <v>191.59</v>
      </c>
      <c r="L2441">
        <f>_xlfn.XLOOKUP($A2441,[1]Sheet1!$H$9:$H$2584,[1]Sheet1!$I$9:$I$2584,"N/A",0)</f>
        <v>60.48</v>
      </c>
      <c r="M2441">
        <f>_xlfn.XLOOKUP($A2441,[1]Sheet1!$K$9:$K$2584,[1]Sheet1!$L$9:$L$2584,"N/A",0)</f>
        <v>141.67</v>
      </c>
      <c r="N2441">
        <f>_xlfn.XLOOKUP($A2441,[1]Sheet1!$N$9:$N$2584,[1]Sheet1!$O$9:$O$2584,"N/A",0)</f>
        <v>131.2</v>
      </c>
      <c r="O2441">
        <v>105.48</v>
      </c>
      <c r="P2441">
        <v>191.59</v>
      </c>
      <c r="Q2441">
        <v>60.48</v>
      </c>
      <c r="R2441">
        <v>131.2</v>
      </c>
      <c r="S2441">
        <v>141.67</v>
      </c>
    </row>
    <row r="2442" spans="1:19">
      <c r="A2442" s="1">
        <v>45912</v>
      </c>
      <c r="B2442" t="s">
        <v>1044</v>
      </c>
      <c r="C2442" t="s">
        <v>1063</v>
      </c>
      <c r="D2442">
        <v>15.5928</v>
      </c>
      <c r="E2442">
        <v>17.9471</v>
      </c>
      <c r="F2442" s="2" t="s">
        <v>1078</v>
      </c>
      <c r="G2442">
        <f ca="1" t="shared" si="114"/>
        <v>2.01672832730777</v>
      </c>
      <c r="H2442" t="str">
        <f ca="1" t="shared" si="115"/>
        <v>Risk-On</v>
      </c>
      <c r="I2442">
        <f ca="1" t="shared" si="116"/>
        <v>1</v>
      </c>
      <c r="J2442">
        <f>_xlfn.XLOOKUP($A2442,[1]Sheet1!$B$9:$B$2584,[1]Sheet1!$C$9:$C$2584,"N/A",0)</f>
        <v>105.37</v>
      </c>
      <c r="K2442">
        <f>_xlfn.XLOOKUP($A2442,[1]Sheet1!$E$9:$E$2584,[1]Sheet1!$F$9:$F$2584,"N/A",0)</f>
        <v>193.52</v>
      </c>
      <c r="L2442">
        <f>_xlfn.XLOOKUP($A2442,[1]Sheet1!$H$9:$H$2584,[1]Sheet1!$I$9:$I$2584,"N/A",0)</f>
        <v>60.78</v>
      </c>
      <c r="M2442">
        <f>_xlfn.XLOOKUP($A2442,[1]Sheet1!$K$9:$K$2584,[1]Sheet1!$L$9:$L$2584,"N/A",0)</f>
        <v>141.12</v>
      </c>
      <c r="N2442">
        <f>_xlfn.XLOOKUP($A2442,[1]Sheet1!$N$9:$N$2584,[1]Sheet1!$O$9:$O$2584,"N/A",0)</f>
        <v>132.21</v>
      </c>
      <c r="O2442">
        <v>105.37</v>
      </c>
      <c r="P2442">
        <v>193.52</v>
      </c>
      <c r="Q2442">
        <v>60.78</v>
      </c>
      <c r="R2442">
        <v>132.21</v>
      </c>
      <c r="S2442">
        <v>141.12</v>
      </c>
    </row>
    <row r="2443" spans="1:19">
      <c r="A2443" s="1">
        <v>45915</v>
      </c>
      <c r="B2443" t="s">
        <v>1044</v>
      </c>
      <c r="C2443" t="s">
        <v>1063</v>
      </c>
      <c r="D2443">
        <v>15.7566</v>
      </c>
      <c r="E2443">
        <v>18.1366</v>
      </c>
      <c r="F2443" s="2" t="s">
        <v>1079</v>
      </c>
      <c r="G2443">
        <f ca="1" t="shared" si="114"/>
        <v>2.02330582762966</v>
      </c>
      <c r="H2443" t="str">
        <f ca="1" t="shared" si="115"/>
        <v>Risk-On</v>
      </c>
      <c r="I2443">
        <f ca="1" t="shared" si="116"/>
        <v>1</v>
      </c>
      <c r="J2443">
        <f>_xlfn.XLOOKUP($A2443,[1]Sheet1!$B$9:$B$2584,[1]Sheet1!$C$9:$C$2584,"N/A",0)</f>
        <v>105.19</v>
      </c>
      <c r="K2443">
        <f>_xlfn.XLOOKUP($A2443,[1]Sheet1!$E$9:$E$2584,[1]Sheet1!$F$9:$F$2584,"N/A",0)</f>
        <v>195.75</v>
      </c>
      <c r="L2443">
        <f>_xlfn.XLOOKUP($A2443,[1]Sheet1!$H$9:$H$2584,[1]Sheet1!$I$9:$I$2584,"N/A",0)</f>
        <v>60.74</v>
      </c>
      <c r="M2443">
        <f>_xlfn.XLOOKUP($A2443,[1]Sheet1!$K$9:$K$2584,[1]Sheet1!$L$9:$L$2584,"N/A",0)</f>
        <v>141.34</v>
      </c>
      <c r="N2443">
        <f>_xlfn.XLOOKUP($A2443,[1]Sheet1!$N$9:$N$2584,[1]Sheet1!$O$9:$O$2584,"N/A",0)</f>
        <v>132.36</v>
      </c>
      <c r="O2443">
        <v>105.19</v>
      </c>
      <c r="P2443">
        <v>195.75</v>
      </c>
      <c r="Q2443">
        <v>60.74</v>
      </c>
      <c r="R2443">
        <v>132.36</v>
      </c>
      <c r="S2443">
        <v>141.34</v>
      </c>
    </row>
    <row r="2444" spans="1:19">
      <c r="A2444" s="1">
        <v>45916</v>
      </c>
      <c r="B2444" t="s">
        <v>1044</v>
      </c>
      <c r="C2444" t="s">
        <v>1063</v>
      </c>
      <c r="D2444">
        <v>16.1034</v>
      </c>
      <c r="E2444">
        <v>18.4512</v>
      </c>
      <c r="F2444" s="2" t="s">
        <v>1080</v>
      </c>
      <c r="G2444">
        <f ca="1" t="shared" si="114"/>
        <v>1.95652828248702</v>
      </c>
      <c r="H2444" t="str">
        <f ca="1" t="shared" si="115"/>
        <v>Risk-On</v>
      </c>
      <c r="I2444">
        <f ca="1" t="shared" si="116"/>
        <v>1</v>
      </c>
      <c r="J2444">
        <f>_xlfn.XLOOKUP($A2444,[1]Sheet1!$B$9:$B$2584,[1]Sheet1!$C$9:$C$2584,"N/A",0)</f>
        <v>105.38</v>
      </c>
      <c r="K2444">
        <f>_xlfn.XLOOKUP($A2444,[1]Sheet1!$E$9:$E$2584,[1]Sheet1!$F$9:$F$2584,"N/A",0)</f>
        <v>193.76</v>
      </c>
      <c r="L2444">
        <f>_xlfn.XLOOKUP($A2444,[1]Sheet1!$H$9:$H$2584,[1]Sheet1!$I$9:$I$2584,"N/A",0)</f>
        <v>60.74</v>
      </c>
      <c r="M2444">
        <f>_xlfn.XLOOKUP($A2444,[1]Sheet1!$K$9:$K$2584,[1]Sheet1!$L$9:$L$2584,"N/A",0)</f>
        <v>140.88</v>
      </c>
      <c r="N2444">
        <f>_xlfn.XLOOKUP($A2444,[1]Sheet1!$N$9:$N$2584,[1]Sheet1!$O$9:$O$2584,"N/A",0)</f>
        <v>132.27</v>
      </c>
      <c r="O2444">
        <v>105.38</v>
      </c>
      <c r="P2444">
        <v>193.76</v>
      </c>
      <c r="Q2444">
        <v>60.74</v>
      </c>
      <c r="R2444">
        <v>132.27</v>
      </c>
      <c r="S2444">
        <v>140.88</v>
      </c>
    </row>
    <row r="2445" spans="1:19">
      <c r="A2445" s="1">
        <v>45917</v>
      </c>
      <c r="B2445" t="s">
        <v>1044</v>
      </c>
      <c r="C2445" t="s">
        <v>1063</v>
      </c>
      <c r="D2445">
        <v>15.86</v>
      </c>
      <c r="E2445">
        <v>17.7786</v>
      </c>
      <c r="F2445" s="2" t="s">
        <v>1081</v>
      </c>
      <c r="G2445">
        <f ca="1" t="shared" si="114"/>
        <v>1.59764670192148</v>
      </c>
      <c r="H2445" t="str">
        <f ca="1" t="shared" si="115"/>
        <v>Risk-On</v>
      </c>
      <c r="I2445">
        <f ca="1" t="shared" si="116"/>
        <v>1</v>
      </c>
      <c r="J2445">
        <f>_xlfn.XLOOKUP($A2445,[1]Sheet1!$B$9:$B$2584,[1]Sheet1!$C$9:$C$2584,"N/A",0)</f>
        <v>105.59</v>
      </c>
      <c r="K2445">
        <f>_xlfn.XLOOKUP($A2445,[1]Sheet1!$E$9:$E$2584,[1]Sheet1!$F$9:$F$2584,"N/A",0)</f>
        <v>194.22</v>
      </c>
      <c r="L2445">
        <f>_xlfn.XLOOKUP($A2445,[1]Sheet1!$H$9:$H$2584,[1]Sheet1!$I$9:$I$2584,"N/A",0)</f>
        <v>60.81</v>
      </c>
      <c r="M2445">
        <f>_xlfn.XLOOKUP($A2445,[1]Sheet1!$K$9:$K$2584,[1]Sheet1!$L$9:$L$2584,"N/A",0)</f>
        <v>140.83</v>
      </c>
      <c r="N2445">
        <f>_xlfn.XLOOKUP($A2445,[1]Sheet1!$N$9:$N$2584,[1]Sheet1!$O$9:$O$2584,"N/A",0)</f>
        <v>132.42</v>
      </c>
      <c r="O2445">
        <v>105.59</v>
      </c>
      <c r="P2445">
        <v>194.22</v>
      </c>
      <c r="Q2445">
        <v>60.81</v>
      </c>
      <c r="R2445">
        <v>132.42</v>
      </c>
      <c r="S2445">
        <v>140.83</v>
      </c>
    </row>
    <row r="2446" spans="1:19">
      <c r="A2446" s="1">
        <v>45918</v>
      </c>
      <c r="B2446" t="s">
        <v>1063</v>
      </c>
      <c r="C2446" t="s">
        <v>1082</v>
      </c>
      <c r="D2446">
        <v>17.677</v>
      </c>
      <c r="E2446">
        <v>19.25</v>
      </c>
      <c r="F2446">
        <v>0.088985687616677</v>
      </c>
      <c r="G2446">
        <f ca="1" t="shared" si="114"/>
        <v>1.14356334759955</v>
      </c>
      <c r="H2446" t="str">
        <f ca="1" t="shared" si="115"/>
        <v>Risk-On</v>
      </c>
      <c r="I2446">
        <f ca="1" t="shared" si="116"/>
        <v>1</v>
      </c>
      <c r="J2446">
        <f>_xlfn.XLOOKUP($A2446,[1]Sheet1!$B$9:$B$2584,[1]Sheet1!$C$9:$C$2584,"N/A",0)</f>
        <v>105.22</v>
      </c>
      <c r="K2446">
        <f>_xlfn.XLOOKUP($A2446,[1]Sheet1!$E$9:$E$2584,[1]Sheet1!$F$9:$F$2584,"N/A",0)</f>
        <v>196.01</v>
      </c>
      <c r="L2446">
        <f>_xlfn.XLOOKUP($A2446,[1]Sheet1!$H$9:$H$2584,[1]Sheet1!$I$9:$I$2584,"N/A",0)</f>
        <v>60.98</v>
      </c>
      <c r="M2446">
        <f>_xlfn.XLOOKUP($A2446,[1]Sheet1!$K$9:$K$2584,[1]Sheet1!$L$9:$L$2584,"N/A",0)</f>
        <v>139.93</v>
      </c>
      <c r="N2446">
        <f>_xlfn.XLOOKUP($A2446,[1]Sheet1!$N$9:$N$2584,[1]Sheet1!$O$9:$O$2584,"N/A",0)</f>
        <v>131.3</v>
      </c>
      <c r="O2446">
        <v>105.22</v>
      </c>
      <c r="P2446">
        <v>196.01</v>
      </c>
      <c r="Q2446">
        <v>60.98</v>
      </c>
      <c r="R2446">
        <v>131.3</v>
      </c>
      <c r="S2446">
        <v>139.93</v>
      </c>
    </row>
    <row r="2447" spans="1:19">
      <c r="A2447" s="1">
        <v>45919</v>
      </c>
      <c r="B2447" t="s">
        <v>1063</v>
      </c>
      <c r="C2447" t="s">
        <v>1082</v>
      </c>
      <c r="D2447">
        <v>17.7179</v>
      </c>
      <c r="E2447">
        <v>19.2825</v>
      </c>
      <c r="F2447">
        <v>0.0883061762398477</v>
      </c>
      <c r="G2447">
        <f ca="1" t="shared" si="114"/>
        <v>1.12978036727895</v>
      </c>
      <c r="H2447" t="str">
        <f ca="1" t="shared" si="115"/>
        <v>Risk-On</v>
      </c>
      <c r="I2447">
        <f ca="1" t="shared" si="116"/>
        <v>1</v>
      </c>
      <c r="J2447">
        <f>_xlfn.XLOOKUP($A2447,[1]Sheet1!$B$9:$B$2584,[1]Sheet1!$C$9:$C$2584,"N/A",0)</f>
        <v>105.22</v>
      </c>
      <c r="K2447">
        <f>_xlfn.XLOOKUP($A2447,[1]Sheet1!$E$9:$E$2584,[1]Sheet1!$F$9:$F$2584,"N/A",0)</f>
        <v>198.94</v>
      </c>
      <c r="L2447">
        <f>_xlfn.XLOOKUP($A2447,[1]Sheet1!$H$9:$H$2584,[1]Sheet1!$I$9:$I$2584,"N/A",0)</f>
        <v>61.31</v>
      </c>
      <c r="M2447">
        <f>_xlfn.XLOOKUP($A2447,[1]Sheet1!$K$9:$K$2584,[1]Sheet1!$L$9:$L$2584,"N/A",0)</f>
        <v>139.92</v>
      </c>
      <c r="N2447">
        <f>_xlfn.XLOOKUP($A2447,[1]Sheet1!$N$9:$N$2584,[1]Sheet1!$O$9:$O$2584,"N/A",0)</f>
        <v>132.91</v>
      </c>
      <c r="O2447">
        <v>105.22</v>
      </c>
      <c r="P2447">
        <v>198.94</v>
      </c>
      <c r="Q2447">
        <v>61.31</v>
      </c>
      <c r="R2447">
        <v>132.91</v>
      </c>
      <c r="S2447">
        <v>139.92</v>
      </c>
    </row>
    <row r="2448" spans="1:19">
      <c r="A2448" s="1">
        <v>45922</v>
      </c>
      <c r="B2448" t="s">
        <v>1063</v>
      </c>
      <c r="C2448" t="s">
        <v>1082</v>
      </c>
      <c r="D2448">
        <v>18.0476</v>
      </c>
      <c r="E2448">
        <v>19.534</v>
      </c>
      <c r="F2448">
        <v>0.082359981382566</v>
      </c>
      <c r="G2448">
        <f ca="1" t="shared" si="114"/>
        <v>1.03269807770218</v>
      </c>
      <c r="H2448" t="str">
        <f ca="1" t="shared" si="115"/>
        <v>Risk-On</v>
      </c>
      <c r="I2448">
        <f ca="1" t="shared" si="116"/>
        <v>1</v>
      </c>
      <c r="J2448">
        <f>_xlfn.XLOOKUP($A2448,[1]Sheet1!$B$9:$B$2584,[1]Sheet1!$C$9:$C$2584,"N/A",0)</f>
        <v>105.71</v>
      </c>
      <c r="K2448">
        <f>_xlfn.XLOOKUP($A2448,[1]Sheet1!$E$9:$E$2584,[1]Sheet1!$F$9:$F$2584,"N/A",0)</f>
        <v>199.34</v>
      </c>
      <c r="L2448">
        <f>_xlfn.XLOOKUP($A2448,[1]Sheet1!$H$9:$H$2584,[1]Sheet1!$I$9:$I$2584,"N/A",0)</f>
        <v>61.12</v>
      </c>
      <c r="M2448">
        <f>_xlfn.XLOOKUP($A2448,[1]Sheet1!$K$9:$K$2584,[1]Sheet1!$L$9:$L$2584,"N/A",0)</f>
        <v>140</v>
      </c>
      <c r="N2448">
        <f>_xlfn.XLOOKUP($A2448,[1]Sheet1!$N$9:$N$2584,[1]Sheet1!$O$9:$O$2584,"N/A",0)</f>
        <v>132.34</v>
      </c>
      <c r="O2448">
        <v>105.71</v>
      </c>
      <c r="P2448">
        <v>199.34</v>
      </c>
      <c r="Q2448">
        <v>61.12</v>
      </c>
      <c r="R2448">
        <v>132.34</v>
      </c>
      <c r="S2448">
        <v>140</v>
      </c>
    </row>
    <row r="2449" spans="1:19">
      <c r="A2449" s="1">
        <v>45923</v>
      </c>
      <c r="B2449" t="s">
        <v>1063</v>
      </c>
      <c r="C2449" t="s">
        <v>1082</v>
      </c>
      <c r="D2449">
        <v>18.34</v>
      </c>
      <c r="E2449">
        <v>19.708</v>
      </c>
      <c r="F2449">
        <v>0.0745910577971645</v>
      </c>
      <c r="G2449">
        <f ca="1" t="shared" si="114"/>
        <v>0.910234573837965</v>
      </c>
      <c r="H2449" t="str">
        <f ca="1" t="shared" si="115"/>
        <v>Risk-On</v>
      </c>
      <c r="I2449">
        <f ca="1" t="shared" si="116"/>
        <v>1</v>
      </c>
      <c r="J2449">
        <f>_xlfn.XLOOKUP($A2449,[1]Sheet1!$B$9:$B$2584,[1]Sheet1!$C$9:$C$2584,"N/A",0)</f>
        <v>104.85</v>
      </c>
      <c r="K2449">
        <f>_xlfn.XLOOKUP($A2449,[1]Sheet1!$E$9:$E$2584,[1]Sheet1!$F$9:$F$2584,"N/A",0)</f>
        <v>198.26</v>
      </c>
      <c r="L2449">
        <f>_xlfn.XLOOKUP($A2449,[1]Sheet1!$H$9:$H$2584,[1]Sheet1!$I$9:$I$2584,"N/A",0)</f>
        <v>61.36</v>
      </c>
      <c r="M2449">
        <f>_xlfn.XLOOKUP($A2449,[1]Sheet1!$K$9:$K$2584,[1]Sheet1!$L$9:$L$2584,"N/A",0)</f>
        <v>139.42</v>
      </c>
      <c r="N2449">
        <f>_xlfn.XLOOKUP($A2449,[1]Sheet1!$N$9:$N$2584,[1]Sheet1!$O$9:$O$2584,"N/A",0)</f>
        <v>132.3</v>
      </c>
      <c r="O2449">
        <v>104.85</v>
      </c>
      <c r="P2449">
        <v>198.26</v>
      </c>
      <c r="Q2449">
        <v>61.36</v>
      </c>
      <c r="R2449">
        <v>132.3</v>
      </c>
      <c r="S2449">
        <v>139.42</v>
      </c>
    </row>
    <row r="2450" spans="1:19">
      <c r="A2450" s="1">
        <v>45924</v>
      </c>
      <c r="B2450" t="s">
        <v>1063</v>
      </c>
      <c r="C2450" t="s">
        <v>1082</v>
      </c>
      <c r="D2450">
        <v>18.0413</v>
      </c>
      <c r="E2450">
        <v>19.5247</v>
      </c>
      <c r="F2450">
        <v>0.0822224562531524</v>
      </c>
      <c r="G2450">
        <f ca="1" t="shared" si="114"/>
        <v>1.01019323191517</v>
      </c>
      <c r="H2450" t="str">
        <f ca="1" t="shared" si="115"/>
        <v>Risk-On</v>
      </c>
      <c r="I2450">
        <f ca="1" t="shared" si="116"/>
        <v>1</v>
      </c>
      <c r="J2450">
        <f>_xlfn.XLOOKUP($A2450,[1]Sheet1!$B$9:$B$2584,[1]Sheet1!$C$9:$C$2584,"N/A",0)</f>
        <v>104.79</v>
      </c>
      <c r="K2450">
        <f>_xlfn.XLOOKUP($A2450,[1]Sheet1!$E$9:$E$2584,[1]Sheet1!$F$9:$F$2584,"N/A",0)</f>
        <v>194.81</v>
      </c>
      <c r="L2450">
        <f>_xlfn.XLOOKUP($A2450,[1]Sheet1!$H$9:$H$2584,[1]Sheet1!$I$9:$I$2584,"N/A",0)</f>
        <v>61.56</v>
      </c>
      <c r="M2450">
        <f>_xlfn.XLOOKUP($A2450,[1]Sheet1!$K$9:$K$2584,[1]Sheet1!$L$9:$L$2584,"N/A",0)</f>
        <v>137.77</v>
      </c>
      <c r="N2450">
        <f>_xlfn.XLOOKUP($A2450,[1]Sheet1!$N$9:$N$2584,[1]Sheet1!$O$9:$O$2584,"N/A",0)</f>
        <v>132.92</v>
      </c>
      <c r="O2450">
        <v>104.79</v>
      </c>
      <c r="P2450">
        <v>194.81</v>
      </c>
      <c r="Q2450">
        <v>61.56</v>
      </c>
      <c r="R2450">
        <v>132.92</v>
      </c>
      <c r="S2450">
        <v>137.77</v>
      </c>
    </row>
    <row r="2451" spans="1:19">
      <c r="A2451" s="1">
        <v>45925</v>
      </c>
      <c r="B2451" t="s">
        <v>1063</v>
      </c>
      <c r="C2451" t="s">
        <v>1082</v>
      </c>
      <c r="D2451">
        <v>18.3333</v>
      </c>
      <c r="E2451">
        <v>19.7125</v>
      </c>
      <c r="F2451">
        <v>0.0752292276895047</v>
      </c>
      <c r="G2451">
        <f ca="1" t="shared" si="114"/>
        <v>0.899392872236626</v>
      </c>
      <c r="H2451" t="str">
        <f ca="1" t="shared" si="115"/>
        <v>Risk-On</v>
      </c>
      <c r="I2451">
        <f ca="1" t="shared" si="116"/>
        <v>1</v>
      </c>
      <c r="J2451">
        <f>_xlfn.XLOOKUP($A2451,[1]Sheet1!$B$9:$B$2584,[1]Sheet1!$C$9:$C$2584,"N/A",0)</f>
        <v>104.8</v>
      </c>
      <c r="K2451">
        <f>_xlfn.XLOOKUP($A2451,[1]Sheet1!$E$9:$E$2584,[1]Sheet1!$F$9:$F$2584,"N/A",0)</f>
        <v>195.65</v>
      </c>
      <c r="L2451">
        <f>_xlfn.XLOOKUP($A2451,[1]Sheet1!$H$9:$H$2584,[1]Sheet1!$I$9:$I$2584,"N/A",0)</f>
        <v>61.78</v>
      </c>
      <c r="M2451">
        <f>_xlfn.XLOOKUP($A2451,[1]Sheet1!$K$9:$K$2584,[1]Sheet1!$L$9:$L$2584,"N/A",0)</f>
        <v>137.59</v>
      </c>
      <c r="N2451">
        <f>_xlfn.XLOOKUP($A2451,[1]Sheet1!$N$9:$N$2584,[1]Sheet1!$O$9:$O$2584,"N/A",0)</f>
        <v>132.72</v>
      </c>
      <c r="O2451">
        <v>104.8</v>
      </c>
      <c r="P2451">
        <v>195.65</v>
      </c>
      <c r="Q2451">
        <v>61.78</v>
      </c>
      <c r="R2451">
        <v>132.72</v>
      </c>
      <c r="S2451">
        <v>137.59</v>
      </c>
    </row>
    <row r="2452" spans="1:19">
      <c r="A2452" s="1">
        <v>45926</v>
      </c>
      <c r="B2452" t="s">
        <v>1063</v>
      </c>
      <c r="C2452" t="s">
        <v>1082</v>
      </c>
      <c r="D2452">
        <v>17.4931</v>
      </c>
      <c r="E2452">
        <v>19.0568</v>
      </c>
      <c r="F2452">
        <v>0.089389530729259</v>
      </c>
      <c r="G2452">
        <f ca="1" t="shared" si="114"/>
        <v>1.09169609717266</v>
      </c>
      <c r="H2452" t="str">
        <f ca="1" t="shared" si="115"/>
        <v>Risk-On</v>
      </c>
      <c r="I2452">
        <f ca="1" t="shared" si="116"/>
        <v>1</v>
      </c>
      <c r="J2452">
        <f>_xlfn.XLOOKUP($A2452,[1]Sheet1!$B$9:$B$2584,[1]Sheet1!$C$9:$C$2584,"N/A",0)</f>
        <v>104.84</v>
      </c>
      <c r="K2452">
        <f>_xlfn.XLOOKUP($A2452,[1]Sheet1!$E$9:$E$2584,[1]Sheet1!$F$9:$F$2584,"N/A",0)</f>
        <v>194.85</v>
      </c>
      <c r="L2452">
        <f>_xlfn.XLOOKUP($A2452,[1]Sheet1!$H$9:$H$2584,[1]Sheet1!$I$9:$I$2584,"N/A",0)</f>
        <v>61.51</v>
      </c>
      <c r="M2452">
        <f>_xlfn.XLOOKUP($A2452,[1]Sheet1!$K$9:$K$2584,[1]Sheet1!$L$9:$L$2584,"N/A",0)</f>
        <v>137.83</v>
      </c>
      <c r="N2452">
        <f>_xlfn.XLOOKUP($A2452,[1]Sheet1!$N$9:$N$2584,[1]Sheet1!$O$9:$O$2584,"N/A",0)</f>
        <v>132.46</v>
      </c>
      <c r="O2452">
        <v>104.84</v>
      </c>
      <c r="P2452">
        <v>194.85</v>
      </c>
      <c r="Q2452">
        <v>61.51</v>
      </c>
      <c r="R2452">
        <v>132.46</v>
      </c>
      <c r="S2452">
        <v>137.83</v>
      </c>
    </row>
    <row r="2453" spans="1:19">
      <c r="A2453" s="1">
        <v>45929</v>
      </c>
      <c r="B2453" t="s">
        <v>1063</v>
      </c>
      <c r="C2453" t="s">
        <v>1082</v>
      </c>
      <c r="D2453">
        <v>17.7466</v>
      </c>
      <c r="E2453">
        <v>19.2967</v>
      </c>
      <c r="F2453">
        <v>0.0873463085886874</v>
      </c>
      <c r="G2453">
        <f ca="1" t="shared" si="114"/>
        <v>1.05023629735303</v>
      </c>
      <c r="H2453" t="str">
        <f ca="1" t="shared" si="115"/>
        <v>Risk-On</v>
      </c>
      <c r="I2453">
        <f ca="1" t="shared" si="116"/>
        <v>1</v>
      </c>
      <c r="J2453">
        <f>_xlfn.XLOOKUP($A2453,[1]Sheet1!$B$9:$B$2584,[1]Sheet1!$C$9:$C$2584,"N/A",0)</f>
        <v>104.61</v>
      </c>
      <c r="K2453">
        <f>_xlfn.XLOOKUP($A2453,[1]Sheet1!$E$9:$E$2584,[1]Sheet1!$F$9:$F$2584,"N/A",0)</f>
        <v>196.18</v>
      </c>
      <c r="L2453">
        <f>_xlfn.XLOOKUP($A2453,[1]Sheet1!$H$9:$H$2584,[1]Sheet1!$I$9:$I$2584,"N/A",0)</f>
        <v>61.45</v>
      </c>
      <c r="M2453">
        <f>_xlfn.XLOOKUP($A2453,[1]Sheet1!$K$9:$K$2584,[1]Sheet1!$L$9:$L$2584,"N/A",0)</f>
        <v>136.58</v>
      </c>
      <c r="N2453">
        <f>_xlfn.XLOOKUP($A2453,[1]Sheet1!$N$9:$N$2584,[1]Sheet1!$O$9:$O$2584,"N/A",0)</f>
        <v>133.15</v>
      </c>
      <c r="O2453">
        <v>104.61</v>
      </c>
      <c r="P2453">
        <v>196.18</v>
      </c>
      <c r="Q2453">
        <v>61.45</v>
      </c>
      <c r="R2453">
        <v>133.15</v>
      </c>
      <c r="S2453">
        <v>136.58</v>
      </c>
    </row>
    <row r="2454" spans="1:19">
      <c r="A2454" s="1">
        <v>45930</v>
      </c>
      <c r="B2454" t="s">
        <v>1063</v>
      </c>
      <c r="C2454" t="s">
        <v>1082</v>
      </c>
      <c r="D2454">
        <v>17.588</v>
      </c>
      <c r="E2454">
        <v>19.2492</v>
      </c>
      <c r="F2454">
        <v>0.0944507618831019</v>
      </c>
      <c r="G2454">
        <f ca="1" t="shared" si="114"/>
        <v>1.13918016053856</v>
      </c>
      <c r="H2454" t="str">
        <f ca="1" t="shared" si="115"/>
        <v>Risk-On</v>
      </c>
      <c r="I2454">
        <f ca="1" t="shared" si="116"/>
        <v>1</v>
      </c>
      <c r="J2454">
        <f>_xlfn.XLOOKUP($A2454,[1]Sheet1!$B$9:$B$2584,[1]Sheet1!$C$9:$C$2584,"N/A",0)</f>
        <v>103.97</v>
      </c>
      <c r="K2454">
        <f>_xlfn.XLOOKUP($A2454,[1]Sheet1!$E$9:$E$2584,[1]Sheet1!$F$9:$F$2584,"N/A",0)</f>
        <v>196.57</v>
      </c>
      <c r="L2454">
        <f>_xlfn.XLOOKUP($A2454,[1]Sheet1!$H$9:$H$2584,[1]Sheet1!$I$9:$I$2584,"N/A",0)</f>
        <v>61.79</v>
      </c>
      <c r="M2454">
        <f>_xlfn.XLOOKUP($A2454,[1]Sheet1!$K$9:$K$2584,[1]Sheet1!$L$9:$L$2584,"N/A",0)</f>
        <v>136.03</v>
      </c>
      <c r="N2454">
        <f>_xlfn.XLOOKUP($A2454,[1]Sheet1!$N$9:$N$2584,[1]Sheet1!$O$9:$O$2584,"N/A",0)</f>
        <v>133.49</v>
      </c>
      <c r="O2454">
        <v>103.97</v>
      </c>
      <c r="P2454">
        <v>196.57</v>
      </c>
      <c r="Q2454">
        <v>61.79</v>
      </c>
      <c r="R2454">
        <v>133.49</v>
      </c>
      <c r="S2454">
        <v>136.03</v>
      </c>
    </row>
    <row r="2455" spans="1:19">
      <c r="A2455" s="1">
        <v>45931</v>
      </c>
      <c r="B2455" t="s">
        <v>1063</v>
      </c>
      <c r="C2455" t="s">
        <v>1082</v>
      </c>
      <c r="D2455">
        <v>17.5014</v>
      </c>
      <c r="E2455">
        <v>19.1491</v>
      </c>
      <c r="F2455">
        <v>0.0941467539739678</v>
      </c>
      <c r="G2455">
        <f ca="1" t="shared" si="114"/>
        <v>1.12131280984354</v>
      </c>
      <c r="H2455" t="str">
        <f ca="1" t="shared" si="115"/>
        <v>Risk-On</v>
      </c>
      <c r="I2455">
        <f ca="1" t="shared" si="116"/>
        <v>1</v>
      </c>
      <c r="J2455">
        <f>_xlfn.XLOOKUP($A2455,[1]Sheet1!$B$9:$B$2584,[1]Sheet1!$C$9:$C$2584,"N/A",0)</f>
        <v>103.54</v>
      </c>
      <c r="K2455">
        <f>_xlfn.XLOOKUP($A2455,[1]Sheet1!$E$9:$E$2584,[1]Sheet1!$F$9:$F$2584,"N/A",0)</f>
        <v>194.74</v>
      </c>
      <c r="L2455">
        <f>_xlfn.XLOOKUP($A2455,[1]Sheet1!$H$9:$H$2584,[1]Sheet1!$I$9:$I$2584,"N/A",0)</f>
        <v>62.27</v>
      </c>
      <c r="M2455">
        <f>_xlfn.XLOOKUP($A2455,[1]Sheet1!$K$9:$K$2584,[1]Sheet1!$L$9:$L$2584,"N/A",0)</f>
        <v>135.24</v>
      </c>
      <c r="N2455">
        <f>_xlfn.XLOOKUP($A2455,[1]Sheet1!$N$9:$N$2584,[1]Sheet1!$O$9:$O$2584,"N/A",0)</f>
        <v>134.86</v>
      </c>
      <c r="O2455">
        <v>103.54</v>
      </c>
      <c r="P2455">
        <v>194.74</v>
      </c>
      <c r="Q2455">
        <v>62.27</v>
      </c>
      <c r="R2455">
        <v>134.86</v>
      </c>
      <c r="S2455">
        <v>135.24</v>
      </c>
    </row>
    <row r="2456" spans="1:19">
      <c r="A2456" s="1">
        <v>45932</v>
      </c>
      <c r="B2456" t="s">
        <v>1063</v>
      </c>
      <c r="C2456" t="s">
        <v>1082</v>
      </c>
      <c r="D2456">
        <v>17.842</v>
      </c>
      <c r="E2456">
        <v>19.3483</v>
      </c>
      <c r="F2456">
        <v>0.0844243918843178</v>
      </c>
      <c r="G2456">
        <f ca="1" t="shared" si="114"/>
        <v>0.970582312472253</v>
      </c>
      <c r="H2456" t="str">
        <f ca="1" t="shared" si="115"/>
        <v>Risk-On</v>
      </c>
      <c r="I2456">
        <f ca="1" t="shared" si="116"/>
        <v>1</v>
      </c>
      <c r="J2456">
        <f>_xlfn.XLOOKUP($A2456,[1]Sheet1!$B$9:$B$2584,[1]Sheet1!$C$9:$C$2584,"N/A",0)</f>
        <v>103.37</v>
      </c>
      <c r="K2456">
        <f>_xlfn.XLOOKUP($A2456,[1]Sheet1!$E$9:$E$2584,[1]Sheet1!$F$9:$F$2584,"N/A",0)</f>
        <v>195.06</v>
      </c>
      <c r="L2456">
        <f>_xlfn.XLOOKUP($A2456,[1]Sheet1!$H$9:$H$2584,[1]Sheet1!$I$9:$I$2584,"N/A",0)</f>
        <v>61.71</v>
      </c>
      <c r="M2456">
        <f>_xlfn.XLOOKUP($A2456,[1]Sheet1!$K$9:$K$2584,[1]Sheet1!$L$9:$L$2584,"N/A",0)</f>
        <v>135.24</v>
      </c>
      <c r="N2456">
        <f>_xlfn.XLOOKUP($A2456,[1]Sheet1!$N$9:$N$2584,[1]Sheet1!$O$9:$O$2584,"N/A",0)</f>
        <v>135</v>
      </c>
      <c r="O2456">
        <v>103.37</v>
      </c>
      <c r="P2456">
        <v>195.06</v>
      </c>
      <c r="Q2456">
        <v>61.71</v>
      </c>
      <c r="R2456">
        <v>135</v>
      </c>
      <c r="S2456">
        <v>135.24</v>
      </c>
    </row>
    <row r="2457" spans="1:19">
      <c r="A2457" s="1">
        <v>45933</v>
      </c>
      <c r="B2457" t="s">
        <v>1063</v>
      </c>
      <c r="C2457" t="s">
        <v>1082</v>
      </c>
      <c r="D2457">
        <v>17.7273</v>
      </c>
      <c r="E2457">
        <v>19.2466</v>
      </c>
      <c r="F2457">
        <v>0.08570397071184</v>
      </c>
      <c r="G2457">
        <f ca="1" t="shared" si="114"/>
        <v>0.977246122966508</v>
      </c>
      <c r="H2457" t="str">
        <f ca="1" t="shared" si="115"/>
        <v>Risk-On</v>
      </c>
      <c r="I2457">
        <f ca="1" t="shared" si="116"/>
        <v>1</v>
      </c>
      <c r="J2457">
        <f>_xlfn.XLOOKUP($A2457,[1]Sheet1!$B$9:$B$2584,[1]Sheet1!$C$9:$C$2584,"N/A",0)</f>
        <v>103.05</v>
      </c>
      <c r="K2457">
        <f>_xlfn.XLOOKUP($A2457,[1]Sheet1!$E$9:$E$2584,[1]Sheet1!$F$9:$F$2584,"N/A",0)</f>
        <v>192.13</v>
      </c>
      <c r="L2457">
        <f>_xlfn.XLOOKUP($A2457,[1]Sheet1!$H$9:$H$2584,[1]Sheet1!$I$9:$I$2584,"N/A",0)</f>
        <v>62.03</v>
      </c>
      <c r="M2457">
        <f>_xlfn.XLOOKUP($A2457,[1]Sheet1!$K$9:$K$2584,[1]Sheet1!$L$9:$L$2584,"N/A",0)</f>
        <v>134.72</v>
      </c>
      <c r="N2457">
        <f>_xlfn.XLOOKUP($A2457,[1]Sheet1!$N$9:$N$2584,[1]Sheet1!$O$9:$O$2584,"N/A",0)</f>
        <v>134.78</v>
      </c>
      <c r="O2457">
        <v>103.05</v>
      </c>
      <c r="P2457">
        <v>192.13</v>
      </c>
      <c r="Q2457">
        <v>62.03</v>
      </c>
      <c r="R2457">
        <v>134.78</v>
      </c>
      <c r="S2457">
        <v>134.72</v>
      </c>
    </row>
    <row r="2458" spans="1:19">
      <c r="A2458" s="1">
        <v>45936</v>
      </c>
      <c r="B2458" t="s">
        <v>1063</v>
      </c>
      <c r="C2458" t="s">
        <v>1082</v>
      </c>
      <c r="D2458">
        <v>17.602</v>
      </c>
      <c r="E2458">
        <v>19.1017</v>
      </c>
      <c r="F2458">
        <v>0.085200545392569</v>
      </c>
      <c r="G2458">
        <f ca="1" t="shared" si="114"/>
        <v>0.958643528456511</v>
      </c>
      <c r="H2458" t="str">
        <f ca="1" t="shared" si="115"/>
        <v>Risk-On</v>
      </c>
      <c r="I2458">
        <f ca="1" t="shared" si="116"/>
        <v>1</v>
      </c>
      <c r="J2458">
        <f>_xlfn.XLOOKUP($A2458,[1]Sheet1!$B$9:$B$2584,[1]Sheet1!$C$9:$C$2584,"N/A",0)</f>
        <v>103.21</v>
      </c>
      <c r="K2458">
        <f>_xlfn.XLOOKUP($A2458,[1]Sheet1!$E$9:$E$2584,[1]Sheet1!$F$9:$F$2584,"N/A",0)</f>
        <v>192.85</v>
      </c>
      <c r="L2458">
        <f>_xlfn.XLOOKUP($A2458,[1]Sheet1!$H$9:$H$2584,[1]Sheet1!$I$9:$I$2584,"N/A",0)</f>
        <v>62.07</v>
      </c>
      <c r="M2458">
        <f>_xlfn.XLOOKUP($A2458,[1]Sheet1!$K$9:$K$2584,[1]Sheet1!$L$9:$L$2584,"N/A",0)</f>
        <v>133.75</v>
      </c>
      <c r="N2458">
        <f>_xlfn.XLOOKUP($A2458,[1]Sheet1!$N$9:$N$2584,[1]Sheet1!$O$9:$O$2584,"N/A",0)</f>
        <v>135.23</v>
      </c>
      <c r="O2458">
        <v>103.21</v>
      </c>
      <c r="P2458">
        <v>192.85</v>
      </c>
      <c r="Q2458">
        <v>62.07</v>
      </c>
      <c r="R2458">
        <v>135.23</v>
      </c>
      <c r="S2458">
        <v>133.75</v>
      </c>
    </row>
    <row r="2459" spans="1:19">
      <c r="A2459" s="1">
        <v>45937</v>
      </c>
      <c r="B2459" t="s">
        <v>1063</v>
      </c>
      <c r="C2459" t="s">
        <v>1082</v>
      </c>
      <c r="D2459">
        <v>18.1013</v>
      </c>
      <c r="E2459">
        <v>19.491</v>
      </c>
      <c r="F2459">
        <v>0.0767734914066946</v>
      </c>
      <c r="G2459">
        <f ca="1" t="shared" si="114"/>
        <v>0.82814430285375</v>
      </c>
      <c r="H2459" t="str">
        <f ca="1" t="shared" si="115"/>
        <v>Risk-On</v>
      </c>
      <c r="I2459">
        <f ca="1" t="shared" si="116"/>
        <v>1</v>
      </c>
      <c r="J2459">
        <f>_xlfn.XLOOKUP($A2459,[1]Sheet1!$B$9:$B$2584,[1]Sheet1!$C$9:$C$2584,"N/A",0)</f>
        <v>103.26</v>
      </c>
      <c r="K2459">
        <f>_xlfn.XLOOKUP($A2459,[1]Sheet1!$E$9:$E$2584,[1]Sheet1!$F$9:$F$2584,"N/A",0)</f>
        <v>193.84</v>
      </c>
      <c r="L2459">
        <f>_xlfn.XLOOKUP($A2459,[1]Sheet1!$H$9:$H$2584,[1]Sheet1!$I$9:$I$2584,"N/A",0)</f>
        <v>61.94</v>
      </c>
      <c r="M2459">
        <f>_xlfn.XLOOKUP($A2459,[1]Sheet1!$K$9:$K$2584,[1]Sheet1!$L$9:$L$2584,"N/A",0)</f>
        <v>134.02</v>
      </c>
      <c r="N2459">
        <f>_xlfn.XLOOKUP($A2459,[1]Sheet1!$N$9:$N$2584,[1]Sheet1!$O$9:$O$2584,"N/A",0)</f>
        <v>135.69</v>
      </c>
      <c r="O2459">
        <v>103.26</v>
      </c>
      <c r="P2459">
        <v>193.84</v>
      </c>
      <c r="Q2459">
        <v>61.94</v>
      </c>
      <c r="R2459">
        <v>135.69</v>
      </c>
      <c r="S2459">
        <v>134.02</v>
      </c>
    </row>
    <row r="2460" spans="1:19">
      <c r="A2460" s="1">
        <v>45938</v>
      </c>
      <c r="B2460" t="s">
        <v>1063</v>
      </c>
      <c r="C2460" t="s">
        <v>1082</v>
      </c>
      <c r="D2460">
        <v>17.6497</v>
      </c>
      <c r="E2460">
        <v>19.2059</v>
      </c>
      <c r="F2460">
        <v>0.0881714703366063</v>
      </c>
      <c r="G2460">
        <f ca="1" t="shared" si="114"/>
        <v>0.979523358606807</v>
      </c>
      <c r="H2460" t="str">
        <f ca="1" t="shared" si="115"/>
        <v>Risk-On</v>
      </c>
      <c r="I2460">
        <f ca="1" t="shared" si="116"/>
        <v>1</v>
      </c>
      <c r="J2460">
        <f>_xlfn.XLOOKUP($A2460,[1]Sheet1!$B$9:$B$2584,[1]Sheet1!$C$9:$C$2584,"N/A",0)</f>
        <v>103.4</v>
      </c>
      <c r="K2460">
        <f>_xlfn.XLOOKUP($A2460,[1]Sheet1!$E$9:$E$2584,[1]Sheet1!$F$9:$F$2584,"N/A",0)</f>
        <v>194.78</v>
      </c>
      <c r="L2460">
        <f>_xlfn.XLOOKUP($A2460,[1]Sheet1!$H$9:$H$2584,[1]Sheet1!$I$9:$I$2584,"N/A",0)</f>
        <v>61.64</v>
      </c>
      <c r="M2460">
        <f>_xlfn.XLOOKUP($A2460,[1]Sheet1!$K$9:$K$2584,[1]Sheet1!$L$9:$L$2584,"N/A",0)</f>
        <v>133.27</v>
      </c>
      <c r="N2460">
        <f>_xlfn.XLOOKUP($A2460,[1]Sheet1!$N$9:$N$2584,[1]Sheet1!$O$9:$O$2584,"N/A",0)</f>
        <v>135.26</v>
      </c>
      <c r="O2460">
        <v>103.4</v>
      </c>
      <c r="P2460">
        <v>194.78</v>
      </c>
      <c r="Q2460">
        <v>61.64</v>
      </c>
      <c r="R2460">
        <v>135.26</v>
      </c>
      <c r="S2460">
        <v>133.27</v>
      </c>
    </row>
    <row r="2461" spans="1:19">
      <c r="A2461" s="1">
        <v>45939</v>
      </c>
      <c r="B2461" t="s">
        <v>1063</v>
      </c>
      <c r="C2461" t="s">
        <v>1082</v>
      </c>
      <c r="D2461">
        <v>17.7004</v>
      </c>
      <c r="E2461">
        <v>19.2535</v>
      </c>
      <c r="F2461">
        <v>0.0877437798015864</v>
      </c>
      <c r="G2461">
        <f ca="1" t="shared" si="114"/>
        <v>0.962528114068837</v>
      </c>
      <c r="H2461" t="str">
        <f ca="1" t="shared" si="115"/>
        <v>Risk-On</v>
      </c>
      <c r="I2461">
        <f ca="1" t="shared" si="116"/>
        <v>1</v>
      </c>
      <c r="J2461">
        <f>_xlfn.XLOOKUP($A2461,[1]Sheet1!$B$9:$B$2584,[1]Sheet1!$C$9:$C$2584,"N/A",0)</f>
        <v>103.06</v>
      </c>
      <c r="K2461">
        <f>_xlfn.XLOOKUP($A2461,[1]Sheet1!$E$9:$E$2584,[1]Sheet1!$F$9:$F$2584,"N/A",0)</f>
        <v>196.29</v>
      </c>
      <c r="L2461">
        <f>_xlfn.XLOOKUP($A2461,[1]Sheet1!$H$9:$H$2584,[1]Sheet1!$I$9:$I$2584,"N/A",0)</f>
        <v>61.21</v>
      </c>
      <c r="M2461">
        <f>_xlfn.XLOOKUP($A2461,[1]Sheet1!$K$9:$K$2584,[1]Sheet1!$L$9:$L$2584,"N/A",0)</f>
        <v>133.69</v>
      </c>
      <c r="N2461">
        <f>_xlfn.XLOOKUP($A2461,[1]Sheet1!$N$9:$N$2584,[1]Sheet1!$O$9:$O$2584,"N/A",0)</f>
        <v>135.61</v>
      </c>
      <c r="O2461">
        <v>103.06</v>
      </c>
      <c r="P2461">
        <v>196.29</v>
      </c>
      <c r="Q2461">
        <v>61.21</v>
      </c>
      <c r="R2461">
        <v>135.61</v>
      </c>
      <c r="S2461">
        <v>133.69</v>
      </c>
    </row>
    <row r="2462" spans="1:19">
      <c r="A2462" s="1">
        <v>45940</v>
      </c>
      <c r="B2462" t="s">
        <v>1063</v>
      </c>
      <c r="C2462" t="s">
        <v>1082</v>
      </c>
      <c r="D2462">
        <v>21.0095</v>
      </c>
      <c r="E2462">
        <v>21.2344</v>
      </c>
      <c r="F2462" s="2" t="s">
        <v>1083</v>
      </c>
      <c r="G2462">
        <f ca="1" t="shared" si="114"/>
        <v>-0.146083232354453</v>
      </c>
      <c r="H2462" t="str">
        <f ca="1" t="shared" si="115"/>
        <v>Risk-On</v>
      </c>
      <c r="I2462">
        <f ca="1" t="shared" si="116"/>
        <v>1</v>
      </c>
      <c r="J2462">
        <f>_xlfn.XLOOKUP($A2462,[1]Sheet1!$B$9:$B$2584,[1]Sheet1!$C$9:$C$2584,"N/A",0)</f>
        <v>103.56</v>
      </c>
      <c r="K2462">
        <f>_xlfn.XLOOKUP($A2462,[1]Sheet1!$E$9:$E$2584,[1]Sheet1!$F$9:$F$2584,"N/A",0)</f>
        <v>197.56</v>
      </c>
      <c r="L2462">
        <f>_xlfn.XLOOKUP($A2462,[1]Sheet1!$H$9:$H$2584,[1]Sheet1!$I$9:$I$2584,"N/A",0)</f>
        <v>60.74</v>
      </c>
      <c r="M2462">
        <f>_xlfn.XLOOKUP($A2462,[1]Sheet1!$K$9:$K$2584,[1]Sheet1!$L$9:$L$2584,"N/A",0)</f>
        <v>133.95</v>
      </c>
      <c r="N2462">
        <f>_xlfn.XLOOKUP($A2462,[1]Sheet1!$N$9:$N$2584,[1]Sheet1!$O$9:$O$2584,"N/A",0)</f>
        <v>135.22</v>
      </c>
      <c r="O2462">
        <v>103.56</v>
      </c>
      <c r="P2462">
        <v>197.56</v>
      </c>
      <c r="Q2462">
        <v>60.74</v>
      </c>
      <c r="R2462">
        <v>135.22</v>
      </c>
      <c r="S2462">
        <v>133.95</v>
      </c>
    </row>
    <row r="2463" spans="1:19">
      <c r="A2463" s="1">
        <v>45943</v>
      </c>
      <c r="B2463" t="s">
        <v>1063</v>
      </c>
      <c r="C2463" t="s">
        <v>1082</v>
      </c>
      <c r="D2463">
        <v>19.0245</v>
      </c>
      <c r="E2463">
        <v>19.6943</v>
      </c>
      <c r="F2463">
        <v>0.0352072327787851</v>
      </c>
      <c r="G2463">
        <f ca="1" t="shared" si="114"/>
        <v>0.195410697635001</v>
      </c>
      <c r="H2463" t="str">
        <f ca="1" t="shared" si="115"/>
        <v>Risk-On</v>
      </c>
      <c r="I2463">
        <f ca="1" t="shared" si="116"/>
        <v>1</v>
      </c>
      <c r="J2463">
        <f>_xlfn.XLOOKUP($A2463,[1]Sheet1!$B$9:$B$2584,[1]Sheet1!$C$9:$C$2584,"N/A",0)</f>
        <v>103.92</v>
      </c>
      <c r="K2463">
        <f>_xlfn.XLOOKUP($A2463,[1]Sheet1!$E$9:$E$2584,[1]Sheet1!$F$9:$F$2584,"N/A",0)</f>
        <v>198.04</v>
      </c>
      <c r="L2463">
        <f>_xlfn.XLOOKUP($A2463,[1]Sheet1!$H$9:$H$2584,[1]Sheet1!$I$9:$I$2584,"N/A",0)</f>
        <v>60.7</v>
      </c>
      <c r="M2463">
        <f>_xlfn.XLOOKUP($A2463,[1]Sheet1!$K$9:$K$2584,[1]Sheet1!$L$9:$L$2584,"N/A",0)</f>
        <v>133.59</v>
      </c>
      <c r="N2463">
        <f>_xlfn.XLOOKUP($A2463,[1]Sheet1!$N$9:$N$2584,[1]Sheet1!$O$9:$O$2584,"N/A",0)</f>
        <v>134.69</v>
      </c>
      <c r="O2463">
        <v>103.92</v>
      </c>
      <c r="P2463">
        <v>198.04</v>
      </c>
      <c r="Q2463">
        <v>60.7</v>
      </c>
      <c r="R2463">
        <v>134.69</v>
      </c>
      <c r="S2463">
        <v>133.59</v>
      </c>
    </row>
    <row r="2464" spans="1:19">
      <c r="A2464" s="1">
        <v>45944</v>
      </c>
      <c r="B2464" t="s">
        <v>1063</v>
      </c>
      <c r="C2464" t="s">
        <v>1082</v>
      </c>
      <c r="D2464">
        <v>20.2857</v>
      </c>
      <c r="E2464">
        <v>20.4843</v>
      </c>
      <c r="F2464">
        <v>0.00979014773954078</v>
      </c>
      <c r="G2464">
        <f ca="1" t="shared" si="114"/>
        <v>-0.179166187389119</v>
      </c>
      <c r="H2464" t="str">
        <f ca="1" t="shared" si="115"/>
        <v>Risk-On</v>
      </c>
      <c r="I2464">
        <f ca="1" t="shared" si="116"/>
        <v>1</v>
      </c>
      <c r="J2464">
        <f>_xlfn.XLOOKUP($A2464,[1]Sheet1!$B$9:$B$2584,[1]Sheet1!$C$9:$C$2584,"N/A",0)</f>
        <v>104.09</v>
      </c>
      <c r="K2464">
        <f>_xlfn.XLOOKUP($A2464,[1]Sheet1!$E$9:$E$2584,[1]Sheet1!$F$9:$F$2584,"N/A",0)</f>
        <v>197.66</v>
      </c>
      <c r="L2464">
        <f>_xlfn.XLOOKUP($A2464,[1]Sheet1!$H$9:$H$2584,[1]Sheet1!$I$9:$I$2584,"N/A",0)</f>
        <v>61.14</v>
      </c>
      <c r="M2464">
        <f>_xlfn.XLOOKUP($A2464,[1]Sheet1!$K$9:$K$2584,[1]Sheet1!$L$9:$L$2584,"N/A",0)</f>
        <v>133.73</v>
      </c>
      <c r="N2464">
        <f>_xlfn.XLOOKUP($A2464,[1]Sheet1!$N$9:$N$2584,[1]Sheet1!$O$9:$O$2584,"N/A",0)</f>
        <v>133.84</v>
      </c>
      <c r="O2464">
        <v>104.09</v>
      </c>
      <c r="P2464">
        <v>197.66</v>
      </c>
      <c r="Q2464">
        <v>61.14</v>
      </c>
      <c r="R2464">
        <v>133.84</v>
      </c>
      <c r="S2464">
        <v>133.73</v>
      </c>
    </row>
    <row r="2465" spans="1:19">
      <c r="A2465" s="1">
        <v>45945</v>
      </c>
      <c r="B2465" t="s">
        <v>1063</v>
      </c>
      <c r="C2465" t="s">
        <v>1082</v>
      </c>
      <c r="D2465">
        <v>20.7228</v>
      </c>
      <c r="E2465">
        <v>20.6812</v>
      </c>
      <c r="F2465">
        <v>-0.0020074507305962</v>
      </c>
      <c r="G2465">
        <f ca="1" t="shared" si="114"/>
        <v>-0.359464728890824</v>
      </c>
      <c r="H2465" t="str">
        <f ca="1" t="shared" si="115"/>
        <v>Risk-On</v>
      </c>
      <c r="I2465">
        <f ca="1" t="shared" si="116"/>
        <v>1</v>
      </c>
      <c r="J2465">
        <f>_xlfn.XLOOKUP($A2465,[1]Sheet1!$B$9:$B$2584,[1]Sheet1!$C$9:$C$2584,"N/A",0)</f>
        <v>103.79</v>
      </c>
      <c r="K2465">
        <f>_xlfn.XLOOKUP($A2465,[1]Sheet1!$E$9:$E$2584,[1]Sheet1!$F$9:$F$2584,"N/A",0)</f>
        <v>200.15</v>
      </c>
      <c r="L2465">
        <f>_xlfn.XLOOKUP($A2465,[1]Sheet1!$H$9:$H$2584,[1]Sheet1!$I$9:$I$2584,"N/A",0)</f>
        <v>61.35</v>
      </c>
      <c r="M2465">
        <f>_xlfn.XLOOKUP($A2465,[1]Sheet1!$K$9:$K$2584,[1]Sheet1!$L$9:$L$2584,"N/A",0)</f>
        <v>133.33</v>
      </c>
      <c r="N2465">
        <f>_xlfn.XLOOKUP($A2465,[1]Sheet1!$N$9:$N$2584,[1]Sheet1!$O$9:$O$2584,"N/A",0)</f>
        <v>133.56</v>
      </c>
      <c r="O2465">
        <v>103.79</v>
      </c>
      <c r="P2465">
        <v>200.15</v>
      </c>
      <c r="Q2465">
        <v>61.35</v>
      </c>
      <c r="R2465">
        <v>133.56</v>
      </c>
      <c r="S2465">
        <v>133.33</v>
      </c>
    </row>
    <row r="2466" spans="1:19">
      <c r="A2466" s="1">
        <v>45946</v>
      </c>
      <c r="B2466" t="s">
        <v>1063</v>
      </c>
      <c r="C2466" t="s">
        <v>1082</v>
      </c>
      <c r="D2466">
        <v>24.0259</v>
      </c>
      <c r="E2466">
        <v>22.4142</v>
      </c>
      <c r="F2466">
        <v>-0.067081774251953</v>
      </c>
      <c r="G2466">
        <f ca="1" t="shared" si="114"/>
        <v>-1.31628042927686</v>
      </c>
      <c r="H2466" t="str">
        <f ca="1" t="shared" si="115"/>
        <v>Risk-On</v>
      </c>
      <c r="I2466">
        <f ca="1" t="shared" si="116"/>
        <v>1</v>
      </c>
      <c r="J2466">
        <f>_xlfn.XLOOKUP($A2466,[1]Sheet1!$B$9:$B$2584,[1]Sheet1!$C$9:$C$2584,"N/A",0)</f>
        <v>103.44</v>
      </c>
      <c r="K2466">
        <f>_xlfn.XLOOKUP($A2466,[1]Sheet1!$E$9:$E$2584,[1]Sheet1!$F$9:$F$2584,"N/A",0)</f>
        <v>199.88</v>
      </c>
      <c r="L2466">
        <f>_xlfn.XLOOKUP($A2466,[1]Sheet1!$H$9:$H$2584,[1]Sheet1!$I$9:$I$2584,"N/A",0)</f>
        <v>61.39</v>
      </c>
      <c r="M2466">
        <f>_xlfn.XLOOKUP($A2466,[1]Sheet1!$K$9:$K$2584,[1]Sheet1!$L$9:$L$2584,"N/A",0)</f>
        <v>133.66</v>
      </c>
      <c r="N2466">
        <f>_xlfn.XLOOKUP($A2466,[1]Sheet1!$N$9:$N$2584,[1]Sheet1!$O$9:$O$2584,"N/A",0)</f>
        <v>134.1</v>
      </c>
      <c r="O2466">
        <v>103.44</v>
      </c>
      <c r="P2466">
        <v>199.88</v>
      </c>
      <c r="Q2466">
        <v>61.39</v>
      </c>
      <c r="R2466">
        <v>134.1</v>
      </c>
      <c r="S2466">
        <v>133.66</v>
      </c>
    </row>
    <row r="2467" spans="1:19">
      <c r="A2467" s="1">
        <v>45947</v>
      </c>
      <c r="B2467" t="s">
        <v>1063</v>
      </c>
      <c r="C2467" t="s">
        <v>1082</v>
      </c>
      <c r="D2467">
        <v>20.9137</v>
      </c>
      <c r="E2467">
        <v>20.7096</v>
      </c>
      <c r="F2467">
        <v>-0.00975915309103604</v>
      </c>
      <c r="G2467">
        <f ca="1" t="shared" si="114"/>
        <v>-0.482813951712249</v>
      </c>
      <c r="H2467" t="str">
        <f ca="1" t="shared" si="115"/>
        <v>Risk-On</v>
      </c>
      <c r="I2467">
        <f ca="1" t="shared" si="116"/>
        <v>1</v>
      </c>
      <c r="J2467">
        <f>_xlfn.XLOOKUP($A2467,[1]Sheet1!$B$9:$B$2584,[1]Sheet1!$C$9:$C$2584,"N/A",0)</f>
        <v>102.79</v>
      </c>
      <c r="K2467">
        <f>_xlfn.XLOOKUP($A2467,[1]Sheet1!$E$9:$E$2584,[1]Sheet1!$F$9:$F$2584,"N/A",0)</f>
        <v>198.13</v>
      </c>
      <c r="L2467">
        <f>_xlfn.XLOOKUP($A2467,[1]Sheet1!$H$9:$H$2584,[1]Sheet1!$I$9:$I$2584,"N/A",0)</f>
        <v>61.01</v>
      </c>
      <c r="M2467">
        <f>_xlfn.XLOOKUP($A2467,[1]Sheet1!$K$9:$K$2584,[1]Sheet1!$L$9:$L$2584,"N/A",0)</f>
        <v>134.07</v>
      </c>
      <c r="N2467">
        <f>_xlfn.XLOOKUP($A2467,[1]Sheet1!$N$9:$N$2584,[1]Sheet1!$O$9:$O$2584,"N/A",0)</f>
        <v>134.72</v>
      </c>
      <c r="O2467">
        <v>102.79</v>
      </c>
      <c r="P2467">
        <v>198.13</v>
      </c>
      <c r="Q2467">
        <v>61.01</v>
      </c>
      <c r="R2467">
        <v>134.72</v>
      </c>
      <c r="S2467">
        <v>134.07</v>
      </c>
    </row>
    <row r="2468" spans="1:19">
      <c r="A2468" s="1">
        <v>45950</v>
      </c>
      <c r="B2468" t="s">
        <v>1063</v>
      </c>
      <c r="C2468" t="s">
        <v>1082</v>
      </c>
      <c r="D2468">
        <v>18.4487</v>
      </c>
      <c r="E2468">
        <v>19.1805</v>
      </c>
      <c r="F2468" s="2" t="s">
        <v>1084</v>
      </c>
      <c r="G2468">
        <f ca="1" t="shared" si="114"/>
        <v>0.23316714797222</v>
      </c>
      <c r="H2468" t="str">
        <f ca="1" t="shared" si="115"/>
        <v>Risk-On</v>
      </c>
      <c r="I2468">
        <f ca="1" t="shared" si="116"/>
        <v>1</v>
      </c>
      <c r="J2468">
        <f>_xlfn.XLOOKUP($A2468,[1]Sheet1!$B$9:$B$2584,[1]Sheet1!$C$9:$C$2584,"N/A",0)</f>
        <v>102.83</v>
      </c>
      <c r="K2468">
        <f>_xlfn.XLOOKUP($A2468,[1]Sheet1!$E$9:$E$2584,[1]Sheet1!$F$9:$F$2584,"N/A",0)</f>
        <v>198.18</v>
      </c>
      <c r="L2468">
        <f>_xlfn.XLOOKUP($A2468,[1]Sheet1!$H$9:$H$2584,[1]Sheet1!$I$9:$I$2584,"N/A",0)</f>
        <v>61.2</v>
      </c>
      <c r="M2468">
        <f>_xlfn.XLOOKUP($A2468,[1]Sheet1!$K$9:$K$2584,[1]Sheet1!$L$9:$L$2584,"N/A",0)</f>
        <v>134.13</v>
      </c>
      <c r="N2468">
        <f>_xlfn.XLOOKUP($A2468,[1]Sheet1!$N$9:$N$2584,[1]Sheet1!$O$9:$O$2584,"N/A",0)</f>
        <v>133.71</v>
      </c>
      <c r="O2468">
        <v>102.83</v>
      </c>
      <c r="P2468">
        <v>198.18</v>
      </c>
      <c r="Q2468">
        <v>61.2</v>
      </c>
      <c r="R2468">
        <v>133.71</v>
      </c>
      <c r="S2468">
        <v>134.13</v>
      </c>
    </row>
    <row r="2469" spans="1:19">
      <c r="A2469" s="1">
        <v>45951</v>
      </c>
      <c r="B2469" t="s">
        <v>1063</v>
      </c>
      <c r="C2469" t="s">
        <v>1082</v>
      </c>
      <c r="D2469">
        <v>18.018</v>
      </c>
      <c r="E2469">
        <v>19.0436</v>
      </c>
      <c r="F2469">
        <v>0.0569208569208569</v>
      </c>
      <c r="G2469">
        <f ca="1" t="shared" si="114"/>
        <v>0.481986157530668</v>
      </c>
      <c r="H2469" t="str">
        <f ca="1" t="shared" si="115"/>
        <v>Risk-On</v>
      </c>
      <c r="I2469">
        <f ca="1" t="shared" si="116"/>
        <v>1</v>
      </c>
      <c r="J2469">
        <f>_xlfn.XLOOKUP($A2469,[1]Sheet1!$B$9:$B$2584,[1]Sheet1!$C$9:$C$2584,"N/A",0)</f>
        <v>103.26</v>
      </c>
      <c r="K2469">
        <f>_xlfn.XLOOKUP($A2469,[1]Sheet1!$E$9:$E$2584,[1]Sheet1!$F$9:$F$2584,"N/A",0)</f>
        <v>194.21</v>
      </c>
      <c r="L2469">
        <f>_xlfn.XLOOKUP($A2469,[1]Sheet1!$H$9:$H$2584,[1]Sheet1!$I$9:$I$2584,"N/A",0)</f>
        <v>61.23</v>
      </c>
      <c r="M2469">
        <f>_xlfn.XLOOKUP($A2469,[1]Sheet1!$K$9:$K$2584,[1]Sheet1!$L$9:$L$2584,"N/A",0)</f>
        <v>134.67</v>
      </c>
      <c r="N2469">
        <f>_xlfn.XLOOKUP($A2469,[1]Sheet1!$N$9:$N$2584,[1]Sheet1!$O$9:$O$2584,"N/A",0)</f>
        <v>134.16</v>
      </c>
      <c r="O2469">
        <v>103.26</v>
      </c>
      <c r="P2469">
        <v>194.21</v>
      </c>
      <c r="Q2469">
        <v>61.23</v>
      </c>
      <c r="R2469">
        <v>134.16</v>
      </c>
      <c r="S2469">
        <v>134.67</v>
      </c>
    </row>
    <row r="2470" spans="1:19">
      <c r="A2470" s="1">
        <v>45952</v>
      </c>
      <c r="B2470" t="s">
        <v>1063</v>
      </c>
      <c r="C2470" t="s">
        <v>1082</v>
      </c>
      <c r="D2470">
        <v>18.7</v>
      </c>
      <c r="E2470">
        <v>19.3039</v>
      </c>
      <c r="F2470">
        <v>0.0322941176470587</v>
      </c>
      <c r="G2470">
        <f ca="1" t="shared" si="114"/>
        <v>0.113689848733802</v>
      </c>
      <c r="H2470" t="str">
        <f ca="1" t="shared" si="115"/>
        <v>Risk-On</v>
      </c>
      <c r="I2470">
        <f ca="1" t="shared" si="116"/>
        <v>1</v>
      </c>
      <c r="J2470">
        <f>_xlfn.XLOOKUP($A2470,[1]Sheet1!$B$9:$B$2584,[1]Sheet1!$C$9:$C$2584,"N/A",0)</f>
        <v>103.61</v>
      </c>
      <c r="K2470">
        <f>_xlfn.XLOOKUP($A2470,[1]Sheet1!$E$9:$E$2584,[1]Sheet1!$F$9:$F$2584,"N/A",0)</f>
        <v>194.01</v>
      </c>
      <c r="L2470">
        <f>_xlfn.XLOOKUP($A2470,[1]Sheet1!$H$9:$H$2584,[1]Sheet1!$I$9:$I$2584,"N/A",0)</f>
        <v>61.09</v>
      </c>
      <c r="M2470">
        <f>_xlfn.XLOOKUP($A2470,[1]Sheet1!$K$9:$K$2584,[1]Sheet1!$L$9:$L$2584,"N/A",0)</f>
        <v>134.8</v>
      </c>
      <c r="N2470">
        <f>_xlfn.XLOOKUP($A2470,[1]Sheet1!$N$9:$N$2584,[1]Sheet1!$O$9:$O$2584,"N/A",0)</f>
        <v>134.06</v>
      </c>
      <c r="O2470">
        <v>103.61</v>
      </c>
      <c r="P2470">
        <v>194.01</v>
      </c>
      <c r="Q2470">
        <v>61.09</v>
      </c>
      <c r="R2470">
        <v>134.06</v>
      </c>
      <c r="S2470">
        <v>134.8</v>
      </c>
    </row>
    <row r="2471" spans="1:19">
      <c r="A2471" s="1">
        <v>45953</v>
      </c>
      <c r="B2471" t="s">
        <v>1082</v>
      </c>
      <c r="C2471" t="s">
        <v>1085</v>
      </c>
      <c r="D2471">
        <v>18.9203</v>
      </c>
      <c r="E2471">
        <v>19.6218</v>
      </c>
      <c r="F2471">
        <v>0.0370765791240096</v>
      </c>
      <c r="G2471">
        <f ca="1" t="shared" si="114"/>
        <v>0.179364219837725</v>
      </c>
      <c r="H2471" t="str">
        <f ca="1" t="shared" si="115"/>
        <v>Risk-On</v>
      </c>
      <c r="I2471">
        <f ca="1" t="shared" si="116"/>
        <v>1</v>
      </c>
      <c r="J2471">
        <f>_xlfn.XLOOKUP($A2471,[1]Sheet1!$B$9:$B$2584,[1]Sheet1!$C$9:$C$2584,"N/A",0)</f>
        <v>102.58</v>
      </c>
      <c r="K2471">
        <f>_xlfn.XLOOKUP($A2471,[1]Sheet1!$E$9:$E$2584,[1]Sheet1!$F$9:$F$2584,"N/A",0)</f>
        <v>195.49</v>
      </c>
      <c r="L2471">
        <f>_xlfn.XLOOKUP($A2471,[1]Sheet1!$H$9:$H$2584,[1]Sheet1!$I$9:$I$2584,"N/A",0)</f>
        <v>60.61</v>
      </c>
      <c r="M2471">
        <f>_xlfn.XLOOKUP($A2471,[1]Sheet1!$K$9:$K$2584,[1]Sheet1!$L$9:$L$2584,"N/A",0)</f>
        <v>134.77</v>
      </c>
      <c r="N2471">
        <f>_xlfn.XLOOKUP($A2471,[1]Sheet1!$N$9:$N$2584,[1]Sheet1!$O$9:$O$2584,"N/A",0)</f>
        <v>133.9</v>
      </c>
      <c r="O2471">
        <v>102.58</v>
      </c>
      <c r="P2471">
        <v>195.49</v>
      </c>
      <c r="Q2471">
        <v>60.61</v>
      </c>
      <c r="R2471">
        <v>133.9</v>
      </c>
      <c r="S2471">
        <v>134.77</v>
      </c>
    </row>
    <row r="2472" spans="1:19">
      <c r="A2472" s="1">
        <v>45954</v>
      </c>
      <c r="B2472" t="s">
        <v>1082</v>
      </c>
      <c r="C2472" t="s">
        <v>1085</v>
      </c>
      <c r="D2472">
        <v>18.6373</v>
      </c>
      <c r="E2472">
        <v>19.3431</v>
      </c>
      <c r="F2472">
        <v>0.037870292370676</v>
      </c>
      <c r="G2472">
        <f ca="1" t="shared" si="114"/>
        <v>0.18593375104907</v>
      </c>
      <c r="H2472" t="str">
        <f ca="1" t="shared" si="115"/>
        <v>Risk-On</v>
      </c>
      <c r="I2472">
        <f ca="1" t="shared" si="116"/>
        <v>1</v>
      </c>
      <c r="J2472">
        <f>_xlfn.XLOOKUP($A2472,[1]Sheet1!$B$9:$B$2584,[1]Sheet1!$C$9:$C$2584,"N/A",0)</f>
        <v>102.63</v>
      </c>
      <c r="K2472">
        <f>_xlfn.XLOOKUP($A2472,[1]Sheet1!$E$9:$E$2584,[1]Sheet1!$F$9:$F$2584,"N/A",0)</f>
        <v>198.17</v>
      </c>
      <c r="L2472">
        <f>_xlfn.XLOOKUP($A2472,[1]Sheet1!$H$9:$H$2584,[1]Sheet1!$I$9:$I$2584,"N/A",0)</f>
        <v>60.69</v>
      </c>
      <c r="M2472">
        <f>_xlfn.XLOOKUP($A2472,[1]Sheet1!$K$9:$K$2584,[1]Sheet1!$L$9:$L$2584,"N/A",0)</f>
        <v>134.34</v>
      </c>
      <c r="N2472">
        <f>_xlfn.XLOOKUP($A2472,[1]Sheet1!$N$9:$N$2584,[1]Sheet1!$O$9:$O$2584,"N/A",0)</f>
        <v>134.14</v>
      </c>
      <c r="O2472">
        <v>102.63</v>
      </c>
      <c r="P2472">
        <v>198.17</v>
      </c>
      <c r="Q2472">
        <v>60.69</v>
      </c>
      <c r="R2472">
        <v>134.14</v>
      </c>
      <c r="S2472">
        <v>134.34</v>
      </c>
    </row>
    <row r="2473" spans="1:19">
      <c r="A2473" s="1">
        <v>45957</v>
      </c>
      <c r="B2473" t="s">
        <v>1082</v>
      </c>
      <c r="C2473" t="s">
        <v>1085</v>
      </c>
      <c r="D2473">
        <v>18.0336</v>
      </c>
      <c r="E2473">
        <v>18.9361</v>
      </c>
      <c r="F2473">
        <v>0.0500454706769585</v>
      </c>
      <c r="G2473">
        <f ca="1" t="shared" si="114"/>
        <v>0.359826068584031</v>
      </c>
      <c r="H2473" t="str">
        <f ca="1" t="shared" si="115"/>
        <v>Risk-On</v>
      </c>
      <c r="I2473">
        <f ca="1" t="shared" si="116"/>
        <v>1</v>
      </c>
      <c r="J2473">
        <f>_xlfn.XLOOKUP($A2473,[1]Sheet1!$B$9:$B$2584,[1]Sheet1!$C$9:$C$2584,"N/A",0)</f>
        <v>102.29</v>
      </c>
      <c r="K2473">
        <f>_xlfn.XLOOKUP($A2473,[1]Sheet1!$E$9:$E$2584,[1]Sheet1!$F$9:$F$2584,"N/A",0)</f>
        <v>198.37</v>
      </c>
      <c r="L2473">
        <f>_xlfn.XLOOKUP($A2473,[1]Sheet1!$H$9:$H$2584,[1]Sheet1!$I$9:$I$2584,"N/A",0)</f>
        <v>60.39</v>
      </c>
      <c r="M2473">
        <f>_xlfn.XLOOKUP($A2473,[1]Sheet1!$K$9:$K$2584,[1]Sheet1!$L$9:$L$2584,"N/A",0)</f>
        <v>134.1</v>
      </c>
      <c r="N2473">
        <f>_xlfn.XLOOKUP($A2473,[1]Sheet1!$N$9:$N$2584,[1]Sheet1!$O$9:$O$2584,"N/A",0)</f>
        <v>135.58</v>
      </c>
      <c r="O2473">
        <v>102.29</v>
      </c>
      <c r="P2473">
        <v>198.37</v>
      </c>
      <c r="Q2473">
        <v>60.39</v>
      </c>
      <c r="R2473">
        <v>135.58</v>
      </c>
      <c r="S2473">
        <v>134.1</v>
      </c>
    </row>
    <row r="2474" spans="1:19">
      <c r="A2474" s="1">
        <v>45958</v>
      </c>
      <c r="B2474" t="s">
        <v>1082</v>
      </c>
      <c r="C2474" t="s">
        <v>1085</v>
      </c>
      <c r="D2474">
        <v>18.5732</v>
      </c>
      <c r="E2474">
        <v>19.4043</v>
      </c>
      <c r="F2474">
        <v>0.0447472702603751</v>
      </c>
      <c r="G2474">
        <f ca="1" t="shared" si="114"/>
        <v>0.275074101799782</v>
      </c>
      <c r="H2474" t="str">
        <f ca="1" t="shared" si="115"/>
        <v>Risk-On</v>
      </c>
      <c r="I2474">
        <f ca="1" t="shared" si="116"/>
        <v>1</v>
      </c>
      <c r="J2474">
        <f>_xlfn.XLOOKUP($A2474,[1]Sheet1!$B$9:$B$2584,[1]Sheet1!$C$9:$C$2584,"N/A",0)</f>
        <v>101.78</v>
      </c>
      <c r="K2474">
        <f>_xlfn.XLOOKUP($A2474,[1]Sheet1!$E$9:$E$2584,[1]Sheet1!$F$9:$F$2584,"N/A",0)</f>
        <v>200.32</v>
      </c>
      <c r="L2474">
        <f>_xlfn.XLOOKUP($A2474,[1]Sheet1!$H$9:$H$2584,[1]Sheet1!$I$9:$I$2584,"N/A",0)</f>
        <v>60.54</v>
      </c>
      <c r="M2474">
        <f>_xlfn.XLOOKUP($A2474,[1]Sheet1!$K$9:$K$2584,[1]Sheet1!$L$9:$L$2584,"N/A",0)</f>
        <v>133.16</v>
      </c>
      <c r="N2474">
        <f>_xlfn.XLOOKUP($A2474,[1]Sheet1!$N$9:$N$2584,[1]Sheet1!$O$9:$O$2584,"N/A",0)</f>
        <v>135.55</v>
      </c>
      <c r="O2474">
        <v>101.78</v>
      </c>
      <c r="P2474">
        <v>200.32</v>
      </c>
      <c r="Q2474">
        <v>60.54</v>
      </c>
      <c r="R2474">
        <v>135.55</v>
      </c>
      <c r="S2474">
        <v>133.16</v>
      </c>
    </row>
    <row r="2475" spans="1:19">
      <c r="A2475" s="1">
        <v>45959</v>
      </c>
      <c r="B2475" t="s">
        <v>1082</v>
      </c>
      <c r="C2475" t="s">
        <v>1085</v>
      </c>
      <c r="D2475">
        <v>18.9367</v>
      </c>
      <c r="E2475">
        <v>19.6877</v>
      </c>
      <c r="F2475" s="2" t="s">
        <v>1086</v>
      </c>
      <c r="G2475">
        <f ca="1" t="shared" si="114"/>
        <v>0.192612164151874</v>
      </c>
      <c r="H2475" t="str">
        <f ca="1" t="shared" si="115"/>
        <v>Risk-On</v>
      </c>
      <c r="I2475">
        <f ca="1" t="shared" si="116"/>
        <v>1</v>
      </c>
      <c r="J2475">
        <f>_xlfn.XLOOKUP($A2475,[1]Sheet1!$B$9:$B$2584,[1]Sheet1!$C$9:$C$2584,"N/A",0)</f>
        <v>102.65</v>
      </c>
      <c r="K2475">
        <f>_xlfn.XLOOKUP($A2475,[1]Sheet1!$E$9:$E$2584,[1]Sheet1!$F$9:$F$2584,"N/A",0)</f>
        <v>203.86</v>
      </c>
      <c r="L2475">
        <f>_xlfn.XLOOKUP($A2475,[1]Sheet1!$H$9:$H$2584,[1]Sheet1!$I$9:$I$2584,"N/A",0)</f>
        <v>60.85</v>
      </c>
      <c r="M2475">
        <f>_xlfn.XLOOKUP($A2475,[1]Sheet1!$K$9:$K$2584,[1]Sheet1!$L$9:$L$2584,"N/A",0)</f>
        <v>132.34</v>
      </c>
      <c r="N2475">
        <f>_xlfn.XLOOKUP($A2475,[1]Sheet1!$N$9:$N$2584,[1]Sheet1!$O$9:$O$2584,"N/A",0)</f>
        <v>138.07</v>
      </c>
      <c r="O2475">
        <v>102.65</v>
      </c>
      <c r="P2475">
        <v>203.86</v>
      </c>
      <c r="Q2475">
        <v>60.85</v>
      </c>
      <c r="R2475">
        <v>138.07</v>
      </c>
      <c r="S2475">
        <v>132.34</v>
      </c>
    </row>
    <row r="2476" spans="1:19">
      <c r="A2476" s="1">
        <v>45960</v>
      </c>
      <c r="B2476" t="s">
        <v>1082</v>
      </c>
      <c r="C2476" t="s">
        <v>1085</v>
      </c>
      <c r="D2476">
        <v>19.108</v>
      </c>
      <c r="E2476">
        <v>19.9203</v>
      </c>
      <c r="F2476" s="2" t="s">
        <v>1087</v>
      </c>
      <c r="G2476">
        <f ca="1" t="shared" si="114"/>
        <v>0.229706493772054</v>
      </c>
      <c r="H2476" t="str">
        <f ca="1" t="shared" si="115"/>
        <v>Risk-On</v>
      </c>
      <c r="I2476">
        <f ca="1" t="shared" si="116"/>
        <v>1</v>
      </c>
      <c r="J2476">
        <f>_xlfn.XLOOKUP($A2476,[1]Sheet1!$B$9:$B$2584,[1]Sheet1!$C$9:$C$2584,"N/A",0)</f>
        <v>102.08</v>
      </c>
      <c r="K2476">
        <f>_xlfn.XLOOKUP($A2476,[1]Sheet1!$E$9:$E$2584,[1]Sheet1!$F$9:$F$2584,"N/A",0)</f>
        <v>203.58</v>
      </c>
      <c r="L2476">
        <f>_xlfn.XLOOKUP($A2476,[1]Sheet1!$H$9:$H$2584,[1]Sheet1!$I$9:$I$2584,"N/A",0)</f>
        <v>60.54</v>
      </c>
      <c r="M2476">
        <f>_xlfn.XLOOKUP($A2476,[1]Sheet1!$K$9:$K$2584,[1]Sheet1!$L$9:$L$2584,"N/A",0)</f>
        <v>133.89</v>
      </c>
      <c r="N2476">
        <f>_xlfn.XLOOKUP($A2476,[1]Sheet1!$N$9:$N$2584,[1]Sheet1!$O$9:$O$2584,"N/A",0)</f>
        <v>137.31</v>
      </c>
      <c r="O2476">
        <v>102.08</v>
      </c>
      <c r="P2476">
        <v>203.58</v>
      </c>
      <c r="Q2476">
        <v>60.54</v>
      </c>
      <c r="R2476">
        <v>137.31</v>
      </c>
      <c r="S2476">
        <v>133.89</v>
      </c>
    </row>
    <row r="2477" spans="1:19">
      <c r="A2477" s="1">
        <v>45961</v>
      </c>
      <c r="B2477" t="s">
        <v>1082</v>
      </c>
      <c r="C2477" t="s">
        <v>1085</v>
      </c>
      <c r="D2477">
        <v>19.1308</v>
      </c>
      <c r="E2477">
        <v>19.9632</v>
      </c>
      <c r="F2477">
        <v>0.043510987517511</v>
      </c>
      <c r="G2477">
        <f ca="1" t="shared" si="114"/>
        <v>0.239203059026293</v>
      </c>
      <c r="H2477" t="str">
        <f ca="1" t="shared" si="115"/>
        <v>Risk-On</v>
      </c>
      <c r="I2477">
        <f ca="1" t="shared" si="116"/>
        <v>1</v>
      </c>
      <c r="J2477">
        <f>_xlfn.XLOOKUP($A2477,[1]Sheet1!$B$9:$B$2584,[1]Sheet1!$C$9:$C$2584,"N/A",0)</f>
        <v>102.82</v>
      </c>
      <c r="K2477">
        <f>_xlfn.XLOOKUP($A2477,[1]Sheet1!$E$9:$E$2584,[1]Sheet1!$F$9:$F$2584,"N/A",0)</f>
        <v>204.01</v>
      </c>
      <c r="L2477">
        <f>_xlfn.XLOOKUP($A2477,[1]Sheet1!$H$9:$H$2584,[1]Sheet1!$I$9:$I$2584,"N/A",0)</f>
        <v>60.85</v>
      </c>
      <c r="M2477">
        <f>_xlfn.XLOOKUP($A2477,[1]Sheet1!$K$9:$K$2584,[1]Sheet1!$L$9:$L$2584,"N/A",0)</f>
        <v>134.11</v>
      </c>
      <c r="N2477">
        <f>_xlfn.XLOOKUP($A2477,[1]Sheet1!$N$9:$N$2584,[1]Sheet1!$O$9:$O$2584,"N/A",0)</f>
        <v>138.11</v>
      </c>
      <c r="O2477">
        <v>102.82</v>
      </c>
      <c r="P2477">
        <v>204.01</v>
      </c>
      <c r="Q2477">
        <v>60.85</v>
      </c>
      <c r="R2477">
        <v>138.11</v>
      </c>
      <c r="S2477">
        <v>134.11</v>
      </c>
    </row>
    <row r="2478" spans="1:19">
      <c r="A2478" s="1">
        <v>45964</v>
      </c>
      <c r="B2478" t="s">
        <v>1082</v>
      </c>
      <c r="C2478" t="s">
        <v>1085</v>
      </c>
      <c r="D2478">
        <v>18.938</v>
      </c>
      <c r="E2478">
        <v>19.8978</v>
      </c>
      <c r="F2478">
        <v>0.0506811701341219</v>
      </c>
      <c r="G2478">
        <f ca="1" t="shared" si="114"/>
        <v>0.338891011329074</v>
      </c>
      <c r="H2478" t="str">
        <f ca="1" t="shared" si="115"/>
        <v>Risk-On</v>
      </c>
      <c r="I2478">
        <f ca="1" t="shared" si="116"/>
        <v>1</v>
      </c>
      <c r="J2478">
        <f>_xlfn.XLOOKUP($A2478,[1]Sheet1!$B$9:$B$2584,[1]Sheet1!$C$9:$C$2584,"N/A",0)</f>
        <v>103.43</v>
      </c>
      <c r="K2478">
        <f>_xlfn.XLOOKUP($A2478,[1]Sheet1!$E$9:$E$2584,[1]Sheet1!$F$9:$F$2584,"N/A",0)</f>
        <v>206.78</v>
      </c>
      <c r="L2478">
        <f>_xlfn.XLOOKUP($A2478,[1]Sheet1!$H$9:$H$2584,[1]Sheet1!$I$9:$I$2584,"N/A",0)</f>
        <v>60.35</v>
      </c>
      <c r="M2478">
        <f>_xlfn.XLOOKUP($A2478,[1]Sheet1!$K$9:$K$2584,[1]Sheet1!$L$9:$L$2584,"N/A",0)</f>
        <v>134.53</v>
      </c>
      <c r="N2478">
        <f>_xlfn.XLOOKUP($A2478,[1]Sheet1!$N$9:$N$2584,[1]Sheet1!$O$9:$O$2584,"N/A",0)</f>
        <v>138.14</v>
      </c>
      <c r="O2478">
        <v>103.43</v>
      </c>
      <c r="P2478">
        <v>206.78</v>
      </c>
      <c r="Q2478">
        <v>60.35</v>
      </c>
      <c r="R2478">
        <v>138.14</v>
      </c>
      <c r="S2478">
        <v>134.53</v>
      </c>
    </row>
    <row r="2479" spans="1:19">
      <c r="A2479" s="1">
        <v>45965</v>
      </c>
      <c r="B2479" t="s">
        <v>1082</v>
      </c>
      <c r="C2479" t="s">
        <v>1085</v>
      </c>
      <c r="D2479">
        <v>19.7605</v>
      </c>
      <c r="E2479">
        <v>20.5025</v>
      </c>
      <c r="F2479">
        <v>0.037549657144303</v>
      </c>
      <c r="G2479">
        <f ca="1" t="shared" si="114"/>
        <v>0.134684739562141</v>
      </c>
      <c r="H2479" t="str">
        <f ca="1" t="shared" si="115"/>
        <v>Risk-On</v>
      </c>
      <c r="I2479">
        <f ca="1" t="shared" si="116"/>
        <v>1</v>
      </c>
      <c r="J2479">
        <f>_xlfn.XLOOKUP($A2479,[1]Sheet1!$B$9:$B$2584,[1]Sheet1!$C$9:$C$2584,"N/A",0)</f>
        <v>104.16</v>
      </c>
      <c r="K2479">
        <f>_xlfn.XLOOKUP($A2479,[1]Sheet1!$E$9:$E$2584,[1]Sheet1!$F$9:$F$2584,"N/A",0)</f>
        <v>204.51</v>
      </c>
      <c r="L2479">
        <f>_xlfn.XLOOKUP($A2479,[1]Sheet1!$H$9:$H$2584,[1]Sheet1!$I$9:$I$2584,"N/A",0)</f>
        <v>60.32</v>
      </c>
      <c r="M2479">
        <f>_xlfn.XLOOKUP($A2479,[1]Sheet1!$K$9:$K$2584,[1]Sheet1!$L$9:$L$2584,"N/A",0)</f>
        <v>134.96</v>
      </c>
      <c r="N2479">
        <f>_xlfn.XLOOKUP($A2479,[1]Sheet1!$N$9:$N$2584,[1]Sheet1!$O$9:$O$2584,"N/A",0)</f>
        <v>137.22</v>
      </c>
      <c r="O2479">
        <v>104.16</v>
      </c>
      <c r="P2479">
        <v>204.51</v>
      </c>
      <c r="Q2479">
        <v>60.32</v>
      </c>
      <c r="R2479">
        <v>137.22</v>
      </c>
      <c r="S2479">
        <v>134.96</v>
      </c>
    </row>
    <row r="2480" spans="1:19">
      <c r="A2480" s="1">
        <v>45966</v>
      </c>
      <c r="B2480" t="s">
        <v>1082</v>
      </c>
      <c r="C2480" t="s">
        <v>1085</v>
      </c>
      <c r="D2480">
        <v>18.9114</v>
      </c>
      <c r="E2480">
        <v>19.7592</v>
      </c>
      <c r="F2480">
        <v>0.0448301024778704</v>
      </c>
      <c r="G2480">
        <f ca="1" t="shared" si="114"/>
        <v>0.236428756260301</v>
      </c>
      <c r="H2480" t="str">
        <f ca="1" t="shared" si="115"/>
        <v>Risk-On</v>
      </c>
      <c r="I2480">
        <f ca="1" t="shared" si="116"/>
        <v>1</v>
      </c>
      <c r="J2480">
        <f>_xlfn.XLOOKUP($A2480,[1]Sheet1!$B$9:$B$2584,[1]Sheet1!$C$9:$C$2584,"N/A",0)</f>
        <v>104.69</v>
      </c>
      <c r="K2480">
        <f>_xlfn.XLOOKUP($A2480,[1]Sheet1!$E$9:$E$2584,[1]Sheet1!$F$9:$F$2584,"N/A",0)</f>
        <v>206.55</v>
      </c>
      <c r="L2480">
        <f>_xlfn.XLOOKUP($A2480,[1]Sheet1!$H$9:$H$2584,[1]Sheet1!$I$9:$I$2584,"N/A",0)</f>
        <v>60.7</v>
      </c>
      <c r="M2480">
        <f>_xlfn.XLOOKUP($A2480,[1]Sheet1!$K$9:$K$2584,[1]Sheet1!$L$9:$L$2584,"N/A",0)</f>
        <v>134.08</v>
      </c>
      <c r="N2480">
        <f>_xlfn.XLOOKUP($A2480,[1]Sheet1!$N$9:$N$2584,[1]Sheet1!$O$9:$O$2584,"N/A",0)</f>
        <v>136.55</v>
      </c>
      <c r="O2480">
        <v>104.69</v>
      </c>
      <c r="P2480">
        <v>206.55</v>
      </c>
      <c r="Q2480">
        <v>60.7</v>
      </c>
      <c r="R2480">
        <v>136.55</v>
      </c>
      <c r="S2480">
        <v>134.08</v>
      </c>
    </row>
    <row r="2481" spans="1:19">
      <c r="A2481" s="1">
        <v>45967</v>
      </c>
      <c r="B2481" t="s">
        <v>1082</v>
      </c>
      <c r="C2481" t="s">
        <v>1085</v>
      </c>
      <c r="D2481">
        <v>20.053</v>
      </c>
      <c r="E2481">
        <v>20.3851</v>
      </c>
      <c r="F2481">
        <v>0.0165611130504164</v>
      </c>
      <c r="G2481">
        <f ca="1" t="shared" si="114"/>
        <v>-0.19546672249896</v>
      </c>
      <c r="H2481" t="str">
        <f ca="1" t="shared" si="115"/>
        <v>Risk-On</v>
      </c>
      <c r="I2481">
        <f ca="1" t="shared" si="116"/>
        <v>1</v>
      </c>
      <c r="J2481">
        <f>_xlfn.XLOOKUP($A2481,[1]Sheet1!$B$9:$B$2584,[1]Sheet1!$C$9:$C$2584,"N/A",0)</f>
        <v>103.3</v>
      </c>
      <c r="K2481">
        <f>_xlfn.XLOOKUP($A2481,[1]Sheet1!$E$9:$E$2584,[1]Sheet1!$F$9:$F$2584,"N/A",0)</f>
        <v>204.64</v>
      </c>
      <c r="L2481">
        <f>_xlfn.XLOOKUP($A2481,[1]Sheet1!$H$9:$H$2584,[1]Sheet1!$I$9:$I$2584,"N/A",0)</f>
        <v>60.75</v>
      </c>
      <c r="M2481">
        <f>_xlfn.XLOOKUP($A2481,[1]Sheet1!$K$9:$K$2584,[1]Sheet1!$L$9:$L$2584,"N/A",0)</f>
        <v>133.41</v>
      </c>
      <c r="N2481">
        <f>_xlfn.XLOOKUP($A2481,[1]Sheet1!$N$9:$N$2584,[1]Sheet1!$O$9:$O$2584,"N/A",0)</f>
        <v>136.96</v>
      </c>
      <c r="O2481">
        <v>103.3</v>
      </c>
      <c r="P2481">
        <v>204.64</v>
      </c>
      <c r="Q2481">
        <v>60.75</v>
      </c>
      <c r="R2481">
        <v>136.96</v>
      </c>
      <c r="S2481">
        <v>133.41</v>
      </c>
    </row>
    <row r="2482" spans="1:19">
      <c r="A2482" s="1">
        <v>45968</v>
      </c>
      <c r="B2482" t="s">
        <v>1082</v>
      </c>
      <c r="C2482" t="s">
        <v>1085</v>
      </c>
      <c r="D2482">
        <v>19.8557</v>
      </c>
      <c r="E2482">
        <v>20.2058</v>
      </c>
      <c r="F2482" s="2" t="s">
        <v>1088</v>
      </c>
      <c r="G2482">
        <f ca="1" t="shared" si="114"/>
        <v>-0.183452453145213</v>
      </c>
      <c r="H2482" t="str">
        <f ca="1" t="shared" si="115"/>
        <v>Risk-On</v>
      </c>
      <c r="I2482">
        <f ca="1" t="shared" si="116"/>
        <v>1</v>
      </c>
      <c r="J2482">
        <f>_xlfn.XLOOKUP($A2482,[1]Sheet1!$B$9:$B$2584,[1]Sheet1!$C$9:$C$2584,"N/A",0)</f>
        <v>104.4</v>
      </c>
      <c r="K2482">
        <f>_xlfn.XLOOKUP($A2482,[1]Sheet1!$E$9:$E$2584,[1]Sheet1!$F$9:$F$2584,"N/A",0)</f>
        <v>204.86</v>
      </c>
      <c r="L2482">
        <f>_xlfn.XLOOKUP($A2482,[1]Sheet1!$H$9:$H$2584,[1]Sheet1!$I$9:$I$2584,"N/A",0)</f>
        <v>60.68</v>
      </c>
      <c r="M2482">
        <f>_xlfn.XLOOKUP($A2482,[1]Sheet1!$K$9:$K$2584,[1]Sheet1!$L$9:$L$2584,"N/A",0)</f>
        <v>134.19</v>
      </c>
      <c r="N2482">
        <f>_xlfn.XLOOKUP($A2482,[1]Sheet1!$N$9:$N$2584,[1]Sheet1!$O$9:$O$2584,"N/A",0)</f>
        <v>137.34</v>
      </c>
      <c r="O2482">
        <v>104.4</v>
      </c>
      <c r="P2482">
        <v>204.86</v>
      </c>
      <c r="Q2482">
        <v>60.68</v>
      </c>
      <c r="R2482">
        <v>137.34</v>
      </c>
      <c r="S2482">
        <v>134.19</v>
      </c>
    </row>
    <row r="2483" spans="1:19">
      <c r="A2483" s="1">
        <v>45971</v>
      </c>
      <c r="B2483" t="s">
        <v>1082</v>
      </c>
      <c r="C2483" t="s">
        <v>1085</v>
      </c>
      <c r="D2483">
        <v>18.5012</v>
      </c>
      <c r="E2483">
        <v>19.2457</v>
      </c>
      <c r="F2483">
        <v>0.0402406330400189</v>
      </c>
      <c r="G2483">
        <f ca="1" t="shared" si="114"/>
        <v>0.154060856052493</v>
      </c>
      <c r="H2483" t="str">
        <f ca="1" t="shared" si="115"/>
        <v>Risk-On</v>
      </c>
      <c r="I2483">
        <f ca="1" t="shared" si="116"/>
        <v>1</v>
      </c>
      <c r="J2483">
        <f>_xlfn.XLOOKUP($A2483,[1]Sheet1!$B$9:$B$2584,[1]Sheet1!$C$9:$C$2584,"N/A",0)</f>
        <v>104.52</v>
      </c>
      <c r="K2483">
        <f>_xlfn.XLOOKUP($A2483,[1]Sheet1!$E$9:$E$2584,[1]Sheet1!$F$9:$F$2584,"N/A",0)</f>
        <v>209.32</v>
      </c>
      <c r="L2483">
        <f>_xlfn.XLOOKUP($A2483,[1]Sheet1!$H$9:$H$2584,[1]Sheet1!$I$9:$I$2584,"N/A",0)</f>
        <v>60.28</v>
      </c>
      <c r="M2483">
        <f>_xlfn.XLOOKUP($A2483,[1]Sheet1!$K$9:$K$2584,[1]Sheet1!$L$9:$L$2584,"N/A",0)</f>
        <v>134.24</v>
      </c>
      <c r="N2483">
        <f>_xlfn.XLOOKUP($A2483,[1]Sheet1!$N$9:$N$2584,[1]Sheet1!$O$9:$O$2584,"N/A",0)</f>
        <v>137.26</v>
      </c>
      <c r="O2483">
        <v>104.52</v>
      </c>
      <c r="P2483">
        <v>209.32</v>
      </c>
      <c r="Q2483">
        <v>60.28</v>
      </c>
      <c r="R2483">
        <v>137.26</v>
      </c>
      <c r="S2483">
        <v>134.24</v>
      </c>
    </row>
    <row r="2484" spans="1:19">
      <c r="A2484" s="1">
        <v>45972</v>
      </c>
      <c r="B2484" t="s">
        <v>1082</v>
      </c>
      <c r="C2484" t="s">
        <v>1085</v>
      </c>
      <c r="D2484">
        <v>18.3268</v>
      </c>
      <c r="E2484">
        <v>19.2449</v>
      </c>
      <c r="F2484">
        <v>0.0500960342231051</v>
      </c>
      <c r="G2484">
        <f ca="1" t="shared" si="114"/>
        <v>0.302064871243679</v>
      </c>
      <c r="H2484" t="str">
        <f ca="1" t="shared" si="115"/>
        <v>Risk-On</v>
      </c>
      <c r="I2484">
        <f ca="1" t="shared" si="116"/>
        <v>1</v>
      </c>
      <c r="J2484">
        <f>_xlfn.XLOOKUP($A2484,[1]Sheet1!$B$9:$B$2584,[1]Sheet1!$C$9:$C$2584,"N/A",0)</f>
        <v>103.94</v>
      </c>
      <c r="K2484">
        <f>_xlfn.XLOOKUP($A2484,[1]Sheet1!$E$9:$E$2584,[1]Sheet1!$F$9:$F$2584,"N/A",0)</f>
        <v>206.67</v>
      </c>
      <c r="L2484">
        <f>_xlfn.XLOOKUP($A2484,[1]Sheet1!$H$9:$H$2584,[1]Sheet1!$I$9:$I$2584,"N/A",0)</f>
        <v>60.51</v>
      </c>
      <c r="M2484">
        <f>_xlfn.XLOOKUP($A2484,[1]Sheet1!$K$9:$K$2584,[1]Sheet1!$L$9:$L$2584,"N/A",0)</f>
        <v>134.26</v>
      </c>
      <c r="N2484">
        <f>_xlfn.XLOOKUP($A2484,[1]Sheet1!$N$9:$N$2584,[1]Sheet1!$O$9:$O$2584,"N/A",0)</f>
        <v>137.11</v>
      </c>
      <c r="O2484">
        <v>103.94</v>
      </c>
      <c r="P2484">
        <v>206.67</v>
      </c>
      <c r="Q2484">
        <v>60.51</v>
      </c>
      <c r="R2484">
        <v>137.11</v>
      </c>
      <c r="S2484">
        <v>134.26</v>
      </c>
    </row>
    <row r="2485" spans="1:19">
      <c r="A2485" s="1">
        <v>45973</v>
      </c>
      <c r="B2485" t="s">
        <v>1082</v>
      </c>
      <c r="C2485" t="s">
        <v>1085</v>
      </c>
      <c r="D2485">
        <v>18.3384</v>
      </c>
      <c r="E2485">
        <v>19.3997</v>
      </c>
      <c r="F2485" s="2" t="s">
        <v>1089</v>
      </c>
      <c r="G2485">
        <f ca="1" t="shared" si="114"/>
        <v>0.418568082180832</v>
      </c>
      <c r="H2485" t="str">
        <f ca="1" t="shared" si="115"/>
        <v>Risk-On</v>
      </c>
      <c r="I2485">
        <f ca="1" t="shared" si="116"/>
        <v>1</v>
      </c>
      <c r="J2485">
        <f>_xlfn.XLOOKUP($A2485,[1]Sheet1!$B$9:$B$2584,[1]Sheet1!$C$9:$C$2584,"N/A",0)</f>
        <v>103.68</v>
      </c>
      <c r="K2485">
        <f>_xlfn.XLOOKUP($A2485,[1]Sheet1!$E$9:$E$2584,[1]Sheet1!$F$9:$F$2584,"N/A",0)</f>
        <v>207.43</v>
      </c>
      <c r="L2485">
        <f>_xlfn.XLOOKUP($A2485,[1]Sheet1!$H$9:$H$2584,[1]Sheet1!$I$9:$I$2584,"N/A",0)</f>
        <v>61.16</v>
      </c>
      <c r="M2485">
        <f>_xlfn.XLOOKUP($A2485,[1]Sheet1!$K$9:$K$2584,[1]Sheet1!$L$9:$L$2584,"N/A",0)</f>
        <v>133.5</v>
      </c>
      <c r="N2485">
        <f>_xlfn.XLOOKUP($A2485,[1]Sheet1!$N$9:$N$2584,[1]Sheet1!$O$9:$O$2584,"N/A",0)</f>
        <v>137.43</v>
      </c>
      <c r="O2485">
        <v>103.68</v>
      </c>
      <c r="P2485">
        <v>207.43</v>
      </c>
      <c r="Q2485">
        <v>61.16</v>
      </c>
      <c r="R2485">
        <v>137.43</v>
      </c>
      <c r="S2485">
        <v>133.5</v>
      </c>
    </row>
    <row r="2486" spans="1:19">
      <c r="A2486" s="1">
        <v>45974</v>
      </c>
      <c r="B2486" t="s">
        <v>1082</v>
      </c>
      <c r="C2486" t="s">
        <v>1085</v>
      </c>
      <c r="D2486">
        <v>20.4452</v>
      </c>
      <c r="E2486">
        <v>20.5383</v>
      </c>
      <c r="F2486">
        <v>0.00455363606127598</v>
      </c>
      <c r="G2486">
        <f ca="1" t="shared" si="114"/>
        <v>-0.386956710585951</v>
      </c>
      <c r="H2486" t="str">
        <f ca="1" t="shared" si="115"/>
        <v>Risk-On</v>
      </c>
      <c r="I2486">
        <f ca="1" t="shared" si="116"/>
        <v>1</v>
      </c>
      <c r="J2486">
        <f>_xlfn.XLOOKUP($A2486,[1]Sheet1!$B$9:$B$2584,[1]Sheet1!$C$9:$C$2584,"N/A",0)</f>
        <v>103.41</v>
      </c>
      <c r="K2486">
        <f>_xlfn.XLOOKUP($A2486,[1]Sheet1!$E$9:$E$2584,[1]Sheet1!$F$9:$F$2584,"N/A",0)</f>
        <v>203.05</v>
      </c>
      <c r="L2486">
        <f>_xlfn.XLOOKUP($A2486,[1]Sheet1!$H$9:$H$2584,[1]Sheet1!$I$9:$I$2584,"N/A",0)</f>
        <v>61.71</v>
      </c>
      <c r="M2486">
        <f>_xlfn.XLOOKUP($A2486,[1]Sheet1!$K$9:$K$2584,[1]Sheet1!$L$9:$L$2584,"N/A",0)</f>
        <v>134.1</v>
      </c>
      <c r="N2486">
        <f>_xlfn.XLOOKUP($A2486,[1]Sheet1!$N$9:$N$2584,[1]Sheet1!$O$9:$O$2584,"N/A",0)</f>
        <v>137.58</v>
      </c>
      <c r="O2486">
        <v>103.41</v>
      </c>
      <c r="P2486">
        <v>203.05</v>
      </c>
      <c r="Q2486">
        <v>61.71</v>
      </c>
      <c r="R2486">
        <v>137.58</v>
      </c>
      <c r="S2486">
        <v>134.1</v>
      </c>
    </row>
    <row r="2487" spans="1:19">
      <c r="A2487" s="1">
        <v>45975</v>
      </c>
      <c r="B2487" t="s">
        <v>1082</v>
      </c>
      <c r="C2487" t="s">
        <v>1085</v>
      </c>
      <c r="D2487">
        <v>20.0738</v>
      </c>
      <c r="E2487">
        <v>20.1248</v>
      </c>
      <c r="F2487">
        <v>0.00254062509340543</v>
      </c>
      <c r="G2487">
        <f ca="1" t="shared" si="114"/>
        <v>-0.414739035943456</v>
      </c>
      <c r="H2487" t="str">
        <f ca="1" t="shared" si="115"/>
        <v>Risk-On</v>
      </c>
      <c r="I2487">
        <f ca="1" t="shared" si="116"/>
        <v>1</v>
      </c>
      <c r="J2487">
        <f>_xlfn.XLOOKUP($A2487,[1]Sheet1!$B$9:$B$2584,[1]Sheet1!$C$9:$C$2584,"N/A",0)</f>
        <v>103.74</v>
      </c>
      <c r="K2487">
        <f>_xlfn.XLOOKUP($A2487,[1]Sheet1!$E$9:$E$2584,[1]Sheet1!$F$9:$F$2584,"N/A",0)</f>
        <v>204.36</v>
      </c>
      <c r="L2487">
        <f>_xlfn.XLOOKUP($A2487,[1]Sheet1!$H$9:$H$2584,[1]Sheet1!$I$9:$I$2584,"N/A",0)</f>
        <v>61.78</v>
      </c>
      <c r="M2487">
        <f>_xlfn.XLOOKUP($A2487,[1]Sheet1!$K$9:$K$2584,[1]Sheet1!$L$9:$L$2584,"N/A",0)</f>
        <v>134.44</v>
      </c>
      <c r="N2487">
        <f>_xlfn.XLOOKUP($A2487,[1]Sheet1!$N$9:$N$2584,[1]Sheet1!$O$9:$O$2584,"N/A",0)</f>
        <v>137.41</v>
      </c>
      <c r="O2487">
        <v>103.74</v>
      </c>
      <c r="P2487">
        <v>204.36</v>
      </c>
      <c r="Q2487">
        <v>61.78</v>
      </c>
      <c r="R2487">
        <v>137.41</v>
      </c>
      <c r="S2487">
        <v>134.44</v>
      </c>
    </row>
    <row r="2488" spans="1:19">
      <c r="A2488" s="1">
        <v>45978</v>
      </c>
      <c r="B2488" t="s">
        <v>1082</v>
      </c>
      <c r="C2488" t="s">
        <v>1085</v>
      </c>
      <c r="D2488">
        <v>22.0493</v>
      </c>
      <c r="E2488">
        <v>21.1688</v>
      </c>
      <c r="F2488">
        <v>-0.0399332405110365</v>
      </c>
      <c r="G2488">
        <f ca="1" t="shared" si="114"/>
        <v>-1.05088571471292</v>
      </c>
      <c r="H2488" t="str">
        <f ca="1" t="shared" si="115"/>
        <v>Risk-On</v>
      </c>
      <c r="I2488">
        <f ca="1" t="shared" si="116"/>
        <v>1</v>
      </c>
      <c r="J2488">
        <f>_xlfn.XLOOKUP($A2488,[1]Sheet1!$B$9:$B$2584,[1]Sheet1!$C$9:$C$2584,"N/A",0)</f>
        <v>103.14</v>
      </c>
      <c r="K2488">
        <f>_xlfn.XLOOKUP($A2488,[1]Sheet1!$E$9:$E$2584,[1]Sheet1!$F$9:$F$2584,"N/A",0)</f>
        <v>205.52</v>
      </c>
      <c r="L2488">
        <f>_xlfn.XLOOKUP($A2488,[1]Sheet1!$H$9:$H$2584,[1]Sheet1!$I$9:$I$2584,"N/A",0)</f>
        <v>61.6</v>
      </c>
      <c r="M2488">
        <f>_xlfn.XLOOKUP($A2488,[1]Sheet1!$K$9:$K$2584,[1]Sheet1!$L$9:$L$2584,"N/A",0)</f>
        <v>134.33</v>
      </c>
      <c r="N2488">
        <f>_xlfn.XLOOKUP($A2488,[1]Sheet1!$N$9:$N$2584,[1]Sheet1!$O$9:$O$2584,"N/A",0)</f>
        <v>138.48</v>
      </c>
      <c r="O2488">
        <v>103.14</v>
      </c>
      <c r="P2488">
        <v>205.52</v>
      </c>
      <c r="Q2488">
        <v>61.6</v>
      </c>
      <c r="R2488">
        <v>138.48</v>
      </c>
      <c r="S2488">
        <v>134.33</v>
      </c>
    </row>
    <row r="2489" spans="1:19">
      <c r="A2489" s="1">
        <v>45979</v>
      </c>
      <c r="B2489" t="s">
        <v>1082</v>
      </c>
      <c r="C2489" t="s">
        <v>1085</v>
      </c>
      <c r="D2489">
        <v>23.9669</v>
      </c>
      <c r="E2489">
        <v>21.7706</v>
      </c>
      <c r="F2489">
        <v>-0.0916388852959705</v>
      </c>
      <c r="G2489">
        <f ca="1" t="shared" si="114"/>
        <v>-1.81803881229674</v>
      </c>
      <c r="H2489" t="str">
        <f ca="1" t="shared" si="115"/>
        <v>Risk-On</v>
      </c>
      <c r="I2489">
        <f ca="1" t="shared" si="116"/>
        <v>1</v>
      </c>
      <c r="J2489">
        <f>_xlfn.XLOOKUP($A2489,[1]Sheet1!$B$9:$B$2584,[1]Sheet1!$C$9:$C$2584,"N/A",0)</f>
        <v>103.1</v>
      </c>
      <c r="K2489">
        <f>_xlfn.XLOOKUP($A2489,[1]Sheet1!$E$9:$E$2584,[1]Sheet1!$F$9:$F$2584,"N/A",0)</f>
        <v>204.69</v>
      </c>
      <c r="L2489">
        <f>_xlfn.XLOOKUP($A2489,[1]Sheet1!$H$9:$H$2584,[1]Sheet1!$I$9:$I$2584,"N/A",0)</f>
        <v>61.91</v>
      </c>
      <c r="M2489">
        <f>_xlfn.XLOOKUP($A2489,[1]Sheet1!$K$9:$K$2584,[1]Sheet1!$L$9:$L$2584,"N/A",0)</f>
        <v>134.29</v>
      </c>
      <c r="N2489">
        <f>_xlfn.XLOOKUP($A2489,[1]Sheet1!$N$9:$N$2584,[1]Sheet1!$O$9:$O$2584,"N/A",0)</f>
        <v>137.84</v>
      </c>
      <c r="O2489">
        <v>103.1</v>
      </c>
      <c r="P2489">
        <v>204.69</v>
      </c>
      <c r="Q2489">
        <v>61.91</v>
      </c>
      <c r="R2489">
        <v>137.84</v>
      </c>
      <c r="S2489">
        <v>134.29</v>
      </c>
    </row>
    <row r="2490" spans="1:19">
      <c r="A2490" s="1">
        <v>45980</v>
      </c>
      <c r="B2490" t="s">
        <v>1082</v>
      </c>
      <c r="C2490" t="s">
        <v>1085</v>
      </c>
      <c r="D2490">
        <v>23.9</v>
      </c>
      <c r="E2490">
        <v>21.2323</v>
      </c>
      <c r="F2490">
        <v>-0.111619246861924</v>
      </c>
      <c r="G2490">
        <f ca="1" t="shared" si="114"/>
        <v>-2.09127734192875</v>
      </c>
      <c r="H2490" t="str">
        <f ca="1" t="shared" si="115"/>
        <v>Risk-On</v>
      </c>
      <c r="I2490">
        <f ca="1" t="shared" si="116"/>
        <v>1</v>
      </c>
      <c r="J2490">
        <f>_xlfn.XLOOKUP($A2490,[1]Sheet1!$B$9:$B$2584,[1]Sheet1!$C$9:$C$2584,"N/A",0)</f>
        <v>103.75</v>
      </c>
      <c r="K2490">
        <f>_xlfn.XLOOKUP($A2490,[1]Sheet1!$E$9:$E$2584,[1]Sheet1!$F$9:$F$2584,"N/A",0)</f>
        <v>207.51</v>
      </c>
      <c r="L2490">
        <f>_xlfn.XLOOKUP($A2490,[1]Sheet1!$H$9:$H$2584,[1]Sheet1!$I$9:$I$2584,"N/A",0)</f>
        <v>61.52</v>
      </c>
      <c r="M2490">
        <f>_xlfn.XLOOKUP($A2490,[1]Sheet1!$K$9:$K$2584,[1]Sheet1!$L$9:$L$2584,"N/A",0)</f>
        <v>134.26</v>
      </c>
      <c r="N2490">
        <f>_xlfn.XLOOKUP($A2490,[1]Sheet1!$N$9:$N$2584,[1]Sheet1!$O$9:$O$2584,"N/A",0)</f>
        <v>138.14</v>
      </c>
      <c r="O2490">
        <v>103.75</v>
      </c>
      <c r="P2490">
        <v>207.51</v>
      </c>
      <c r="Q2490">
        <v>61.52</v>
      </c>
      <c r="R2490">
        <v>138.14</v>
      </c>
      <c r="S2490">
        <v>134.26</v>
      </c>
    </row>
    <row r="2491" spans="1:19">
      <c r="A2491" s="1">
        <v>45981</v>
      </c>
      <c r="B2491" t="s">
        <v>1085</v>
      </c>
      <c r="C2491" t="s">
        <v>19</v>
      </c>
      <c r="D2491">
        <v>22.867</v>
      </c>
      <c r="E2491">
        <v>23.2206</v>
      </c>
      <c r="F2491" s="2" t="s">
        <v>1090</v>
      </c>
      <c r="G2491">
        <f ca="1" t="shared" si="114"/>
        <v>-0.180587153922213</v>
      </c>
      <c r="H2491" t="str">
        <f ca="1" t="shared" si="115"/>
        <v>Risk-On</v>
      </c>
      <c r="I2491">
        <f ca="1" t="shared" si="116"/>
        <v>1</v>
      </c>
      <c r="J2491">
        <f>_xlfn.XLOOKUP($A2491,[1]Sheet1!$B$9:$B$2584,[1]Sheet1!$C$9:$C$2584,"N/A",0)</f>
        <v>103.2</v>
      </c>
      <c r="K2491">
        <f>_xlfn.XLOOKUP($A2491,[1]Sheet1!$E$9:$E$2584,[1]Sheet1!$F$9:$F$2584,"N/A",0)</f>
        <v>202.83</v>
      </c>
      <c r="L2491">
        <f>_xlfn.XLOOKUP($A2491,[1]Sheet1!$H$9:$H$2584,[1]Sheet1!$I$9:$I$2584,"N/A",0)</f>
        <v>61.47</v>
      </c>
      <c r="M2491">
        <f>_xlfn.XLOOKUP($A2491,[1]Sheet1!$K$9:$K$2584,[1]Sheet1!$L$9:$L$2584,"N/A",0)</f>
        <v>134.78</v>
      </c>
      <c r="N2491">
        <f>_xlfn.XLOOKUP($A2491,[1]Sheet1!$N$9:$N$2584,[1]Sheet1!$O$9:$O$2584,"N/A",0)</f>
        <v>137.41</v>
      </c>
      <c r="O2491">
        <v>103.2</v>
      </c>
      <c r="P2491">
        <v>202.83</v>
      </c>
      <c r="Q2491">
        <v>61.47</v>
      </c>
      <c r="R2491">
        <v>137.41</v>
      </c>
      <c r="S2491">
        <v>134.78</v>
      </c>
    </row>
    <row r="2492" spans="1:19">
      <c r="A2492" s="1">
        <v>45982</v>
      </c>
      <c r="B2492" t="s">
        <v>1085</v>
      </c>
      <c r="C2492" t="s">
        <v>19</v>
      </c>
      <c r="D2492">
        <v>21.5533</v>
      </c>
      <c r="E2492">
        <v>22.4099</v>
      </c>
      <c r="F2492" s="2" t="s">
        <v>1091</v>
      </c>
      <c r="G2492">
        <f ca="1" t="shared" si="114"/>
        <v>0.175158905129003</v>
      </c>
      <c r="H2492" t="str">
        <f ca="1" t="shared" si="115"/>
        <v>Risk-On</v>
      </c>
      <c r="I2492">
        <f ca="1" t="shared" si="116"/>
        <v>1</v>
      </c>
      <c r="J2492">
        <f>_xlfn.XLOOKUP($A2492,[1]Sheet1!$B$9:$B$2584,[1]Sheet1!$C$9:$C$2584,"N/A",0)</f>
        <v>102.88</v>
      </c>
      <c r="K2492">
        <f>_xlfn.XLOOKUP($A2492,[1]Sheet1!$E$9:$E$2584,[1]Sheet1!$F$9:$F$2584,"N/A",0)</f>
        <v>197.56</v>
      </c>
      <c r="L2492">
        <f>_xlfn.XLOOKUP($A2492,[1]Sheet1!$H$9:$H$2584,[1]Sheet1!$I$9:$I$2584,"N/A",0)</f>
        <v>61.94</v>
      </c>
      <c r="M2492">
        <f>_xlfn.XLOOKUP($A2492,[1]Sheet1!$K$9:$K$2584,[1]Sheet1!$L$9:$L$2584,"N/A",0)</f>
        <v>134.85</v>
      </c>
      <c r="N2492">
        <f>_xlfn.XLOOKUP($A2492,[1]Sheet1!$N$9:$N$2584,[1]Sheet1!$O$9:$O$2584,"N/A",0)</f>
        <v>135.97</v>
      </c>
      <c r="O2492">
        <v>102.88</v>
      </c>
      <c r="P2492">
        <v>197.56</v>
      </c>
      <c r="Q2492">
        <v>61.94</v>
      </c>
      <c r="R2492">
        <v>135.97</v>
      </c>
      <c r="S2492">
        <v>134.85</v>
      </c>
    </row>
    <row r="2493" spans="1:19">
      <c r="A2493" s="1">
        <v>45985</v>
      </c>
      <c r="B2493" t="s">
        <v>1085</v>
      </c>
      <c r="C2493" t="s">
        <v>19</v>
      </c>
      <c r="D2493">
        <v>19.8948</v>
      </c>
      <c r="E2493">
        <v>21.1013</v>
      </c>
      <c r="F2493">
        <v>0.0606439873735849</v>
      </c>
      <c r="G2493">
        <f ca="1" t="shared" si="114"/>
        <v>0.483179028186374</v>
      </c>
      <c r="H2493" t="str">
        <f ca="1" t="shared" si="115"/>
        <v>Risk-On</v>
      </c>
      <c r="I2493">
        <f ca="1" t="shared" si="116"/>
        <v>1</v>
      </c>
      <c r="J2493">
        <f>_xlfn.XLOOKUP($A2493,[1]Sheet1!$B$9:$B$2584,[1]Sheet1!$C$9:$C$2584,"N/A",0)</f>
        <v>102.86</v>
      </c>
      <c r="K2493" t="str">
        <f>_xlfn.XLOOKUP($A2493,[1]Sheet1!$E$9:$E$2584,[1]Sheet1!$F$9:$F$2584,"N/A",0)</f>
        <v>N/A</v>
      </c>
      <c r="L2493" t="str">
        <f>_xlfn.XLOOKUP($A2493,[1]Sheet1!$H$9:$H$2584,[1]Sheet1!$I$9:$I$2584,"N/A",0)</f>
        <v>N/A</v>
      </c>
      <c r="M2493" t="str">
        <f>_xlfn.XLOOKUP($A2493,[1]Sheet1!$K$9:$K$2584,[1]Sheet1!$L$9:$L$2584,"N/A",0)</f>
        <v>N/A</v>
      </c>
      <c r="N2493">
        <f>_xlfn.XLOOKUP($A2493,[1]Sheet1!$N$9:$N$2584,[1]Sheet1!$O$9:$O$2584,"N/A",0)</f>
        <v>136.26</v>
      </c>
      <c r="O2493">
        <v>102.86</v>
      </c>
      <c r="P2493" t="s">
        <v>21</v>
      </c>
      <c r="Q2493" t="s">
        <v>21</v>
      </c>
      <c r="R2493">
        <v>136.26</v>
      </c>
      <c r="S2493" t="s">
        <v>21</v>
      </c>
    </row>
    <row r="2494" spans="1:19">
      <c r="A2494" s="1">
        <v>45986</v>
      </c>
      <c r="B2494" t="s">
        <v>1085</v>
      </c>
      <c r="C2494" t="s">
        <v>19</v>
      </c>
      <c r="D2494">
        <v>19.3179</v>
      </c>
      <c r="E2494">
        <v>20.5594</v>
      </c>
      <c r="F2494">
        <v>0.0642668198924312</v>
      </c>
      <c r="G2494">
        <f ca="1" t="shared" si="114"/>
        <v>0.533510973222797</v>
      </c>
      <c r="H2494" t="str">
        <f ca="1" t="shared" si="115"/>
        <v>Risk-On</v>
      </c>
      <c r="I2494">
        <f ca="1" t="shared" si="116"/>
        <v>1</v>
      </c>
      <c r="J2494" t="str">
        <f>_xlfn.XLOOKUP($A2494,[1]Sheet1!$B$9:$B$2584,[1]Sheet1!$C$9:$C$2584,"N/A",0)</f>
        <v>N/A</v>
      </c>
      <c r="K2494" t="str">
        <f>_xlfn.XLOOKUP($A2494,[1]Sheet1!$E$9:$E$2584,[1]Sheet1!$F$9:$F$2584,"N/A",0)</f>
        <v>N/A</v>
      </c>
      <c r="L2494" t="str">
        <f>_xlfn.XLOOKUP($A2494,[1]Sheet1!$H$9:$H$2584,[1]Sheet1!$I$9:$I$2584,"N/A",0)</f>
        <v>N/A</v>
      </c>
      <c r="M2494" t="str">
        <f>_xlfn.XLOOKUP($A2494,[1]Sheet1!$K$9:$K$2584,[1]Sheet1!$L$9:$L$2584,"N/A",0)</f>
        <v>N/A</v>
      </c>
      <c r="N2494" t="str">
        <f>_xlfn.XLOOKUP($A2494,[1]Sheet1!$N$9:$N$2584,[1]Sheet1!$O$9:$O$2584,"N/A",0)</f>
        <v>N/A</v>
      </c>
      <c r="O2494" t="s">
        <v>21</v>
      </c>
      <c r="P2494" t="s">
        <v>21</v>
      </c>
      <c r="Q2494" t="s">
        <v>21</v>
      </c>
      <c r="R2494" t="s">
        <v>21</v>
      </c>
      <c r="S2494" t="s">
        <v>21</v>
      </c>
    </row>
  </sheetData>
  <autoFilter xmlns:etc="http://www.wps.cn/officeDocument/2017/etCustomData" ref="A2:S249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 C</dc:creator>
  <cp:lastModifiedBy>李雨珂</cp:lastModifiedBy>
  <dcterms:created xsi:type="dcterms:W3CDTF">2015-06-05T13:17:00Z</dcterms:created>
  <dcterms:modified xsi:type="dcterms:W3CDTF">2025-12-11T17:41:24Z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C4FE51E879354B2194483B69B707DDBA_43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